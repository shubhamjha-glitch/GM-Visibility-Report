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0.0.0.25\02-General Merchandise\04-GM_PO Committee\New folder\R&amp;F\GM VISIBILITY REPORTS\2026\10.OCTOBER_2026\13-Oct (Till 12-Oct)\"/>
    </mc:Choice>
  </mc:AlternateContent>
  <xr:revisionPtr revIDLastSave="0" documentId="13_ncr:1_{096C4F46-72DD-4EFC-AE72-4DCC41F3910F}" xr6:coauthVersionLast="47" xr6:coauthVersionMax="47" xr10:uidLastSave="{00000000-0000-0000-0000-000000000000}"/>
  <bookViews>
    <workbookView showHorizontalScroll="0" showVerticalScroll="0" xWindow="-110" yWindow="-110" windowWidth="19420" windowHeight="10420" activeTab="1" xr2:uid="{00000000-000D-0000-FFFF-FFFF00000000}"/>
  </bookViews>
  <sheets>
    <sheet name="REGULAR" sheetId="1" r:id="rId1"/>
    <sheet name="BOTTOM" sheetId="5" r:id="rId2"/>
  </sheets>
  <definedNames>
    <definedName name="_xlnm._FilterDatabase" localSheetId="1" hidden="1">BOTTOM!$A$4:$W$4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<sst xmlns="http://schemas.openxmlformats.org/spreadsheetml/2006/main" count="123" uniqueCount="57">
  <si>
    <t>CHANDRAPAL NEGI</t>
  </si>
  <si>
    <t>ROOP KISHOR</t>
  </si>
  <si>
    <t>GRAND TOTAL</t>
  </si>
  <si>
    <t>LIFESTYLE</t>
  </si>
  <si>
    <t>SPORTS  &amp; TOYS</t>
  </si>
  <si>
    <t>STATIONERY</t>
  </si>
  <si>
    <t>FOOTWEAR</t>
  </si>
  <si>
    <t>TRAVEL ACCESSORIES</t>
  </si>
  <si>
    <t>HOME FURNISHING</t>
  </si>
  <si>
    <t>HOUSEHOLD</t>
  </si>
  <si>
    <t>DIVISION</t>
  </si>
  <si>
    <t>MAHIMA VOHRA</t>
  </si>
  <si>
    <t>BUYERS NAME</t>
  </si>
  <si>
    <t>REGULAR &amp; SUMMER</t>
  </si>
  <si>
    <t>COVERAGE QTY</t>
  </si>
  <si>
    <t>GRC &amp; PO</t>
  </si>
  <si>
    <t>GRC &amp; ASN</t>
  </si>
  <si>
    <t>GRC</t>
  </si>
  <si>
    <t>PO VISIBILITY %</t>
  </si>
  <si>
    <t>GRC + FLOOR + 
IN_TRANSIT</t>
  </si>
  <si>
    <t>FLOOR + 
IN_TRANSIT</t>
  </si>
  <si>
    <t>MERCHANT</t>
  </si>
  <si>
    <t>SALE 
RANK</t>
  </si>
  <si>
    <t>DEPARTMENT</t>
  </si>
  <si>
    <t>PPO QTY (MANUAL)</t>
  </si>
  <si>
    <t>ARTICLE_WISE</t>
  </si>
  <si>
    <t>DEPT_WISE</t>
  </si>
  <si>
    <t>KAMLESH SINGH</t>
  </si>
  <si>
    <t>NON FOOD</t>
  </si>
  <si>
    <t>TTL PPO QTY (SYS)</t>
  </si>
  <si>
    <t>Bottom 15 MC's Fill Rate</t>
  </si>
  <si>
    <t>LS_MA_SOCKS</t>
  </si>
  <si>
    <t>LS_MA_BELT</t>
  </si>
  <si>
    <t>FW_M_SHOES</t>
  </si>
  <si>
    <t>OCT
FILL RATE %</t>
  </si>
  <si>
    <t>OCT
VISIBILITY %</t>
  </si>
  <si>
    <t>OND 
FILL RATE %</t>
  </si>
  <si>
    <t>OND 
VISIBILITY %</t>
  </si>
  <si>
    <t>OCT
BUY_PLAN</t>
  </si>
  <si>
    <t>OCT
GRC QTY</t>
  </si>
  <si>
    <t>REOCTKS  (BY_PO_TEAM)</t>
  </si>
  <si>
    <t>OND
 BUY_PLAN</t>
  </si>
  <si>
    <t>OND
FILL RATE %</t>
  </si>
  <si>
    <t>OND VISIBILITY %</t>
  </si>
  <si>
    <t>FW_B_SHOES</t>
  </si>
  <si>
    <t>Till 12-OCT</t>
  </si>
  <si>
    <t>FW_G_SHOES</t>
  </si>
  <si>
    <t>HF_BF_DOUB BEDSHEET</t>
  </si>
  <si>
    <t>NF_B_FACEWASH</t>
  </si>
  <si>
    <t>NF_B_HANDWASH</t>
  </si>
  <si>
    <t>NF_C_TOILET CLEANER</t>
  </si>
  <si>
    <t>NF_F_PERFUME</t>
  </si>
  <si>
    <t>TG_NS_P_SET</t>
  </si>
  <si>
    <t>HH_C_BC_COFFEE SET</t>
  </si>
  <si>
    <t>HH_P_PATLA</t>
  </si>
  <si>
    <t>HH_U_T_CASSEROLE</t>
  </si>
  <si>
    <t>HH_U_T_FLASK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</si>
</sst>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4" x14ac:knownFonts="1"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theme="2" tint="-0.499984740745262"/>
      </left>
      <right style="thin">
        <color indexed="64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2" tint="-0.499984740745262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3" applyFont="1" applyAlignment="1">
      <alignment vertical="center"/>
    </xf>
    <xf numFmtId="0" fontId="2" fillId="0" borderId="0" xfId="3" applyFont="1" applyAlignment="1">
      <alignment vertical="center"/>
    </xf>
    <xf numFmtId="0" fontId="2" fillId="0" borderId="28" xfId="3" applyFont="1" applyBorder="1" applyAlignment="1">
      <alignment vertical="center"/>
    </xf>
    <xf numFmtId="0" fontId="2" fillId="0" borderId="29" xfId="3" applyFont="1" applyBorder="1" applyAlignment="1">
      <alignment vertical="center"/>
    </xf>
    <xf numFmtId="0" fontId="2" fillId="0" borderId="30" xfId="3" applyFont="1" applyBorder="1" applyAlignment="1">
      <alignment vertical="center"/>
    </xf>
    <xf numFmtId="0" fontId="2" fillId="0" borderId="31" xfId="3" applyFont="1" applyBorder="1" applyAlignment="1">
      <alignment vertical="center"/>
    </xf>
    <xf numFmtId="0" fontId="3" fillId="2" borderId="9" xfId="3" applyFont="1" applyFill="1" applyBorder="1" applyAlignment="1">
      <alignment vertical="center"/>
    </xf>
    <xf numFmtId="0" fontId="3" fillId="2" borderId="9" xfId="3" applyFont="1" applyFill="1" applyBorder="1" applyAlignment="1">
      <alignment horizontal="center" vertical="center" wrapText="1"/>
    </xf>
    <xf numFmtId="9" fontId="3" fillId="2" borderId="9" xfId="5" applyFont="1" applyFill="1" applyBorder="1" applyAlignment="1">
      <alignment horizontal="center" vertical="center" wrapText="1"/>
    </xf>
    <xf numFmtId="0" fontId="2" fillId="7" borderId="0" xfId="3" applyFont="1" applyFill="1" applyAlignment="1">
      <alignment horizontal="center" vertical="center"/>
    </xf>
    <xf numFmtId="0" fontId="2" fillId="0" borderId="32" xfId="3" applyFont="1" applyBorder="1" applyAlignment="1">
      <alignment vertical="center"/>
    </xf>
    <xf numFmtId="0" fontId="2" fillId="0" borderId="9" xfId="3" applyFont="1" applyBorder="1" applyAlignment="1">
      <alignment vertical="center"/>
    </xf>
    <xf numFmtId="0" fontId="2" fillId="0" borderId="27" xfId="3" applyFont="1" applyBorder="1" applyAlignment="1">
      <alignment vertical="center"/>
    </xf>
    <xf numFmtId="0" fontId="2" fillId="0" borderId="23" xfId="3" applyFont="1" applyBorder="1" applyAlignment="1">
      <alignment vertical="center"/>
    </xf>
    <xf numFmtId="0" fontId="3" fillId="10" borderId="9" xfId="3" applyFont="1" applyFill="1" applyBorder="1" applyAlignment="1">
      <alignment horizontal="center" vertical="center"/>
    </xf>
    <xf numFmtId="9" fontId="2" fillId="0" borderId="9" xfId="1" applyFont="1" applyBorder="1" applyAlignment="1">
      <alignment horizontal="center" vertical="center"/>
    </xf>
    <xf numFmtId="9" fontId="2" fillId="0" borderId="9" xfId="5" applyFont="1" applyBorder="1" applyAlignment="1">
      <alignment horizontal="center" vertical="center"/>
    </xf>
    <xf numFmtId="165" fontId="2" fillId="0" borderId="9" xfId="2" applyNumberFormat="1" applyFont="1" applyBorder="1" applyAlignment="1">
      <alignment vertical="center"/>
    </xf>
    <xf numFmtId="0" fontId="2" fillId="0" borderId="33" xfId="3" applyFont="1" applyBorder="1" applyAlignment="1">
      <alignment vertical="center"/>
    </xf>
    <xf numFmtId="0" fontId="2" fillId="0" borderId="34" xfId="3" applyFont="1" applyBorder="1" applyAlignment="1">
      <alignment vertical="center"/>
    </xf>
    <xf numFmtId="0" fontId="2" fillId="0" borderId="35" xfId="3" applyFont="1" applyBorder="1" applyAlignment="1">
      <alignment vertical="center"/>
    </xf>
    <xf numFmtId="165" fontId="3" fillId="9" borderId="9" xfId="3" applyNumberFormat="1" applyFont="1" applyFill="1" applyBorder="1" applyAlignment="1">
      <alignment horizontal="center" vertical="center"/>
    </xf>
    <xf numFmtId="165" fontId="2" fillId="0" borderId="9" xfId="4" applyNumberFormat="1" applyFont="1" applyBorder="1" applyAlignment="1">
      <alignment horizontal="center" vertical="center"/>
    </xf>
    <xf numFmtId="165" fontId="2" fillId="0" borderId="9" xfId="4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9" fontId="0" fillId="0" borderId="39" xfId="1" applyFont="1" applyBorder="1" applyAlignment="1">
      <alignment horizontal="center" vertical="center"/>
    </xf>
    <xf numFmtId="9" fontId="0" fillId="0" borderId="40" xfId="1" applyFont="1" applyBorder="1" applyAlignment="1">
      <alignment horizontal="center" vertical="center"/>
    </xf>
    <xf numFmtId="165" fontId="0" fillId="0" borderId="40" xfId="2" applyNumberFormat="1" applyFont="1" applyBorder="1" applyAlignment="1">
      <alignment horizontal="center" vertical="center"/>
    </xf>
    <xf numFmtId="9" fontId="0" fillId="0" borderId="36" xfId="1" applyFont="1" applyBorder="1" applyAlignment="1">
      <alignment horizontal="center" vertical="center"/>
    </xf>
    <xf numFmtId="9" fontId="0" fillId="0" borderId="37" xfId="1" applyFont="1" applyBorder="1" applyAlignment="1">
      <alignment horizontal="center" vertical="center"/>
    </xf>
    <xf numFmtId="165" fontId="0" fillId="0" borderId="37" xfId="2" applyNumberFormat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165" fontId="0" fillId="0" borderId="4" xfId="2" applyNumberFormat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165" fontId="0" fillId="0" borderId="8" xfId="2" applyNumberFormat="1" applyFont="1" applyBorder="1" applyAlignment="1">
      <alignment horizontal="center" vertical="center"/>
    </xf>
    <xf numFmtId="9" fontId="3" fillId="4" borderId="9" xfId="1" applyFont="1" applyFill="1" applyBorder="1" applyAlignment="1">
      <alignment horizontal="center" vertical="center"/>
    </xf>
    <xf numFmtId="165" fontId="3" fillId="4" borderId="9" xfId="2" applyNumberFormat="1" applyFont="1" applyFill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165" fontId="0" fillId="0" borderId="6" xfId="2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9" fontId="3" fillId="0" borderId="14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" fontId="3" fillId="5" borderId="24" xfId="0" applyNumberFormat="1" applyFont="1" applyFill="1" applyBorder="1" applyAlignment="1">
      <alignment horizontal="center" vertical="center"/>
    </xf>
    <xf numFmtId="16" fontId="3" fillId="5" borderId="25" xfId="0" applyNumberFormat="1" applyFont="1" applyFill="1" applyBorder="1" applyAlignment="1">
      <alignment horizontal="center" vertical="center"/>
    </xf>
    <xf numFmtId="16" fontId="3" fillId="5" borderId="26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</cellXfs>
  <cellStyles count="6">
    <cellStyle name="Comma" xfId="2" builtinId="3"/>
    <cellStyle name="Comma 2" xfId="4" xr:uid="{00000000-0005-0000-0000-000001000000}"/>
    <cellStyle name="Normal" xfId="0" builtinId="0"/>
    <cellStyle name="Normal 2" xfId="3" xr:uid="{00000000-0005-0000-0000-000003000000}"/>
    <cellStyle name="Percent" xfId="1" builtinId="5"/>
    <cellStyle name="Percent 2" xfId="5" xr:uid="{00000000-0005-0000-0000-000005000000}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D4F28A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rgb="FFEF863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V30"/>
  <sheetViews>
    <sheetView showGridLines="0" topLeftCell="A3" zoomScaleNormal="100" workbookViewId="0">
      <selection activeCell="C4" sqref="C4:Q29"/>
    </sheetView>
  </sheetViews>
  <sheetFormatPr defaultColWidth="9" defaultRowHeight="10.5" x14ac:dyDescent="0.25"/>
  <cols>
    <col min="1" max="2" width="9" style="51"/>
    <col min="3" max="3" width="3.25" style="51" customWidth="1"/>
    <col min="4" max="4" width="22.875" style="51" bestFit="1" customWidth="1"/>
    <col min="5" max="6" width="13.125" style="51" bestFit="1" customWidth="1"/>
    <col min="7" max="9" width="14" style="51" bestFit="1" customWidth="1"/>
    <col min="10" max="10" width="12.625" style="51" bestFit="1" customWidth="1"/>
    <col min="11" max="12" width="13.125" style="51" bestFit="1" customWidth="1"/>
    <col min="13" max="15" width="14" style="51" bestFit="1" customWidth="1"/>
    <col min="16" max="16" width="12.625" style="51" bestFit="1" customWidth="1"/>
    <col min="17" max="17" width="3.25" style="51" customWidth="1"/>
    <col min="18" max="16384" width="9" style="51"/>
  </cols>
  <sheetData>
    <row r="3" spans="3:22" ht="11" thickBot="1" x14ac:dyDescent="0.3">
      <c r="T3" s="52"/>
      <c r="U3" s="52"/>
      <c r="V3" s="52"/>
    </row>
    <row r="4" spans="3:22" ht="11" thickTop="1" x14ac:dyDescent="0.25"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5"/>
    </row>
    <row r="5" spans="3:22" x14ac:dyDescent="0.25">
      <c r="C5" s="56"/>
      <c r="D5" s="79" t="s">
        <v>13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57"/>
    </row>
    <row r="6" spans="3:22" ht="5" customHeight="1" x14ac:dyDescent="0.25">
      <c r="C6" s="56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57"/>
    </row>
    <row r="7" spans="3:22" ht="10.5" customHeight="1" x14ac:dyDescent="0.25">
      <c r="C7" s="56"/>
      <c r="D7" s="25"/>
      <c r="E7" s="75" t="s">
        <v>26</v>
      </c>
      <c r="F7" s="75"/>
      <c r="G7" s="75"/>
      <c r="H7" s="75"/>
      <c r="I7" s="75"/>
      <c r="J7" s="75"/>
      <c r="K7" s="75" t="s">
        <v>25</v>
      </c>
      <c r="L7" s="75"/>
      <c r="M7" s="75"/>
      <c r="N7" s="75"/>
      <c r="O7" s="75"/>
      <c r="P7" s="75"/>
      <c r="Q7" s="57"/>
    </row>
    <row r="8" spans="3:22" x14ac:dyDescent="0.25">
      <c r="C8" s="56"/>
      <c r="E8" s="76" t="s">
        <v>45</v>
      </c>
      <c r="F8" s="77"/>
      <c r="G8" s="77"/>
      <c r="H8" s="77"/>
      <c r="I8" s="77"/>
      <c r="J8" s="78"/>
      <c r="K8" s="76" t="s">
        <v>45</v>
      </c>
      <c r="L8" s="77"/>
      <c r="M8" s="77"/>
      <c r="N8" s="77"/>
      <c r="O8" s="77"/>
      <c r="P8" s="78"/>
      <c r="Q8" s="26"/>
    </row>
    <row r="9" spans="3:22" x14ac:dyDescent="0.25">
      <c r="C9" s="56"/>
      <c r="E9" s="69" t="s">
        <v>17</v>
      </c>
      <c r="F9" s="70"/>
      <c r="G9" s="71" t="s">
        <v>16</v>
      </c>
      <c r="H9" s="72"/>
      <c r="I9" s="73" t="s">
        <v>15</v>
      </c>
      <c r="J9" s="74"/>
      <c r="K9" s="69" t="s">
        <v>17</v>
      </c>
      <c r="L9" s="70"/>
      <c r="M9" s="71" t="s">
        <v>16</v>
      </c>
      <c r="N9" s="72"/>
      <c r="O9" s="73" t="s">
        <v>15</v>
      </c>
      <c r="P9" s="74"/>
      <c r="Q9" s="26"/>
    </row>
    <row r="10" spans="3:22" ht="26.25" customHeight="1" x14ac:dyDescent="0.25">
      <c r="C10" s="56"/>
      <c r="D10" s="27" t="s">
        <v>12</v>
      </c>
      <c r="E10" s="28" t="s">
        <v>34</v>
      </c>
      <c r="F10" s="28" t="s">
        <v>36</v>
      </c>
      <c r="G10" s="28" t="s">
        <v>35</v>
      </c>
      <c r="H10" s="28" t="s">
        <v>37</v>
      </c>
      <c r="I10" s="28" t="s">
        <v>18</v>
      </c>
      <c r="J10" s="28" t="s">
        <v>14</v>
      </c>
      <c r="K10" s="28" t="s">
        <v>34</v>
      </c>
      <c r="L10" s="28" t="s">
        <v>36</v>
      </c>
      <c r="M10" s="28" t="s">
        <v>35</v>
      </c>
      <c r="N10" s="28" t="s">
        <v>37</v>
      </c>
      <c r="O10" s="28" t="s">
        <v>18</v>
      </c>
      <c r="P10" s="28" t="s">
        <v>14</v>
      </c>
      <c r="Q10" s="29"/>
    </row>
    <row r="11" spans="3:22" x14ac:dyDescent="0.25">
      <c r="C11" s="56"/>
      <c r="D11" s="58" t="s">
        <v>0</v>
      </c>
      <c r="E11" s="30">
        <v>0.24480984124651339</v>
      </c>
      <c r="F11" s="31">
        <v>0.16039611663811171</v>
      </c>
      <c r="G11" s="30">
        <v>0.27937120665148024</v>
      </c>
      <c r="H11" s="31">
        <v>0.19415162152467696</v>
      </c>
      <c r="I11" s="30">
        <v>0.76287398877224444</v>
      </c>
      <c r="J11" s="32">
        <v>18451.985869836644</v>
      </c>
      <c r="K11" s="30">
        <v>0.22186935075155043</v>
      </c>
      <c r="L11" s="31">
        <v>0.15481012193373206</v>
      </c>
      <c r="M11" s="30">
        <v>0.25823827210678585</v>
      </c>
      <c r="N11" s="31">
        <v>0.18414580778431786</v>
      </c>
      <c r="O11" s="30">
        <v>0.67619394422489965</v>
      </c>
      <c r="P11" s="32">
        <v>18451.985869836644</v>
      </c>
      <c r="Q11" s="29"/>
    </row>
    <row r="12" spans="3:22" x14ac:dyDescent="0.25">
      <c r="C12" s="56"/>
      <c r="D12" s="59" t="s">
        <v>27</v>
      </c>
      <c r="E12" s="33">
        <v>0.31615295618380845</v>
      </c>
      <c r="F12" s="34">
        <v>0.19693961935362087</v>
      </c>
      <c r="G12" s="33">
        <v>0.45617490877807115</v>
      </c>
      <c r="H12" s="34">
        <v>0.27702681891100189</v>
      </c>
      <c r="I12" s="33">
        <v>0.95078397034395934</v>
      </c>
      <c r="J12" s="35">
        <v>-55206.198263512342</v>
      </c>
      <c r="K12" s="33">
        <v>0.21158740989053368</v>
      </c>
      <c r="L12" s="34">
        <v>0.1746887431893234</v>
      </c>
      <c r="M12" s="33">
        <v>0.35160936248479635</v>
      </c>
      <c r="N12" s="34">
        <v>0.25477594274670445</v>
      </c>
      <c r="O12" s="33">
        <v>0.84721368435551681</v>
      </c>
      <c r="P12" s="35">
        <v>-55206.198263512342</v>
      </c>
      <c r="Q12" s="29"/>
    </row>
    <row r="13" spans="3:22" x14ac:dyDescent="0.25">
      <c r="C13" s="56"/>
      <c r="D13" s="60" t="s">
        <v>11</v>
      </c>
      <c r="E13" s="36">
        <v>0.39690588118766618</v>
      </c>
      <c r="F13" s="37">
        <v>0.22643465179893832</v>
      </c>
      <c r="G13" s="38">
        <v>0.59569850690925896</v>
      </c>
      <c r="H13" s="39">
        <v>0.3347777789394879</v>
      </c>
      <c r="I13" s="38">
        <v>0.91998537162488203</v>
      </c>
      <c r="J13" s="40">
        <v>-908342.74447416631</v>
      </c>
      <c r="K13" s="36">
        <v>0.34941853525233207</v>
      </c>
      <c r="L13" s="37">
        <v>0.20114453131010943</v>
      </c>
      <c r="M13" s="38">
        <v>0.5081257761963901</v>
      </c>
      <c r="N13" s="39">
        <v>0.29855017662317429</v>
      </c>
      <c r="O13" s="38">
        <v>0.80043353769817693</v>
      </c>
      <c r="P13" s="40">
        <v>-908342.744474167</v>
      </c>
      <c r="Q13" s="29"/>
    </row>
    <row r="14" spans="3:22" x14ac:dyDescent="0.25">
      <c r="C14" s="56"/>
      <c r="D14" s="61" t="s">
        <v>1</v>
      </c>
      <c r="E14" s="41">
        <v>0.39598791933304134</v>
      </c>
      <c r="F14" s="42">
        <v>0.20557113844907493</v>
      </c>
      <c r="G14" s="41">
        <v>0.59295181288414001</v>
      </c>
      <c r="H14" s="42">
        <v>0.31135877216931823</v>
      </c>
      <c r="I14" s="41">
        <v>0.91381578676474506</v>
      </c>
      <c r="J14" s="43">
        <v>-552928.21828119573</v>
      </c>
      <c r="K14" s="41">
        <v>0.34872195540275586</v>
      </c>
      <c r="L14" s="42">
        <v>0.19506267050664539</v>
      </c>
      <c r="M14" s="41">
        <v>0.50854117074371641</v>
      </c>
      <c r="N14" s="42">
        <v>0.28760659091203433</v>
      </c>
      <c r="O14" s="41">
        <v>0.81371058113332673</v>
      </c>
      <c r="P14" s="43">
        <v>-552928.21828119573</v>
      </c>
      <c r="Q14" s="29"/>
    </row>
    <row r="15" spans="3:22" x14ac:dyDescent="0.25">
      <c r="C15" s="56"/>
      <c r="D15" s="27" t="s">
        <v>2</v>
      </c>
      <c r="E15" s="44">
        <v>0.35940647641655027</v>
      </c>
      <c r="F15" s="44">
        <v>0.20397081279794724</v>
      </c>
      <c r="G15" s="44">
        <v>0.51939431320021368</v>
      </c>
      <c r="H15" s="44">
        <v>0.29600120121001711</v>
      </c>
      <c r="I15" s="44">
        <v>0.89117307970904136</v>
      </c>
      <c r="J15" s="45">
        <v>-1498025.1751490394</v>
      </c>
      <c r="K15" s="44">
        <v>0.31303127087740951</v>
      </c>
      <c r="L15" s="44">
        <v>0.1885641143800206</v>
      </c>
      <c r="M15" s="44">
        <v>0.44557913043010267</v>
      </c>
      <c r="N15" s="44">
        <v>0.27058226538417318</v>
      </c>
      <c r="O15" s="44">
        <v>0.78665301433907575</v>
      </c>
      <c r="P15" s="45">
        <v>-1498025.1751490347</v>
      </c>
      <c r="Q15" s="29"/>
    </row>
    <row r="16" spans="3:22" x14ac:dyDescent="0.25">
      <c r="C16" s="56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57"/>
    </row>
    <row r="17" spans="3:17" ht="11.25" customHeight="1" x14ac:dyDescent="0.25">
      <c r="C17" s="56"/>
      <c r="E17" s="76" t="s">
        <v>45</v>
      </c>
      <c r="F17" s="77"/>
      <c r="G17" s="77"/>
      <c r="H17" s="77"/>
      <c r="I17" s="77"/>
      <c r="J17" s="78"/>
      <c r="K17" s="76" t="s">
        <v>45</v>
      </c>
      <c r="L17" s="77"/>
      <c r="M17" s="77"/>
      <c r="N17" s="77"/>
      <c r="O17" s="77"/>
      <c r="P17" s="78"/>
      <c r="Q17" s="26"/>
    </row>
    <row r="18" spans="3:17" x14ac:dyDescent="0.25">
      <c r="C18" s="56"/>
      <c r="E18" s="69" t="s">
        <v>17</v>
      </c>
      <c r="F18" s="70"/>
      <c r="G18" s="71" t="s">
        <v>16</v>
      </c>
      <c r="H18" s="72"/>
      <c r="I18" s="73" t="s">
        <v>15</v>
      </c>
      <c r="J18" s="74"/>
      <c r="K18" s="69" t="s">
        <v>17</v>
      </c>
      <c r="L18" s="70"/>
      <c r="M18" s="71" t="s">
        <v>16</v>
      </c>
      <c r="N18" s="72"/>
      <c r="O18" s="73" t="s">
        <v>15</v>
      </c>
      <c r="P18" s="74"/>
      <c r="Q18" s="26"/>
    </row>
    <row r="19" spans="3:17" ht="26.25" customHeight="1" x14ac:dyDescent="0.25">
      <c r="C19" s="56"/>
      <c r="D19" s="27" t="s">
        <v>10</v>
      </c>
      <c r="E19" s="28" t="s">
        <v>34</v>
      </c>
      <c r="F19" s="28" t="s">
        <v>36</v>
      </c>
      <c r="G19" s="28" t="s">
        <v>35</v>
      </c>
      <c r="H19" s="28" t="s">
        <v>37</v>
      </c>
      <c r="I19" s="28" t="s">
        <v>18</v>
      </c>
      <c r="J19" s="28" t="s">
        <v>14</v>
      </c>
      <c r="K19" s="28" t="s">
        <v>34</v>
      </c>
      <c r="L19" s="28" t="s">
        <v>36</v>
      </c>
      <c r="M19" s="28" t="s">
        <v>35</v>
      </c>
      <c r="N19" s="28" t="s">
        <v>37</v>
      </c>
      <c r="O19" s="28" t="s">
        <v>18</v>
      </c>
      <c r="P19" s="28" t="s">
        <v>14</v>
      </c>
      <c r="Q19" s="29"/>
    </row>
    <row r="20" spans="3:17" ht="11.25" customHeight="1" x14ac:dyDescent="0.25">
      <c r="C20" s="56"/>
      <c r="D20" s="63" t="s">
        <v>3</v>
      </c>
      <c r="E20" s="46">
        <v>0.23706203842887777</v>
      </c>
      <c r="F20" s="47">
        <v>0.15568376373572337</v>
      </c>
      <c r="G20" s="46">
        <v>0.26925133042381705</v>
      </c>
      <c r="H20" s="47">
        <v>0.18738159698790705</v>
      </c>
      <c r="I20" s="46">
        <v>0.76085369843675021</v>
      </c>
      <c r="J20" s="48">
        <v>38526.332233379711</v>
      </c>
      <c r="K20" s="46">
        <v>0.21446351214502629</v>
      </c>
      <c r="L20" s="47">
        <v>0.15033403662792774</v>
      </c>
      <c r="M20" s="46">
        <v>0.24849065479845631</v>
      </c>
      <c r="N20" s="47">
        <v>0.17751972279795003</v>
      </c>
      <c r="O20" s="46">
        <v>0.67297911157361623</v>
      </c>
      <c r="P20" s="48">
        <v>38526.332233379711</v>
      </c>
      <c r="Q20" s="29"/>
    </row>
    <row r="21" spans="3:17" ht="11.25" customHeight="1" x14ac:dyDescent="0.25">
      <c r="C21" s="56"/>
      <c r="D21" s="64" t="s">
        <v>7</v>
      </c>
      <c r="E21" s="36">
        <v>0.70708816991849843</v>
      </c>
      <c r="F21" s="37">
        <v>0.38598030176425696</v>
      </c>
      <c r="G21" s="36">
        <v>0.88318103235366763</v>
      </c>
      <c r="H21" s="37">
        <v>0.51823822964717714</v>
      </c>
      <c r="I21" s="36">
        <v>0.85958693843687906</v>
      </c>
      <c r="J21" s="49">
        <v>-20074.34636354306</v>
      </c>
      <c r="K21" s="36">
        <v>0.66374413435416157</v>
      </c>
      <c r="L21" s="37">
        <v>0.36908398409571697</v>
      </c>
      <c r="M21" s="36">
        <v>0.83983699678933066</v>
      </c>
      <c r="N21" s="37">
        <v>0.5013419119786372</v>
      </c>
      <c r="O21" s="36">
        <v>0.83009061091749292</v>
      </c>
      <c r="P21" s="49">
        <v>-20074.34636354306</v>
      </c>
      <c r="Q21" s="29"/>
    </row>
    <row r="22" spans="3:17" ht="11.25" customHeight="1" x14ac:dyDescent="0.25">
      <c r="C22" s="56"/>
      <c r="D22" s="64" t="s">
        <v>6</v>
      </c>
      <c r="E22" s="36">
        <v>0.31615295618380845</v>
      </c>
      <c r="F22" s="37">
        <v>0.19693961935362087</v>
      </c>
      <c r="G22" s="36">
        <v>0.45617490877807115</v>
      </c>
      <c r="H22" s="37">
        <v>0.27702681891100189</v>
      </c>
      <c r="I22" s="36">
        <v>0.95078397034395934</v>
      </c>
      <c r="J22" s="49">
        <v>-55206.198263512342</v>
      </c>
      <c r="K22" s="36">
        <v>0.21158740989053368</v>
      </c>
      <c r="L22" s="37">
        <v>0.1746887431893234</v>
      </c>
      <c r="M22" s="36">
        <v>0.35160936248479635</v>
      </c>
      <c r="N22" s="37">
        <v>0.25477594274670445</v>
      </c>
      <c r="O22" s="36">
        <v>0.84721368435551681</v>
      </c>
      <c r="P22" s="49">
        <v>-55206.198263512342</v>
      </c>
      <c r="Q22" s="29"/>
    </row>
    <row r="23" spans="3:17" x14ac:dyDescent="0.25">
      <c r="C23" s="56"/>
      <c r="D23" s="59" t="s">
        <v>8</v>
      </c>
      <c r="E23" s="36">
        <v>0.35140211698671914</v>
      </c>
      <c r="F23" s="37">
        <v>0.18182364080272367</v>
      </c>
      <c r="G23" s="36">
        <v>0.66722648222217307</v>
      </c>
      <c r="H23" s="37">
        <v>0.33284274463119867</v>
      </c>
      <c r="I23" s="36">
        <v>0.92055337496451972</v>
      </c>
      <c r="J23" s="49">
        <v>-50774.865686274599</v>
      </c>
      <c r="K23" s="36">
        <v>0.35140211698671914</v>
      </c>
      <c r="L23" s="37">
        <v>0.18182364080272362</v>
      </c>
      <c r="M23" s="36">
        <v>0.61701434159061275</v>
      </c>
      <c r="N23" s="37">
        <v>0.33284274463119856</v>
      </c>
      <c r="O23" s="36">
        <v>0.82270899814080067</v>
      </c>
      <c r="P23" s="49">
        <v>-50774.865686274483</v>
      </c>
      <c r="Q23" s="29"/>
    </row>
    <row r="24" spans="3:17" x14ac:dyDescent="0.25">
      <c r="C24" s="56"/>
      <c r="D24" s="65" t="s">
        <v>28</v>
      </c>
      <c r="E24" s="36">
        <v>0.38106029024545801</v>
      </c>
      <c r="F24" s="37">
        <v>0.23745733638182406</v>
      </c>
      <c r="G24" s="36">
        <v>0.55373602841882852</v>
      </c>
      <c r="H24" s="37">
        <v>0.34566917219641013</v>
      </c>
      <c r="I24" s="36">
        <v>0.95405511089475192</v>
      </c>
      <c r="J24" s="49">
        <v>-805456.20794275973</v>
      </c>
      <c r="K24" s="36">
        <v>0.27151454255876351</v>
      </c>
      <c r="L24" s="37">
        <v>0.16162977246196089</v>
      </c>
      <c r="M24" s="36">
        <v>0.41563961960956181</v>
      </c>
      <c r="N24" s="37">
        <v>0.24570728200538927</v>
      </c>
      <c r="O24" s="36">
        <v>0.78146640969142689</v>
      </c>
      <c r="P24" s="49">
        <v>-805456.20794275985</v>
      </c>
      <c r="Q24" s="29"/>
    </row>
    <row r="25" spans="3:17" x14ac:dyDescent="0.25">
      <c r="C25" s="56"/>
      <c r="D25" s="60" t="s">
        <v>4</v>
      </c>
      <c r="E25" s="36">
        <v>0.43647539934794072</v>
      </c>
      <c r="F25" s="37">
        <v>0.23339793025084096</v>
      </c>
      <c r="G25" s="36">
        <v>0.56023871307854911</v>
      </c>
      <c r="H25" s="37">
        <v>0.29734334079078217</v>
      </c>
      <c r="I25" s="36">
        <v>0.91030206098743749</v>
      </c>
      <c r="J25" s="49">
        <v>-18934.308909073239</v>
      </c>
      <c r="K25" s="36">
        <v>0.40243421827096798</v>
      </c>
      <c r="L25" s="37">
        <v>0.23339793025084099</v>
      </c>
      <c r="M25" s="36">
        <v>0.46644248929015614</v>
      </c>
      <c r="N25" s="37">
        <v>0.28691046381033891</v>
      </c>
      <c r="O25" s="36">
        <v>0.80748713015553153</v>
      </c>
      <c r="P25" s="49">
        <v>-18934.308909073297</v>
      </c>
      <c r="Q25" s="29"/>
    </row>
    <row r="26" spans="3:17" x14ac:dyDescent="0.25">
      <c r="C26" s="56"/>
      <c r="D26" s="64" t="s">
        <v>5</v>
      </c>
      <c r="E26" s="36">
        <v>0.43487527023504702</v>
      </c>
      <c r="F26" s="37">
        <v>0.26388472901512827</v>
      </c>
      <c r="G26" s="36">
        <v>0.63983992885726992</v>
      </c>
      <c r="H26" s="37">
        <v>0.38498778979559561</v>
      </c>
      <c r="I26" s="36">
        <v>0.85852148718589438</v>
      </c>
      <c r="J26" s="49">
        <v>-33177.361936059111</v>
      </c>
      <c r="K26" s="36">
        <v>0.43487527023504702</v>
      </c>
      <c r="L26" s="37">
        <v>0.26388472901512827</v>
      </c>
      <c r="M26" s="36">
        <v>0.61845111237178207</v>
      </c>
      <c r="N26" s="37">
        <v>0.38498778979559561</v>
      </c>
      <c r="O26" s="36">
        <v>0.79270724026618655</v>
      </c>
      <c r="P26" s="49">
        <v>-33177.361936059111</v>
      </c>
      <c r="Q26" s="29"/>
    </row>
    <row r="27" spans="3:17" x14ac:dyDescent="0.25">
      <c r="C27" s="56"/>
      <c r="D27" s="61" t="s">
        <v>9</v>
      </c>
      <c r="E27" s="41">
        <v>0.39598791933304134</v>
      </c>
      <c r="F27" s="42">
        <v>0.20557113844907493</v>
      </c>
      <c r="G27" s="41">
        <v>0.59295181288414001</v>
      </c>
      <c r="H27" s="42">
        <v>0.31135877216931823</v>
      </c>
      <c r="I27" s="41">
        <v>0.91381578676474506</v>
      </c>
      <c r="J27" s="43">
        <v>-552928.21828119573</v>
      </c>
      <c r="K27" s="41">
        <v>0.34872195540275586</v>
      </c>
      <c r="L27" s="42">
        <v>0.19506267050664539</v>
      </c>
      <c r="M27" s="41">
        <v>0.50854117074371641</v>
      </c>
      <c r="N27" s="42">
        <v>0.28760659091203433</v>
      </c>
      <c r="O27" s="41">
        <v>0.81371058113332673</v>
      </c>
      <c r="P27" s="43">
        <v>-552928.21828119573</v>
      </c>
      <c r="Q27" s="29"/>
    </row>
    <row r="28" spans="3:17" x14ac:dyDescent="0.25">
      <c r="C28" s="56"/>
      <c r="D28" s="27" t="s">
        <v>2</v>
      </c>
      <c r="E28" s="44">
        <v>0.35940647641655027</v>
      </c>
      <c r="F28" s="44">
        <v>0.20397081279794724</v>
      </c>
      <c r="G28" s="44">
        <v>0.51939431320021368</v>
      </c>
      <c r="H28" s="44">
        <v>0.29600120121001711</v>
      </c>
      <c r="I28" s="44">
        <v>0.89117307970904136</v>
      </c>
      <c r="J28" s="45">
        <v>-1498025.1751490394</v>
      </c>
      <c r="K28" s="44">
        <v>0.31303127087740951</v>
      </c>
      <c r="L28" s="44">
        <v>0.1885641143800206</v>
      </c>
      <c r="M28" s="44">
        <v>0.44557913043010267</v>
      </c>
      <c r="N28" s="44">
        <v>0.27058226538417318</v>
      </c>
      <c r="O28" s="44">
        <v>0.78665301433907575</v>
      </c>
      <c r="P28" s="45">
        <v>-1498025.1751490347</v>
      </c>
      <c r="Q28" s="50"/>
    </row>
    <row r="29" spans="3:17" ht="11" thickBot="1" x14ac:dyDescent="0.3"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8"/>
    </row>
    <row r="30" spans="3:17" ht="11" thickTop="1" x14ac:dyDescent="0.25"/>
  </sheetData>
  <mergeCells count="19">
    <mergeCell ref="D5:P5"/>
    <mergeCell ref="K7:P7"/>
    <mergeCell ref="K8:P8"/>
    <mergeCell ref="K9:L9"/>
    <mergeCell ref="M9:N9"/>
    <mergeCell ref="O9:P9"/>
    <mergeCell ref="E8:J8"/>
    <mergeCell ref="E9:F9"/>
    <mergeCell ref="G9:H9"/>
    <mergeCell ref="I9:J9"/>
    <mergeCell ref="K18:L18"/>
    <mergeCell ref="M18:N18"/>
    <mergeCell ref="O18:P18"/>
    <mergeCell ref="E7:J7"/>
    <mergeCell ref="K17:P17"/>
    <mergeCell ref="E17:J17"/>
    <mergeCell ref="E18:F18"/>
    <mergeCell ref="G18:H18"/>
    <mergeCell ref="I18:J18"/>
  </mergeCells>
  <conditionalFormatting sqref="E11:P14 E20:P27">
    <cfRule type="cellIs" dxfId="11" priority="1" operator="greaterThanOrEqual">
      <formula>0.6</formula>
    </cfRule>
    <cfRule type="cellIs" dxfId="10" priority="2" operator="lessThan">
      <formula>0.6</formula>
    </cfRule>
  </conditionalFormatting>
  <conditionalFormatting sqref="J11:J14 P11:P14 J20:J27 P20:P27">
    <cfRule type="cellIs" dxfId="9" priority="3" operator="lessThan">
      <formula>0</formula>
    </cfRule>
    <cfRule type="cellIs" dxfId="8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21"/>
  <sheetViews>
    <sheetView showGridLines="0" tabSelected="1" topLeftCell="B1" zoomScaleNormal="100" workbookViewId="0">
      <selection activeCell="C4" sqref="C4"/>
    </sheetView>
  </sheetViews>
  <sheetFormatPr defaultColWidth="9.375" defaultRowHeight="10.5" x14ac:dyDescent="0.25"/>
  <cols>
    <col min="1" max="1" width="9.375" style="2"/>
    <col min="2" max="2" width="3.125" style="2" customWidth="1"/>
    <col min="3" max="3" width="18.125" style="2" bestFit="1" customWidth="1"/>
    <col min="4" max="4" width="15" style="2" bestFit="1" customWidth="1"/>
    <col min="5" max="5" width="22.625" style="2" bestFit="1" customWidth="1"/>
    <col min="6" max="6" width="6" style="2" bestFit="1" customWidth="1"/>
    <col min="7" max="7" width="10.375" style="2" bestFit="1" customWidth="1"/>
    <col min="8" max="8" width="10.875" style="2" bestFit="1" customWidth="1"/>
    <col min="9" max="9" width="8.75" style="2" bestFit="1" customWidth="1"/>
    <col min="10" max="10" width="11.375" style="2" bestFit="1" customWidth="1"/>
    <col min="11" max="11" width="14" style="2" bestFit="1" customWidth="1"/>
    <col min="12" max="13" width="11.125" style="2" bestFit="1" customWidth="1"/>
    <col min="14" max="14" width="1" style="2" customWidth="1"/>
    <col min="15" max="16" width="11.75" style="2" bestFit="1" customWidth="1"/>
    <col min="17" max="17" width="1" style="2" customWidth="1"/>
    <col min="18" max="18" width="12.75" style="2" bestFit="1" customWidth="1"/>
    <col min="19" max="19" width="10.75" style="2" bestFit="1" customWidth="1"/>
    <col min="20" max="20" width="9.625" style="2" bestFit="1" customWidth="1"/>
    <col min="21" max="21" width="10.625" style="2" bestFit="1" customWidth="1"/>
    <col min="22" max="22" width="14.625" style="2" bestFit="1" customWidth="1"/>
    <col min="23" max="23" width="3.125" style="2" customWidth="1"/>
    <col min="24" max="16384" width="9.375" style="2"/>
  </cols>
  <sheetData>
    <row r="2" spans="2:23" ht="11" thickBot="1" x14ac:dyDescent="0.3">
      <c r="B2" s="1" t="s">
        <v>30</v>
      </c>
    </row>
    <row r="3" spans="2:23" ht="11.25" customHeight="1" thickTop="1" x14ac:dyDescent="0.25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spans="2:23" ht="30" customHeight="1" x14ac:dyDescent="0.25">
      <c r="B4" s="6"/>
      <c r="C4" s="7" t="s">
        <v>21</v>
      </c>
      <c r="D4" s="7" t="s">
        <v>10</v>
      </c>
      <c r="E4" s="7" t="s">
        <v>23</v>
      </c>
      <c r="F4" s="8" t="s">
        <v>22</v>
      </c>
      <c r="G4" s="8" t="s">
        <v>38</v>
      </c>
      <c r="H4" s="8" t="s">
        <v>41</v>
      </c>
      <c r="I4" s="9" t="s">
        <v>39</v>
      </c>
      <c r="J4" s="8" t="s">
        <v>20</v>
      </c>
      <c r="K4" s="8" t="s">
        <v>19</v>
      </c>
      <c r="L4" s="8" t="s">
        <v>34</v>
      </c>
      <c r="M4" s="8" t="s">
        <v>42</v>
      </c>
      <c r="N4" s="10"/>
      <c r="O4" s="8" t="s">
        <v>35</v>
      </c>
      <c r="P4" s="8" t="s">
        <v>43</v>
      </c>
      <c r="Q4" s="10"/>
      <c r="R4" s="8" t="s">
        <v>18</v>
      </c>
      <c r="S4" s="8" t="s">
        <v>14</v>
      </c>
      <c r="T4" s="8" t="s">
        <v>29</v>
      </c>
      <c r="U4" s="8" t="s">
        <v>24</v>
      </c>
      <c r="V4" s="8" t="s">
        <v>40</v>
      </c>
      <c r="W4" s="11"/>
    </row>
    <row r="5" spans="2:23" ht="11.25" customHeight="1" x14ac:dyDescent="0.25">
      <c r="B5" s="6"/>
      <c r="C5" s="12" t="s">
        <v>0</v>
      </c>
      <c r="D5" s="13" t="s">
        <v>3</v>
      </c>
      <c r="E5" s="14" t="s">
        <v>32</v>
      </c>
      <c r="F5" s="15">
        <v>32</v>
      </c>
      <c r="G5" s="22">
        <v>14067</v>
      </c>
      <c r="H5" s="22">
        <v>41079.565437224679</v>
      </c>
      <c r="I5" s="23">
        <v>0</v>
      </c>
      <c r="J5" s="23">
        <v>0</v>
      </c>
      <c r="K5" s="23">
        <v>0</v>
      </c>
      <c r="L5" s="16">
        <v>0</v>
      </c>
      <c r="M5" s="16">
        <v>0</v>
      </c>
      <c r="N5" s="10"/>
      <c r="O5" s="17">
        <v>0</v>
      </c>
      <c r="P5" s="17">
        <v>0</v>
      </c>
      <c r="Q5" s="10"/>
      <c r="R5" s="17">
        <v>0.37488225194429953</v>
      </c>
      <c r="S5" s="23">
        <v>25679.565437224679</v>
      </c>
      <c r="T5" s="24">
        <v>15400</v>
      </c>
      <c r="U5" s="24">
        <v>0</v>
      </c>
      <c r="V5" s="18"/>
      <c r="W5" s="11"/>
    </row>
    <row r="6" spans="2:23" ht="11.25" customHeight="1" x14ac:dyDescent="0.25">
      <c r="B6" s="6"/>
      <c r="C6" s="12" t="s">
        <v>0</v>
      </c>
      <c r="D6" s="13" t="s">
        <v>3</v>
      </c>
      <c r="E6" s="14" t="s">
        <v>31</v>
      </c>
      <c r="F6" s="15">
        <v>1</v>
      </c>
      <c r="G6" s="22">
        <v>155051</v>
      </c>
      <c r="H6" s="22">
        <v>218978.14593548569</v>
      </c>
      <c r="I6" s="23">
        <v>0</v>
      </c>
      <c r="J6" s="23">
        <v>0</v>
      </c>
      <c r="K6" s="23">
        <v>0</v>
      </c>
      <c r="L6" s="16">
        <v>0</v>
      </c>
      <c r="M6" s="16">
        <v>0</v>
      </c>
      <c r="N6" s="10"/>
      <c r="O6" s="17">
        <v>0</v>
      </c>
      <c r="P6" s="17">
        <v>0</v>
      </c>
      <c r="Q6" s="10"/>
      <c r="R6" s="17">
        <v>1</v>
      </c>
      <c r="S6" s="23">
        <v>-74685.854064514308</v>
      </c>
      <c r="T6" s="24">
        <v>293664</v>
      </c>
      <c r="U6" s="24">
        <v>0</v>
      </c>
      <c r="V6" s="18"/>
      <c r="W6" s="11"/>
    </row>
    <row r="7" spans="2:23" ht="11.25" customHeight="1" x14ac:dyDescent="0.25">
      <c r="B7" s="6"/>
      <c r="C7" s="12" t="s">
        <v>27</v>
      </c>
      <c r="D7" s="13" t="s">
        <v>6</v>
      </c>
      <c r="E7" s="14" t="s">
        <v>44</v>
      </c>
      <c r="F7" s="15">
        <v>10</v>
      </c>
      <c r="G7" s="22">
        <v>52771</v>
      </c>
      <c r="H7" s="22">
        <v>71853.815174981937</v>
      </c>
      <c r="I7" s="23">
        <v>6720</v>
      </c>
      <c r="J7" s="23">
        <v>8400</v>
      </c>
      <c r="K7" s="23">
        <v>15120</v>
      </c>
      <c r="L7" s="16">
        <v>0.12734266926910615</v>
      </c>
      <c r="M7" s="16">
        <v>9.3523217711336912E-2</v>
      </c>
      <c r="N7" s="10"/>
      <c r="O7" s="17">
        <v>0.28652100585548879</v>
      </c>
      <c r="P7" s="17">
        <v>0.21042723985050807</v>
      </c>
      <c r="Q7" s="10"/>
      <c r="R7" s="17">
        <v>0.93523217711336915</v>
      </c>
      <c r="S7" s="23">
        <v>4653.8151749819372</v>
      </c>
      <c r="T7" s="24">
        <v>60480</v>
      </c>
      <c r="U7" s="24">
        <v>0</v>
      </c>
      <c r="V7" s="18"/>
      <c r="W7" s="11"/>
    </row>
    <row r="8" spans="2:23" ht="11.25" customHeight="1" x14ac:dyDescent="0.25">
      <c r="B8" s="6"/>
      <c r="C8" s="12" t="s">
        <v>27</v>
      </c>
      <c r="D8" s="13" t="s">
        <v>6</v>
      </c>
      <c r="E8" s="14" t="s">
        <v>46</v>
      </c>
      <c r="F8" s="15">
        <v>39</v>
      </c>
      <c r="G8" s="22">
        <v>21255</v>
      </c>
      <c r="H8" s="22">
        <v>28660.652586976066</v>
      </c>
      <c r="I8" s="23">
        <v>2000</v>
      </c>
      <c r="J8" s="23">
        <v>4800</v>
      </c>
      <c r="K8" s="23">
        <v>6800</v>
      </c>
      <c r="L8" s="16">
        <v>9.4095506939543633E-2</v>
      </c>
      <c r="M8" s="16">
        <v>6.9782081686054737E-2</v>
      </c>
      <c r="N8" s="10"/>
      <c r="O8" s="17">
        <v>0.31992472359444835</v>
      </c>
      <c r="P8" s="17">
        <v>0.23725907773258612</v>
      </c>
      <c r="Q8" s="10"/>
      <c r="R8" s="17">
        <v>1</v>
      </c>
      <c r="S8" s="23">
        <v>-3339.3474130239338</v>
      </c>
      <c r="T8" s="24">
        <v>30000</v>
      </c>
      <c r="U8" s="24">
        <v>0</v>
      </c>
      <c r="V8" s="18"/>
      <c r="W8" s="11"/>
    </row>
    <row r="9" spans="2:23" ht="11.25" customHeight="1" x14ac:dyDescent="0.25">
      <c r="B9" s="6"/>
      <c r="C9" s="12" t="s">
        <v>27</v>
      </c>
      <c r="D9" s="13" t="s">
        <v>6</v>
      </c>
      <c r="E9" s="14" t="s">
        <v>33</v>
      </c>
      <c r="F9" s="15">
        <v>13</v>
      </c>
      <c r="G9" s="22">
        <v>23976</v>
      </c>
      <c r="H9" s="22">
        <v>36649.32727932249</v>
      </c>
      <c r="I9" s="23">
        <v>1200</v>
      </c>
      <c r="J9" s="23">
        <v>0</v>
      </c>
      <c r="K9" s="23">
        <v>1200</v>
      </c>
      <c r="L9" s="16">
        <v>5.0050050050050053E-2</v>
      </c>
      <c r="M9" s="16">
        <v>3.2742756527403945E-2</v>
      </c>
      <c r="N9" s="10"/>
      <c r="O9" s="17">
        <v>5.0050050050050053E-2</v>
      </c>
      <c r="P9" s="17">
        <v>3.2742756527403945E-2</v>
      </c>
      <c r="Q9" s="10"/>
      <c r="R9" s="17">
        <v>1</v>
      </c>
      <c r="S9" s="23">
        <v>-1510.6727206775104</v>
      </c>
      <c r="T9" s="24">
        <v>36960</v>
      </c>
      <c r="U9" s="24">
        <v>0</v>
      </c>
      <c r="V9" s="18"/>
      <c r="W9" s="11"/>
    </row>
    <row r="10" spans="2:23" ht="11.25" customHeight="1" x14ac:dyDescent="0.25">
      <c r="B10" s="6"/>
      <c r="C10" s="12" t="s">
        <v>11</v>
      </c>
      <c r="D10" s="13" t="s">
        <v>8</v>
      </c>
      <c r="E10" s="14" t="s">
        <v>47</v>
      </c>
      <c r="F10" s="15">
        <v>3</v>
      </c>
      <c r="G10" s="22">
        <v>12759</v>
      </c>
      <c r="H10" s="22">
        <v>26915.301227842272</v>
      </c>
      <c r="I10" s="23">
        <v>0</v>
      </c>
      <c r="J10" s="23">
        <v>4800</v>
      </c>
      <c r="K10" s="23">
        <v>4800</v>
      </c>
      <c r="L10" s="16">
        <v>0</v>
      </c>
      <c r="M10" s="16">
        <v>0</v>
      </c>
      <c r="N10" s="10"/>
      <c r="O10" s="17">
        <v>0.37620503174229958</v>
      </c>
      <c r="P10" s="17">
        <v>0.17833722013241624</v>
      </c>
      <c r="Q10" s="10"/>
      <c r="R10" s="17">
        <v>1</v>
      </c>
      <c r="S10" s="23">
        <v>-10260.698772157728</v>
      </c>
      <c r="T10" s="24">
        <v>37176</v>
      </c>
      <c r="U10" s="24">
        <v>0</v>
      </c>
      <c r="V10" s="18"/>
      <c r="W10" s="11"/>
    </row>
    <row r="11" spans="2:23" ht="11.25" customHeight="1" x14ac:dyDescent="0.25">
      <c r="B11" s="6"/>
      <c r="C11" s="12" t="s">
        <v>11</v>
      </c>
      <c r="D11" s="13" t="s">
        <v>28</v>
      </c>
      <c r="E11" s="14" t="s">
        <v>48</v>
      </c>
      <c r="F11" s="15">
        <v>26</v>
      </c>
      <c r="G11" s="22">
        <v>29369</v>
      </c>
      <c r="H11" s="22">
        <v>43593.182800043389</v>
      </c>
      <c r="I11" s="23">
        <v>0</v>
      </c>
      <c r="J11" s="23">
        <v>9600</v>
      </c>
      <c r="K11" s="23">
        <v>9600</v>
      </c>
      <c r="L11" s="16">
        <v>0</v>
      </c>
      <c r="M11" s="16">
        <v>0</v>
      </c>
      <c r="N11" s="10"/>
      <c r="O11" s="17">
        <v>0.32687527665225236</v>
      </c>
      <c r="P11" s="17">
        <v>0.22021791902724858</v>
      </c>
      <c r="Q11" s="10"/>
      <c r="R11" s="17">
        <v>1</v>
      </c>
      <c r="S11" s="23">
        <v>-9206.8171999566111</v>
      </c>
      <c r="T11" s="24">
        <v>52800</v>
      </c>
      <c r="U11" s="24">
        <v>0</v>
      </c>
      <c r="V11" s="18"/>
      <c r="W11" s="11"/>
    </row>
    <row r="12" spans="2:23" ht="11.25" customHeight="1" x14ac:dyDescent="0.25">
      <c r="B12" s="6"/>
      <c r="C12" s="12" t="s">
        <v>11</v>
      </c>
      <c r="D12" s="13" t="s">
        <v>28</v>
      </c>
      <c r="E12" s="14" t="s">
        <v>49</v>
      </c>
      <c r="F12" s="15">
        <v>48</v>
      </c>
      <c r="G12" s="22">
        <v>14343</v>
      </c>
      <c r="H12" s="22">
        <v>33069.517587662376</v>
      </c>
      <c r="I12" s="23">
        <v>0</v>
      </c>
      <c r="J12" s="23">
        <v>4320</v>
      </c>
      <c r="K12" s="23">
        <v>4320</v>
      </c>
      <c r="L12" s="16">
        <v>0</v>
      </c>
      <c r="M12" s="16">
        <v>0</v>
      </c>
      <c r="N12" s="10"/>
      <c r="O12" s="17">
        <v>0.30119221920100397</v>
      </c>
      <c r="P12" s="17">
        <v>0.13063389837932537</v>
      </c>
      <c r="Q12" s="10"/>
      <c r="R12" s="17">
        <v>1</v>
      </c>
      <c r="S12" s="23">
        <v>-2882.4824123376238</v>
      </c>
      <c r="T12" s="24">
        <v>35952</v>
      </c>
      <c r="U12" s="24">
        <v>0</v>
      </c>
      <c r="V12" s="18"/>
      <c r="W12" s="11"/>
    </row>
    <row r="13" spans="2:23" ht="11.25" customHeight="1" x14ac:dyDescent="0.25">
      <c r="B13" s="6"/>
      <c r="C13" s="12" t="s">
        <v>11</v>
      </c>
      <c r="D13" s="13" t="s">
        <v>28</v>
      </c>
      <c r="E13" s="14" t="s">
        <v>50</v>
      </c>
      <c r="F13" s="15">
        <v>34</v>
      </c>
      <c r="G13" s="22">
        <v>19895</v>
      </c>
      <c r="H13" s="22">
        <v>32777.41672791609</v>
      </c>
      <c r="I13" s="23">
        <v>0</v>
      </c>
      <c r="J13" s="23">
        <v>0</v>
      </c>
      <c r="K13" s="23">
        <v>0</v>
      </c>
      <c r="L13" s="16">
        <v>0</v>
      </c>
      <c r="M13" s="16">
        <v>0</v>
      </c>
      <c r="N13" s="10"/>
      <c r="O13" s="17">
        <v>0</v>
      </c>
      <c r="P13" s="17">
        <v>0</v>
      </c>
      <c r="Q13" s="10"/>
      <c r="R13" s="17">
        <v>1</v>
      </c>
      <c r="S13" s="23">
        <v>-19302.58327208391</v>
      </c>
      <c r="T13" s="24">
        <v>52080</v>
      </c>
      <c r="U13" s="24">
        <v>0</v>
      </c>
      <c r="V13" s="18"/>
      <c r="W13" s="11"/>
    </row>
    <row r="14" spans="2:23" ht="11.25" customHeight="1" x14ac:dyDescent="0.25">
      <c r="B14" s="6"/>
      <c r="C14" s="12" t="s">
        <v>11</v>
      </c>
      <c r="D14" s="13" t="s">
        <v>28</v>
      </c>
      <c r="E14" s="14" t="s">
        <v>51</v>
      </c>
      <c r="F14" s="15">
        <v>38</v>
      </c>
      <c r="G14" s="22">
        <v>13884</v>
      </c>
      <c r="H14" s="22">
        <v>26180.673299976392</v>
      </c>
      <c r="I14" s="23">
        <v>4800</v>
      </c>
      <c r="J14" s="23">
        <v>0</v>
      </c>
      <c r="K14" s="23">
        <v>4800</v>
      </c>
      <c r="L14" s="16">
        <v>0.34572169403630076</v>
      </c>
      <c r="M14" s="16">
        <v>0.1833413505069913</v>
      </c>
      <c r="N14" s="10"/>
      <c r="O14" s="17">
        <v>0.34572169403630076</v>
      </c>
      <c r="P14" s="17">
        <v>0.1833413505069913</v>
      </c>
      <c r="Q14" s="10"/>
      <c r="R14" s="17">
        <v>0.97170915768705379</v>
      </c>
      <c r="S14" s="23">
        <v>740.67329997639172</v>
      </c>
      <c r="T14" s="24">
        <v>20640</v>
      </c>
      <c r="U14" s="24">
        <v>0</v>
      </c>
      <c r="V14" s="18"/>
      <c r="W14" s="11"/>
    </row>
    <row r="15" spans="2:23" ht="11.25" customHeight="1" x14ac:dyDescent="0.25">
      <c r="B15" s="6"/>
      <c r="C15" s="12" t="s">
        <v>11</v>
      </c>
      <c r="D15" s="13" t="s">
        <v>4</v>
      </c>
      <c r="E15" s="14" t="s">
        <v>52</v>
      </c>
      <c r="F15" s="15">
        <v>14</v>
      </c>
      <c r="G15" s="22">
        <v>48355</v>
      </c>
      <c r="H15" s="22">
        <v>93846.640060946898</v>
      </c>
      <c r="I15" s="23">
        <v>10692</v>
      </c>
      <c r="J15" s="23">
        <v>6000</v>
      </c>
      <c r="K15" s="23">
        <v>16692</v>
      </c>
      <c r="L15" s="16">
        <v>0.22111467273291283</v>
      </c>
      <c r="M15" s="16">
        <v>0.11393055726935228</v>
      </c>
      <c r="N15" s="10"/>
      <c r="O15" s="17">
        <v>0.34519698066384036</v>
      </c>
      <c r="P15" s="17">
        <v>0.17786465225776546</v>
      </c>
      <c r="Q15" s="10"/>
      <c r="R15" s="17">
        <v>0.9872702948110762</v>
      </c>
      <c r="S15" s="23">
        <v>1194.6400609468983</v>
      </c>
      <c r="T15" s="24">
        <v>81960</v>
      </c>
      <c r="U15" s="24">
        <v>0</v>
      </c>
      <c r="V15" s="18"/>
      <c r="W15" s="11"/>
    </row>
    <row r="16" spans="2:23" ht="11.25" customHeight="1" x14ac:dyDescent="0.25">
      <c r="B16" s="6"/>
      <c r="C16" s="12" t="s">
        <v>1</v>
      </c>
      <c r="D16" s="13" t="s">
        <v>9</v>
      </c>
      <c r="E16" s="14" t="s">
        <v>53</v>
      </c>
      <c r="F16" s="15">
        <v>15</v>
      </c>
      <c r="G16" s="22">
        <v>56737</v>
      </c>
      <c r="H16" s="22">
        <v>112369.6457218524</v>
      </c>
      <c r="I16" s="23">
        <v>13243</v>
      </c>
      <c r="J16" s="23">
        <v>0</v>
      </c>
      <c r="K16" s="23">
        <v>13243</v>
      </c>
      <c r="L16" s="16">
        <v>0.23341029663182755</v>
      </c>
      <c r="M16" s="16">
        <v>0.11785211135025095</v>
      </c>
      <c r="N16" s="10"/>
      <c r="O16" s="17">
        <v>0.23341029663182755</v>
      </c>
      <c r="P16" s="17">
        <v>0.11785211135025095</v>
      </c>
      <c r="Q16" s="10"/>
      <c r="R16" s="17">
        <v>0.90148010478509943</v>
      </c>
      <c r="S16" s="23">
        <v>11070.645721852401</v>
      </c>
      <c r="T16" s="24">
        <v>88056</v>
      </c>
      <c r="U16" s="24">
        <v>0</v>
      </c>
      <c r="V16" s="18"/>
      <c r="W16" s="11"/>
    </row>
    <row r="17" spans="2:23" ht="11.25" customHeight="1" x14ac:dyDescent="0.25">
      <c r="B17" s="6"/>
      <c r="C17" s="12" t="s">
        <v>1</v>
      </c>
      <c r="D17" s="13" t="s">
        <v>9</v>
      </c>
      <c r="E17" s="14" t="s">
        <v>54</v>
      </c>
      <c r="F17" s="15">
        <v>42</v>
      </c>
      <c r="G17" s="22">
        <v>17432</v>
      </c>
      <c r="H17" s="22">
        <v>35295.66572007291</v>
      </c>
      <c r="I17" s="23">
        <v>7188</v>
      </c>
      <c r="J17" s="23">
        <v>0</v>
      </c>
      <c r="K17" s="23">
        <v>7188</v>
      </c>
      <c r="L17" s="16">
        <v>0.41234511243689764</v>
      </c>
      <c r="M17" s="16">
        <v>0.20365106744288239</v>
      </c>
      <c r="N17" s="10"/>
      <c r="O17" s="17">
        <v>0.41234511243689764</v>
      </c>
      <c r="P17" s="17">
        <v>0.20365106744288239</v>
      </c>
      <c r="Q17" s="10"/>
      <c r="R17" s="17">
        <v>0.81188438907112381</v>
      </c>
      <c r="S17" s="23">
        <v>6639.6657200729096</v>
      </c>
      <c r="T17" s="24">
        <v>21468</v>
      </c>
      <c r="U17" s="24">
        <v>0</v>
      </c>
      <c r="V17" s="18"/>
      <c r="W17" s="11"/>
    </row>
    <row r="18" spans="2:23" ht="11.25" customHeight="1" x14ac:dyDescent="0.25">
      <c r="B18" s="6"/>
      <c r="C18" s="12" t="s">
        <v>1</v>
      </c>
      <c r="D18" s="13" t="s">
        <v>9</v>
      </c>
      <c r="E18" s="14" t="s">
        <v>55</v>
      </c>
      <c r="F18" s="15">
        <v>24</v>
      </c>
      <c r="G18" s="22">
        <v>14843</v>
      </c>
      <c r="H18" s="22">
        <v>18264.470861812257</v>
      </c>
      <c r="I18" s="23">
        <v>2400</v>
      </c>
      <c r="J18" s="23">
        <v>1200</v>
      </c>
      <c r="K18" s="23">
        <v>3600</v>
      </c>
      <c r="L18" s="16">
        <v>0.16169238024658089</v>
      </c>
      <c r="M18" s="16">
        <v>0.13140265700321879</v>
      </c>
      <c r="N18" s="10"/>
      <c r="O18" s="17">
        <v>0.24253857036987131</v>
      </c>
      <c r="P18" s="17">
        <v>0.19710398550482819</v>
      </c>
      <c r="Q18" s="10"/>
      <c r="R18" s="17">
        <v>0.77264762317892655</v>
      </c>
      <c r="S18" s="23">
        <v>4152.4708618122568</v>
      </c>
      <c r="T18" s="24">
        <v>11712</v>
      </c>
      <c r="U18" s="24">
        <v>0</v>
      </c>
      <c r="V18" s="18"/>
      <c r="W18" s="11"/>
    </row>
    <row r="19" spans="2:23" ht="11.25" customHeight="1" x14ac:dyDescent="0.25">
      <c r="B19" s="6"/>
      <c r="C19" s="12" t="s">
        <v>1</v>
      </c>
      <c r="D19" s="13" t="s">
        <v>9</v>
      </c>
      <c r="E19" s="14" t="s">
        <v>56</v>
      </c>
      <c r="F19" s="15">
        <v>12</v>
      </c>
      <c r="G19" s="22">
        <v>12157</v>
      </c>
      <c r="H19" s="22">
        <v>17678.188871671573</v>
      </c>
      <c r="I19" s="23">
        <v>0</v>
      </c>
      <c r="J19" s="23">
        <v>0</v>
      </c>
      <c r="K19" s="23">
        <v>0</v>
      </c>
      <c r="L19" s="16">
        <v>0</v>
      </c>
      <c r="M19" s="16">
        <v>0</v>
      </c>
      <c r="N19" s="10"/>
      <c r="O19" s="17">
        <v>0</v>
      </c>
      <c r="P19" s="17">
        <v>0</v>
      </c>
      <c r="Q19" s="10"/>
      <c r="R19" s="17">
        <v>0.9672936591033886</v>
      </c>
      <c r="S19" s="23">
        <v>578.188871671573</v>
      </c>
      <c r="T19" s="24">
        <v>17100</v>
      </c>
      <c r="U19" s="24">
        <v>0</v>
      </c>
      <c r="V19" s="18"/>
      <c r="W19" s="11"/>
    </row>
    <row r="20" spans="2:23" ht="11.25" customHeight="1" thickBot="1" x14ac:dyDescent="0.3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1"/>
    </row>
    <row r="21" spans="2:23" ht="11" thickTop="1" x14ac:dyDescent="0.25"/>
  </sheetData>
  <conditionalFormatting sqref="G5:H19">
    <cfRule type="cellIs" dxfId="7" priority="12" operator="lessThan">
      <formula>0</formula>
    </cfRule>
  </conditionalFormatting>
  <conditionalFormatting sqref="L5:M19 O5:P19 R5:R19">
    <cfRule type="cellIs" dxfId="6" priority="4" operator="greaterThan">
      <formula>1</formula>
    </cfRule>
    <cfRule type="cellIs" dxfId="5" priority="5" operator="between">
      <formula>0.8</formula>
      <formula>1</formula>
    </cfRule>
    <cfRule type="cellIs" dxfId="4" priority="6" operator="lessThanOrEqual">
      <formula>0.79</formula>
    </cfRule>
  </conditionalFormatting>
  <conditionalFormatting sqref="S5:S19">
    <cfRule type="cellIs" dxfId="3" priority="7" operator="lessThan">
      <formula>0</formula>
    </cfRule>
    <cfRule type="cellIs" dxfId="2" priority="8" operator="greaterThan">
      <formula>0</formula>
    </cfRule>
  </conditionalFormatting>
  <conditionalFormatting sqref="V5:V19">
    <cfRule type="containsText" dxfId="1" priority="1" operator="containsText" text="ASN HOLD">
      <formula>NOT(ISERROR(SEARCH("ASN HOLD",V5)))</formula>
    </cfRule>
    <cfRule type="containsText" dxfId="0" priority="2" operator="containsText" text="ASN TILL 60% VISIBILITY">
      <formula>NOT(ISERROR(SEARCH("ASN TILL 60% VISIBILITY",V5)))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</vt:lpstr>
      <vt:lpstr>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Gupta</dc:creator>
  <cp:lastModifiedBy>Dheeraj Anuragi</cp:lastModifiedBy>
  <dcterms:created xsi:type="dcterms:W3CDTF">2022-02-22T13:17:15Z</dcterms:created>
  <dcterms:modified xsi:type="dcterms:W3CDTF">2026-10-13T09:09:25Z</dcterms:modified>
</cp:coreProperties>
</file>