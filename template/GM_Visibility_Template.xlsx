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8" autoFilterDateGrouping="1"/>
  </bookViews>
  <sheets>
    <sheet xmlns:r="http://schemas.openxmlformats.org/officeDocument/2006/relationships" name="REGULAR_DEPT" sheetId="1" state="visible" r:id="rId1"/>
    <sheet xmlns:r="http://schemas.openxmlformats.org/officeDocument/2006/relationships" name="REGULAR_ART" sheetId="2" state="visible" r:id="rId2"/>
    <sheet xmlns:r="http://schemas.openxmlformats.org/officeDocument/2006/relationships" name="WINTER_DEPT" sheetId="3" state="visible" r:id="rId3"/>
    <sheet xmlns:r="http://schemas.openxmlformats.org/officeDocument/2006/relationships" name="WINTER_ART" sheetId="4" state="visible" r:id="rId4"/>
    <sheet xmlns:r="http://schemas.openxmlformats.org/officeDocument/2006/relationships" name="GRC_DATA" sheetId="5" state="hidden" r:id="rId5"/>
    <sheet xmlns:r="http://schemas.openxmlformats.org/officeDocument/2006/relationships" name="PPO_DATA" sheetId="6" state="hidden" r:id="rId6"/>
    <sheet xmlns:r="http://schemas.openxmlformats.org/officeDocument/2006/relationships" name="GM_TNA" sheetId="7" state="hidden" r:id="rId7"/>
    <sheet xmlns:r="http://schemas.openxmlformats.org/officeDocument/2006/relationships" name="MNL_PPO" sheetId="8" state="hidden" r:id="rId8"/>
    <sheet xmlns:r="http://schemas.openxmlformats.org/officeDocument/2006/relationships" name="FORMATTING_AUDIT" sheetId="9" state="visible" r:id="rId9"/>
  </sheets>
  <definedNames>
    <definedName name="_xlnm._FilterDatabase" localSheetId="0" hidden="1">'REGULAR_DEPT'!$A$4:$AS$192</definedName>
    <definedName name="_xlnm._FilterDatabase" localSheetId="1" hidden="1">'REGULAR_ART'!$A$4:$AT$409</definedName>
    <definedName name="_xlnm._FilterDatabase" localSheetId="2" hidden="1">'WINTER_DEPT'!$A$4:$AA$30</definedName>
    <definedName name="_xlnm._FilterDatabase" localSheetId="3" hidden="1">'WINTER_ART'!$A$4:$AB$81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_ * #,##0_ ;_ * \-#,##0_ ;_ * \-??_ ;_ @_ "/>
    <numFmt numFmtId="165" formatCode="_ * #,##0.000_ ;_ * \-#,##0.000_ ;_ * \-??_ ;_ @_ "/>
    <numFmt numFmtId="166" formatCode="d\-mmm\-yy"/>
    <numFmt numFmtId="167" formatCode="mmm\-yy"/>
    <numFmt numFmtId="168" formatCode="_ * #,##0.00_ ;_ * \-#,##0.00_ ;_ * \-??_ ;_ @_ "/>
    <numFmt numFmtId="169" formatCode="_(* #,##0.00_);_(* \(#,##0.00\);_(* \-??_);_(@_)"/>
  </numFmts>
  <fonts count="16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theme="1"/>
      <sz val="8"/>
    </font>
    <font>
      <name val="Aptos"/>
      <family val="2"/>
      <color theme="1"/>
      <sz val="8"/>
    </font>
    <font>
      <name val="Aptos"/>
      <family val="2"/>
      <b val="1"/>
      <color theme="1"/>
      <sz val="8"/>
    </font>
    <font>
      <name val="Aptos"/>
      <family val="2"/>
      <sz val="8"/>
    </font>
    <font>
      <name val="Aptos"/>
      <family val="2"/>
      <b val="1"/>
      <color theme="0"/>
      <sz val="8"/>
    </font>
    <font>
      <name val="Aptos"/>
      <family val="2"/>
      <b val="1"/>
      <color rgb="FFFFFF00"/>
      <sz val="8"/>
    </font>
    <font>
      <name val="Cambria"/>
      <family val="1"/>
      <color theme="1"/>
      <sz val="8"/>
    </font>
    <font>
      <name val="Cambria"/>
      <family val="1"/>
      <b val="1"/>
      <color theme="0"/>
      <sz val="8"/>
    </font>
    <font>
      <name val="Aptos Narrow"/>
      <family val="2"/>
      <color theme="1"/>
      <sz val="8"/>
    </font>
    <font>
      <name val="Aptos Narrow"/>
      <family val="2"/>
      <b val="1"/>
      <color rgb="FFFFFFFF"/>
      <sz val="8"/>
    </font>
    <font>
      <name val="Aptos Narrow"/>
      <family val="2"/>
      <i val="1"/>
      <color rgb="FF333333"/>
      <sz val="8"/>
    </font>
    <font>
      <name val="Aptos Narrow"/>
      <family val="2"/>
      <color rgb="FFFFFFFF"/>
      <sz val="8"/>
    </font>
  </fonts>
  <fills count="18">
    <fill>
      <patternFill/>
    </fill>
    <fill>
      <patternFill patternType="gray125"/>
    </fill>
    <fill>
      <patternFill patternType="solid">
        <fgColor theme="4" tint="0.3999"/>
        <bgColor rgb="FFB4C7E7"/>
      </patternFill>
    </fill>
    <fill>
      <patternFill patternType="solid">
        <fgColor theme="6" tint="0.3999"/>
        <bgColor rgb="FFB4C7E7"/>
      </patternFill>
    </fill>
    <fill>
      <patternFill patternType="solid">
        <fgColor theme="4" tint="0.5999"/>
        <bgColor rgb="FFC9C9C9"/>
      </patternFill>
    </fill>
    <fill>
      <patternFill patternType="solid">
        <fgColor theme="7" tint="0.3999"/>
        <bgColor rgb="FFFFE699"/>
      </patternFill>
    </fill>
    <fill>
      <patternFill patternType="solid">
        <fgColor theme="5" tint="0.5999"/>
        <bgColor rgb="FFFFC7CE"/>
      </patternFill>
    </fill>
    <fill>
      <patternFill patternType="solid">
        <fgColor theme="7" tint="0.5999"/>
        <bgColor rgb="FFFFEB9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5"/>
        <bgColor rgb="FFEF863F"/>
      </patternFill>
    </fill>
    <fill>
      <patternFill patternType="solid">
        <fgColor theme="8" tint="-0.25"/>
        <bgColor rgb="FF4472C4"/>
      </patternFill>
    </fill>
    <fill>
      <patternFill patternType="solid">
        <fgColor theme="7" tint="-0.25"/>
        <bgColor rgb="FFED7D31"/>
      </patternFill>
    </fill>
    <fill>
      <patternFill patternType="solid">
        <fgColor theme="7"/>
        <bgColor rgb="FFFFD966"/>
      </patternFill>
    </fill>
    <fill>
      <patternFill patternType="solid">
        <fgColor theme="9"/>
        <bgColor rgb="FF339966"/>
      </patternFill>
    </fill>
    <fill>
      <patternFill patternType="solid">
        <fgColor rgb="FF1D2330"/>
        <bgColor rgb="FF333333"/>
      </patternFill>
    </fill>
    <fill>
      <patternFill patternType="solid">
        <fgColor rgb="FFE2E3E5"/>
        <bgColor rgb="FFE7E6E6"/>
      </patternFill>
    </fill>
    <fill>
      <patternFill patternType="solid">
        <fgColor rgb="FFF2F2F2"/>
        <bgColor rgb="FFEDEDED"/>
      </patternFill>
    </fill>
    <fill>
      <patternFill patternType="solid">
        <fgColor rgb="FF4472C4"/>
        <bgColor rgb="FF2E75B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3">
    <xf numFmtId="0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9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48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general" vertical="center"/>
    </xf>
    <xf numFmtId="0" fontId="6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164" fontId="6" fillId="4" borderId="1" applyAlignment="1" pivotButton="0" quotePrefix="0" xfId="15">
      <alignment horizontal="general" vertical="center"/>
    </xf>
    <xf numFmtId="9" fontId="6" fillId="4" borderId="1" applyAlignment="1" pivotButton="0" quotePrefix="0" xfId="19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general" vertical="center"/>
    </xf>
    <xf numFmtId="0" fontId="6" fillId="6" borderId="3" applyAlignment="1" pivotButton="0" quotePrefix="0" xfId="0">
      <alignment horizontal="general" vertical="center"/>
    </xf>
    <xf numFmtId="0" fontId="6" fillId="6" borderId="4" applyAlignment="1" pivotButton="0" quotePrefix="0" xfId="0">
      <alignment horizontal="general" vertical="center"/>
    </xf>
    <xf numFmtId="0" fontId="6" fillId="6" borderId="1" applyAlignment="1" pivotButton="0" quotePrefix="0" xfId="0">
      <alignment horizontal="center" vertical="center" wrapText="1"/>
    </xf>
    <xf numFmtId="9" fontId="6" fillId="6" borderId="1" applyAlignment="1" pivotButton="0" quotePrefix="0" xfId="19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center"/>
    </xf>
    <xf numFmtId="0" fontId="5" fillId="6" borderId="1" applyAlignment="1" pivotButton="0" quotePrefix="0" xfId="0">
      <alignment horizontal="general" vertical="center"/>
    </xf>
    <xf numFmtId="0" fontId="5" fillId="6" borderId="3" applyAlignment="1" pivotButton="0" quotePrefix="0" xfId="0">
      <alignment horizontal="general" vertical="center"/>
    </xf>
    <xf numFmtId="0" fontId="5" fillId="6" borderId="4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/>
    </xf>
    <xf numFmtId="164" fontId="5" fillId="0" borderId="1" applyAlignment="1" pivotButton="0" quotePrefix="0" xfId="15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9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general" vertical="center"/>
    </xf>
    <xf numFmtId="9" fontId="5" fillId="0" borderId="1" applyAlignment="1" pivotButton="0" quotePrefix="0" xfId="19">
      <alignment horizontal="center" vertical="center"/>
    </xf>
    <xf numFmtId="0" fontId="5" fillId="0" borderId="1" applyAlignment="1" pivotButton="0" quotePrefix="0" xfId="15">
      <alignment horizontal="general" vertical="center"/>
    </xf>
    <xf numFmtId="164" fontId="5" fillId="0" borderId="1" applyAlignment="1" applyProtection="1" pivotButton="0" quotePrefix="0" xfId="15">
      <alignment horizontal="general" vertical="center"/>
      <protection locked="0" hidden="0"/>
    </xf>
    <xf numFmtId="0" fontId="7" fillId="0" borderId="3" applyAlignment="1" pivotButton="0" quotePrefix="0" xfId="0">
      <alignment horizontal="general" vertical="center"/>
    </xf>
    <xf numFmtId="0" fontId="7" fillId="0" borderId="4" applyAlignment="1" pivotButton="0" quotePrefix="0" xfId="0">
      <alignment horizontal="general" vertical="center"/>
    </xf>
    <xf numFmtId="165" fontId="5" fillId="0" borderId="1" applyAlignment="1" pivotButton="0" quotePrefix="0" xfId="15">
      <alignment horizontal="general" vertical="center"/>
    </xf>
    <xf numFmtId="164" fontId="6" fillId="6" borderId="1" applyAlignment="1" pivotButton="0" quotePrefix="0" xfId="15">
      <alignment horizontal="general" vertical="center"/>
    </xf>
    <xf numFmtId="9" fontId="6" fillId="6" borderId="1" applyAlignment="1" pivotButton="0" quotePrefix="0" xfId="19">
      <alignment horizontal="center" vertical="center"/>
    </xf>
    <xf numFmtId="0" fontId="6" fillId="6" borderId="1" applyAlignment="1" pivotButton="0" quotePrefix="0" xfId="15">
      <alignment horizontal="general" vertical="center"/>
    </xf>
    <xf numFmtId="164" fontId="6" fillId="4" borderId="1" applyAlignment="1" pivotButton="0" quotePrefix="0" xfId="15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6" fillId="6" borderId="1" applyAlignment="1" pivotButton="0" quotePrefix="0" xfId="15">
      <alignment horizontal="center" vertical="center"/>
    </xf>
    <xf numFmtId="0" fontId="6" fillId="6" borderId="1" applyAlignment="1" pivotButton="0" quotePrefix="0" xfId="15">
      <alignment horizontal="center" vertical="center"/>
    </xf>
    <xf numFmtId="164" fontId="6" fillId="0" borderId="1" applyAlignment="1" pivotButton="0" quotePrefix="0" xfId="15">
      <alignment horizontal="general" vertical="center"/>
    </xf>
    <xf numFmtId="166" fontId="5" fillId="0" borderId="0" applyAlignment="1" pivotButton="0" quotePrefix="0" xfId="0">
      <alignment horizontal="general" vertical="center"/>
    </xf>
    <xf numFmtId="0" fontId="8" fillId="9" borderId="0" applyAlignment="1" pivotButton="0" quotePrefix="0" xfId="0">
      <alignment horizontal="general" vertical="center"/>
    </xf>
    <xf numFmtId="166" fontId="8" fillId="9" borderId="0" applyAlignment="1" pivotButton="0" quotePrefix="0" xfId="0">
      <alignment horizontal="general" vertical="center"/>
    </xf>
    <xf numFmtId="167" fontId="5" fillId="0" borderId="6" applyAlignment="1" pivotButton="0" quotePrefix="0" xfId="0">
      <alignment horizontal="center" vertical="center"/>
    </xf>
    <xf numFmtId="167" fontId="5" fillId="0" borderId="6" applyAlignment="1" pivotButton="0" quotePrefix="0" xfId="0">
      <alignment horizontal="general" vertical="center"/>
    </xf>
    <xf numFmtId="0" fontId="9" fillId="10" borderId="0" applyAlignment="1" pivotButton="0" quotePrefix="0" xfId="0">
      <alignment horizontal="general" vertical="center"/>
    </xf>
    <xf numFmtId="0" fontId="9" fillId="11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167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15">
      <alignment horizontal="general" vertical="center"/>
    </xf>
    <xf numFmtId="166" fontId="5" fillId="0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general" vertical="center"/>
    </xf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general" vertical="center"/>
    </xf>
    <xf numFmtId="168" fontId="5" fillId="0" borderId="0" applyAlignment="1" pivotButton="0" quotePrefix="0" xfId="15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15">
      <alignment horizontal="general" vertical="center"/>
    </xf>
    <xf numFmtId="0" fontId="11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center" vertical="center"/>
    </xf>
    <xf numFmtId="168" fontId="10" fillId="0" borderId="0" applyAlignment="1" pivotButton="0" quotePrefix="0" xfId="15">
      <alignment horizontal="center" vertical="center"/>
    </xf>
    <xf numFmtId="168" fontId="10" fillId="0" borderId="0" applyAlignment="1" pivotButton="0" quotePrefix="0" xfId="15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3" fillId="14" borderId="0" applyAlignment="1" pivotButton="0" quotePrefix="0" xfId="0">
      <alignment horizontal="general" vertical="center"/>
    </xf>
    <xf numFmtId="0" fontId="14" fillId="15" borderId="0" applyAlignment="1" pivotButton="0" quotePrefix="0" xfId="0">
      <alignment horizontal="general" vertical="center" wrapText="1"/>
    </xf>
    <xf numFmtId="0" fontId="14" fillId="16" borderId="0" applyAlignment="1" pivotButton="0" quotePrefix="0" xfId="0">
      <alignment horizontal="general" vertical="center" wrapText="1"/>
    </xf>
    <xf numFmtId="0" fontId="15" fillId="17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9" fontId="12" fillId="0" borderId="0" applyAlignment="1" pivotButton="0" quotePrefix="0" xfId="0">
      <alignment horizontal="general" vertical="center" wrapText="1"/>
    </xf>
    <xf numFmtId="20" fontId="12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0" fillId="0" borderId="0" pivotButton="0" quotePrefix="0" xfId="0"/>
    <xf numFmtId="0" fontId="6" fillId="3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general" vertical="center"/>
    </xf>
    <xf numFmtId="0" fontId="6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6" fillId="0" borderId="0" applyAlignment="1" pivotButton="0" quotePrefix="0" xfId="0">
      <alignment horizontal="general" vertical="center"/>
    </xf>
    <xf numFmtId="164" fontId="6" fillId="4" borderId="1" applyAlignment="1" pivotButton="0" quotePrefix="0" xfId="15">
      <alignment horizontal="general" vertical="center"/>
    </xf>
    <xf numFmtId="9" fontId="6" fillId="4" borderId="1" applyAlignment="1" pivotButton="0" quotePrefix="0" xfId="19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general" vertical="center"/>
    </xf>
    <xf numFmtId="0" fontId="6" fillId="6" borderId="3" applyAlignment="1" pivotButton="0" quotePrefix="0" xfId="0">
      <alignment horizontal="general" vertical="center"/>
    </xf>
    <xf numFmtId="0" fontId="6" fillId="6" borderId="4" applyAlignment="1" pivotButton="0" quotePrefix="0" xfId="0">
      <alignment horizontal="general" vertical="center"/>
    </xf>
    <xf numFmtId="0" fontId="6" fillId="6" borderId="1" applyAlignment="1" pivotButton="0" quotePrefix="0" xfId="0">
      <alignment horizontal="center" vertical="center" wrapText="1"/>
    </xf>
    <xf numFmtId="9" fontId="6" fillId="6" borderId="1" applyAlignment="1" pivotButton="0" quotePrefix="0" xfId="19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center"/>
    </xf>
    <xf numFmtId="0" fontId="5" fillId="6" borderId="1" applyAlignment="1" pivotButton="0" quotePrefix="0" xfId="0">
      <alignment horizontal="general" vertical="center"/>
    </xf>
    <xf numFmtId="0" fontId="5" fillId="6" borderId="3" applyAlignment="1" pivotButton="0" quotePrefix="0" xfId="0">
      <alignment horizontal="general" vertical="center"/>
    </xf>
    <xf numFmtId="0" fontId="5" fillId="6" borderId="4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/>
    </xf>
    <xf numFmtId="164" fontId="5" fillId="0" borderId="1" applyAlignment="1" pivotButton="0" quotePrefix="0" xfId="15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9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general" vertical="center"/>
    </xf>
    <xf numFmtId="9" fontId="5" fillId="0" borderId="1" applyAlignment="1" pivotButton="0" quotePrefix="0" xfId="19">
      <alignment horizontal="center" vertical="center"/>
    </xf>
    <xf numFmtId="0" fontId="5" fillId="0" borderId="1" applyAlignment="1" pivotButton="0" quotePrefix="0" xfId="15">
      <alignment horizontal="general" vertical="center"/>
    </xf>
    <xf numFmtId="164" fontId="5" fillId="0" borderId="1" applyAlignment="1" applyProtection="1" pivotButton="0" quotePrefix="0" xfId="15">
      <alignment horizontal="general" vertical="center"/>
      <protection locked="0" hidden="0"/>
    </xf>
    <xf numFmtId="0" fontId="7" fillId="0" borderId="3" applyAlignment="1" pivotButton="0" quotePrefix="0" xfId="0">
      <alignment horizontal="general" vertical="center"/>
    </xf>
    <xf numFmtId="0" fontId="7" fillId="0" borderId="4" applyAlignment="1" pivotButton="0" quotePrefix="0" xfId="0">
      <alignment horizontal="general" vertical="center"/>
    </xf>
    <xf numFmtId="165" fontId="5" fillId="0" borderId="1" applyAlignment="1" pivotButton="0" quotePrefix="0" xfId="15">
      <alignment horizontal="general" vertical="center"/>
    </xf>
    <xf numFmtId="164" fontId="6" fillId="6" borderId="1" applyAlignment="1" pivotButton="0" quotePrefix="0" xfId="15">
      <alignment horizontal="general" vertical="center"/>
    </xf>
    <xf numFmtId="9" fontId="6" fillId="6" borderId="1" applyAlignment="1" pivotButton="0" quotePrefix="0" xfId="19">
      <alignment horizontal="center" vertical="center"/>
    </xf>
    <xf numFmtId="0" fontId="6" fillId="6" borderId="1" applyAlignment="1" pivotButton="0" quotePrefix="0" xfId="15">
      <alignment horizontal="general" vertical="center"/>
    </xf>
    <xf numFmtId="164" fontId="6" fillId="4" borderId="1" applyAlignment="1" pivotButton="0" quotePrefix="0" xfId="15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6" fillId="6" borderId="1" applyAlignment="1" pivotButton="0" quotePrefix="0" xfId="15">
      <alignment horizontal="center" vertical="center"/>
    </xf>
    <xf numFmtId="0" fontId="6" fillId="6" borderId="1" applyAlignment="1" pivotButton="0" quotePrefix="0" xfId="15">
      <alignment horizontal="center" vertical="center"/>
    </xf>
    <xf numFmtId="164" fontId="6" fillId="0" borderId="1" applyAlignment="1" pivotButton="0" quotePrefix="0" xfId="15">
      <alignment horizontal="general" vertical="center"/>
    </xf>
    <xf numFmtId="166" fontId="5" fillId="0" borderId="0" applyAlignment="1" pivotButton="0" quotePrefix="0" xfId="0">
      <alignment horizontal="general" vertical="center"/>
    </xf>
    <xf numFmtId="0" fontId="8" fillId="9" borderId="0" applyAlignment="1" pivotButton="0" quotePrefix="0" xfId="0">
      <alignment horizontal="general" vertical="center"/>
    </xf>
    <xf numFmtId="166" fontId="8" fillId="9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9" fillId="10" borderId="0" applyAlignment="1" pivotButton="0" quotePrefix="0" xfId="0">
      <alignment horizontal="general" vertical="center"/>
    </xf>
    <xf numFmtId="0" fontId="9" fillId="11" borderId="0" applyAlignment="1" pivotButton="0" quotePrefix="0" xfId="0">
      <alignment horizontal="general" vertical="center"/>
    </xf>
    <xf numFmtId="0" fontId="8" fillId="12" borderId="0" applyAlignment="1" pivotButton="0" quotePrefix="0" xfId="0">
      <alignment horizontal="general" vertical="center"/>
    </xf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15">
      <alignment horizontal="general" vertical="center"/>
    </xf>
    <xf numFmtId="0" fontId="11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center"/>
    </xf>
    <xf numFmtId="0" fontId="13" fillId="14" borderId="0" applyAlignment="1" pivotButton="0" quotePrefix="0" xfId="0">
      <alignment horizontal="general" vertical="center"/>
    </xf>
    <xf numFmtId="0" fontId="14" fillId="15" borderId="0" applyAlignment="1" pivotButton="0" quotePrefix="0" xfId="0">
      <alignment horizontal="general" vertical="center" wrapText="1"/>
    </xf>
    <xf numFmtId="0" fontId="14" fillId="16" borderId="0" applyAlignment="1" pivotButton="0" quotePrefix="0" xfId="0">
      <alignment horizontal="general" vertical="center" wrapText="1"/>
    </xf>
    <xf numFmtId="0" fontId="15" fillId="17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9" fontId="12" fillId="0" borderId="0" applyAlignment="1" pivotButton="0" quotePrefix="0" xfId="0">
      <alignment horizontal="general" vertical="center" wrapText="1"/>
    </xf>
    <xf numFmtId="20" fontId="12" fillId="0" borderId="0" applyAlignment="1" pivotButton="0" quotePrefix="0" xfId="0">
      <alignment horizontal="general" vertical="center" wrapText="1"/>
    </xf>
  </cellXfs>
  <cellStyles count="1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Comma 3" xfId="8"/>
    <cellStyle name="Comma 4" xfId="9"/>
    <cellStyle name="Normal 2" xfId="10"/>
    <cellStyle name="Normal 2 2" xfId="11"/>
    <cellStyle name="Normal 3" xfId="12"/>
  </cellStyles>
  <dxfs count="5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8FAADC"/>
          <bgColor rgb="FF000000"/>
        </patternFill>
      </fill>
    </dxf>
    <dxf>
      <fill>
        <patternFill patternType="solid">
          <fgColor rgb="FFD4F28A"/>
          <bgColor rgb="FF000000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b val="1"/>
        <color rgb="FF9C0006"/>
      </font>
      <numFmt numFmtId="164" formatCode="General"/>
      <fill>
        <patternFill>
          <bgColor rgb="FFFFC7CE"/>
        </patternFill>
      </fill>
    </dxf>
    <dxf>
      <font>
        <b val="1"/>
        <color rgb="FF9C0006"/>
      </font>
      <numFmt numFmtId="164" formatCode="General"/>
      <fill>
        <patternFill>
          <bgColor rgb="FFD4F28A"/>
        </patternFill>
      </fill>
    </dxf>
    <dxf>
      <font/>
      <numFmt numFmtId="164" formatCode="General"/>
      <fill>
        <patternFill>
          <bgColor rgb="FFEF863F"/>
        </patternFill>
      </fill>
    </dxf>
    <dxf>
      <font>
        <color rgb="FF9C57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b val="1"/>
        <color rgb="FF9C0006"/>
      </font>
      <numFmt numFmtId="164" formatCode="General"/>
      <fill>
        <patternFill>
          <bgColor rgb="FFFFC7CE"/>
        </patternFill>
      </fill>
    </dxf>
    <dxf>
      <font>
        <b val="1"/>
        <color rgb="FF9C0006"/>
      </font>
      <numFmt numFmtId="164" formatCode="General"/>
      <fill>
        <patternFill>
          <bgColor rgb="FFD4F28A"/>
        </patternFill>
      </fill>
    </dxf>
    <dxf>
      <font/>
      <numFmt numFmtId="164" formatCode="General"/>
      <fill>
        <patternFill>
          <bgColor rgb="FFEF863F"/>
        </patternFill>
      </fill>
    </dxf>
    <dxf>
      <font>
        <color rgb="FF9C57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b val="1"/>
        <color rgb="FF9C0006"/>
      </font>
      <numFmt numFmtId="164" formatCode="General"/>
      <fill>
        <patternFill>
          <bgColor rgb="FFFFC7CE"/>
        </patternFill>
      </fill>
    </dxf>
    <dxf>
      <font>
        <b val="1"/>
        <color rgb="FF9C0006"/>
      </font>
      <numFmt numFmtId="164" formatCode="General"/>
      <fill>
        <patternFill>
          <bgColor rgb="FFD4F28A"/>
        </patternFill>
      </fill>
    </dxf>
    <dxf>
      <font/>
      <numFmt numFmtId="164" formatCode="General"/>
      <fill>
        <patternFill>
          <bgColor rgb="FFEF863F"/>
        </patternFill>
      </fill>
    </dxf>
    <dxf>
      <font>
        <color rgb="FF9C57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57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numFmt numFmtId="164" formatCode="General"/>
      <fill>
        <patternFill>
          <bgColor rgb="FFFF0000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57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9C9C9"/>
      <rgbColor rgb="FF808080"/>
      <rgbColor rgb="FF8FAADC"/>
      <rgbColor rgb="FF993366"/>
      <rgbColor rgb="FFF2F2F2"/>
      <rgbColor rgb="FFEDEDED"/>
      <rgbColor rgb="FF660066"/>
      <rgbColor rgb="FFEF863F"/>
      <rgbColor rgb="FF2E75B6"/>
      <rgbColor rgb="FFB4C7E7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E2E3E5"/>
      <rgbColor rgb="FFFFC7CE"/>
      <rgbColor rgb="FFFFE699"/>
      <rgbColor rgb="FFF8CBAD"/>
      <rgbColor rgb="FF4472C4"/>
      <rgbColor rgb="FF33CCCC"/>
      <rgbColor rgb="FFD4F28A"/>
      <rgbColor rgb="FFFFC000"/>
      <rgbColor rgb="FFBF9000"/>
      <rgbColor rgb="FFED7D31"/>
      <rgbColor rgb="FF666699"/>
      <rgbColor rgb="FF70AD47"/>
      <rgbColor rgb="FF003366"/>
      <rgbColor rgb="FF339966"/>
      <rgbColor rgb="FF003300"/>
      <rgbColor rgb="FF1D233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2" displayName="Table2" ref="A5:X1733" headerRowCount="1" totalsRowCount="0" totalsRowShown="0">
  <tableColumns count="24">
    <tableColumn id="1" name="Sheet"/>
    <tableColumn id="2" name="Record Type"/>
    <tableColumn id="3" name="Range / Item"/>
    <tableColumn id="4" name="Used Range"/>
    <tableColumn id="5" name="Style Name"/>
    <tableColumn id="6" name="Fill Color"/>
    <tableColumn id="7" name="Font Name"/>
    <tableColumn id="8" name="Font Size"/>
    <tableColumn id="9" name="Bold"/>
    <tableColumn id="10" name="Italic"/>
    <tableColumn id="11" name="Underline"/>
    <tableColumn id="12" name="Font Color"/>
    <tableColumn id="13" name="Horizontal Align"/>
    <tableColumn id="14" name="Vertical Align"/>
    <tableColumn id="15" name="Wrap Text"/>
    <tableColumn id="16" name="Number Format"/>
    <tableColumn id="17" name="Format Category"/>
    <tableColumn id="18" name="Borders"/>
    <tableColumn id="19" name="Column Width"/>
    <tableColumn id="20" name="Row Height"/>
    <tableColumn id="21" name="Hidden"/>
    <tableColumn id="22" name="Outline / Group"/>
    <tableColumn id="23" name="Filter / Table"/>
    <tableColumn id="24" name="Note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tabColor rgb="FFFFD966"/>
    <outlinePr summaryBelow="1" summaryRight="1"/>
    <pageSetUpPr fitToPage="0"/>
  </sheetPr>
  <dimension ref="A1:AS193"/>
  <sheetViews>
    <sheetView showFormulas="0" showGridLines="0" showRowColHeaders="1" showZeros="1" rightToLeft="0" tabSelected="0" showOutlineSymbols="1" defaultGridColor="1" view="normal" topLeftCell="I1" colorId="64" zoomScale="100" zoomScaleNormal="100" zoomScalePageLayoutView="100" workbookViewId="0">
      <pane xSplit="0" ySplit="4" topLeftCell="A11" activePane="bottomLeft" state="frozen"/>
      <selection pane="topLeft" activeCell="I1" activeCellId="0" sqref="I1"/>
      <selection pane="bottomLeft" activeCell="I3" activeCellId="0" sqref="I3"/>
    </sheetView>
  </sheetViews>
  <sheetFormatPr baseColWidth="8" defaultColWidth="9.19921875" defaultRowHeight="10.75" customHeight="0" zeroHeight="0" outlineLevelRow="0"/>
  <cols>
    <col hidden="1" outlineLevel="1" width="8.199999999999999" customWidth="1" style="77" min="1" max="2"/>
    <col hidden="1" outlineLevel="1" width="15.51" customWidth="1" style="77" min="3" max="4"/>
    <col hidden="1" outlineLevel="1" width="9.789999999999999" customWidth="1" style="77" min="5" max="5"/>
    <col hidden="1" outlineLevel="1" width="9" customWidth="1" style="77" min="6" max="8"/>
    <col width="10.71" customWidth="1" style="77" min="9" max="9"/>
    <col width="8.199999999999999" customWidth="1" style="77" min="10" max="10"/>
    <col width="8.699999999999999" customWidth="1" style="77" min="11" max="11"/>
    <col width="11.2" customWidth="1" style="77" min="12" max="12"/>
    <col width="10" customWidth="1" style="77" min="13" max="13"/>
    <col width="8" customWidth="1" style="77" min="14" max="14"/>
    <col width="7" customWidth="1" style="77" min="15" max="15"/>
    <col width="4.5" customWidth="1" style="77" min="16" max="16"/>
    <col width="7.79" customWidth="1" style="77" min="17" max="17"/>
    <col hidden="1" outlineLevel="1" width="7.79" customWidth="1" style="77" min="18" max="19"/>
    <col width="8.199999999999999" customWidth="1" style="77" min="20" max="20"/>
    <col width="8" customWidth="1" style="77" min="21" max="21"/>
    <col width="8.800000000000001" customWidth="1" style="77" min="22" max="22"/>
    <col width="11.2" customWidth="1" style="77" min="23" max="23"/>
    <col width="9" customWidth="1" style="77" min="24" max="25"/>
    <col width="9.199999999999999" customWidth="1" style="77" min="26" max="27"/>
    <col width="0.79" customWidth="1" style="78" min="28" max="28"/>
    <col width="9.789999999999999" customWidth="1" style="77" min="29" max="29"/>
    <col hidden="1" outlineLevel="1" width="9.199999999999999" customWidth="1" style="77" min="30" max="32"/>
    <col width="8.5" customWidth="1" style="77" min="33" max="33"/>
    <col hidden="1" outlineLevel="1" width="11.5" customWidth="1" style="77" min="34" max="34"/>
    <col hidden="1" outlineLevel="1" width="11.7" customWidth="1" style="77" min="35" max="36"/>
    <col hidden="1" outlineLevel="1" width="7.79" customWidth="1" style="77" min="37" max="38"/>
    <col width="8" customWidth="1" style="77" min="39" max="39"/>
    <col hidden="1" outlineLevel="1" width="8" customWidth="1" style="77" min="40" max="42"/>
    <col width="8.800000000000001" customWidth="1" style="77" min="43" max="43"/>
    <col width="10.79" customWidth="1" style="77" min="44" max="44"/>
    <col width="12.3" customWidth="1" style="77" min="45" max="45"/>
    <col width="9.199999999999999" customWidth="1" style="77" min="46" max="16384"/>
  </cols>
  <sheetData>
    <row r="1" ht="10.75" customHeight="1" s="79">
      <c r="A1" s="80" t="inlineStr">
        <is>
          <t>MIN VALUE</t>
        </is>
      </c>
      <c r="B1" s="80" t="inlineStr">
        <is>
          <t>MIN VALUE</t>
        </is>
      </c>
      <c r="C1" s="80" t="inlineStr">
        <is>
          <t>MIN VALUE</t>
        </is>
      </c>
      <c r="D1" s="80" t="inlineStr">
        <is>
          <t>MIN VALUE</t>
        </is>
      </c>
      <c r="E1" s="80" t="inlineStr">
        <is>
          <t>MIN VALUE</t>
        </is>
      </c>
      <c r="F1" s="80" t="inlineStr">
        <is>
          <t>MIN VALUE</t>
        </is>
      </c>
      <c r="G1" s="80" t="inlineStr">
        <is>
          <t>MIN VALUE</t>
        </is>
      </c>
      <c r="H1" s="80" t="inlineStr">
        <is>
          <t>MIN VALUE</t>
        </is>
      </c>
      <c r="U1" s="81" t="n"/>
      <c r="X1" s="82" t="inlineStr">
        <is>
          <t>GRC</t>
        </is>
      </c>
      <c r="Y1" s="83" t="n"/>
      <c r="Z1" s="82" t="inlineStr">
        <is>
          <t>GRC &amp; ASN</t>
        </is>
      </c>
      <c r="AA1" s="83" t="n"/>
      <c r="AC1" s="80" t="inlineStr">
        <is>
          <t>GRC &amp; PPO</t>
        </is>
      </c>
      <c r="AD1" s="84" t="n"/>
      <c r="AE1" s="84" t="n"/>
      <c r="AF1" s="84" t="n"/>
      <c r="AG1" s="85" t="n"/>
      <c r="AH1" s="86" t="n"/>
      <c r="AI1" s="86" t="n"/>
      <c r="AJ1" s="86" t="n"/>
      <c r="AK1" s="86" t="n"/>
      <c r="AL1" s="86" t="n"/>
    </row>
    <row r="2" ht="10.75" customHeight="1" s="79">
      <c r="A2" s="87">
        <f>SUBTOTAL(9,A5:A192)</f>
        <v/>
      </c>
      <c r="B2" s="87">
        <f>SUBTOTAL(9,B5:B192)</f>
        <v/>
      </c>
      <c r="C2" s="87">
        <f>SUBTOTAL(9,C5:C192)</f>
        <v/>
      </c>
      <c r="D2" s="87">
        <f>SUBTOTAL(9,D5:D192)</f>
        <v/>
      </c>
      <c r="E2" s="87">
        <f>SUBTOTAL(9,E5:E192)</f>
        <v/>
      </c>
      <c r="F2" s="87">
        <f>SUBTOTAL(9,F5:F192)</f>
        <v/>
      </c>
      <c r="G2" s="87">
        <f>SUBTOTAL(9,G5:G192)</f>
        <v/>
      </c>
      <c r="H2" s="87">
        <f>SUBTOTAL(9,H5:H192)</f>
        <v/>
      </c>
      <c r="Q2" s="87">
        <f>SUBTOTAL(9,Q5:Q192)</f>
        <v/>
      </c>
      <c r="R2" s="87">
        <f>SUBTOTAL(9,R5:R192)</f>
        <v/>
      </c>
      <c r="S2" s="87">
        <f>SUBTOTAL(9,S5:S192)</f>
        <v/>
      </c>
      <c r="T2" s="87">
        <f>SUBTOTAL(9,T5:T192)</f>
        <v/>
      </c>
      <c r="U2" s="87">
        <f>SUBTOTAL(9,U5:U192)</f>
        <v/>
      </c>
      <c r="V2" s="87">
        <f>SUBTOTAL(9,V5:V192)</f>
        <v/>
      </c>
      <c r="W2" s="87">
        <f>SUBTOTAL(9,W5:W192)</f>
        <v/>
      </c>
      <c r="X2" s="88">
        <f>IFERROR(A2/Q2,0)</f>
        <v/>
      </c>
      <c r="Y2" s="88">
        <f>IFERROR(B2/T2,0)</f>
        <v/>
      </c>
      <c r="Z2" s="88">
        <f>IFERROR(C2/Q2,0)</f>
        <v/>
      </c>
      <c r="AA2" s="88">
        <f>IFERROR(D2/T2,0)</f>
        <v/>
      </c>
      <c r="AC2" s="88">
        <f>IF(T2&gt;0,IFERROR(E2/T2,0),1)</f>
        <v/>
      </c>
      <c r="AD2" s="88">
        <f>IF(Q2&gt;0,IFERROR(F2/Q2,0),1)</f>
        <v/>
      </c>
      <c r="AE2" s="88">
        <f>IF(AK2&gt;0,IFERROR(G2/AK2,0),1)</f>
        <v/>
      </c>
      <c r="AF2" s="88">
        <f>IF(AL2&gt;0,IFERROR(H2/AL2,0),1)</f>
        <v/>
      </c>
      <c r="AG2" s="87">
        <f>T2-(U2+AM2+AQ2)</f>
        <v/>
      </c>
      <c r="AH2" s="87">
        <f>Q2-(U2+AN2+AQ2)</f>
        <v/>
      </c>
      <c r="AI2" s="87">
        <f>(AK2-AO2)</f>
        <v/>
      </c>
      <c r="AJ2" s="87">
        <f>(AL2-AP2)</f>
        <v/>
      </c>
      <c r="AK2" s="87">
        <f>SUBTOTAL(9,AK5:AK192)</f>
        <v/>
      </c>
      <c r="AL2" s="87">
        <f>SUBTOTAL(9,AL5:AL192)</f>
        <v/>
      </c>
      <c r="AM2" s="87">
        <f>SUBTOTAL(9,AM5:AM192)</f>
        <v/>
      </c>
      <c r="AN2" s="87">
        <f>SUBTOTAL(9,AN5:AN192)</f>
        <v/>
      </c>
      <c r="AO2" s="87">
        <f>SUBTOTAL(9,AO5:AO192)</f>
        <v/>
      </c>
      <c r="AP2" s="87">
        <f>SUBTOTAL(9,AP5:AP192)</f>
        <v/>
      </c>
      <c r="AQ2" s="87">
        <f>SUBTOTAL(9,AQ5:AQ192)</f>
        <v/>
      </c>
      <c r="AR2" s="81" t="n"/>
    </row>
    <row r="3" ht="25" customHeight="1" s="79">
      <c r="A3" s="89" t="inlineStr">
        <is>
          <t>(SEP BP) vs (GRC)</t>
        </is>
      </c>
      <c r="B3" s="89" t="inlineStr">
        <is>
          <t>(S &amp; ON BP) vs (GRC)</t>
        </is>
      </c>
      <c r="C3" s="89" t="inlineStr">
        <is>
          <t>(SEP BP) vs (GRC + FLOOR + IN_TRANSIT)</t>
        </is>
      </c>
      <c r="D3" s="89" t="inlineStr">
        <is>
          <t>(S &amp; ON BP) vs (GRC + FLOOR + IN_TRANSIT)</t>
        </is>
      </c>
      <c r="E3" s="89" t="inlineStr">
        <is>
          <t>(S &amp; ON BP) vs (GRC + PPO)</t>
        </is>
      </c>
      <c r="F3" s="89" t="inlineStr">
        <is>
          <t>(SEP BP) vs (GRC + PPO)</t>
        </is>
      </c>
      <c r="G3" s="89" t="inlineStr">
        <is>
          <t>(OCT BP) vs (GRC + PPO)</t>
        </is>
      </c>
      <c r="H3" s="89" t="inlineStr">
        <is>
          <t>(NOV BP) vs (GRC + PPO)</t>
        </is>
      </c>
      <c r="I3" s="90" t="inlineStr">
        <is>
          <t>MERCHANT</t>
        </is>
      </c>
      <c r="J3" s="91" t="inlineStr">
        <is>
          <t>DIVISION</t>
        </is>
      </c>
      <c r="K3" s="92" t="inlineStr">
        <is>
          <t>SECTION</t>
        </is>
      </c>
      <c r="L3" s="92" t="inlineStr">
        <is>
          <t>DEPARTMENT</t>
        </is>
      </c>
      <c r="M3" s="92" t="inlineStr">
        <is>
          <t>PREFERENCE</t>
        </is>
      </c>
      <c r="N3" s="93" t="inlineStr">
        <is>
          <t>STH% MAMJ'26</t>
        </is>
      </c>
      <c r="O3" s="93" t="inlineStr">
        <is>
          <t>STH% JA'26</t>
        </is>
      </c>
      <c r="P3" s="93" t="inlineStr">
        <is>
          <t>SALE 
RANK</t>
        </is>
      </c>
      <c r="Q3" s="93" t="inlineStr">
        <is>
          <t>SEP
BUY_PLAN</t>
        </is>
      </c>
      <c r="R3" s="93" t="inlineStr">
        <is>
          <t>OCT
BUY_PLAN</t>
        </is>
      </c>
      <c r="S3" s="93" t="inlineStr">
        <is>
          <t>NOV
BUY_PLAN</t>
        </is>
      </c>
      <c r="T3" s="93" t="inlineStr">
        <is>
          <t>S &amp; ON
 BUY_PLAN</t>
        </is>
      </c>
      <c r="U3" s="94" t="inlineStr">
        <is>
          <t>SEP
GRC QTY</t>
        </is>
      </c>
      <c r="V3" s="95" t="inlineStr">
        <is>
          <t>FLOOR + 
IN_TRANSIT</t>
        </is>
      </c>
      <c r="W3" s="95" t="inlineStr">
        <is>
          <t>GRC + FLOOR + 
IN_TRANSIT</t>
        </is>
      </c>
      <c r="X3" s="96" t="inlineStr">
        <is>
          <t>SEP
FILL RATE %</t>
        </is>
      </c>
      <c r="Y3" s="96" t="inlineStr">
        <is>
          <t>S &amp; ON
FILL RATE %</t>
        </is>
      </c>
      <c r="Z3" s="96" t="inlineStr">
        <is>
          <t>SEP
VISIBILITY %</t>
        </is>
      </c>
      <c r="AA3" s="96" t="inlineStr">
        <is>
          <t>S &amp; ON VISIBILITY %</t>
        </is>
      </c>
      <c r="AB3" s="97" t="n"/>
      <c r="AC3" s="93" t="inlineStr">
        <is>
          <t>PO VISIBILITY %</t>
        </is>
      </c>
      <c r="AD3" s="93" t="inlineStr">
        <is>
          <t>SEP PO VISIBILITY %</t>
        </is>
      </c>
      <c r="AE3" s="93" t="inlineStr">
        <is>
          <t>OCT PO VISIBILITY %</t>
        </is>
      </c>
      <c r="AF3" s="93" t="inlineStr">
        <is>
          <t>NOV PO VISIBILITY %</t>
        </is>
      </c>
      <c r="AG3" s="93" t="inlineStr">
        <is>
          <t>COVERAGE QTY</t>
        </is>
      </c>
      <c r="AH3" s="93" t="inlineStr">
        <is>
          <t>SEP COVERAGE QTY</t>
        </is>
      </c>
      <c r="AI3" s="93" t="inlineStr">
        <is>
          <t>OCT COVERAGE QTY</t>
        </is>
      </c>
      <c r="AJ3" s="93" t="inlineStr">
        <is>
          <t>NOV COVERAGE QTY</t>
        </is>
      </c>
      <c r="AK3" s="98" t="inlineStr">
        <is>
          <t>OCT AJD
BUY_PLAN</t>
        </is>
      </c>
      <c r="AL3" s="98" t="inlineStr">
        <is>
          <t>NOV AJD
BUY_PLAN</t>
        </is>
      </c>
      <c r="AM3" s="93" t="inlineStr">
        <is>
          <t>TTL PPO QTY (SYS)</t>
        </is>
      </c>
      <c r="AN3" s="93" t="inlineStr">
        <is>
          <t>SEP PPO QTY (SYS)</t>
        </is>
      </c>
      <c r="AO3" s="93" t="inlineStr">
        <is>
          <t>OCT PPO QTY (SYS)</t>
        </is>
      </c>
      <c r="AP3" s="93" t="inlineStr">
        <is>
          <t>NOV PPO QTY (SYS)</t>
        </is>
      </c>
      <c r="AQ3" s="93" t="inlineStr">
        <is>
          <t>PPO QTY (MANUAL)</t>
        </is>
      </c>
      <c r="AR3" s="93" t="inlineStr">
        <is>
          <t>RESEPKS  (BY_PO_TEAM)</t>
        </is>
      </c>
      <c r="AS3" s="93" t="inlineStr">
        <is>
          <t>RESEPKS  (BY_MERCHANT)</t>
        </is>
      </c>
    </row>
    <row r="4" ht="11.15" customHeight="1" s="79">
      <c r="A4" s="99" t="n"/>
      <c r="B4" s="99" t="n"/>
      <c r="C4" s="99" t="n"/>
      <c r="D4" s="99" t="n"/>
      <c r="E4" s="99" t="n"/>
      <c r="F4" s="99" t="n"/>
      <c r="G4" s="99" t="n"/>
      <c r="H4" s="99" t="n"/>
      <c r="I4" s="100" t="n"/>
      <c r="J4" s="101" t="n"/>
      <c r="K4" s="102" t="n"/>
      <c r="L4" s="102" t="n"/>
      <c r="M4" s="102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  <c r="AC4" s="100" t="n"/>
      <c r="AD4" s="100" t="n"/>
      <c r="AE4" s="100" t="n"/>
      <c r="AF4" s="100" t="n"/>
      <c r="AG4" s="100" t="n"/>
      <c r="AH4" s="100" t="n"/>
      <c r="AI4" s="100" t="n"/>
      <c r="AJ4" s="100" t="n"/>
      <c r="AK4" s="103" t="n"/>
      <c r="AL4" s="103" t="n"/>
      <c r="AM4" s="100" t="n"/>
      <c r="AN4" s="100" t="n"/>
      <c r="AO4" s="100" t="n"/>
      <c r="AP4" s="100" t="n"/>
      <c r="AQ4" s="100" t="n"/>
      <c r="AR4" s="100" t="n"/>
      <c r="AS4" s="100" t="n"/>
    </row>
    <row r="5" ht="12.65" customHeight="1" s="79">
      <c r="A5" s="104">
        <f>MIN(U5,Q5)</f>
        <v/>
      </c>
      <c r="B5" s="104">
        <f>MIN(U5,T5)</f>
        <v/>
      </c>
      <c r="C5" s="104">
        <f>MIN(W5,Q5)</f>
        <v/>
      </c>
      <c r="D5" s="104">
        <f>MIN(W5,T5)</f>
        <v/>
      </c>
      <c r="E5" s="104">
        <f>MIN((U5+AM5+AQ5),T5)</f>
        <v/>
      </c>
      <c r="F5" s="104">
        <f>MAX(MIN((U5+AN5+AQ5),Q5),0)</f>
        <v/>
      </c>
      <c r="G5" s="104">
        <f>MAX(MIN(AO5,AK5),0)</f>
        <v/>
      </c>
      <c r="H5" s="104">
        <f>MAX(MIN(AP5,AL5),0)</f>
        <v/>
      </c>
      <c r="I5" s="105" t="inlineStr">
        <is>
          <t>CHANDRAPAL NEGI</t>
        </is>
      </c>
      <c r="J5" s="106" t="inlineStr">
        <is>
          <t>LIFESTYLE</t>
        </is>
      </c>
      <c r="K5" s="107" t="inlineStr">
        <is>
          <t>LS_INFANT ACCESSORIES</t>
        </is>
      </c>
      <c r="L5" s="107" t="inlineStr">
        <is>
          <t>LS_IA_SOCKS</t>
        </is>
      </c>
      <c r="M5" s="107" t="inlineStr">
        <is>
          <t>ARTICLE</t>
        </is>
      </c>
      <c r="N5" s="108" t="n">
        <v>0</v>
      </c>
      <c r="O5" s="108" t="n">
        <v>0</v>
      </c>
      <c r="P5" s="109" t="n">
        <v>75</v>
      </c>
      <c r="Q5" s="110" t="n">
        <v>57423</v>
      </c>
      <c r="R5" s="110" t="n">
        <v>23985.992510424</v>
      </c>
      <c r="S5" s="110" t="n">
        <v>6526.78046807276</v>
      </c>
      <c r="T5" s="110" t="n">
        <v>87935.7729784968</v>
      </c>
      <c r="U5" s="104" t="n">
        <v>33600</v>
      </c>
      <c r="V5" s="104" t="n">
        <v>21600</v>
      </c>
      <c r="W5" s="104">
        <f>$U5+$V5</f>
        <v/>
      </c>
      <c r="X5" s="111">
        <f>IFERROR(A5/Q5,0)</f>
        <v/>
      </c>
      <c r="Y5" s="111">
        <f>IFERROR(B5/T5,0)</f>
        <v/>
      </c>
      <c r="Z5" s="111">
        <f>IFERROR(C5/Q5,0)</f>
        <v/>
      </c>
      <c r="AA5" s="111">
        <f>IFERROR(D5/T5,0)</f>
        <v/>
      </c>
      <c r="AC5" s="111">
        <f>IF(T5&gt;0,IFERROR(E5/T5,0),1)</f>
        <v/>
      </c>
      <c r="AD5" s="111">
        <f>IF(Q5&gt;0,IFERROR(F5/Q5,0),1)</f>
        <v/>
      </c>
      <c r="AE5" s="111">
        <f>IF(AK5&gt;0,IFERROR(G5/AK5,0),1)</f>
        <v/>
      </c>
      <c r="AF5" s="111">
        <f>IF(AL5&gt;0,IFERROR(H5/AL5,0),1)</f>
        <v/>
      </c>
      <c r="AG5" s="104">
        <f>T5-(U5+AM5+AQ5)</f>
        <v/>
      </c>
      <c r="AH5" s="104">
        <f>Q5-(U5+AN5+AQ5)</f>
        <v/>
      </c>
      <c r="AI5" s="104">
        <f>(AK5-AO5)</f>
        <v/>
      </c>
      <c r="AJ5" s="104">
        <f>(AL5-AP5)</f>
        <v/>
      </c>
      <c r="AK5" s="110">
        <f>R5+AH5</f>
        <v/>
      </c>
      <c r="AL5" s="110">
        <f>S5+AI5</f>
        <v/>
      </c>
      <c r="AM5" s="104" t="n">
        <v>43200</v>
      </c>
      <c r="AN5" s="104" t="n">
        <v>14400</v>
      </c>
      <c r="AO5" s="104" t="n">
        <v>21600</v>
      </c>
      <c r="AP5" s="104" t="n">
        <v>7200</v>
      </c>
      <c r="AQ5" s="104" t="n">
        <v>0</v>
      </c>
      <c r="AR5" s="104" t="n"/>
      <c r="AS5" s="104" t="n"/>
    </row>
    <row r="6" ht="12.65" customHeight="1" s="79">
      <c r="A6" s="104">
        <f>MIN(U6,Q6)</f>
        <v/>
      </c>
      <c r="B6" s="104">
        <f>MIN(U6,T6)</f>
        <v/>
      </c>
      <c r="C6" s="104">
        <f>MIN(W6,Q6)</f>
        <v/>
      </c>
      <c r="D6" s="104">
        <f>MIN(W6,T6)</f>
        <v/>
      </c>
      <c r="E6" s="104">
        <f>MIN((U6+AM6+AQ6),T6)</f>
        <v/>
      </c>
      <c r="F6" s="104">
        <f>MAX(MIN((U6+AN6+AQ6),Q6),0)</f>
        <v/>
      </c>
      <c r="G6" s="104">
        <f>MAX(MIN(AO6,AK6),0)</f>
        <v/>
      </c>
      <c r="H6" s="104">
        <f>MAX(MIN(AP6,AL6),0)</f>
        <v/>
      </c>
      <c r="I6" s="105" t="inlineStr">
        <is>
          <t>CHANDRAPAL NEGI</t>
        </is>
      </c>
      <c r="J6" s="106" t="inlineStr">
        <is>
          <t>LIFESTYLE</t>
        </is>
      </c>
      <c r="K6" s="107" t="inlineStr">
        <is>
          <t>LS_INFANT ACCESSORIES</t>
        </is>
      </c>
      <c r="L6" s="107" t="inlineStr">
        <is>
          <t>LS_IA_DIAPER</t>
        </is>
      </c>
      <c r="M6" s="107" t="inlineStr">
        <is>
          <t>ARTICLE</t>
        </is>
      </c>
      <c r="N6" s="108" t="n">
        <v>0.148919478800211</v>
      </c>
      <c r="O6" s="108" t="n">
        <v>0.122593024052628</v>
      </c>
      <c r="P6" s="109" t="n">
        <v>8</v>
      </c>
      <c r="Q6" s="110" t="n">
        <v>9238</v>
      </c>
      <c r="R6" s="110" t="n">
        <v>15044.3388747924</v>
      </c>
      <c r="S6" s="110" t="n">
        <v>17234.7365770455</v>
      </c>
      <c r="T6" s="110" t="n">
        <v>41517.0754518379</v>
      </c>
      <c r="U6" s="104" t="n">
        <v>4290</v>
      </c>
      <c r="V6" s="104" t="n">
        <v>5538</v>
      </c>
      <c r="W6" s="104">
        <f>$U6+$V6</f>
        <v/>
      </c>
      <c r="X6" s="111">
        <f>IFERROR(A6/Q6,0)</f>
        <v/>
      </c>
      <c r="Y6" s="111">
        <f>IFERROR(B6/T6,0)</f>
        <v/>
      </c>
      <c r="Z6" s="111">
        <f>IFERROR(C6/Q6,0)</f>
        <v/>
      </c>
      <c r="AA6" s="111">
        <f>IFERROR(D6/T6,0)</f>
        <v/>
      </c>
      <c r="AC6" s="111">
        <f>IF(T6&gt;0,IFERROR(E6/T6,0),1)</f>
        <v/>
      </c>
      <c r="AD6" s="111">
        <f>IF(Q6&gt;0,IFERROR(F6/Q6,0),1)</f>
        <v/>
      </c>
      <c r="AE6" s="111">
        <f>IF(AK6&gt;0,IFERROR(G6/AK6,0),1)</f>
        <v/>
      </c>
      <c r="AF6" s="111">
        <f>IF(AL6&gt;0,IFERROR(H6/AL6,0),1)</f>
        <v/>
      </c>
      <c r="AG6" s="104">
        <f>T6-(U6+AM6+AQ6)</f>
        <v/>
      </c>
      <c r="AH6" s="104">
        <f>Q6-(U6+AN6+AQ6)</f>
        <v/>
      </c>
      <c r="AI6" s="104">
        <f>(AK6-AO6)</f>
        <v/>
      </c>
      <c r="AJ6" s="104">
        <f>(AL6-AP6)</f>
        <v/>
      </c>
      <c r="AK6" s="110">
        <f>R6+AH6</f>
        <v/>
      </c>
      <c r="AL6" s="110">
        <f>S6+AI6</f>
        <v/>
      </c>
      <c r="AM6" s="104" t="n">
        <v>20240</v>
      </c>
      <c r="AN6" s="104" t="n">
        <v>5540</v>
      </c>
      <c r="AO6" s="104" t="n">
        <v>7500</v>
      </c>
      <c r="AP6" s="104" t="n">
        <v>7200</v>
      </c>
      <c r="AQ6" s="104" t="n">
        <v>0</v>
      </c>
      <c r="AR6" s="104" t="n"/>
      <c r="AS6" s="112" t="n"/>
    </row>
    <row r="7" ht="12.65" customHeight="1" s="79">
      <c r="A7" s="104">
        <f>MIN(U7,Q7)</f>
        <v/>
      </c>
      <c r="B7" s="104">
        <f>MIN(U7,T7)</f>
        <v/>
      </c>
      <c r="C7" s="104">
        <f>MIN(W7,Q7)</f>
        <v/>
      </c>
      <c r="D7" s="104">
        <f>MIN(W7,T7)</f>
        <v/>
      </c>
      <c r="E7" s="104">
        <f>MIN((U7+AM7+AQ7),T7)</f>
        <v/>
      </c>
      <c r="F7" s="104">
        <f>MAX(MIN((U7+AN7+AQ7),Q7),0)</f>
        <v/>
      </c>
      <c r="G7" s="104">
        <f>MAX(MIN(AO7,AK7),0)</f>
        <v/>
      </c>
      <c r="H7" s="104">
        <f>MAX(MIN(AP7,AL7),0)</f>
        <v/>
      </c>
      <c r="I7" s="105" t="inlineStr">
        <is>
          <t>CHANDRAPAL NEGI</t>
        </is>
      </c>
      <c r="J7" s="106" t="inlineStr">
        <is>
          <t>LIFESTYLE</t>
        </is>
      </c>
      <c r="K7" s="107" t="inlineStr">
        <is>
          <t>LS_INFANT ACCESSORIES</t>
        </is>
      </c>
      <c r="L7" s="107" t="inlineStr">
        <is>
          <t>LS_IA_RATTLE</t>
        </is>
      </c>
      <c r="M7" s="107" t="inlineStr">
        <is>
          <t>ARTICLE</t>
        </is>
      </c>
      <c r="N7" s="108" t="n">
        <v>0.14368282433578</v>
      </c>
      <c r="O7" s="108" t="n">
        <v>0.132954898732282</v>
      </c>
      <c r="P7" s="109" t="n">
        <v>58</v>
      </c>
      <c r="Q7" s="110" t="n">
        <v>10837</v>
      </c>
      <c r="R7" s="110" t="n">
        <v>8215.59553904198</v>
      </c>
      <c r="S7" s="110" t="n">
        <v>9935.205154198789</v>
      </c>
      <c r="T7" s="110" t="n">
        <v>28987.8006932408</v>
      </c>
      <c r="U7" s="104" t="n">
        <v>9690</v>
      </c>
      <c r="V7" s="104" t="n">
        <v>2400</v>
      </c>
      <c r="W7" s="104">
        <f>$U7+$V7</f>
        <v/>
      </c>
      <c r="X7" s="111">
        <f>IFERROR(A7/Q7,0)</f>
        <v/>
      </c>
      <c r="Y7" s="111">
        <f>IFERROR(B7/T7,0)</f>
        <v/>
      </c>
      <c r="Z7" s="111">
        <f>IFERROR(C7/Q7,0)</f>
        <v/>
      </c>
      <c r="AA7" s="111">
        <f>IFERROR(D7/T7,0)</f>
        <v/>
      </c>
      <c r="AC7" s="111">
        <f>IF(T7&gt;0,IFERROR(E7/T7,0),1)</f>
        <v/>
      </c>
      <c r="AD7" s="111">
        <f>IF(Q7&gt;0,IFERROR(F7/Q7,0),1)</f>
        <v/>
      </c>
      <c r="AE7" s="111">
        <f>IF(AK7&gt;0,IFERROR(G7/AK7,0),1)</f>
        <v/>
      </c>
      <c r="AF7" s="111">
        <f>IF(AL7&gt;0,IFERROR(H7/AL7,0),1)</f>
        <v/>
      </c>
      <c r="AG7" s="104">
        <f>T7-(U7+AM7+AQ7)</f>
        <v/>
      </c>
      <c r="AH7" s="104">
        <f>Q7-(U7+AN7+AQ7)</f>
        <v/>
      </c>
      <c r="AI7" s="104">
        <f>(AK7-AO7)</f>
        <v/>
      </c>
      <c r="AJ7" s="104">
        <f>(AL7-AP7)</f>
        <v/>
      </c>
      <c r="AK7" s="110">
        <f>R7+AH7</f>
        <v/>
      </c>
      <c r="AL7" s="110">
        <f>S7+AI7</f>
        <v/>
      </c>
      <c r="AM7" s="104" t="n">
        <v>22800</v>
      </c>
      <c r="AN7" s="104" t="n">
        <v>4800</v>
      </c>
      <c r="AO7" s="104" t="n">
        <v>10800</v>
      </c>
      <c r="AP7" s="104" t="n">
        <v>7200</v>
      </c>
      <c r="AQ7" s="104" t="n">
        <v>0</v>
      </c>
      <c r="AR7" s="104" t="n"/>
      <c r="AS7" s="112" t="n"/>
    </row>
    <row r="8" ht="12.65" customHeight="1" s="79">
      <c r="A8" s="104">
        <f>MIN(U8,Q8)</f>
        <v/>
      </c>
      <c r="B8" s="104">
        <f>MIN(U8,T8)</f>
        <v/>
      </c>
      <c r="C8" s="104">
        <f>MIN(W8,Q8)</f>
        <v/>
      </c>
      <c r="D8" s="104">
        <f>MIN(W8,T8)</f>
        <v/>
      </c>
      <c r="E8" s="104">
        <f>MIN((U8+AM8+AQ8),T8)</f>
        <v/>
      </c>
      <c r="F8" s="104">
        <f>MAX(MIN((U8+AN8+AQ8),Q8),0)</f>
        <v/>
      </c>
      <c r="G8" s="104">
        <f>MAX(MIN(AO8,AK8),0)</f>
        <v/>
      </c>
      <c r="H8" s="104">
        <f>MAX(MIN(AP8,AL8),0)</f>
        <v/>
      </c>
      <c r="I8" s="105" t="inlineStr">
        <is>
          <t>CHANDRAPAL NEGI</t>
        </is>
      </c>
      <c r="J8" s="106" t="inlineStr">
        <is>
          <t>LIFESTYLE</t>
        </is>
      </c>
      <c r="K8" s="107" t="inlineStr">
        <is>
          <t>LS_INFANT ACCESSORIES</t>
        </is>
      </c>
      <c r="L8" s="107" t="inlineStr">
        <is>
          <t>LS_IA_WIPES</t>
        </is>
      </c>
      <c r="M8" s="107" t="inlineStr">
        <is>
          <t>ARTICLE</t>
        </is>
      </c>
      <c r="N8" s="108" t="n">
        <v>0.127559123570184</v>
      </c>
      <c r="O8" s="108" t="n">
        <v>0.119515067789556</v>
      </c>
      <c r="P8" s="109" t="n">
        <v>98</v>
      </c>
      <c r="Q8" s="110" t="n">
        <v>6429</v>
      </c>
      <c r="R8" s="110" t="n">
        <v>7375.00186789103</v>
      </c>
      <c r="S8" s="110" t="n">
        <v>6244.03076190096</v>
      </c>
      <c r="T8" s="110" t="n">
        <v>20048.032629792</v>
      </c>
      <c r="U8" s="104" t="n">
        <v>14772</v>
      </c>
      <c r="V8" s="104" t="n">
        <v>0</v>
      </c>
      <c r="W8" s="104">
        <f>$U8+$V8</f>
        <v/>
      </c>
      <c r="X8" s="111">
        <f>IFERROR(A8/Q8,0)</f>
        <v/>
      </c>
      <c r="Y8" s="111">
        <f>IFERROR(B8/T8,0)</f>
        <v/>
      </c>
      <c r="Z8" s="111">
        <f>IFERROR(C8/Q8,0)</f>
        <v/>
      </c>
      <c r="AA8" s="111">
        <f>IFERROR(D8/T8,0)</f>
        <v/>
      </c>
      <c r="AC8" s="111">
        <f>IF(T8&gt;0,IFERROR(E8/T8,0),1)</f>
        <v/>
      </c>
      <c r="AD8" s="111">
        <f>IF(Q8&gt;0,IFERROR(F8/Q8,0),1)</f>
        <v/>
      </c>
      <c r="AE8" s="111">
        <f>IF(AK8&gt;0,IFERROR(G8/AK8,0),1)</f>
        <v/>
      </c>
      <c r="AF8" s="111">
        <f>IF(AL8&gt;0,IFERROR(H8/AL8,0),1)</f>
        <v/>
      </c>
      <c r="AG8" s="104">
        <f>T8-(U8+AM8+AQ8)</f>
        <v/>
      </c>
      <c r="AH8" s="104">
        <f>Q8-(U8+AN8+AQ8)</f>
        <v/>
      </c>
      <c r="AI8" s="104">
        <f>(AK8-AO8)</f>
        <v/>
      </c>
      <c r="AJ8" s="104">
        <f>(AL8-AP8)</f>
        <v/>
      </c>
      <c r="AK8" s="110">
        <f>R8+AH8</f>
        <v/>
      </c>
      <c r="AL8" s="110">
        <f>S8+AI8</f>
        <v/>
      </c>
      <c r="AM8" s="104" t="n">
        <v>14432</v>
      </c>
      <c r="AN8" s="104" t="n">
        <v>0</v>
      </c>
      <c r="AO8" s="104" t="n">
        <v>7216</v>
      </c>
      <c r="AP8" s="104" t="n">
        <v>7216</v>
      </c>
      <c r="AQ8" s="104" t="n">
        <v>0</v>
      </c>
      <c r="AR8" s="104" t="n"/>
      <c r="AS8" s="104" t="n"/>
    </row>
    <row r="9" ht="12.65" customHeight="1" s="79">
      <c r="A9" s="104">
        <f>MIN(U9,Q9)</f>
        <v/>
      </c>
      <c r="B9" s="104">
        <f>MIN(U9,T9)</f>
        <v/>
      </c>
      <c r="C9" s="104">
        <f>MIN(W9,Q9)</f>
        <v/>
      </c>
      <c r="D9" s="104">
        <f>MIN(W9,T9)</f>
        <v/>
      </c>
      <c r="E9" s="104">
        <f>MIN((U9+AM9+AQ9),T9)</f>
        <v/>
      </c>
      <c r="F9" s="104">
        <f>MAX(MIN((U9+AN9+AQ9),Q9),0)</f>
        <v/>
      </c>
      <c r="G9" s="104">
        <f>MAX(MIN(AO9,AK9),0)</f>
        <v/>
      </c>
      <c r="H9" s="104">
        <f>MAX(MIN(AP9,AL9),0)</f>
        <v/>
      </c>
      <c r="I9" s="105" t="inlineStr">
        <is>
          <t>CHANDRAPAL NEGI</t>
        </is>
      </c>
      <c r="J9" s="106" t="inlineStr">
        <is>
          <t>LIFESTYLE</t>
        </is>
      </c>
      <c r="K9" s="107" t="inlineStr">
        <is>
          <t>LS_INFANT ACCESSORIES</t>
        </is>
      </c>
      <c r="L9" s="107" t="inlineStr">
        <is>
          <t>LS_IA_BOTTLE COVER</t>
        </is>
      </c>
      <c r="M9" s="107" t="inlineStr">
        <is>
          <t>ARTICLE</t>
        </is>
      </c>
      <c r="N9" s="108" t="n">
        <v>0.112083027485523</v>
      </c>
      <c r="O9" s="108" t="n">
        <v>0.0900471988508106</v>
      </c>
      <c r="P9" s="109" t="n">
        <v>163</v>
      </c>
      <c r="Q9" s="110" t="n">
        <v>8104</v>
      </c>
      <c r="R9" s="110" t="n">
        <v>0</v>
      </c>
      <c r="S9" s="110" t="n">
        <v>0</v>
      </c>
      <c r="T9" s="110" t="n">
        <v>8104</v>
      </c>
      <c r="U9" s="104" t="n">
        <v>2100</v>
      </c>
      <c r="V9" s="104" t="n">
        <v>2400</v>
      </c>
      <c r="W9" s="104">
        <f>$U9+$V9</f>
        <v/>
      </c>
      <c r="X9" s="111">
        <f>IFERROR(A9/Q9,0)</f>
        <v/>
      </c>
      <c r="Y9" s="111">
        <f>IFERROR(B9/T9,0)</f>
        <v/>
      </c>
      <c r="Z9" s="111">
        <f>IFERROR(C9/Q9,0)</f>
        <v/>
      </c>
      <c r="AA9" s="111">
        <f>IFERROR(D9/T9,0)</f>
        <v/>
      </c>
      <c r="AC9" s="111">
        <f>IF(T9&gt;0,IFERROR(E9/T9,0),1)</f>
        <v/>
      </c>
      <c r="AD9" s="111">
        <f>IF(Q9&gt;0,IFERROR(F9/Q9,0),1)</f>
        <v/>
      </c>
      <c r="AE9" s="111">
        <f>IF(AK9&gt;0,IFERROR(G9/AK9,0),1)</f>
        <v/>
      </c>
      <c r="AF9" s="111">
        <f>IF(AL9&gt;0,IFERROR(H9/AL9,0),1)</f>
        <v/>
      </c>
      <c r="AG9" s="104">
        <f>T9-(U9+AM9+AQ9)</f>
        <v/>
      </c>
      <c r="AH9" s="104">
        <f>Q9-(U9+AN9+AQ9)</f>
        <v/>
      </c>
      <c r="AI9" s="104">
        <f>(AK9-AO9)</f>
        <v/>
      </c>
      <c r="AJ9" s="104">
        <f>(AL9-AP9)</f>
        <v/>
      </c>
      <c r="AK9" s="110">
        <f>R9+AH9</f>
        <v/>
      </c>
      <c r="AL9" s="110">
        <f>S9+AI9</f>
        <v/>
      </c>
      <c r="AM9" s="104" t="n">
        <v>24400</v>
      </c>
      <c r="AN9" s="104" t="n">
        <v>11240</v>
      </c>
      <c r="AO9" s="104" t="n">
        <v>10280</v>
      </c>
      <c r="AP9" s="104" t="n">
        <v>2880</v>
      </c>
      <c r="AQ9" s="104" t="n">
        <v>0</v>
      </c>
      <c r="AR9" s="104" t="n"/>
      <c r="AS9" s="104" t="n"/>
    </row>
    <row r="10" ht="12.65" customHeight="1" s="79">
      <c r="A10" s="104">
        <f>MIN(U10,Q10)</f>
        <v/>
      </c>
      <c r="B10" s="104">
        <f>MIN(U10,T10)</f>
        <v/>
      </c>
      <c r="C10" s="104">
        <f>MIN(W10,Q10)</f>
        <v/>
      </c>
      <c r="D10" s="104">
        <f>MIN(W10,T10)</f>
        <v/>
      </c>
      <c r="E10" s="104">
        <f>MIN((U10+AM10+AQ10),T10)</f>
        <v/>
      </c>
      <c r="F10" s="104">
        <f>MAX(MIN((U10+AN10+AQ10),Q10),0)</f>
        <v/>
      </c>
      <c r="G10" s="104">
        <f>MAX(MIN(AO10,AK10),0)</f>
        <v/>
      </c>
      <c r="H10" s="104">
        <f>MAX(MIN(AP10,AL10),0)</f>
        <v/>
      </c>
      <c r="I10" s="105" t="inlineStr">
        <is>
          <t>CHANDRAPAL NEGI</t>
        </is>
      </c>
      <c r="J10" s="106" t="inlineStr">
        <is>
          <t>LIFESTYLE</t>
        </is>
      </c>
      <c r="K10" s="107" t="inlineStr">
        <is>
          <t>LS_INFANT ACCESSORIES</t>
        </is>
      </c>
      <c r="L10" s="107" t="inlineStr">
        <is>
          <t>LS_IA_LANGOT</t>
        </is>
      </c>
      <c r="M10" s="107" t="inlineStr">
        <is>
          <t>ARTICLE</t>
        </is>
      </c>
      <c r="N10" s="108" t="n">
        <v>0.117235917917642</v>
      </c>
      <c r="O10" s="108" t="n">
        <v>0.139004149377593</v>
      </c>
      <c r="P10" s="109" t="n">
        <v>159</v>
      </c>
      <c r="Q10" s="110" t="n">
        <v>4247</v>
      </c>
      <c r="R10" s="110" t="n">
        <v>1495.46979623515</v>
      </c>
      <c r="S10" s="110" t="n">
        <v>1626.75912114025</v>
      </c>
      <c r="T10" s="110" t="n">
        <v>7369.2289173754</v>
      </c>
      <c r="U10" s="104" t="n">
        <v>0</v>
      </c>
      <c r="V10" s="104" t="n">
        <v>1350</v>
      </c>
      <c r="W10" s="104">
        <f>$U10+$V10</f>
        <v/>
      </c>
      <c r="X10" s="111">
        <f>IFERROR(A10/Q10,0)</f>
        <v/>
      </c>
      <c r="Y10" s="111">
        <f>IFERROR(B10/T10,0)</f>
        <v/>
      </c>
      <c r="Z10" s="111">
        <f>IFERROR(C10/Q10,0)</f>
        <v/>
      </c>
      <c r="AA10" s="111">
        <f>IFERROR(D10/T10,0)</f>
        <v/>
      </c>
      <c r="AC10" s="111">
        <f>IF(T10&gt;0,IFERROR(E10/T10,0),1)</f>
        <v/>
      </c>
      <c r="AD10" s="111">
        <f>IF(Q10&gt;0,IFERROR(F10/Q10,0),1)</f>
        <v/>
      </c>
      <c r="AE10" s="111">
        <f>IF(AK10&gt;0,IFERROR(G10/AK10,0),1)</f>
        <v/>
      </c>
      <c r="AF10" s="111">
        <f>IF(AL10&gt;0,IFERROR(H10/AL10,0),1)</f>
        <v/>
      </c>
      <c r="AG10" s="104">
        <f>T10-(U10+AM10+AQ10)</f>
        <v/>
      </c>
      <c r="AH10" s="104">
        <f>Q10-(U10+AN10+AQ10)</f>
        <v/>
      </c>
      <c r="AI10" s="104">
        <f>(AK10-AO10)</f>
        <v/>
      </c>
      <c r="AJ10" s="104">
        <f>(AL10-AP10)</f>
        <v/>
      </c>
      <c r="AK10" s="110">
        <f>R10+AH10</f>
        <v/>
      </c>
      <c r="AL10" s="110">
        <f>S10+AI10</f>
        <v/>
      </c>
      <c r="AM10" s="104" t="n">
        <v>8880</v>
      </c>
      <c r="AN10" s="104" t="n">
        <v>4800</v>
      </c>
      <c r="AO10" s="104" t="n">
        <v>4080</v>
      </c>
      <c r="AP10" s="104" t="n">
        <v>0</v>
      </c>
      <c r="AQ10" s="104" t="n">
        <v>0</v>
      </c>
      <c r="AR10" s="104" t="n"/>
      <c r="AS10" s="112" t="n"/>
    </row>
    <row r="11" ht="12.65" customHeight="1" s="79">
      <c r="A11" s="104">
        <f>MIN(U11,Q11)</f>
        <v/>
      </c>
      <c r="B11" s="104">
        <f>MIN(U11,T11)</f>
        <v/>
      </c>
      <c r="C11" s="104">
        <f>MIN(W11,Q11)</f>
        <v/>
      </c>
      <c r="D11" s="104">
        <f>MIN(W11,T11)</f>
        <v/>
      </c>
      <c r="E11" s="104">
        <f>MIN((U11+AM11+AQ11),T11)</f>
        <v/>
      </c>
      <c r="F11" s="104">
        <f>MAX(MIN((U11+AN11+AQ11),Q11),0)</f>
        <v/>
      </c>
      <c r="G11" s="104">
        <f>MAX(MIN(AO11,AK11),0)</f>
        <v/>
      </c>
      <c r="H11" s="104">
        <f>MAX(MIN(AP11,AL11),0)</f>
        <v/>
      </c>
      <c r="I11" s="105" t="inlineStr">
        <is>
          <t>CHANDRAPAL NEGI</t>
        </is>
      </c>
      <c r="J11" s="106" t="inlineStr">
        <is>
          <t>LIFESTYLE</t>
        </is>
      </c>
      <c r="K11" s="107" t="inlineStr">
        <is>
          <t>LS_INFANT ACCESSORIES</t>
        </is>
      </c>
      <c r="L11" s="107" t="inlineStr">
        <is>
          <t>LS_IA_PILLOW</t>
        </is>
      </c>
      <c r="M11" s="107" t="inlineStr">
        <is>
          <t>ARTICLE</t>
        </is>
      </c>
      <c r="N11" s="108" t="n">
        <v>0.146421816850711</v>
      </c>
      <c r="O11" s="108" t="n">
        <v>0.173245001396815</v>
      </c>
      <c r="P11" s="109" t="n">
        <v>131</v>
      </c>
      <c r="Q11" s="110" t="n">
        <v>5416</v>
      </c>
      <c r="R11" s="110" t="n">
        <v>515.719909089366</v>
      </c>
      <c r="S11" s="110" t="n">
        <v>1115.93694133623</v>
      </c>
      <c r="T11" s="110" t="n">
        <v>7047.6568504256</v>
      </c>
      <c r="U11" s="104" t="n">
        <v>0</v>
      </c>
      <c r="V11" s="104" t="n">
        <v>0</v>
      </c>
      <c r="W11" s="104">
        <f>$U11+$V11</f>
        <v/>
      </c>
      <c r="X11" s="111">
        <f>IFERROR(A11/Q11,0)</f>
        <v/>
      </c>
      <c r="Y11" s="111">
        <f>IFERROR(B11/T11,0)</f>
        <v/>
      </c>
      <c r="Z11" s="111">
        <f>IFERROR(C11/Q11,0)</f>
        <v/>
      </c>
      <c r="AA11" s="111">
        <f>IFERROR(D11/T11,0)</f>
        <v/>
      </c>
      <c r="AC11" s="111">
        <f>IF(T11&gt;0,IFERROR(E11/T11,0),1)</f>
        <v/>
      </c>
      <c r="AD11" s="111">
        <f>IF(Q11&gt;0,IFERROR(F11/Q11,0),1)</f>
        <v/>
      </c>
      <c r="AE11" s="111">
        <f>IF(AK11&gt;0,IFERROR(G11/AK11,0),1)</f>
        <v/>
      </c>
      <c r="AF11" s="111">
        <f>IF(AL11&gt;0,IFERROR(H11/AL11,0),1)</f>
        <v/>
      </c>
      <c r="AG11" s="104">
        <f>T11-(U11+AM11+AQ11)</f>
        <v/>
      </c>
      <c r="AH11" s="104">
        <f>Q11-(U11+AN11+AQ11)</f>
        <v/>
      </c>
      <c r="AI11" s="104">
        <f>(AK11-AO11)</f>
        <v/>
      </c>
      <c r="AJ11" s="104">
        <f>(AL11-AP11)</f>
        <v/>
      </c>
      <c r="AK11" s="110">
        <f>R11+AH11</f>
        <v/>
      </c>
      <c r="AL11" s="110">
        <f>S11+AI11</f>
        <v/>
      </c>
      <c r="AM11" s="104" t="n">
        <v>14400</v>
      </c>
      <c r="AN11" s="104" t="n">
        <v>6000</v>
      </c>
      <c r="AO11" s="104" t="n">
        <v>8400</v>
      </c>
      <c r="AP11" s="104" t="n">
        <v>0</v>
      </c>
      <c r="AQ11" s="104" t="n">
        <v>0</v>
      </c>
      <c r="AR11" s="104" t="n"/>
      <c r="AS11" s="112" t="n"/>
    </row>
    <row r="12" ht="12.65" customHeight="1" s="79">
      <c r="A12" s="104">
        <f>MIN(U12,Q12)</f>
        <v/>
      </c>
      <c r="B12" s="104">
        <f>MIN(U12,T12)</f>
        <v/>
      </c>
      <c r="C12" s="104">
        <f>MIN(W12,Q12)</f>
        <v/>
      </c>
      <c r="D12" s="104">
        <f>MIN(W12,T12)</f>
        <v/>
      </c>
      <c r="E12" s="104">
        <f>MIN((U12+AM12+AQ12),T12)</f>
        <v/>
      </c>
      <c r="F12" s="104">
        <f>MAX(MIN((U12+AN12+AQ12),Q12),0)</f>
        <v/>
      </c>
      <c r="G12" s="104">
        <f>MAX(MIN(AO12,AK12),0)</f>
        <v/>
      </c>
      <c r="H12" s="104">
        <f>MAX(MIN(AP12,AL12),0)</f>
        <v/>
      </c>
      <c r="I12" s="105" t="inlineStr">
        <is>
          <t>CHANDRAPAL NEGI</t>
        </is>
      </c>
      <c r="J12" s="106" t="inlineStr">
        <is>
          <t>LIFESTYLE</t>
        </is>
      </c>
      <c r="K12" s="107" t="inlineStr">
        <is>
          <t>LS_INFANT ACCESSORIES</t>
        </is>
      </c>
      <c r="L12" s="107" t="inlineStr">
        <is>
          <t>LS_IA_BRUSH</t>
        </is>
      </c>
      <c r="M12" s="107" t="inlineStr">
        <is>
          <t>ARTICLE</t>
        </is>
      </c>
      <c r="N12" s="108" t="n">
        <v>0</v>
      </c>
      <c r="O12" s="108" t="n">
        <v>0</v>
      </c>
      <c r="P12" s="109" t="n">
        <v>174</v>
      </c>
      <c r="Q12" s="110" t="n">
        <v>1998</v>
      </c>
      <c r="R12" s="110" t="n">
        <v>698.710175950546</v>
      </c>
      <c r="S12" s="110" t="n">
        <v>714.1542051377201</v>
      </c>
      <c r="T12" s="110" t="n">
        <v>3410.86438108827</v>
      </c>
      <c r="U12" s="104" t="n">
        <v>0</v>
      </c>
      <c r="V12" s="104" t="n">
        <v>0</v>
      </c>
      <c r="W12" s="104">
        <f>$U12+$V12</f>
        <v/>
      </c>
      <c r="X12" s="111">
        <f>IFERROR(A12/Q12,0)</f>
        <v/>
      </c>
      <c r="Y12" s="111">
        <f>IFERROR(B12/T12,0)</f>
        <v/>
      </c>
      <c r="Z12" s="111">
        <f>IFERROR(C12/Q12,0)</f>
        <v/>
      </c>
      <c r="AA12" s="111">
        <f>IFERROR(D12/T12,0)</f>
        <v/>
      </c>
      <c r="AC12" s="111">
        <f>IF(T12&gt;0,IFERROR(E12/T12,0),1)</f>
        <v/>
      </c>
      <c r="AD12" s="111">
        <f>IF(Q12&gt;0,IFERROR(F12/Q12,0),1)</f>
        <v/>
      </c>
      <c r="AE12" s="111">
        <f>IF(AK12&gt;0,IFERROR(G12/AK12,0),1)</f>
        <v/>
      </c>
      <c r="AF12" s="111">
        <f>IF(AL12&gt;0,IFERROR(H12/AL12,0),1)</f>
        <v/>
      </c>
      <c r="AG12" s="104">
        <f>T12-(U12+AM12+AQ12)</f>
        <v/>
      </c>
      <c r="AH12" s="104">
        <f>Q12-(U12+AN12+AQ12)</f>
        <v/>
      </c>
      <c r="AI12" s="104">
        <f>(AK12-AO12)</f>
        <v/>
      </c>
      <c r="AJ12" s="104">
        <f>(AL12-AP12)</f>
        <v/>
      </c>
      <c r="AK12" s="110">
        <f>R12+AH12</f>
        <v/>
      </c>
      <c r="AL12" s="110">
        <f>S12+AI12</f>
        <v/>
      </c>
      <c r="AM12" s="104" t="n">
        <v>0</v>
      </c>
      <c r="AN12" s="104" t="n">
        <v>0</v>
      </c>
      <c r="AO12" s="104" t="n">
        <v>0</v>
      </c>
      <c r="AP12" s="104" t="n">
        <v>0</v>
      </c>
      <c r="AQ12" s="104" t="n">
        <v>0</v>
      </c>
      <c r="AR12" s="104" t="n"/>
      <c r="AS12" s="104" t="n"/>
    </row>
    <row r="13" ht="12.65" customHeight="1" s="79">
      <c r="A13" s="104">
        <f>MIN(U13,Q13)</f>
        <v/>
      </c>
      <c r="B13" s="104">
        <f>MIN(U13,T13)</f>
        <v/>
      </c>
      <c r="C13" s="104">
        <f>MIN(W13,Q13)</f>
        <v/>
      </c>
      <c r="D13" s="104">
        <f>MIN(W13,T13)</f>
        <v/>
      </c>
      <c r="E13" s="104">
        <f>MIN((U13+AM13+AQ13),T13)</f>
        <v/>
      </c>
      <c r="F13" s="104">
        <f>MAX(MIN((U13+AN13+AQ13),Q13),0)</f>
        <v/>
      </c>
      <c r="G13" s="104">
        <f>MAX(MIN(AO13,AK13),0)</f>
        <v/>
      </c>
      <c r="H13" s="104">
        <f>MAX(MIN(AP13,AL13),0)</f>
        <v/>
      </c>
      <c r="I13" s="105" t="inlineStr">
        <is>
          <t>CHANDRAPAL NEGI</t>
        </is>
      </c>
      <c r="J13" s="106" t="inlineStr">
        <is>
          <t>LIFESTYLE</t>
        </is>
      </c>
      <c r="K13" s="107" t="inlineStr">
        <is>
          <t>LS_INFANT ACCESSORIES</t>
        </is>
      </c>
      <c r="L13" s="107" t="inlineStr">
        <is>
          <t>LS_IA_BOOTY</t>
        </is>
      </c>
      <c r="M13" s="107" t="inlineStr">
        <is>
          <t>ARTICLE</t>
        </is>
      </c>
      <c r="N13" s="108" t="n">
        <v>0.168294070246955</v>
      </c>
      <c r="O13" s="108" t="n">
        <v>0.153766001786246</v>
      </c>
      <c r="P13" s="109" t="n">
        <v>129</v>
      </c>
      <c r="Q13" s="110" t="n">
        <v>3373</v>
      </c>
      <c r="R13" s="110" t="n">
        <v>0</v>
      </c>
      <c r="S13" s="110" t="n">
        <v>0</v>
      </c>
      <c r="T13" s="110" t="n">
        <v>3373</v>
      </c>
      <c r="U13" s="104" t="n">
        <v>2400</v>
      </c>
      <c r="V13" s="104" t="n">
        <v>2346</v>
      </c>
      <c r="W13" s="104">
        <f>$U13+$V13</f>
        <v/>
      </c>
      <c r="X13" s="111">
        <f>IFERROR(A13/Q13,0)</f>
        <v/>
      </c>
      <c r="Y13" s="111">
        <f>IFERROR(B13/T13,0)</f>
        <v/>
      </c>
      <c r="Z13" s="111">
        <f>IFERROR(C13/Q13,0)</f>
        <v/>
      </c>
      <c r="AA13" s="111">
        <f>IFERROR(D13/T13,0)</f>
        <v/>
      </c>
      <c r="AC13" s="111">
        <f>IF(T13&gt;0,IFERROR(E13/T13,0),1)</f>
        <v/>
      </c>
      <c r="AD13" s="111">
        <f>IF(Q13&gt;0,IFERROR(F13/Q13,0),1)</f>
        <v/>
      </c>
      <c r="AE13" s="111">
        <f>IF(AK13&gt;0,IFERROR(G13/AK13,0),1)</f>
        <v/>
      </c>
      <c r="AF13" s="111">
        <f>IF(AL13&gt;0,IFERROR(H13/AL13,0),1)</f>
        <v/>
      </c>
      <c r="AG13" s="104">
        <f>T13-(U13+AM13+AQ13)</f>
        <v/>
      </c>
      <c r="AH13" s="104">
        <f>Q13-(U13+AN13+AQ13)</f>
        <v/>
      </c>
      <c r="AI13" s="104">
        <f>(AK13-AO13)</f>
        <v/>
      </c>
      <c r="AJ13" s="104">
        <f>(AL13-AP13)</f>
        <v/>
      </c>
      <c r="AK13" s="110">
        <f>R13+AH13</f>
        <v/>
      </c>
      <c r="AL13" s="110">
        <f>S13+AI13</f>
        <v/>
      </c>
      <c r="AM13" s="104" t="n">
        <v>7200</v>
      </c>
      <c r="AN13" s="104" t="n">
        <v>2400</v>
      </c>
      <c r="AO13" s="104" t="n">
        <v>4800</v>
      </c>
      <c r="AP13" s="104" t="n">
        <v>0</v>
      </c>
      <c r="AQ13" s="104" t="n">
        <v>0</v>
      </c>
      <c r="AR13" s="104" t="n"/>
      <c r="AS13" s="104" t="n"/>
    </row>
    <row r="14" ht="12.65" customHeight="1" s="79">
      <c r="A14" s="104">
        <f>MIN(U14,Q14)</f>
        <v/>
      </c>
      <c r="B14" s="104">
        <f>MIN(U14,T14)</f>
        <v/>
      </c>
      <c r="C14" s="104">
        <f>MIN(W14,Q14)</f>
        <v/>
      </c>
      <c r="D14" s="104">
        <f>MIN(W14,T14)</f>
        <v/>
      </c>
      <c r="E14" s="104">
        <f>MIN((U14+AM14+AQ14),T14)</f>
        <v/>
      </c>
      <c r="F14" s="104">
        <f>MAX(MIN((U14+AN14+AQ14),Q14),0)</f>
        <v/>
      </c>
      <c r="G14" s="104">
        <f>MAX(MIN(AO14,AK14),0)</f>
        <v/>
      </c>
      <c r="H14" s="104">
        <f>MAX(MIN(AP14,AL14),0)</f>
        <v/>
      </c>
      <c r="I14" s="105" t="inlineStr">
        <is>
          <t>CHANDRAPAL NEGI</t>
        </is>
      </c>
      <c r="J14" s="106" t="inlineStr">
        <is>
          <t>LIFESTYLE</t>
        </is>
      </c>
      <c r="K14" s="107" t="inlineStr">
        <is>
          <t>LS_INFANT ACCESSORIES</t>
        </is>
      </c>
      <c r="L14" s="107" t="inlineStr">
        <is>
          <t>LS_IA_BIB</t>
        </is>
      </c>
      <c r="M14" s="107" t="inlineStr">
        <is>
          <t>ARTICLE</t>
        </is>
      </c>
      <c r="N14" s="108" t="n">
        <v>0.110730339578975</v>
      </c>
      <c r="O14" s="108" t="n">
        <v>0.118025898884144</v>
      </c>
      <c r="P14" s="109" t="n">
        <v>160</v>
      </c>
      <c r="Q14" s="110" t="n">
        <v>2842</v>
      </c>
      <c r="R14" s="110" t="n">
        <v>0</v>
      </c>
      <c r="S14" s="110" t="n">
        <v>216.056072577888</v>
      </c>
      <c r="T14" s="110" t="n">
        <v>3058.05607257789</v>
      </c>
      <c r="U14" s="104" t="n">
        <v>0</v>
      </c>
      <c r="V14" s="104" t="n">
        <v>3720</v>
      </c>
      <c r="W14" s="104">
        <f>$U14+$V14</f>
        <v/>
      </c>
      <c r="X14" s="111">
        <f>IFERROR(A14/Q14,0)</f>
        <v/>
      </c>
      <c r="Y14" s="111">
        <f>IFERROR(B14/T14,0)</f>
        <v/>
      </c>
      <c r="Z14" s="111">
        <f>IFERROR(C14/Q14,0)</f>
        <v/>
      </c>
      <c r="AA14" s="111">
        <f>IFERROR(D14/T14,0)</f>
        <v/>
      </c>
      <c r="AC14" s="111">
        <f>IF(T14&gt;0,IFERROR(E14/T14,0),1)</f>
        <v/>
      </c>
      <c r="AD14" s="111">
        <f>IF(Q14&gt;0,IFERROR(F14/Q14,0),1)</f>
        <v/>
      </c>
      <c r="AE14" s="111">
        <f>IF(AK14&gt;0,IFERROR(G14/AK14,0),1)</f>
        <v/>
      </c>
      <c r="AF14" s="111">
        <f>IF(AL14&gt;0,IFERROR(H14/AL14,0),1)</f>
        <v/>
      </c>
      <c r="AG14" s="104">
        <f>T14-(U14+AM14+AQ14)</f>
        <v/>
      </c>
      <c r="AH14" s="104">
        <f>Q14-(U14+AN14+AQ14)</f>
        <v/>
      </c>
      <c r="AI14" s="104">
        <f>(AK14-AO14)</f>
        <v/>
      </c>
      <c r="AJ14" s="104">
        <f>(AL14-AP14)</f>
        <v/>
      </c>
      <c r="AK14" s="110">
        <f>R14+AH14</f>
        <v/>
      </c>
      <c r="AL14" s="110">
        <f>S14+AI14</f>
        <v/>
      </c>
      <c r="AM14" s="104" t="n">
        <v>11520</v>
      </c>
      <c r="AN14" s="104" t="n">
        <v>5760</v>
      </c>
      <c r="AO14" s="104" t="n">
        <v>2880</v>
      </c>
      <c r="AP14" s="104" t="n">
        <v>2880</v>
      </c>
      <c r="AQ14" s="104" t="n">
        <v>0</v>
      </c>
      <c r="AR14" s="104" t="n"/>
      <c r="AS14" s="104" t="n"/>
    </row>
    <row r="15" ht="12.65" customHeight="1" s="79">
      <c r="A15" s="104">
        <f>MIN(U15,Q15)</f>
        <v/>
      </c>
      <c r="B15" s="104">
        <f>MIN(U15,T15)</f>
        <v/>
      </c>
      <c r="C15" s="104">
        <f>MIN(W15,Q15)</f>
        <v/>
      </c>
      <c r="D15" s="104">
        <f>MIN(W15,T15)</f>
        <v/>
      </c>
      <c r="E15" s="104">
        <f>MIN((U15+AM15+AQ15),T15)</f>
        <v/>
      </c>
      <c r="F15" s="104">
        <f>MAX(MIN((U15+AN15+AQ15),Q15),0)</f>
        <v/>
      </c>
      <c r="G15" s="104">
        <f>MAX(MIN(AO15,AK15),0)</f>
        <v/>
      </c>
      <c r="H15" s="104">
        <f>MAX(MIN(AP15,AL15),0)</f>
        <v/>
      </c>
      <c r="I15" s="105" t="inlineStr">
        <is>
          <t>CHANDRAPAL NEGI</t>
        </is>
      </c>
      <c r="J15" s="106" t="inlineStr">
        <is>
          <t>LIFESTYLE</t>
        </is>
      </c>
      <c r="K15" s="107" t="inlineStr">
        <is>
          <t>LS_INFANT ACCESSORIES</t>
        </is>
      </c>
      <c r="L15" s="107" t="inlineStr">
        <is>
          <t>LS_IA_TOWEL</t>
        </is>
      </c>
      <c r="M15" s="107" t="inlineStr">
        <is>
          <t>ARTICLE</t>
        </is>
      </c>
      <c r="N15" s="108" t="n">
        <v>0.107197716305308</v>
      </c>
      <c r="O15" s="108" t="n">
        <v>0.086711469617804</v>
      </c>
      <c r="P15" s="109" t="n">
        <v>112</v>
      </c>
      <c r="Q15" s="110" t="n">
        <v>1132</v>
      </c>
      <c r="R15" s="110" t="n">
        <v>0</v>
      </c>
      <c r="S15" s="110" t="n">
        <v>304.29874117525</v>
      </c>
      <c r="T15" s="110" t="n">
        <v>1436.29874117525</v>
      </c>
      <c r="U15" s="104" t="n">
        <v>3000</v>
      </c>
      <c r="V15" s="104" t="n">
        <v>0</v>
      </c>
      <c r="W15" s="104">
        <f>$U15+$V15</f>
        <v/>
      </c>
      <c r="X15" s="111">
        <f>IFERROR(A15/Q15,0)</f>
        <v/>
      </c>
      <c r="Y15" s="111">
        <f>IFERROR(B15/T15,0)</f>
        <v/>
      </c>
      <c r="Z15" s="111">
        <f>IFERROR(C15/Q15,0)</f>
        <v/>
      </c>
      <c r="AA15" s="111">
        <f>IFERROR(D15/T15,0)</f>
        <v/>
      </c>
      <c r="AC15" s="111">
        <f>IF(T15&gt;0,IFERROR(E15/T15,0),1)</f>
        <v/>
      </c>
      <c r="AD15" s="111">
        <f>IF(Q15&gt;0,IFERROR(F15/Q15,0),1)</f>
        <v/>
      </c>
      <c r="AE15" s="111">
        <f>IF(AK15&gt;0,IFERROR(G15/AK15,0),1)</f>
        <v/>
      </c>
      <c r="AF15" s="111">
        <f>IF(AL15&gt;0,IFERROR(H15/AL15,0),1)</f>
        <v/>
      </c>
      <c r="AG15" s="104">
        <f>T15-(U15+AM15+AQ15)</f>
        <v/>
      </c>
      <c r="AH15" s="104">
        <f>Q15-(U15+AN15+AQ15)</f>
        <v/>
      </c>
      <c r="AI15" s="104">
        <f>(AK15-AO15)</f>
        <v/>
      </c>
      <c r="AJ15" s="104">
        <f>(AL15-AP15)</f>
        <v/>
      </c>
      <c r="AK15" s="110">
        <f>R15+AH15</f>
        <v/>
      </c>
      <c r="AL15" s="110">
        <f>S15+AI15</f>
        <v/>
      </c>
      <c r="AM15" s="104" t="n">
        <v>0</v>
      </c>
      <c r="AN15" s="104" t="n">
        <v>0</v>
      </c>
      <c r="AO15" s="104" t="n">
        <v>0</v>
      </c>
      <c r="AP15" s="104" t="n">
        <v>0</v>
      </c>
      <c r="AQ15" s="104" t="n">
        <v>0</v>
      </c>
      <c r="AR15" s="104" t="n"/>
      <c r="AS15" s="104" t="n"/>
    </row>
    <row r="16" ht="12.65" customHeight="1" s="79">
      <c r="A16" s="104">
        <f>MIN(U16,Q16)</f>
        <v/>
      </c>
      <c r="B16" s="104">
        <f>MIN(U16,T16)</f>
        <v/>
      </c>
      <c r="C16" s="104">
        <f>MIN(W16,Q16)</f>
        <v/>
      </c>
      <c r="D16" s="104">
        <f>MIN(W16,T16)</f>
        <v/>
      </c>
      <c r="E16" s="104">
        <f>MIN((U16+AM16+AQ16),T16)</f>
        <v/>
      </c>
      <c r="F16" s="104">
        <f>MAX(MIN((U16+AN16+AQ16),Q16),0)</f>
        <v/>
      </c>
      <c r="G16" s="104">
        <f>MAX(MIN(AO16,AK16),0)</f>
        <v/>
      </c>
      <c r="H16" s="104">
        <f>MAX(MIN(AP16,AL16),0)</f>
        <v/>
      </c>
      <c r="I16" s="105" t="inlineStr">
        <is>
          <t>CHANDRAPAL NEGI</t>
        </is>
      </c>
      <c r="J16" s="106" t="inlineStr">
        <is>
          <t>LIFESTYLE</t>
        </is>
      </c>
      <c r="K16" s="107" t="inlineStr">
        <is>
          <t>LS_INFANT ACCESSORIES</t>
        </is>
      </c>
      <c r="L16" s="107" t="inlineStr">
        <is>
          <t>LS_IA_CAP</t>
        </is>
      </c>
      <c r="M16" s="107" t="inlineStr">
        <is>
          <t>ARTICLE</t>
        </is>
      </c>
      <c r="N16" s="108" t="n">
        <v>0.0868277366929632</v>
      </c>
      <c r="O16" s="108" t="n">
        <v>0.0820503279222289</v>
      </c>
      <c r="P16" s="109" t="n">
        <v>170</v>
      </c>
      <c r="Q16" s="110" t="n">
        <v>738</v>
      </c>
      <c r="R16" s="110" t="n">
        <v>143.915032971116</v>
      </c>
      <c r="S16" s="110" t="n">
        <v>205.626476224508</v>
      </c>
      <c r="T16" s="110" t="n">
        <v>1087.54150919562</v>
      </c>
      <c r="U16" s="104" t="n">
        <v>0</v>
      </c>
      <c r="V16" s="104" t="n">
        <v>0</v>
      </c>
      <c r="W16" s="104">
        <f>$U16+$V16</f>
        <v/>
      </c>
      <c r="X16" s="111">
        <f>IFERROR(A16/Q16,0)</f>
        <v/>
      </c>
      <c r="Y16" s="111">
        <f>IFERROR(B16/T16,0)</f>
        <v/>
      </c>
      <c r="Z16" s="111">
        <f>IFERROR(C16/Q16,0)</f>
        <v/>
      </c>
      <c r="AA16" s="111">
        <f>IFERROR(D16/T16,0)</f>
        <v/>
      </c>
      <c r="AC16" s="111">
        <f>IF(T16&gt;0,IFERROR(E16/T16,0),1)</f>
        <v/>
      </c>
      <c r="AD16" s="111">
        <f>IF(Q16&gt;0,IFERROR(F16/Q16,0),1)</f>
        <v/>
      </c>
      <c r="AE16" s="111">
        <f>IF(AK16&gt;0,IFERROR(G16/AK16,0),1)</f>
        <v/>
      </c>
      <c r="AF16" s="111">
        <f>IF(AL16&gt;0,IFERROR(H16/AL16,0),1)</f>
        <v/>
      </c>
      <c r="AG16" s="104">
        <f>T16-(U16+AM16+AQ16)</f>
        <v/>
      </c>
      <c r="AH16" s="104">
        <f>Q16-(U16+AN16+AQ16)</f>
        <v/>
      </c>
      <c r="AI16" s="104">
        <f>(AK16-AO16)</f>
        <v/>
      </c>
      <c r="AJ16" s="104">
        <f>(AL16-AP16)</f>
        <v/>
      </c>
      <c r="AK16" s="110">
        <f>R16+AH16</f>
        <v/>
      </c>
      <c r="AL16" s="110">
        <f>S16+AI16</f>
        <v/>
      </c>
      <c r="AM16" s="104" t="n">
        <v>0</v>
      </c>
      <c r="AN16" s="104" t="n">
        <v>0</v>
      </c>
      <c r="AO16" s="104" t="n">
        <v>0</v>
      </c>
      <c r="AP16" s="104" t="n">
        <v>0</v>
      </c>
      <c r="AQ16" s="104" t="n">
        <v>0</v>
      </c>
      <c r="AR16" s="104" t="n"/>
      <c r="AS16" s="104" t="n"/>
    </row>
    <row r="17" ht="12.65" customHeight="1" s="79">
      <c r="A17" s="104">
        <f>MIN(U17,Q17)</f>
        <v/>
      </c>
      <c r="B17" s="104">
        <f>MIN(U17,T17)</f>
        <v/>
      </c>
      <c r="C17" s="104">
        <f>MIN(W17,Q17)</f>
        <v/>
      </c>
      <c r="D17" s="104">
        <f>MIN(W17,T17)</f>
        <v/>
      </c>
      <c r="E17" s="104">
        <f>MIN((U17+AM17+AQ17),T17)</f>
        <v/>
      </c>
      <c r="F17" s="104">
        <f>MAX(MIN((U17+AN17+AQ17),Q17),0)</f>
        <v/>
      </c>
      <c r="G17" s="104">
        <f>MAX(MIN(AO17,AK17),0)</f>
        <v/>
      </c>
      <c r="H17" s="104">
        <f>MAX(MIN(AP17,AL17),0)</f>
        <v/>
      </c>
      <c r="I17" s="105" t="inlineStr">
        <is>
          <t>CHANDRAPAL NEGI</t>
        </is>
      </c>
      <c r="J17" s="106" t="inlineStr">
        <is>
          <t>LIFESTYLE</t>
        </is>
      </c>
      <c r="K17" s="107" t="inlineStr">
        <is>
          <t>LS_INFANT ACCESSORIES</t>
        </is>
      </c>
      <c r="L17" s="107" t="inlineStr">
        <is>
          <t>LS_IA_BABY BEDING</t>
        </is>
      </c>
      <c r="M17" s="107" t="inlineStr">
        <is>
          <t>ARTICLE</t>
        </is>
      </c>
      <c r="N17" s="108" t="n">
        <v>0.13222443309462</v>
      </c>
      <c r="O17" s="108" t="n">
        <v>0.13291764341897</v>
      </c>
      <c r="P17" s="109" t="n">
        <v>53</v>
      </c>
      <c r="Q17" s="110" t="n">
        <v>0</v>
      </c>
      <c r="R17" s="110" t="n">
        <v>0</v>
      </c>
      <c r="S17" s="110" t="n">
        <v>0</v>
      </c>
      <c r="T17" s="110" t="n">
        <v>0</v>
      </c>
      <c r="U17" s="104" t="n">
        <v>2400</v>
      </c>
      <c r="V17" s="104" t="n">
        <v>4788</v>
      </c>
      <c r="W17" s="104">
        <f>$U17+$V17</f>
        <v/>
      </c>
      <c r="X17" s="111">
        <f>IFERROR(A17/Q17,0)</f>
        <v/>
      </c>
      <c r="Y17" s="111">
        <f>IFERROR(B17/T17,0)</f>
        <v/>
      </c>
      <c r="Z17" s="111">
        <f>IFERROR(C17/Q17,0)</f>
        <v/>
      </c>
      <c r="AA17" s="111">
        <f>IFERROR(D17/T17,0)</f>
        <v/>
      </c>
      <c r="AC17" s="111">
        <f>IF(T17&gt;0,IFERROR(E17/T17,0),1)</f>
        <v/>
      </c>
      <c r="AD17" s="111">
        <f>IF(Q17&gt;0,IFERROR(F17/Q17,0),1)</f>
        <v/>
      </c>
      <c r="AE17" s="111">
        <f>IF(AK17&gt;0,IFERROR(G17/AK17,0),1)</f>
        <v/>
      </c>
      <c r="AF17" s="111">
        <f>IF(AL17&gt;0,IFERROR(H17/AL17,0),1)</f>
        <v/>
      </c>
      <c r="AG17" s="104">
        <f>T17-(U17+AM17+AQ17)</f>
        <v/>
      </c>
      <c r="AH17" s="104">
        <f>Q17-(U17+AN17+AQ17)</f>
        <v/>
      </c>
      <c r="AI17" s="104">
        <f>(AK17-AO17)</f>
        <v/>
      </c>
      <c r="AJ17" s="104">
        <f>(AL17-AP17)</f>
        <v/>
      </c>
      <c r="AK17" s="110">
        <f>R17+AH17</f>
        <v/>
      </c>
      <c r="AL17" s="110">
        <f>S17+AI17</f>
        <v/>
      </c>
      <c r="AM17" s="104" t="n">
        <v>23520</v>
      </c>
      <c r="AN17" s="104" t="n">
        <v>7200</v>
      </c>
      <c r="AO17" s="104" t="n">
        <v>8640</v>
      </c>
      <c r="AP17" s="104" t="n">
        <v>7680</v>
      </c>
      <c r="AQ17" s="104" t="n">
        <v>0</v>
      </c>
      <c r="AR17" s="104" t="n"/>
      <c r="AS17" s="104" t="n"/>
    </row>
    <row r="18" ht="12.65" customHeight="1" s="79">
      <c r="A18" s="104">
        <f>MIN(U18,Q18)</f>
        <v/>
      </c>
      <c r="B18" s="104">
        <f>MIN(U18,T18)</f>
        <v/>
      </c>
      <c r="C18" s="104">
        <f>MIN(W18,Q18)</f>
        <v/>
      </c>
      <c r="D18" s="104">
        <f>MIN(W18,T18)</f>
        <v/>
      </c>
      <c r="E18" s="104">
        <f>MIN((U18+AM18+AQ18),T18)</f>
        <v/>
      </c>
      <c r="F18" s="104">
        <f>MAX(MIN((U18+AN18+AQ18),Q18),0)</f>
        <v/>
      </c>
      <c r="G18" s="104">
        <f>MAX(MIN(AO18,AK18),0)</f>
        <v/>
      </c>
      <c r="H18" s="104">
        <f>MAX(MIN(AP18,AL18),0)</f>
        <v/>
      </c>
      <c r="I18" s="105" t="inlineStr">
        <is>
          <t>CHANDRAPAL NEGI</t>
        </is>
      </c>
      <c r="J18" s="106" t="inlineStr">
        <is>
          <t>LIFESTYLE</t>
        </is>
      </c>
      <c r="K18" s="107" t="inlineStr">
        <is>
          <t>LS_KIDS ACCESSORIES</t>
        </is>
      </c>
      <c r="L18" s="107" t="inlineStr">
        <is>
          <t>LS_KB_SOCKS</t>
        </is>
      </c>
      <c r="M18" s="107" t="inlineStr">
        <is>
          <t>ARTICLE</t>
        </is>
      </c>
      <c r="N18" s="108" t="n">
        <v>0</v>
      </c>
      <c r="O18" s="108" t="n">
        <v>0</v>
      </c>
      <c r="P18" s="109" t="n">
        <v>73</v>
      </c>
      <c r="Q18" s="110" t="n">
        <v>58702</v>
      </c>
      <c r="R18" s="110" t="n">
        <v>39933.3375894277</v>
      </c>
      <c r="S18" s="110" t="n">
        <v>7175.55942738987</v>
      </c>
      <c r="T18" s="110" t="n">
        <v>105810.897016818</v>
      </c>
      <c r="U18" s="104" t="n">
        <v>31164</v>
      </c>
      <c r="V18" s="104" t="n">
        <v>9600</v>
      </c>
      <c r="W18" s="104">
        <f>$U18+$V18</f>
        <v/>
      </c>
      <c r="X18" s="111">
        <f>IFERROR(A18/Q18,0)</f>
        <v/>
      </c>
      <c r="Y18" s="111">
        <f>IFERROR(B18/T18,0)</f>
        <v/>
      </c>
      <c r="Z18" s="111">
        <f>IFERROR(C18/Q18,0)</f>
        <v/>
      </c>
      <c r="AA18" s="111">
        <f>IFERROR(D18/T18,0)</f>
        <v/>
      </c>
      <c r="AC18" s="111">
        <f>IF(T18&gt;0,IFERROR(E18/T18,0),1)</f>
        <v/>
      </c>
      <c r="AD18" s="111">
        <f>IF(Q18&gt;0,IFERROR(F18/Q18,0),1)</f>
        <v/>
      </c>
      <c r="AE18" s="111">
        <f>IF(AK18&gt;0,IFERROR(G18/AK18,0),1)</f>
        <v/>
      </c>
      <c r="AF18" s="111">
        <f>IF(AL18&gt;0,IFERROR(H18/AL18,0),1)</f>
        <v/>
      </c>
      <c r="AG18" s="104">
        <f>T18-(U18+AM18+AQ18)</f>
        <v/>
      </c>
      <c r="AH18" s="104">
        <f>Q18-(U18+AN18+AQ18)</f>
        <v/>
      </c>
      <c r="AI18" s="104">
        <f>(AK18-AO18)</f>
        <v/>
      </c>
      <c r="AJ18" s="104">
        <f>(AL18-AP18)</f>
        <v/>
      </c>
      <c r="AK18" s="110">
        <f>R18+AH18</f>
        <v/>
      </c>
      <c r="AL18" s="110">
        <f>S18+AI18</f>
        <v/>
      </c>
      <c r="AM18" s="104" t="n">
        <v>81636</v>
      </c>
      <c r="AN18" s="104" t="n">
        <v>19236</v>
      </c>
      <c r="AO18" s="104" t="n">
        <v>52800</v>
      </c>
      <c r="AP18" s="104" t="n">
        <v>9600</v>
      </c>
      <c r="AQ18" s="104" t="n">
        <v>0</v>
      </c>
      <c r="AR18" s="104" t="n"/>
      <c r="AS18" s="112" t="n"/>
    </row>
    <row r="19" ht="12.65" customHeight="1" s="79">
      <c r="A19" s="104">
        <f>MIN(U19,Q19)</f>
        <v/>
      </c>
      <c r="B19" s="104">
        <f>MIN(U19,T19)</f>
        <v/>
      </c>
      <c r="C19" s="104">
        <f>MIN(W19,Q19)</f>
        <v/>
      </c>
      <c r="D19" s="104">
        <f>MIN(W19,T19)</f>
        <v/>
      </c>
      <c r="E19" s="104">
        <f>MIN((U19+AM19+AQ19),T19)</f>
        <v/>
      </c>
      <c r="F19" s="104">
        <f>MAX(MIN((U19+AN19+AQ19),Q19),0)</f>
        <v/>
      </c>
      <c r="G19" s="104">
        <f>MAX(MIN(AO19,AK19),0)</f>
        <v/>
      </c>
      <c r="H19" s="104">
        <f>MAX(MIN(AP19,AL19),0)</f>
        <v/>
      </c>
      <c r="I19" s="105" t="inlineStr">
        <is>
          <t>CHANDRAPAL NEGI</t>
        </is>
      </c>
      <c r="J19" s="106" t="inlineStr">
        <is>
          <t>LIFESTYLE</t>
        </is>
      </c>
      <c r="K19" s="107" t="inlineStr">
        <is>
          <t>LS_KIDS ACCESSORIES</t>
        </is>
      </c>
      <c r="L19" s="107" t="inlineStr">
        <is>
          <t>LS_KG_SOCKS</t>
        </is>
      </c>
      <c r="M19" s="107" t="inlineStr">
        <is>
          <t>ARTICLE</t>
        </is>
      </c>
      <c r="N19" s="108" t="n">
        <v>0</v>
      </c>
      <c r="O19" s="108" t="n">
        <v>0</v>
      </c>
      <c r="P19" s="109" t="n">
        <v>109</v>
      </c>
      <c r="Q19" s="110" t="n">
        <v>32668</v>
      </c>
      <c r="R19" s="110" t="n">
        <v>19719.1633157731</v>
      </c>
      <c r="S19" s="110" t="n">
        <v>4581.68724236397</v>
      </c>
      <c r="T19" s="110" t="n">
        <v>56968.8505581371</v>
      </c>
      <c r="U19" s="104" t="n">
        <v>14400</v>
      </c>
      <c r="V19" s="104" t="n">
        <v>0</v>
      </c>
      <c r="W19" s="104">
        <f>$U19+$V19</f>
        <v/>
      </c>
      <c r="X19" s="111">
        <f>IFERROR(A19/Q19,0)</f>
        <v/>
      </c>
      <c r="Y19" s="111">
        <f>IFERROR(B19/T19,0)</f>
        <v/>
      </c>
      <c r="Z19" s="111">
        <f>IFERROR(C19/Q19,0)</f>
        <v/>
      </c>
      <c r="AA19" s="111">
        <f>IFERROR(D19/T19,0)</f>
        <v/>
      </c>
      <c r="AC19" s="111">
        <f>IF(T19&gt;0,IFERROR(E19/T19,0),1)</f>
        <v/>
      </c>
      <c r="AD19" s="111">
        <f>IF(Q19&gt;0,IFERROR(F19/Q19,0),1)</f>
        <v/>
      </c>
      <c r="AE19" s="111">
        <f>IF(AK19&gt;0,IFERROR(G19/AK19,0),1)</f>
        <v/>
      </c>
      <c r="AF19" s="111">
        <f>IF(AL19&gt;0,IFERROR(H19/AL19,0),1)</f>
        <v/>
      </c>
      <c r="AG19" s="104">
        <f>T19-(U19+AM19+AQ19)</f>
        <v/>
      </c>
      <c r="AH19" s="104">
        <f>Q19-(U19+AN19+AQ19)</f>
        <v/>
      </c>
      <c r="AI19" s="104">
        <f>(AK19-AO19)</f>
        <v/>
      </c>
      <c r="AJ19" s="104">
        <f>(AL19-AP19)</f>
        <v/>
      </c>
      <c r="AK19" s="110">
        <f>R19+AH19</f>
        <v/>
      </c>
      <c r="AL19" s="110">
        <f>S19+AI19</f>
        <v/>
      </c>
      <c r="AM19" s="104" t="n">
        <v>44400</v>
      </c>
      <c r="AN19" s="104" t="n">
        <v>0</v>
      </c>
      <c r="AO19" s="104" t="n">
        <v>39600</v>
      </c>
      <c r="AP19" s="104" t="n">
        <v>4800</v>
      </c>
      <c r="AQ19" s="104" t="n">
        <v>0</v>
      </c>
      <c r="AR19" s="104" t="n"/>
      <c r="AS19" s="104" t="n"/>
    </row>
    <row r="20" ht="12.65" customHeight="1" s="79">
      <c r="A20" s="104">
        <f>MIN(U20,Q20)</f>
        <v/>
      </c>
      <c r="B20" s="104">
        <f>MIN(U20,T20)</f>
        <v/>
      </c>
      <c r="C20" s="104">
        <f>MIN(W20,Q20)</f>
        <v/>
      </c>
      <c r="D20" s="104">
        <f>MIN(W20,T20)</f>
        <v/>
      </c>
      <c r="E20" s="104">
        <f>MIN((U20+AM20+AQ20),T20)</f>
        <v/>
      </c>
      <c r="F20" s="104">
        <f>MAX(MIN((U20+AN20+AQ20),Q20),0)</f>
        <v/>
      </c>
      <c r="G20" s="104">
        <f>MAX(MIN(AO20,AK20),0)</f>
        <v/>
      </c>
      <c r="H20" s="104">
        <f>MAX(MIN(AP20,AL20),0)</f>
        <v/>
      </c>
      <c r="I20" s="105" t="inlineStr">
        <is>
          <t>CHANDRAPAL NEGI</t>
        </is>
      </c>
      <c r="J20" s="106" t="inlineStr">
        <is>
          <t>LIFESTYLE</t>
        </is>
      </c>
      <c r="K20" s="107" t="inlineStr">
        <is>
          <t>LS_KIDS ACCESSORIES</t>
        </is>
      </c>
      <c r="L20" s="107" t="inlineStr">
        <is>
          <t>LS_KG_HAIR ACCESSORIES</t>
        </is>
      </c>
      <c r="M20" s="107" t="inlineStr">
        <is>
          <t>ARTICLE</t>
        </is>
      </c>
      <c r="N20" s="108" t="n">
        <v>0.103732328409502</v>
      </c>
      <c r="O20" s="108" t="n">
        <v>0.0699635388527609</v>
      </c>
      <c r="P20" s="109" t="n">
        <v>52</v>
      </c>
      <c r="Q20" s="110" t="n">
        <v>27952</v>
      </c>
      <c r="R20" s="110" t="n">
        <v>7462.79298240157</v>
      </c>
      <c r="S20" s="110" t="n">
        <v>11708.174917252</v>
      </c>
      <c r="T20" s="110" t="n">
        <v>47122.9678996536</v>
      </c>
      <c r="U20" s="104" t="n">
        <v>18600</v>
      </c>
      <c r="V20" s="104" t="n">
        <v>12000</v>
      </c>
      <c r="W20" s="104">
        <f>$U20+$V20</f>
        <v/>
      </c>
      <c r="X20" s="111">
        <f>IFERROR(A20/Q20,0)</f>
        <v/>
      </c>
      <c r="Y20" s="111">
        <f>IFERROR(B20/T20,0)</f>
        <v/>
      </c>
      <c r="Z20" s="111">
        <f>IFERROR(C20/Q20,0)</f>
        <v/>
      </c>
      <c r="AA20" s="111">
        <f>IFERROR(D20/T20,0)</f>
        <v/>
      </c>
      <c r="AC20" s="111">
        <f>IF(T20&gt;0,IFERROR(E20/T20,0),1)</f>
        <v/>
      </c>
      <c r="AD20" s="111">
        <f>IF(Q20&gt;0,IFERROR(F20/Q20,0),1)</f>
        <v/>
      </c>
      <c r="AE20" s="111">
        <f>IF(AK20&gt;0,IFERROR(G20/AK20,0),1)</f>
        <v/>
      </c>
      <c r="AF20" s="111">
        <f>IF(AL20&gt;0,IFERROR(H20/AL20,0),1)</f>
        <v/>
      </c>
      <c r="AG20" s="104">
        <f>T20-(U20+AM20+AQ20)</f>
        <v/>
      </c>
      <c r="AH20" s="104">
        <f>Q20-(U20+AN20+AQ20)</f>
        <v/>
      </c>
      <c r="AI20" s="104">
        <f>(AK20-AO20)</f>
        <v/>
      </c>
      <c r="AJ20" s="104">
        <f>(AL20-AP20)</f>
        <v/>
      </c>
      <c r="AK20" s="110">
        <f>R20+AH20</f>
        <v/>
      </c>
      <c r="AL20" s="110">
        <f>S20+AI20</f>
        <v/>
      </c>
      <c r="AM20" s="104" t="n">
        <v>42000</v>
      </c>
      <c r="AN20" s="104" t="n">
        <v>42000</v>
      </c>
      <c r="AO20" s="104" t="n">
        <v>0</v>
      </c>
      <c r="AP20" s="104" t="n">
        <v>0</v>
      </c>
      <c r="AQ20" s="104" t="n">
        <v>0</v>
      </c>
      <c r="AR20" s="104" t="n"/>
      <c r="AS20" s="104" t="n"/>
    </row>
    <row r="21" ht="12.65" customHeight="1" s="79">
      <c r="A21" s="104">
        <f>MIN(U21,Q21)</f>
        <v/>
      </c>
      <c r="B21" s="104">
        <f>MIN(U21,T21)</f>
        <v/>
      </c>
      <c r="C21" s="104">
        <f>MIN(W21,Q21)</f>
        <v/>
      </c>
      <c r="D21" s="104">
        <f>MIN(W21,T21)</f>
        <v/>
      </c>
      <c r="E21" s="104">
        <f>MIN((U21+AM21+AQ21),T21)</f>
        <v/>
      </c>
      <c r="F21" s="104">
        <f>MAX(MIN((U21+AN21+AQ21),Q21),0)</f>
        <v/>
      </c>
      <c r="G21" s="104">
        <f>MAX(MIN(AO21,AK21),0)</f>
        <v/>
      </c>
      <c r="H21" s="104">
        <f>MAX(MIN(AP21,AL21),0)</f>
        <v/>
      </c>
      <c r="I21" s="105" t="inlineStr">
        <is>
          <t>CHANDRAPAL NEGI</t>
        </is>
      </c>
      <c r="J21" s="106" t="inlineStr">
        <is>
          <t>LIFESTYLE</t>
        </is>
      </c>
      <c r="K21" s="107" t="inlineStr">
        <is>
          <t>LS_KIDS ACCESSORIES</t>
        </is>
      </c>
      <c r="L21" s="107" t="inlineStr">
        <is>
          <t>LS_KB_CAP</t>
        </is>
      </c>
      <c r="M21" s="107" t="inlineStr">
        <is>
          <t>ARTICLE</t>
        </is>
      </c>
      <c r="N21" s="108" t="n">
        <v>0.145816709735511</v>
      </c>
      <c r="O21" s="108" t="n">
        <v>0.099875241903003</v>
      </c>
      <c r="P21" s="109" t="n">
        <v>143</v>
      </c>
      <c r="Q21" s="110" t="n">
        <v>0</v>
      </c>
      <c r="R21" s="110" t="n">
        <v>0</v>
      </c>
      <c r="S21" s="110" t="n">
        <v>0</v>
      </c>
      <c r="T21" s="110" t="n">
        <v>0</v>
      </c>
      <c r="U21" s="104" t="n">
        <v>0</v>
      </c>
      <c r="V21" s="104" t="n">
        <v>0</v>
      </c>
      <c r="W21" s="104">
        <f>$U21+$V21</f>
        <v/>
      </c>
      <c r="X21" s="111">
        <f>IFERROR(A21/Q21,0)</f>
        <v/>
      </c>
      <c r="Y21" s="111">
        <f>IFERROR(B21/T21,0)</f>
        <v/>
      </c>
      <c r="Z21" s="111">
        <f>IFERROR(C21/Q21,0)</f>
        <v/>
      </c>
      <c r="AA21" s="111">
        <f>IFERROR(D21/T21,0)</f>
        <v/>
      </c>
      <c r="AC21" s="111">
        <f>IF(T21&gt;0,IFERROR(E21/T21,0),1)</f>
        <v/>
      </c>
      <c r="AD21" s="111">
        <f>IF(Q21&gt;0,IFERROR(F21/Q21,0),1)</f>
        <v/>
      </c>
      <c r="AE21" s="111">
        <f>IF(AK21&gt;0,IFERROR(G21/AK21,0),1)</f>
        <v/>
      </c>
      <c r="AF21" s="111">
        <f>IF(AL21&gt;0,IFERROR(H21/AL21,0),1)</f>
        <v/>
      </c>
      <c r="AG21" s="104">
        <f>T21-(U21+AM21+AQ21)</f>
        <v/>
      </c>
      <c r="AH21" s="104">
        <f>Q21-(U21+AN21+AQ21)</f>
        <v/>
      </c>
      <c r="AI21" s="104">
        <f>(AK21-AO21)</f>
        <v/>
      </c>
      <c r="AJ21" s="104">
        <f>(AL21-AP21)</f>
        <v/>
      </c>
      <c r="AK21" s="110">
        <f>R21+AH21</f>
        <v/>
      </c>
      <c r="AL21" s="110">
        <f>S21+AI21</f>
        <v/>
      </c>
      <c r="AM21" s="104" t="n">
        <v>0</v>
      </c>
      <c r="AN21" s="104" t="n">
        <v>0</v>
      </c>
      <c r="AO21" s="104" t="n">
        <v>0</v>
      </c>
      <c r="AP21" s="104" t="n">
        <v>0</v>
      </c>
      <c r="AQ21" s="104" t="n">
        <v>0</v>
      </c>
      <c r="AR21" s="104" t="n"/>
      <c r="AS21" s="104" t="n"/>
    </row>
    <row r="22" ht="12.65" customHeight="1" s="79">
      <c r="A22" s="104">
        <f>MIN(U22,Q22)</f>
        <v/>
      </c>
      <c r="B22" s="104">
        <f>MIN(U22,T22)</f>
        <v/>
      </c>
      <c r="C22" s="104">
        <f>MIN(W22,Q22)</f>
        <v/>
      </c>
      <c r="D22" s="104">
        <f>MIN(W22,T22)</f>
        <v/>
      </c>
      <c r="E22" s="104">
        <f>MIN((U22+AM22+AQ22),T22)</f>
        <v/>
      </c>
      <c r="F22" s="104">
        <f>MAX(MIN((U22+AN22+AQ22),Q22),0)</f>
        <v/>
      </c>
      <c r="G22" s="104">
        <f>MAX(MIN(AO22,AK22),0)</f>
        <v/>
      </c>
      <c r="H22" s="104">
        <f>MAX(MIN(AP22,AL22),0)</f>
        <v/>
      </c>
      <c r="I22" s="105" t="inlineStr">
        <is>
          <t>CHANDRAPAL NEGI</t>
        </is>
      </c>
      <c r="J22" s="106" t="inlineStr">
        <is>
          <t>LIFESTYLE</t>
        </is>
      </c>
      <c r="K22" s="107" t="inlineStr">
        <is>
          <t>LS_MENS ACCESSORIES</t>
        </is>
      </c>
      <c r="L22" s="107" t="inlineStr">
        <is>
          <t>LS_MA_SOCKS</t>
        </is>
      </c>
      <c r="M22" s="107" t="inlineStr">
        <is>
          <t>ARTICLE</t>
        </is>
      </c>
      <c r="N22" s="108" t="n">
        <v>0.121571595745715</v>
      </c>
      <c r="O22" s="108" t="n">
        <v>0.098232566998394</v>
      </c>
      <c r="P22" s="109" t="n">
        <v>1</v>
      </c>
      <c r="Q22" s="110" t="n">
        <v>94604</v>
      </c>
      <c r="R22" s="110" t="n">
        <v>165217.72482644</v>
      </c>
      <c r="S22" s="110" t="n">
        <v>83900.862154449</v>
      </c>
      <c r="T22" s="110" t="n">
        <v>343722.586980889</v>
      </c>
      <c r="U22" s="104" t="n">
        <v>52800</v>
      </c>
      <c r="V22" s="104" t="n">
        <v>38400</v>
      </c>
      <c r="W22" s="104">
        <f>$U22+$V22</f>
        <v/>
      </c>
      <c r="X22" s="111">
        <f>IFERROR(A22/Q22,0)</f>
        <v/>
      </c>
      <c r="Y22" s="111">
        <f>IFERROR(B22/T22,0)</f>
        <v/>
      </c>
      <c r="Z22" s="111">
        <f>IFERROR(C22/Q22,0)</f>
        <v/>
      </c>
      <c r="AA22" s="111">
        <f>IFERROR(D22/T22,0)</f>
        <v/>
      </c>
      <c r="AC22" s="111">
        <f>IF(T22&gt;0,IFERROR(E22/T22,0),1)</f>
        <v/>
      </c>
      <c r="AD22" s="111">
        <f>IF(Q22&gt;0,IFERROR(F22/Q22,0),1)</f>
        <v/>
      </c>
      <c r="AE22" s="111">
        <f>IF(AK22&gt;0,IFERROR(G22/AK22,0),1)</f>
        <v/>
      </c>
      <c r="AF22" s="111">
        <f>IF(AL22&gt;0,IFERROR(H22/AL22,0),1)</f>
        <v/>
      </c>
      <c r="AG22" s="104">
        <f>T22-(U22+AM22+AQ22)</f>
        <v/>
      </c>
      <c r="AH22" s="104">
        <f>Q22-(U22+AN22+AQ22)</f>
        <v/>
      </c>
      <c r="AI22" s="104">
        <f>(AK22-AO22)</f>
        <v/>
      </c>
      <c r="AJ22" s="104">
        <f>(AL22-AP22)</f>
        <v/>
      </c>
      <c r="AK22" s="110">
        <f>R22+AH22</f>
        <v/>
      </c>
      <c r="AL22" s="110">
        <f>S22+AI22</f>
        <v/>
      </c>
      <c r="AM22" s="104" t="n">
        <v>360864</v>
      </c>
      <c r="AN22" s="104" t="n">
        <v>48000</v>
      </c>
      <c r="AO22" s="104" t="n">
        <v>240864</v>
      </c>
      <c r="AP22" s="104" t="n">
        <v>72000</v>
      </c>
      <c r="AQ22" s="104" t="n">
        <v>0</v>
      </c>
      <c r="AR22" s="104" t="n"/>
      <c r="AS22" s="104" t="n"/>
    </row>
    <row r="23" ht="12.65" customHeight="1" s="79">
      <c r="A23" s="104">
        <f>MIN(U23,Q23)</f>
        <v/>
      </c>
      <c r="B23" s="104">
        <f>MIN(U23,T23)</f>
        <v/>
      </c>
      <c r="C23" s="104">
        <f>MIN(W23,Q23)</f>
        <v/>
      </c>
      <c r="D23" s="104">
        <f>MIN(W23,T23)</f>
        <v/>
      </c>
      <c r="E23" s="104">
        <f>MIN((U23+AM23+AQ23),T23)</f>
        <v/>
      </c>
      <c r="F23" s="104">
        <f>MAX(MIN((U23+AN23+AQ23),Q23),0)</f>
        <v/>
      </c>
      <c r="G23" s="104">
        <f>MAX(MIN(AO23,AK23),0)</f>
        <v/>
      </c>
      <c r="H23" s="104">
        <f>MAX(MIN(AP23,AL23),0)</f>
        <v/>
      </c>
      <c r="I23" s="105" t="inlineStr">
        <is>
          <t>CHANDRAPAL NEGI</t>
        </is>
      </c>
      <c r="J23" s="106" t="inlineStr">
        <is>
          <t>LIFESTYLE</t>
        </is>
      </c>
      <c r="K23" s="107" t="inlineStr">
        <is>
          <t>LS_MENS ACCESSORIES</t>
        </is>
      </c>
      <c r="L23" s="107" t="inlineStr">
        <is>
          <t>LS_MA_HANDKERCHIEF</t>
        </is>
      </c>
      <c r="M23" s="107" t="inlineStr">
        <is>
          <t>ARTICLE</t>
        </is>
      </c>
      <c r="N23" s="108" t="n">
        <v>0.12934658388414</v>
      </c>
      <c r="O23" s="108" t="n">
        <v>0.148256837657002</v>
      </c>
      <c r="P23" s="109" t="n">
        <v>67</v>
      </c>
      <c r="Q23" s="110" t="n">
        <v>25039</v>
      </c>
      <c r="R23" s="110" t="n">
        <v>7915.25431352219</v>
      </c>
      <c r="S23" s="110" t="n">
        <v>9379.67988164925</v>
      </c>
      <c r="T23" s="110" t="n">
        <v>42333.9341951714</v>
      </c>
      <c r="U23" s="104" t="n">
        <v>16314</v>
      </c>
      <c r="V23" s="104" t="n">
        <v>7200</v>
      </c>
      <c r="W23" s="104">
        <f>$U23+$V23</f>
        <v/>
      </c>
      <c r="X23" s="111">
        <f>IFERROR(A23/Q23,0)</f>
        <v/>
      </c>
      <c r="Y23" s="111">
        <f>IFERROR(B23/T23,0)</f>
        <v/>
      </c>
      <c r="Z23" s="111">
        <f>IFERROR(C23/Q23,0)</f>
        <v/>
      </c>
      <c r="AA23" s="111">
        <f>IFERROR(D23/T23,0)</f>
        <v/>
      </c>
      <c r="AC23" s="111">
        <f>IF(T23&gt;0,IFERROR(E23/T23,0),1)</f>
        <v/>
      </c>
      <c r="AD23" s="111">
        <f>IF(Q23&gt;0,IFERROR(F23/Q23,0),1)</f>
        <v/>
      </c>
      <c r="AE23" s="111">
        <f>IF(AK23&gt;0,IFERROR(G23/AK23,0),1)</f>
        <v/>
      </c>
      <c r="AF23" s="111">
        <f>IF(AL23&gt;0,IFERROR(H23/AL23,0),1)</f>
        <v/>
      </c>
      <c r="AG23" s="104">
        <f>T23-(U23+AM23+AQ23)</f>
        <v/>
      </c>
      <c r="AH23" s="104">
        <f>Q23-(U23+AN23+AQ23)</f>
        <v/>
      </c>
      <c r="AI23" s="104">
        <f>(AK23-AO23)</f>
        <v/>
      </c>
      <c r="AJ23" s="104">
        <f>(AL23-AP23)</f>
        <v/>
      </c>
      <c r="AK23" s="110">
        <f>R23+AH23</f>
        <v/>
      </c>
      <c r="AL23" s="110">
        <f>S23+AI23</f>
        <v/>
      </c>
      <c r="AM23" s="104" t="n">
        <v>38162</v>
      </c>
      <c r="AN23" s="104" t="n">
        <v>16562</v>
      </c>
      <c r="AO23" s="104" t="n">
        <v>21600</v>
      </c>
      <c r="AP23" s="104" t="n">
        <v>0</v>
      </c>
      <c r="AQ23" s="104" t="n">
        <v>0</v>
      </c>
      <c r="AR23" s="104" t="n"/>
      <c r="AS23" s="112" t="n"/>
    </row>
    <row r="24" ht="12.65" customHeight="1" s="79">
      <c r="A24" s="104">
        <f>MIN(U24,Q24)</f>
        <v/>
      </c>
      <c r="B24" s="104">
        <f>MIN(U24,T24)</f>
        <v/>
      </c>
      <c r="C24" s="104">
        <f>MIN(W24,Q24)</f>
        <v/>
      </c>
      <c r="D24" s="104">
        <f>MIN(W24,T24)</f>
        <v/>
      </c>
      <c r="E24" s="104">
        <f>MIN((U24+AM24+AQ24),T24)</f>
        <v/>
      </c>
      <c r="F24" s="104">
        <f>MAX(MIN((U24+AN24+AQ24),Q24),0)</f>
        <v/>
      </c>
      <c r="G24" s="104">
        <f>MAX(MIN(AO24,AK24),0)</f>
        <v/>
      </c>
      <c r="H24" s="104">
        <f>MAX(MIN(AP24,AL24),0)</f>
        <v/>
      </c>
      <c r="I24" s="105" t="inlineStr">
        <is>
          <t>CHANDRAPAL NEGI</t>
        </is>
      </c>
      <c r="J24" s="106" t="inlineStr">
        <is>
          <t>LIFESTYLE</t>
        </is>
      </c>
      <c r="K24" s="107" t="inlineStr">
        <is>
          <t>LS_MENS ACCESSORIES</t>
        </is>
      </c>
      <c r="L24" s="107" t="inlineStr">
        <is>
          <t>LS_MA_BELT</t>
        </is>
      </c>
      <c r="M24" s="107" t="inlineStr">
        <is>
          <t>ARTICLE</t>
        </is>
      </c>
      <c r="N24" s="108" t="n">
        <v>0.112158957024598</v>
      </c>
      <c r="O24" s="108" t="n">
        <v>0.0837806343321882</v>
      </c>
      <c r="P24" s="109" t="n">
        <v>32</v>
      </c>
      <c r="Q24" s="110" t="n">
        <v>15245</v>
      </c>
      <c r="R24" s="110" t="n">
        <v>4923.50762362045</v>
      </c>
      <c r="S24" s="110" t="n">
        <v>3107.25199039136</v>
      </c>
      <c r="T24" s="110" t="n">
        <v>23275.7596140118</v>
      </c>
      <c r="U24" s="104" t="n">
        <v>17715</v>
      </c>
      <c r="V24" s="104" t="n">
        <v>0</v>
      </c>
      <c r="W24" s="104">
        <f>$U24+$V24</f>
        <v/>
      </c>
      <c r="X24" s="111">
        <f>IFERROR(A24/Q24,0)</f>
        <v/>
      </c>
      <c r="Y24" s="111">
        <f>IFERROR(B24/T24,0)</f>
        <v/>
      </c>
      <c r="Z24" s="111">
        <f>IFERROR(C24/Q24,0)</f>
        <v/>
      </c>
      <c r="AA24" s="111">
        <f>IFERROR(D24/T24,0)</f>
        <v/>
      </c>
      <c r="AC24" s="111">
        <f>IF(T24&gt;0,IFERROR(E24/T24,0),1)</f>
        <v/>
      </c>
      <c r="AD24" s="111">
        <f>IF(Q24&gt;0,IFERROR(F24/Q24,0),1)</f>
        <v/>
      </c>
      <c r="AE24" s="111">
        <f>IF(AK24&gt;0,IFERROR(G24/AK24,0),1)</f>
        <v/>
      </c>
      <c r="AF24" s="111">
        <f>IF(AL24&gt;0,IFERROR(H24/AL24,0),1)</f>
        <v/>
      </c>
      <c r="AG24" s="104">
        <f>T24-(U24+AM24+AQ24)</f>
        <v/>
      </c>
      <c r="AH24" s="104">
        <f>Q24-(U24+AN24+AQ24)</f>
        <v/>
      </c>
      <c r="AI24" s="104">
        <f>(AK24-AO24)</f>
        <v/>
      </c>
      <c r="AJ24" s="104">
        <f>(AL24-AP24)</f>
        <v/>
      </c>
      <c r="AK24" s="110">
        <f>R24+AH24</f>
        <v/>
      </c>
      <c r="AL24" s="110">
        <f>S24+AI24</f>
        <v/>
      </c>
      <c r="AM24" s="104" t="n">
        <v>23200</v>
      </c>
      <c r="AN24" s="104" t="n">
        <v>10600</v>
      </c>
      <c r="AO24" s="104" t="n">
        <v>12600</v>
      </c>
      <c r="AP24" s="104" t="n">
        <v>0</v>
      </c>
      <c r="AQ24" s="104" t="n">
        <v>0</v>
      </c>
      <c r="AR24" s="104" t="n"/>
      <c r="AS24" s="104" t="n"/>
    </row>
    <row r="25" ht="12.65" customHeight="1" s="79">
      <c r="A25" s="104">
        <f>MIN(U25,Q25)</f>
        <v/>
      </c>
      <c r="B25" s="104">
        <f>MIN(U25,T25)</f>
        <v/>
      </c>
      <c r="C25" s="104">
        <f>MIN(W25,Q25)</f>
        <v/>
      </c>
      <c r="D25" s="104">
        <f>MIN(W25,T25)</f>
        <v/>
      </c>
      <c r="E25" s="104">
        <f>MIN((U25+AM25+AQ25),T25)</f>
        <v/>
      </c>
      <c r="F25" s="104">
        <f>MAX(MIN((U25+AN25+AQ25),Q25),0)</f>
        <v/>
      </c>
      <c r="G25" s="104">
        <f>MAX(MIN(AO25,AK25),0)</f>
        <v/>
      </c>
      <c r="H25" s="104">
        <f>MAX(MIN(AP25,AL25),0)</f>
        <v/>
      </c>
      <c r="I25" s="105" t="inlineStr">
        <is>
          <t>CHANDRAPAL NEGI</t>
        </is>
      </c>
      <c r="J25" s="106" t="inlineStr">
        <is>
          <t>LIFESTYLE</t>
        </is>
      </c>
      <c r="K25" s="107" t="inlineStr">
        <is>
          <t>LS_MENS ACCESSORIES</t>
        </is>
      </c>
      <c r="L25" s="107" t="inlineStr">
        <is>
          <t>LS_MA_CAP</t>
        </is>
      </c>
      <c r="M25" s="107" t="inlineStr">
        <is>
          <t>ARTICLE</t>
        </is>
      </c>
      <c r="N25" s="108" t="n">
        <v>0.144842608367541</v>
      </c>
      <c r="O25" s="108" t="n">
        <v>0.111811065130868</v>
      </c>
      <c r="P25" s="109" t="n">
        <v>128</v>
      </c>
      <c r="Q25" s="110" t="n">
        <v>0</v>
      </c>
      <c r="R25" s="110" t="n">
        <v>0</v>
      </c>
      <c r="S25" s="110" t="n">
        <v>0</v>
      </c>
      <c r="T25" s="110" t="n">
        <v>0</v>
      </c>
      <c r="U25" s="104" t="n">
        <v>0</v>
      </c>
      <c r="V25" s="104" t="n">
        <v>0</v>
      </c>
      <c r="W25" s="104">
        <f>$U25+$V25</f>
        <v/>
      </c>
      <c r="X25" s="111">
        <f>IFERROR(A25/Q25,0)</f>
        <v/>
      </c>
      <c r="Y25" s="111">
        <f>IFERROR(B25/T25,0)</f>
        <v/>
      </c>
      <c r="Z25" s="111">
        <f>IFERROR(C25/Q25,0)</f>
        <v/>
      </c>
      <c r="AA25" s="111">
        <f>IFERROR(D25/T25,0)</f>
        <v/>
      </c>
      <c r="AC25" s="111">
        <f>IF(T25&gt;0,IFERROR(E25/T25,0),1)</f>
        <v/>
      </c>
      <c r="AD25" s="111">
        <f>IF(Q25&gt;0,IFERROR(F25/Q25,0),1)</f>
        <v/>
      </c>
      <c r="AE25" s="111">
        <f>IF(AK25&gt;0,IFERROR(G25/AK25,0),1)</f>
        <v/>
      </c>
      <c r="AF25" s="111">
        <f>IF(AL25&gt;0,IFERROR(H25/AL25,0),1)</f>
        <v/>
      </c>
      <c r="AG25" s="104">
        <f>T25-(U25+AM25+AQ25)</f>
        <v/>
      </c>
      <c r="AH25" s="104">
        <f>Q25-(U25+AN25+AQ25)</f>
        <v/>
      </c>
      <c r="AI25" s="104">
        <f>(AK25-AO25)</f>
        <v/>
      </c>
      <c r="AJ25" s="104">
        <f>(AL25-AP25)</f>
        <v/>
      </c>
      <c r="AK25" s="110">
        <f>R25+AH25</f>
        <v/>
      </c>
      <c r="AL25" s="110">
        <f>S25+AI25</f>
        <v/>
      </c>
      <c r="AM25" s="104" t="n">
        <v>0</v>
      </c>
      <c r="AN25" s="104" t="n">
        <v>0</v>
      </c>
      <c r="AO25" s="104" t="n">
        <v>0</v>
      </c>
      <c r="AP25" s="104" t="n">
        <v>0</v>
      </c>
      <c r="AQ25" s="104" t="n">
        <v>0</v>
      </c>
      <c r="AR25" s="104" t="n"/>
      <c r="AS25" s="112" t="n"/>
    </row>
    <row r="26" ht="12.65" customHeight="1" s="79">
      <c r="A26" s="104">
        <f>MIN(U26,Q26)</f>
        <v/>
      </c>
      <c r="B26" s="104">
        <f>MIN(U26,T26)</f>
        <v/>
      </c>
      <c r="C26" s="104">
        <f>MIN(W26,Q26)</f>
        <v/>
      </c>
      <c r="D26" s="104">
        <f>MIN(W26,T26)</f>
        <v/>
      </c>
      <c r="E26" s="104">
        <f>MIN((U26+AM26+AQ26),T26)</f>
        <v/>
      </c>
      <c r="F26" s="104">
        <f>MAX(MIN((U26+AN26+AQ26),Q26),0)</f>
        <v/>
      </c>
      <c r="G26" s="104">
        <f>MAX(MIN(AO26,AK26),0)</f>
        <v/>
      </c>
      <c r="H26" s="104">
        <f>MAX(MIN(AP26,AL26),0)</f>
        <v/>
      </c>
      <c r="I26" s="105" t="inlineStr">
        <is>
          <t>CHANDRAPAL NEGI</t>
        </is>
      </c>
      <c r="J26" s="106" t="inlineStr">
        <is>
          <t>LIFESTYLE</t>
        </is>
      </c>
      <c r="K26" s="107" t="inlineStr">
        <is>
          <t>LS_OPTICALS</t>
        </is>
      </c>
      <c r="L26" s="107" t="inlineStr">
        <is>
          <t>LS_OP_KIDS SUNGLASS</t>
        </is>
      </c>
      <c r="M26" s="107" t="inlineStr">
        <is>
          <t>ARTICLE</t>
        </is>
      </c>
      <c r="N26" s="108" t="n">
        <v>0.129975401025799</v>
      </c>
      <c r="O26" s="108" t="n">
        <v>0.0946391684664719</v>
      </c>
      <c r="P26" s="109" t="n">
        <v>72</v>
      </c>
      <c r="Q26" s="110" t="n">
        <v>6295</v>
      </c>
      <c r="R26" s="110" t="n">
        <v>3815.14336167266</v>
      </c>
      <c r="S26" s="110" t="n">
        <v>4742.12126692057</v>
      </c>
      <c r="T26" s="110" t="n">
        <v>14852.2646285932</v>
      </c>
      <c r="U26" s="104" t="n">
        <v>6480</v>
      </c>
      <c r="V26" s="104" t="n">
        <v>7200</v>
      </c>
      <c r="W26" s="104">
        <f>$U26+$V26</f>
        <v/>
      </c>
      <c r="X26" s="111">
        <f>IFERROR(A26/Q26,0)</f>
        <v/>
      </c>
      <c r="Y26" s="111">
        <f>IFERROR(B26/T26,0)</f>
        <v/>
      </c>
      <c r="Z26" s="111">
        <f>IFERROR(C26/Q26,0)</f>
        <v/>
      </c>
      <c r="AA26" s="111">
        <f>IFERROR(D26/T26,0)</f>
        <v/>
      </c>
      <c r="AC26" s="111">
        <f>IF(T26&gt;0,IFERROR(E26/T26,0),1)</f>
        <v/>
      </c>
      <c r="AD26" s="111">
        <f>IF(Q26&gt;0,IFERROR(F26/Q26,0),1)</f>
        <v/>
      </c>
      <c r="AE26" s="111">
        <f>IF(AK26&gt;0,IFERROR(G26/AK26,0),1)</f>
        <v/>
      </c>
      <c r="AF26" s="111">
        <f>IF(AL26&gt;0,IFERROR(H26/AL26,0),1)</f>
        <v/>
      </c>
      <c r="AG26" s="104">
        <f>T26-(U26+AM26+AQ26)</f>
        <v/>
      </c>
      <c r="AH26" s="104">
        <f>Q26-(U26+AN26+AQ26)</f>
        <v/>
      </c>
      <c r="AI26" s="104">
        <f>(AK26-AO26)</f>
        <v/>
      </c>
      <c r="AJ26" s="104">
        <f>(AL26-AP26)</f>
        <v/>
      </c>
      <c r="AK26" s="110">
        <f>R26+AH26</f>
        <v/>
      </c>
      <c r="AL26" s="110">
        <f>S26+AI26</f>
        <v/>
      </c>
      <c r="AM26" s="104" t="n">
        <v>7200</v>
      </c>
      <c r="AN26" s="104" t="n">
        <v>7200</v>
      </c>
      <c r="AO26" s="104" t="n">
        <v>0</v>
      </c>
      <c r="AP26" s="104" t="n">
        <v>0</v>
      </c>
      <c r="AQ26" s="104" t="n">
        <v>0</v>
      </c>
      <c r="AR26" s="104" t="n"/>
      <c r="AS26" s="112" t="n"/>
    </row>
    <row r="27" ht="12.65" customHeight="1" s="79">
      <c r="A27" s="104">
        <f>MIN(U27,Q27)</f>
        <v/>
      </c>
      <c r="B27" s="104">
        <f>MIN(U27,T27)</f>
        <v/>
      </c>
      <c r="C27" s="104">
        <f>MIN(W27,Q27)</f>
        <v/>
      </c>
      <c r="D27" s="104">
        <f>MIN(W27,T27)</f>
        <v/>
      </c>
      <c r="E27" s="104">
        <f>MIN((U27+AM27+AQ27),T27)</f>
        <v/>
      </c>
      <c r="F27" s="104">
        <f>MAX(MIN((U27+AN27+AQ27),Q27),0)</f>
        <v/>
      </c>
      <c r="G27" s="104">
        <f>MAX(MIN(AO27,AK27),0)</f>
        <v/>
      </c>
      <c r="H27" s="104">
        <f>MAX(MIN(AP27,AL27),0)</f>
        <v/>
      </c>
      <c r="I27" s="105" t="inlineStr">
        <is>
          <t>CHANDRAPAL NEGI</t>
        </is>
      </c>
      <c r="J27" s="106" t="inlineStr">
        <is>
          <t>LIFESTYLE</t>
        </is>
      </c>
      <c r="K27" s="107" t="inlineStr">
        <is>
          <t>LS_OPTICALS</t>
        </is>
      </c>
      <c r="L27" s="107" t="inlineStr">
        <is>
          <t>LS_OP_MENS SUNGLASS</t>
        </is>
      </c>
      <c r="M27" s="107" t="inlineStr">
        <is>
          <t>ARTICLE</t>
        </is>
      </c>
      <c r="N27" s="108" t="n">
        <v>0.130384484518544</v>
      </c>
      <c r="O27" s="108" t="n">
        <v>0.0937648664457009</v>
      </c>
      <c r="P27" s="109" t="n">
        <v>94</v>
      </c>
      <c r="Q27" s="110" t="n">
        <v>1343</v>
      </c>
      <c r="R27" s="110" t="n">
        <v>1253.95565473582</v>
      </c>
      <c r="S27" s="110" t="n">
        <v>671.402280780104</v>
      </c>
      <c r="T27" s="110" t="n">
        <v>3268.35793551592</v>
      </c>
      <c r="U27" s="104" t="n">
        <v>0</v>
      </c>
      <c r="V27" s="104" t="n">
        <v>0</v>
      </c>
      <c r="W27" s="104">
        <f>$U27+$V27</f>
        <v/>
      </c>
      <c r="X27" s="111">
        <f>IFERROR(A27/Q27,0)</f>
        <v/>
      </c>
      <c r="Y27" s="111">
        <f>IFERROR(B27/T27,0)</f>
        <v/>
      </c>
      <c r="Z27" s="111">
        <f>IFERROR(C27/Q27,0)</f>
        <v/>
      </c>
      <c r="AA27" s="111">
        <f>IFERROR(D27/T27,0)</f>
        <v/>
      </c>
      <c r="AC27" s="111">
        <f>IF(T27&gt;0,IFERROR(E27/T27,0),1)</f>
        <v/>
      </c>
      <c r="AD27" s="111">
        <f>IF(Q27&gt;0,IFERROR(F27/Q27,0),1)</f>
        <v/>
      </c>
      <c r="AE27" s="111">
        <f>IF(AK27&gt;0,IFERROR(G27/AK27,0),1)</f>
        <v/>
      </c>
      <c r="AF27" s="111">
        <f>IF(AL27&gt;0,IFERROR(H27/AL27,0),1)</f>
        <v/>
      </c>
      <c r="AG27" s="104">
        <f>T27-(U27+AM27+AQ27)</f>
        <v/>
      </c>
      <c r="AH27" s="104">
        <f>Q27-(U27+AN27+AQ27)</f>
        <v/>
      </c>
      <c r="AI27" s="104">
        <f>(AK27-AO27)</f>
        <v/>
      </c>
      <c r="AJ27" s="104">
        <f>(AL27-AP27)</f>
        <v/>
      </c>
      <c r="AK27" s="110">
        <f>R27+AH27</f>
        <v/>
      </c>
      <c r="AL27" s="110">
        <f>S27+AI27</f>
        <v/>
      </c>
      <c r="AM27" s="104" t="n">
        <v>0</v>
      </c>
      <c r="AN27" s="104" t="n">
        <v>0</v>
      </c>
      <c r="AO27" s="104" t="n">
        <v>0</v>
      </c>
      <c r="AP27" s="104" t="n">
        <v>0</v>
      </c>
      <c r="AQ27" s="104" t="n">
        <v>0</v>
      </c>
      <c r="AR27" s="104" t="n"/>
      <c r="AS27" s="112" t="n"/>
    </row>
    <row r="28" ht="12.65" customHeight="1" s="79">
      <c r="A28" s="104">
        <f>MIN(U28,Q28)</f>
        <v/>
      </c>
      <c r="B28" s="104">
        <f>MIN(U28,T28)</f>
        <v/>
      </c>
      <c r="C28" s="104">
        <f>MIN(W28,Q28)</f>
        <v/>
      </c>
      <c r="D28" s="104">
        <f>MIN(W28,T28)</f>
        <v/>
      </c>
      <c r="E28" s="104">
        <f>MIN((U28+AM28+AQ28),T28)</f>
        <v/>
      </c>
      <c r="F28" s="104">
        <f>MAX(MIN((U28+AN28+AQ28),Q28),0)</f>
        <v/>
      </c>
      <c r="G28" s="104">
        <f>MAX(MIN(AO28,AK28),0)</f>
        <v/>
      </c>
      <c r="H28" s="104">
        <f>MAX(MIN(AP28,AL28),0)</f>
        <v/>
      </c>
      <c r="I28" s="105" t="inlineStr">
        <is>
          <t>CHANDRAPAL NEGI</t>
        </is>
      </c>
      <c r="J28" s="106" t="inlineStr">
        <is>
          <t>LIFESTYLE</t>
        </is>
      </c>
      <c r="K28" s="107" t="inlineStr">
        <is>
          <t>LS_OPTICALS</t>
        </is>
      </c>
      <c r="L28" s="107" t="inlineStr">
        <is>
          <t>LS_OP_LADIES SUNGLASS</t>
        </is>
      </c>
      <c r="M28" s="107" t="inlineStr">
        <is>
          <t>ARTICLE</t>
        </is>
      </c>
      <c r="N28" s="108" t="n">
        <v>0.11764812106109</v>
      </c>
      <c r="O28" s="108" t="n">
        <v>0.0750512616646441</v>
      </c>
      <c r="P28" s="109" t="n">
        <v>154</v>
      </c>
      <c r="Q28" s="110" t="n">
        <v>0</v>
      </c>
      <c r="R28" s="110" t="n">
        <v>0</v>
      </c>
      <c r="S28" s="110" t="n">
        <v>0</v>
      </c>
      <c r="T28" s="110" t="n">
        <v>0</v>
      </c>
      <c r="U28" s="104" t="n">
        <v>0</v>
      </c>
      <c r="V28" s="104" t="n">
        <v>3000</v>
      </c>
      <c r="W28" s="104">
        <f>$U28+$V28</f>
        <v/>
      </c>
      <c r="X28" s="111">
        <f>IFERROR(A28/Q28,0)</f>
        <v/>
      </c>
      <c r="Y28" s="111">
        <f>IFERROR(B28/T28,0)</f>
        <v/>
      </c>
      <c r="Z28" s="111">
        <f>IFERROR(C28/Q28,0)</f>
        <v/>
      </c>
      <c r="AA28" s="111">
        <f>IFERROR(D28/T28,0)</f>
        <v/>
      </c>
      <c r="AC28" s="111">
        <f>IF(T28&gt;0,IFERROR(E28/T28,0),1)</f>
        <v/>
      </c>
      <c r="AD28" s="111">
        <f>IF(Q28&gt;0,IFERROR(F28/Q28,0),1)</f>
        <v/>
      </c>
      <c r="AE28" s="111">
        <f>IF(AK28&gt;0,IFERROR(G28/AK28,0),1)</f>
        <v/>
      </c>
      <c r="AF28" s="111">
        <f>IF(AL28&gt;0,IFERROR(H28/AL28,0),1)</f>
        <v/>
      </c>
      <c r="AG28" s="104">
        <f>T28-(U28+AM28+AQ28)</f>
        <v/>
      </c>
      <c r="AH28" s="104">
        <f>Q28-(U28+AN28+AQ28)</f>
        <v/>
      </c>
      <c r="AI28" s="104">
        <f>(AK28-AO28)</f>
        <v/>
      </c>
      <c r="AJ28" s="104">
        <f>(AL28-AP28)</f>
        <v/>
      </c>
      <c r="AK28" s="110">
        <f>R28+AH28</f>
        <v/>
      </c>
      <c r="AL28" s="110">
        <f>S28+AI28</f>
        <v/>
      </c>
      <c r="AM28" s="104" t="n">
        <v>3000</v>
      </c>
      <c r="AN28" s="104" t="n">
        <v>3000</v>
      </c>
      <c r="AO28" s="104" t="n">
        <v>0</v>
      </c>
      <c r="AP28" s="104" t="n">
        <v>0</v>
      </c>
      <c r="AQ28" s="104" t="n">
        <v>0</v>
      </c>
      <c r="AR28" s="104" t="n"/>
      <c r="AS28" s="104" t="n"/>
    </row>
    <row r="29" ht="12.65" customHeight="1" s="79">
      <c r="A29" s="104">
        <f>MIN(U29,Q29)</f>
        <v/>
      </c>
      <c r="B29" s="104">
        <f>MIN(U29,T29)</f>
        <v/>
      </c>
      <c r="C29" s="104">
        <f>MIN(W29,Q29)</f>
        <v/>
      </c>
      <c r="D29" s="104">
        <f>MIN(W29,T29)</f>
        <v/>
      </c>
      <c r="E29" s="104">
        <f>MIN((U29+AM29+AQ29),T29)</f>
        <v/>
      </c>
      <c r="F29" s="104">
        <f>MAX(MIN((U29+AN29+AQ29),Q29),0)</f>
        <v/>
      </c>
      <c r="G29" s="104">
        <f>MAX(MIN(AO29,AK29),0)</f>
        <v/>
      </c>
      <c r="H29" s="104">
        <f>MAX(MIN(AP29,AL29),0)</f>
        <v/>
      </c>
      <c r="I29" s="105" t="inlineStr">
        <is>
          <t>CHANDRAPAL NEGI</t>
        </is>
      </c>
      <c r="J29" s="106" t="inlineStr">
        <is>
          <t>LIFESTYLE</t>
        </is>
      </c>
      <c r="K29" s="107" t="inlineStr">
        <is>
          <t>LS_SEASONAL</t>
        </is>
      </c>
      <c r="L29" s="107" t="inlineStr">
        <is>
          <t>LS_S_KIDS UMBRELLA</t>
        </is>
      </c>
      <c r="M29" s="107" t="inlineStr">
        <is>
          <t>ARTICLE</t>
        </is>
      </c>
      <c r="N29" s="108" t="n">
        <v>0.0969842682164966</v>
      </c>
      <c r="O29" s="108" t="n">
        <v>0.104525453037354</v>
      </c>
      <c r="P29" s="109" t="n">
        <v>179</v>
      </c>
      <c r="Q29" s="110" t="n">
        <v>0</v>
      </c>
      <c r="R29" s="110" t="n">
        <v>0</v>
      </c>
      <c r="S29" s="110" t="n">
        <v>0</v>
      </c>
      <c r="T29" s="110" t="n">
        <v>0</v>
      </c>
      <c r="U29" s="104" t="n">
        <v>0</v>
      </c>
      <c r="V29" s="104" t="n">
        <v>0</v>
      </c>
      <c r="W29" s="104">
        <f>$U29+$V29</f>
        <v/>
      </c>
      <c r="X29" s="111">
        <f>IFERROR(A29/Q29,0)</f>
        <v/>
      </c>
      <c r="Y29" s="111">
        <f>IFERROR(B29/T29,0)</f>
        <v/>
      </c>
      <c r="Z29" s="111">
        <f>IFERROR(C29/Q29,0)</f>
        <v/>
      </c>
      <c r="AA29" s="111">
        <f>IFERROR(D29/T29,0)</f>
        <v/>
      </c>
      <c r="AC29" s="111">
        <f>IF(T29&gt;0,IFERROR(E29/T29,0),1)</f>
        <v/>
      </c>
      <c r="AD29" s="111">
        <f>IF(Q29&gt;0,IFERROR(F29/Q29,0),1)</f>
        <v/>
      </c>
      <c r="AE29" s="111">
        <f>IF(AK29&gt;0,IFERROR(G29/AK29,0),1)</f>
        <v/>
      </c>
      <c r="AF29" s="111">
        <f>IF(AL29&gt;0,IFERROR(H29/AL29,0),1)</f>
        <v/>
      </c>
      <c r="AG29" s="104">
        <f>T29-(U29+AM29+AQ29)</f>
        <v/>
      </c>
      <c r="AH29" s="104">
        <f>Q29-(U29+AN29+AQ29)</f>
        <v/>
      </c>
      <c r="AI29" s="104">
        <f>(AK29-AO29)</f>
        <v/>
      </c>
      <c r="AJ29" s="104">
        <f>(AL29-AP29)</f>
        <v/>
      </c>
      <c r="AK29" s="110">
        <f>R29+AH29</f>
        <v/>
      </c>
      <c r="AL29" s="110">
        <f>S29+AI29</f>
        <v/>
      </c>
      <c r="AM29" s="104" t="n">
        <v>0</v>
      </c>
      <c r="AN29" s="104" t="n">
        <v>0</v>
      </c>
      <c r="AO29" s="104" t="n">
        <v>0</v>
      </c>
      <c r="AP29" s="104" t="n">
        <v>0</v>
      </c>
      <c r="AQ29" s="104" t="n">
        <v>0</v>
      </c>
      <c r="AR29" s="104" t="n"/>
      <c r="AS29" s="112" t="n"/>
    </row>
    <row r="30" ht="12.65" customHeight="1" s="79">
      <c r="A30" s="104">
        <f>MIN(U30,Q30)</f>
        <v/>
      </c>
      <c r="B30" s="104">
        <f>MIN(U30,T30)</f>
        <v/>
      </c>
      <c r="C30" s="104">
        <f>MIN(W30,Q30)</f>
        <v/>
      </c>
      <c r="D30" s="104">
        <f>MIN(W30,T30)</f>
        <v/>
      </c>
      <c r="E30" s="104">
        <f>MIN((U30+AM30+AQ30),T30)</f>
        <v/>
      </c>
      <c r="F30" s="104">
        <f>MAX(MIN((U30+AN30+AQ30),Q30),0)</f>
        <v/>
      </c>
      <c r="G30" s="104">
        <f>MAX(MIN(AO30,AK30),0)</f>
        <v/>
      </c>
      <c r="H30" s="104">
        <f>MAX(MIN(AP30,AL30),0)</f>
        <v/>
      </c>
      <c r="I30" s="105" t="inlineStr">
        <is>
          <t>CHANDRAPAL NEGI</t>
        </is>
      </c>
      <c r="J30" s="106" t="inlineStr">
        <is>
          <t>LIFESTYLE</t>
        </is>
      </c>
      <c r="K30" s="107" t="inlineStr">
        <is>
          <t>LS_SEASONAL</t>
        </is>
      </c>
      <c r="L30" s="107" t="inlineStr">
        <is>
          <t>LS_S_MENS UMBRELLA</t>
        </is>
      </c>
      <c r="M30" s="107" t="inlineStr">
        <is>
          <t>ARTICLE</t>
        </is>
      </c>
      <c r="N30" s="108" t="n">
        <v>0.07302617213089189</v>
      </c>
      <c r="O30" s="108" t="n">
        <v>0.155785959054565</v>
      </c>
      <c r="P30" s="109" t="n">
        <v>179</v>
      </c>
      <c r="Q30" s="110" t="n">
        <v>0</v>
      </c>
      <c r="R30" s="110" t="n">
        <v>0</v>
      </c>
      <c r="S30" s="110" t="n">
        <v>0</v>
      </c>
      <c r="T30" s="110" t="n">
        <v>0</v>
      </c>
      <c r="U30" s="104" t="n">
        <v>0</v>
      </c>
      <c r="V30" s="104" t="n">
        <v>0</v>
      </c>
      <c r="W30" s="104">
        <f>$U30+$V30</f>
        <v/>
      </c>
      <c r="X30" s="111">
        <f>IFERROR(A30/Q30,0)</f>
        <v/>
      </c>
      <c r="Y30" s="111">
        <f>IFERROR(B30/T30,0)</f>
        <v/>
      </c>
      <c r="Z30" s="111">
        <f>IFERROR(C30/Q30,0)</f>
        <v/>
      </c>
      <c r="AA30" s="111">
        <f>IFERROR(D30/T30,0)</f>
        <v/>
      </c>
      <c r="AC30" s="111">
        <f>IF(T30&gt;0,IFERROR(E30/T30,0),1)</f>
        <v/>
      </c>
      <c r="AD30" s="111">
        <f>IF(Q30&gt;0,IFERROR(F30/Q30,0),1)</f>
        <v/>
      </c>
      <c r="AE30" s="111">
        <f>IF(AK30&gt;0,IFERROR(G30/AK30,0),1)</f>
        <v/>
      </c>
      <c r="AF30" s="111">
        <f>IF(AL30&gt;0,IFERROR(H30/AL30,0),1)</f>
        <v/>
      </c>
      <c r="AG30" s="104">
        <f>T30-(U30+AM30+AQ30)</f>
        <v/>
      </c>
      <c r="AH30" s="104">
        <f>Q30-(U30+AN30+AQ30)</f>
        <v/>
      </c>
      <c r="AI30" s="104">
        <f>(AK30-AO30)</f>
        <v/>
      </c>
      <c r="AJ30" s="104">
        <f>(AL30-AP30)</f>
        <v/>
      </c>
      <c r="AK30" s="110">
        <f>R30+AH30</f>
        <v/>
      </c>
      <c r="AL30" s="110">
        <f>S30+AI30</f>
        <v/>
      </c>
      <c r="AM30" s="104" t="n">
        <v>0</v>
      </c>
      <c r="AN30" s="104" t="n">
        <v>0</v>
      </c>
      <c r="AO30" s="104" t="n">
        <v>0</v>
      </c>
      <c r="AP30" s="104" t="n">
        <v>0</v>
      </c>
      <c r="AQ30" s="104" t="n">
        <v>0</v>
      </c>
      <c r="AR30" s="104" t="n"/>
      <c r="AS30" s="112" t="n"/>
    </row>
    <row r="31" ht="12.65" customHeight="1" s="79">
      <c r="A31" s="104">
        <f>MIN(U31,Q31)</f>
        <v/>
      </c>
      <c r="B31" s="104">
        <f>MIN(U31,T31)</f>
        <v/>
      </c>
      <c r="C31" s="104">
        <f>MIN(W31,Q31)</f>
        <v/>
      </c>
      <c r="D31" s="104">
        <f>MIN(W31,T31)</f>
        <v/>
      </c>
      <c r="E31" s="104">
        <f>MIN((U31+AM31+AQ31),T31)</f>
        <v/>
      </c>
      <c r="F31" s="104">
        <f>MAX(MIN((U31+AN31+AQ31),Q31),0)</f>
        <v/>
      </c>
      <c r="G31" s="104">
        <f>MAX(MIN(AO31,AK31),0)</f>
        <v/>
      </c>
      <c r="H31" s="104">
        <f>MAX(MIN(AP31,AL31),0)</f>
        <v/>
      </c>
      <c r="I31" s="105" t="inlineStr">
        <is>
          <t>CHANDRAPAL NEGI</t>
        </is>
      </c>
      <c r="J31" s="106" t="inlineStr">
        <is>
          <t>LIFESTYLE</t>
        </is>
      </c>
      <c r="K31" s="107" t="inlineStr">
        <is>
          <t>LS_SEASONAL</t>
        </is>
      </c>
      <c r="L31" s="107" t="inlineStr">
        <is>
          <t>LS_S_LADIES UMBRELLA</t>
        </is>
      </c>
      <c r="M31" s="107" t="inlineStr">
        <is>
          <t>ARTICLE</t>
        </is>
      </c>
      <c r="N31" s="108" t="n">
        <v>0.059157784252339</v>
      </c>
      <c r="O31" s="108" t="n">
        <v>0.101196912636564</v>
      </c>
      <c r="P31" s="109" t="n">
        <v>179</v>
      </c>
      <c r="Q31" s="110" t="n">
        <v>0</v>
      </c>
      <c r="R31" s="110" t="n">
        <v>0</v>
      </c>
      <c r="S31" s="110" t="n">
        <v>0</v>
      </c>
      <c r="T31" s="110" t="n">
        <v>0</v>
      </c>
      <c r="U31" s="104" t="n">
        <v>0</v>
      </c>
      <c r="V31" s="104" t="n">
        <v>0</v>
      </c>
      <c r="W31" s="104">
        <f>$U31+$V31</f>
        <v/>
      </c>
      <c r="X31" s="111">
        <f>IFERROR(A31/Q31,0)</f>
        <v/>
      </c>
      <c r="Y31" s="111">
        <f>IFERROR(B31/T31,0)</f>
        <v/>
      </c>
      <c r="Z31" s="111">
        <f>IFERROR(C31/Q31,0)</f>
        <v/>
      </c>
      <c r="AA31" s="111">
        <f>IFERROR(D31/T31,0)</f>
        <v/>
      </c>
      <c r="AC31" s="111">
        <f>IF(T31&gt;0,IFERROR(E31/T31,0),1)</f>
        <v/>
      </c>
      <c r="AD31" s="111">
        <f>IF(Q31&gt;0,IFERROR(F31/Q31,0),1)</f>
        <v/>
      </c>
      <c r="AE31" s="111">
        <f>IF(AK31&gt;0,IFERROR(G31/AK31,0),1)</f>
        <v/>
      </c>
      <c r="AF31" s="111">
        <f>IF(AL31&gt;0,IFERROR(H31/AL31,0),1)</f>
        <v/>
      </c>
      <c r="AG31" s="104">
        <f>T31-(U31+AM31+AQ31)</f>
        <v/>
      </c>
      <c r="AH31" s="104">
        <f>Q31-(U31+AN31+AQ31)</f>
        <v/>
      </c>
      <c r="AI31" s="104">
        <f>(AK31-AO31)</f>
        <v/>
      </c>
      <c r="AJ31" s="104">
        <f>(AL31-AP31)</f>
        <v/>
      </c>
      <c r="AK31" s="110">
        <f>R31+AH31</f>
        <v/>
      </c>
      <c r="AL31" s="110">
        <f>S31+AI31</f>
        <v/>
      </c>
      <c r="AM31" s="104" t="n">
        <v>0</v>
      </c>
      <c r="AN31" s="104" t="n">
        <v>0</v>
      </c>
      <c r="AO31" s="104" t="n">
        <v>0</v>
      </c>
      <c r="AP31" s="104" t="n">
        <v>0</v>
      </c>
      <c r="AQ31" s="104" t="n">
        <v>0</v>
      </c>
      <c r="AR31" s="104" t="n"/>
      <c r="AS31" s="104" t="n"/>
    </row>
    <row r="32" ht="12.65" customHeight="1" s="79">
      <c r="A32" s="104">
        <f>MIN(U32,Q32)</f>
        <v/>
      </c>
      <c r="B32" s="104">
        <f>MIN(U32,T32)</f>
        <v/>
      </c>
      <c r="C32" s="104">
        <f>MIN(W32,Q32)</f>
        <v/>
      </c>
      <c r="D32" s="104">
        <f>MIN(W32,T32)</f>
        <v/>
      </c>
      <c r="E32" s="104">
        <f>MIN((U32+AM32+AQ32),T32)</f>
        <v/>
      </c>
      <c r="F32" s="104">
        <f>MAX(MIN((U32+AN32+AQ32),Q32),0)</f>
        <v/>
      </c>
      <c r="G32" s="104">
        <f>MAX(MIN(AO32,AK32),0)</f>
        <v/>
      </c>
      <c r="H32" s="104">
        <f>MAX(MIN(AP32,AL32),0)</f>
        <v/>
      </c>
      <c r="I32" s="105" t="inlineStr">
        <is>
          <t>CHANDRAPAL NEGI</t>
        </is>
      </c>
      <c r="J32" s="106" t="inlineStr">
        <is>
          <t>LIFESTYLE</t>
        </is>
      </c>
      <c r="K32" s="107" t="inlineStr">
        <is>
          <t>LS_SEASONAL</t>
        </is>
      </c>
      <c r="L32" s="107" t="inlineStr">
        <is>
          <t>LS_S_BALLOON</t>
        </is>
      </c>
      <c r="M32" s="107" t="inlineStr">
        <is>
          <t>ARTICLE</t>
        </is>
      </c>
      <c r="N32" s="108" t="n">
        <v>0.131702401612271</v>
      </c>
      <c r="O32" s="108" t="n">
        <v>9.99034266875354e-05</v>
      </c>
      <c r="P32" s="109" t="n">
        <v>148</v>
      </c>
      <c r="Q32" s="110" t="n">
        <v>0</v>
      </c>
      <c r="R32" s="110" t="n">
        <v>0</v>
      </c>
      <c r="S32" s="110" t="n">
        <v>0</v>
      </c>
      <c r="T32" s="110" t="n">
        <v>0</v>
      </c>
      <c r="U32" s="104" t="n">
        <v>0</v>
      </c>
      <c r="V32" s="104" t="n">
        <v>0</v>
      </c>
      <c r="W32" s="104">
        <f>$U32+$V32</f>
        <v/>
      </c>
      <c r="X32" s="111">
        <f>IFERROR(A32/Q32,0)</f>
        <v/>
      </c>
      <c r="Y32" s="111">
        <f>IFERROR(B32/T32,0)</f>
        <v/>
      </c>
      <c r="Z32" s="111">
        <f>IFERROR(C32/Q32,0)</f>
        <v/>
      </c>
      <c r="AA32" s="111">
        <f>IFERROR(D32/T32,0)</f>
        <v/>
      </c>
      <c r="AC32" s="111">
        <f>IF(T32&gt;0,IFERROR(E32/T32,0),1)</f>
        <v/>
      </c>
      <c r="AD32" s="111">
        <f>IF(Q32&gt;0,IFERROR(F32/Q32,0),1)</f>
        <v/>
      </c>
      <c r="AE32" s="111">
        <f>IF(AK32&gt;0,IFERROR(G32/AK32,0),1)</f>
        <v/>
      </c>
      <c r="AF32" s="111">
        <f>IF(AL32&gt;0,IFERROR(H32/AL32,0),1)</f>
        <v/>
      </c>
      <c r="AG32" s="104">
        <f>T32-(U32+AM32+AQ32)</f>
        <v/>
      </c>
      <c r="AH32" s="104">
        <f>Q32-(U32+AN32+AQ32)</f>
        <v/>
      </c>
      <c r="AI32" s="104">
        <f>(AK32-AO32)</f>
        <v/>
      </c>
      <c r="AJ32" s="104">
        <f>(AL32-AP32)</f>
        <v/>
      </c>
      <c r="AK32" s="110">
        <f>R32+AH32</f>
        <v/>
      </c>
      <c r="AL32" s="110">
        <f>S32+AI32</f>
        <v/>
      </c>
      <c r="AM32" s="104" t="n">
        <v>0</v>
      </c>
      <c r="AN32" s="104" t="n">
        <v>0</v>
      </c>
      <c r="AO32" s="104" t="n">
        <v>0</v>
      </c>
      <c r="AP32" s="104" t="n">
        <v>0</v>
      </c>
      <c r="AQ32" s="104" t="n">
        <v>0</v>
      </c>
      <c r="AR32" s="104" t="n"/>
      <c r="AS32" s="104" t="n"/>
    </row>
    <row r="33" ht="12.65" customHeight="1" s="79">
      <c r="A33" s="104">
        <f>MIN(U33,Q33)</f>
        <v/>
      </c>
      <c r="B33" s="104">
        <f>MIN(U33,T33)</f>
        <v/>
      </c>
      <c r="C33" s="104">
        <f>MIN(W33,Q33)</f>
        <v/>
      </c>
      <c r="D33" s="104">
        <f>MIN(W33,T33)</f>
        <v/>
      </c>
      <c r="E33" s="104">
        <f>MIN((U33+AM33+AQ33),T33)</f>
        <v/>
      </c>
      <c r="F33" s="104">
        <f>MAX(MIN((U33+AN33+AQ33),Q33),0)</f>
        <v/>
      </c>
      <c r="G33" s="104">
        <f>MAX(MIN(AO33,AK33),0)</f>
        <v/>
      </c>
      <c r="H33" s="104">
        <f>MAX(MIN(AP33,AL33),0)</f>
        <v/>
      </c>
      <c r="I33" s="105" t="inlineStr">
        <is>
          <t>CHANDRAPAL NEGI</t>
        </is>
      </c>
      <c r="J33" s="106" t="inlineStr">
        <is>
          <t>LIFESTYLE</t>
        </is>
      </c>
      <c r="K33" s="107" t="inlineStr">
        <is>
          <t>LS_SEASONAL</t>
        </is>
      </c>
      <c r="L33" s="107" t="inlineStr">
        <is>
          <t>LS_S_GULAL</t>
        </is>
      </c>
      <c r="M33" s="107" t="inlineStr">
        <is>
          <t>ARTICLE</t>
        </is>
      </c>
      <c r="N33" s="108" t="n">
        <v>0.202380426371451</v>
      </c>
      <c r="O33" s="108" t="n">
        <v>0</v>
      </c>
      <c r="P33" s="109" t="n">
        <v>162</v>
      </c>
      <c r="Q33" s="110" t="n">
        <v>0</v>
      </c>
      <c r="R33" s="110" t="n">
        <v>0</v>
      </c>
      <c r="S33" s="110" t="n">
        <v>0</v>
      </c>
      <c r="T33" s="110" t="n">
        <v>0</v>
      </c>
      <c r="U33" s="104" t="n">
        <v>0</v>
      </c>
      <c r="V33" s="104" t="n">
        <v>0</v>
      </c>
      <c r="W33" s="104">
        <f>$U33+$V33</f>
        <v/>
      </c>
      <c r="X33" s="111">
        <f>IFERROR(A33/Q33,0)</f>
        <v/>
      </c>
      <c r="Y33" s="111">
        <f>IFERROR(B33/T33,0)</f>
        <v/>
      </c>
      <c r="Z33" s="111">
        <f>IFERROR(C33/Q33,0)</f>
        <v/>
      </c>
      <c r="AA33" s="111">
        <f>IFERROR(D33/T33,0)</f>
        <v/>
      </c>
      <c r="AC33" s="111">
        <f>IF(T33&gt;0,IFERROR(E33/T33,0),1)</f>
        <v/>
      </c>
      <c r="AD33" s="111">
        <f>IF(Q33&gt;0,IFERROR(F33/Q33,0),1)</f>
        <v/>
      </c>
      <c r="AE33" s="111">
        <f>IF(AK33&gt;0,IFERROR(G33/AK33,0),1)</f>
        <v/>
      </c>
      <c r="AF33" s="111">
        <f>IF(AL33&gt;0,IFERROR(H33/AL33,0),1)</f>
        <v/>
      </c>
      <c r="AG33" s="104">
        <f>T33-(U33+AM33+AQ33)</f>
        <v/>
      </c>
      <c r="AH33" s="104">
        <f>Q33-(U33+AN33+AQ33)</f>
        <v/>
      </c>
      <c r="AI33" s="104">
        <f>(AK33-AO33)</f>
        <v/>
      </c>
      <c r="AJ33" s="104">
        <f>(AL33-AP33)</f>
        <v/>
      </c>
      <c r="AK33" s="110">
        <f>R33+AH33</f>
        <v/>
      </c>
      <c r="AL33" s="110">
        <f>S33+AI33</f>
        <v/>
      </c>
      <c r="AM33" s="104" t="n">
        <v>0</v>
      </c>
      <c r="AN33" s="104" t="n">
        <v>0</v>
      </c>
      <c r="AO33" s="104" t="n">
        <v>0</v>
      </c>
      <c r="AP33" s="104" t="n">
        <v>0</v>
      </c>
      <c r="AQ33" s="104" t="n">
        <v>0</v>
      </c>
      <c r="AR33" s="104" t="n"/>
      <c r="AS33" s="112" t="n"/>
    </row>
    <row r="34" ht="12.65" customHeight="1" s="79">
      <c r="A34" s="104">
        <f>MIN(U34,Q34)</f>
        <v/>
      </c>
      <c r="B34" s="104">
        <f>MIN(U34,T34)</f>
        <v/>
      </c>
      <c r="C34" s="104">
        <f>MIN(W34,Q34)</f>
        <v/>
      </c>
      <c r="D34" s="104">
        <f>MIN(W34,T34)</f>
        <v/>
      </c>
      <c r="E34" s="104">
        <f>MIN((U34+AM34+AQ34),T34)</f>
        <v/>
      </c>
      <c r="F34" s="104">
        <f>MAX(MIN((U34+AN34+AQ34),Q34),0)</f>
        <v/>
      </c>
      <c r="G34" s="104">
        <f>MAX(MIN(AO34,AK34),0)</f>
        <v/>
      </c>
      <c r="H34" s="104">
        <f>MAX(MIN(AP34,AL34),0)</f>
        <v/>
      </c>
      <c r="I34" s="105" t="inlineStr">
        <is>
          <t>CHANDRAPAL NEGI</t>
        </is>
      </c>
      <c r="J34" s="106" t="inlineStr">
        <is>
          <t>LIFESTYLE</t>
        </is>
      </c>
      <c r="K34" s="107" t="inlineStr">
        <is>
          <t>LS_SEASONAL</t>
        </is>
      </c>
      <c r="L34" s="107" t="inlineStr">
        <is>
          <t>LS_S_KALAVA RAKSHA SUTRA</t>
        </is>
      </c>
      <c r="M34" s="107" t="inlineStr">
        <is>
          <t>ARTICLE</t>
        </is>
      </c>
      <c r="N34" s="108" t="n">
        <v>0</v>
      </c>
      <c r="O34" s="108" t="n">
        <v>0.0275142407122201</v>
      </c>
      <c r="P34" s="109" t="n">
        <v>179</v>
      </c>
      <c r="Q34" s="110" t="n">
        <v>0</v>
      </c>
      <c r="R34" s="110" t="n">
        <v>0</v>
      </c>
      <c r="S34" s="110" t="n">
        <v>0</v>
      </c>
      <c r="T34" s="110" t="n">
        <v>0</v>
      </c>
      <c r="U34" s="104" t="n">
        <v>0</v>
      </c>
      <c r="V34" s="104" t="n">
        <v>0</v>
      </c>
      <c r="W34" s="104">
        <f>$U34+$V34</f>
        <v/>
      </c>
      <c r="X34" s="111">
        <f>IFERROR(A34/Q34,0)</f>
        <v/>
      </c>
      <c r="Y34" s="111">
        <f>IFERROR(B34/T34,0)</f>
        <v/>
      </c>
      <c r="Z34" s="111">
        <f>IFERROR(C34/Q34,0)</f>
        <v/>
      </c>
      <c r="AA34" s="111">
        <f>IFERROR(D34/T34,0)</f>
        <v/>
      </c>
      <c r="AC34" s="111">
        <f>IF(T34&gt;0,IFERROR(E34/T34,0),1)</f>
        <v/>
      </c>
      <c r="AD34" s="111">
        <f>IF(Q34&gt;0,IFERROR(F34/Q34,0),1)</f>
        <v/>
      </c>
      <c r="AE34" s="111">
        <f>IF(AK34&gt;0,IFERROR(G34/AK34,0),1)</f>
        <v/>
      </c>
      <c r="AF34" s="111">
        <f>IF(AL34&gt;0,IFERROR(H34/AL34,0),1)</f>
        <v/>
      </c>
      <c r="AG34" s="104">
        <f>T34-(U34+AM34+AQ34)</f>
        <v/>
      </c>
      <c r="AH34" s="104">
        <f>Q34-(U34+AN34+AQ34)</f>
        <v/>
      </c>
      <c r="AI34" s="104">
        <f>(AK34-AO34)</f>
        <v/>
      </c>
      <c r="AJ34" s="104">
        <f>(AL34-AP34)</f>
        <v/>
      </c>
      <c r="AK34" s="110">
        <f>R34+AH34</f>
        <v/>
      </c>
      <c r="AL34" s="110">
        <f>S34+AI34</f>
        <v/>
      </c>
      <c r="AM34" s="104" t="n">
        <v>0</v>
      </c>
      <c r="AN34" s="104" t="n">
        <v>0</v>
      </c>
      <c r="AO34" s="104" t="n">
        <v>0</v>
      </c>
      <c r="AP34" s="104" t="n">
        <v>0</v>
      </c>
      <c r="AQ34" s="104" t="n">
        <v>0</v>
      </c>
      <c r="AR34" s="104" t="n"/>
      <c r="AS34" s="104" t="n"/>
    </row>
    <row r="35" ht="12.65" customHeight="1" s="79">
      <c r="A35" s="104">
        <f>MIN(U35,Q35)</f>
        <v/>
      </c>
      <c r="B35" s="104">
        <f>MIN(U35,T35)</f>
        <v/>
      </c>
      <c r="C35" s="104">
        <f>MIN(W35,Q35)</f>
        <v/>
      </c>
      <c r="D35" s="104">
        <f>MIN(W35,T35)</f>
        <v/>
      </c>
      <c r="E35" s="104">
        <f>MIN((U35+AM35+AQ35),T35)</f>
        <v/>
      </c>
      <c r="F35" s="104">
        <f>MAX(MIN((U35+AN35+AQ35),Q35),0)</f>
        <v/>
      </c>
      <c r="G35" s="104">
        <f>MAX(MIN(AO35,AK35),0)</f>
        <v/>
      </c>
      <c r="H35" s="104">
        <f>MAX(MIN(AP35,AL35),0)</f>
        <v/>
      </c>
      <c r="I35" s="105" t="inlineStr">
        <is>
          <t>CHANDRAPAL NEGI</t>
        </is>
      </c>
      <c r="J35" s="106" t="inlineStr">
        <is>
          <t>LIFESTYLE</t>
        </is>
      </c>
      <c r="K35" s="107" t="inlineStr">
        <is>
          <t>LS_SEASONAL</t>
        </is>
      </c>
      <c r="L35" s="107" t="inlineStr">
        <is>
          <t>LS_S_KIDS PITCHKARI</t>
        </is>
      </c>
      <c r="M35" s="107" t="inlineStr">
        <is>
          <t>ARTICLE</t>
        </is>
      </c>
      <c r="N35" s="108" t="n">
        <v>0.165651201567847</v>
      </c>
      <c r="O35" s="108" t="n">
        <v>0.000189707038131115</v>
      </c>
      <c r="P35" s="109" t="n">
        <v>120</v>
      </c>
      <c r="Q35" s="110" t="n">
        <v>0</v>
      </c>
      <c r="R35" s="110" t="n">
        <v>0</v>
      </c>
      <c r="S35" s="110" t="n">
        <v>0</v>
      </c>
      <c r="T35" s="110" t="n">
        <v>0</v>
      </c>
      <c r="U35" s="104" t="n">
        <v>0</v>
      </c>
      <c r="V35" s="104" t="n">
        <v>0</v>
      </c>
      <c r="W35" s="104">
        <f>$U35+$V35</f>
        <v/>
      </c>
      <c r="X35" s="111">
        <f>IFERROR(A35/Q35,0)</f>
        <v/>
      </c>
      <c r="Y35" s="111">
        <f>IFERROR(B35/T35,0)</f>
        <v/>
      </c>
      <c r="Z35" s="111">
        <f>IFERROR(C35/Q35,0)</f>
        <v/>
      </c>
      <c r="AA35" s="111">
        <f>IFERROR(D35/T35,0)</f>
        <v/>
      </c>
      <c r="AC35" s="111">
        <f>IF(T35&gt;0,IFERROR(E35/T35,0),1)</f>
        <v/>
      </c>
      <c r="AD35" s="111">
        <f>IF(Q35&gt;0,IFERROR(F35/Q35,0),1)</f>
        <v/>
      </c>
      <c r="AE35" s="111">
        <f>IF(AK35&gt;0,IFERROR(G35/AK35,0),1)</f>
        <v/>
      </c>
      <c r="AF35" s="111">
        <f>IF(AL35&gt;0,IFERROR(H35/AL35,0),1)</f>
        <v/>
      </c>
      <c r="AG35" s="104">
        <f>T35-(U35+AM35+AQ35)</f>
        <v/>
      </c>
      <c r="AH35" s="104">
        <f>Q35-(U35+AN35+AQ35)</f>
        <v/>
      </c>
      <c r="AI35" s="104">
        <f>(AK35-AO35)</f>
        <v/>
      </c>
      <c r="AJ35" s="104">
        <f>(AL35-AP35)</f>
        <v/>
      </c>
      <c r="AK35" s="110">
        <f>R35+AH35</f>
        <v/>
      </c>
      <c r="AL35" s="110">
        <f>S35+AI35</f>
        <v/>
      </c>
      <c r="AM35" s="104" t="n">
        <v>0</v>
      </c>
      <c r="AN35" s="104" t="n">
        <v>0</v>
      </c>
      <c r="AO35" s="104" t="n">
        <v>0</v>
      </c>
      <c r="AP35" s="104" t="n">
        <v>0</v>
      </c>
      <c r="AQ35" s="104" t="n">
        <v>0</v>
      </c>
      <c r="AR35" s="104" t="n"/>
      <c r="AS35" s="104" t="n"/>
    </row>
    <row r="36" ht="12.65" customHeight="1" s="79">
      <c r="A36" s="104">
        <f>MIN(U36,Q36)</f>
        <v/>
      </c>
      <c r="B36" s="104">
        <f>MIN(U36,T36)</f>
        <v/>
      </c>
      <c r="C36" s="104">
        <f>MIN(W36,Q36)</f>
        <v/>
      </c>
      <c r="D36" s="104">
        <f>MIN(W36,T36)</f>
        <v/>
      </c>
      <c r="E36" s="104">
        <f>MIN((U36+AM36+AQ36),T36)</f>
        <v/>
      </c>
      <c r="F36" s="104">
        <f>MAX(MIN((U36+AN36+AQ36),Q36),0)</f>
        <v/>
      </c>
      <c r="G36" s="104">
        <f>MAX(MIN(AO36,AK36),0)</f>
        <v/>
      </c>
      <c r="H36" s="104">
        <f>MAX(MIN(AP36,AL36),0)</f>
        <v/>
      </c>
      <c r="I36" s="105" t="inlineStr">
        <is>
          <t>CHANDRAPAL NEGI</t>
        </is>
      </c>
      <c r="J36" s="106" t="inlineStr">
        <is>
          <t>LIFESTYLE</t>
        </is>
      </c>
      <c r="K36" s="107" t="inlineStr">
        <is>
          <t>LS_WOMEN ACCESSORIES</t>
        </is>
      </c>
      <c r="L36" s="107" t="inlineStr">
        <is>
          <t>LS_WA_BAG</t>
        </is>
      </c>
      <c r="M36" s="107" t="inlineStr">
        <is>
          <t>ARTICLE</t>
        </is>
      </c>
      <c r="N36" s="108" t="n">
        <v>0.133649366395254</v>
      </c>
      <c r="O36" s="108" t="n">
        <v>0.105058937652488</v>
      </c>
      <c r="P36" s="109" t="n">
        <v>4</v>
      </c>
      <c r="Q36" s="110" t="n">
        <v>35248</v>
      </c>
      <c r="R36" s="110" t="n">
        <v>21115.8315864297</v>
      </c>
      <c r="S36" s="110" t="n">
        <v>21560.4325366375</v>
      </c>
      <c r="T36" s="110" t="n">
        <v>77924.2641230671</v>
      </c>
      <c r="U36" s="104" t="n">
        <v>21463</v>
      </c>
      <c r="V36" s="104" t="n">
        <v>0</v>
      </c>
      <c r="W36" s="104">
        <f>$U36+$V36</f>
        <v/>
      </c>
      <c r="X36" s="111">
        <f>IFERROR(A36/Q36,0)</f>
        <v/>
      </c>
      <c r="Y36" s="111">
        <f>IFERROR(B36/T36,0)</f>
        <v/>
      </c>
      <c r="Z36" s="111">
        <f>IFERROR(C36/Q36,0)</f>
        <v/>
      </c>
      <c r="AA36" s="111">
        <f>IFERROR(D36/T36,0)</f>
        <v/>
      </c>
      <c r="AC36" s="111">
        <f>IF(T36&gt;0,IFERROR(E36/T36,0),1)</f>
        <v/>
      </c>
      <c r="AD36" s="111">
        <f>IF(Q36&gt;0,IFERROR(F36/Q36,0),1)</f>
        <v/>
      </c>
      <c r="AE36" s="111">
        <f>IF(AK36&gt;0,IFERROR(G36/AK36,0),1)</f>
        <v/>
      </c>
      <c r="AF36" s="111">
        <f>IF(AL36&gt;0,IFERROR(H36/AL36,0),1)</f>
        <v/>
      </c>
      <c r="AG36" s="104">
        <f>T36-(U36+AM36+AQ36)</f>
        <v/>
      </c>
      <c r="AH36" s="104">
        <f>Q36-(U36+AN36+AQ36)</f>
        <v/>
      </c>
      <c r="AI36" s="104">
        <f>(AK36-AO36)</f>
        <v/>
      </c>
      <c r="AJ36" s="104">
        <f>(AL36-AP36)</f>
        <v/>
      </c>
      <c r="AK36" s="110">
        <f>R36+AH36</f>
        <v/>
      </c>
      <c r="AL36" s="110">
        <f>S36+AI36</f>
        <v/>
      </c>
      <c r="AM36" s="104" t="n">
        <v>93106</v>
      </c>
      <c r="AN36" s="104" t="n">
        <v>37146</v>
      </c>
      <c r="AO36" s="104" t="n">
        <v>28580</v>
      </c>
      <c r="AP36" s="104" t="n">
        <v>27380</v>
      </c>
      <c r="AQ36" s="104" t="n">
        <v>0</v>
      </c>
      <c r="AR36" s="104" t="n"/>
      <c r="AS36" s="112" t="n"/>
    </row>
    <row r="37" ht="12.65" customHeight="1" s="79">
      <c r="A37" s="104">
        <f>MIN(U37,Q37)</f>
        <v/>
      </c>
      <c r="B37" s="104">
        <f>MIN(U37,T37)</f>
        <v/>
      </c>
      <c r="C37" s="104">
        <f>MIN(W37,Q37)</f>
        <v/>
      </c>
      <c r="D37" s="104">
        <f>MIN(W37,T37)</f>
        <v/>
      </c>
      <c r="E37" s="104">
        <f>MIN((U37+AM37+AQ37),T37)</f>
        <v/>
      </c>
      <c r="F37" s="104">
        <f>MAX(MIN((U37+AN37+AQ37),Q37),0)</f>
        <v/>
      </c>
      <c r="G37" s="104">
        <f>MAX(MIN(AO37,AK37),0)</f>
        <v/>
      </c>
      <c r="H37" s="104">
        <f>MAX(MIN(AP37,AL37),0)</f>
        <v/>
      </c>
      <c r="I37" s="105" t="inlineStr">
        <is>
          <t>CHANDRAPAL NEGI</t>
        </is>
      </c>
      <c r="J37" s="106" t="inlineStr">
        <is>
          <t>LIFESTYLE</t>
        </is>
      </c>
      <c r="K37" s="107" t="inlineStr">
        <is>
          <t>LS_WOMEN ACCESSORIES</t>
        </is>
      </c>
      <c r="L37" s="107" t="inlineStr">
        <is>
          <t>LS_WA_HA_COMB</t>
        </is>
      </c>
      <c r="M37" s="107" t="inlineStr">
        <is>
          <t>ARTICLE</t>
        </is>
      </c>
      <c r="N37" s="108" t="n">
        <v>0.105571410266864</v>
      </c>
      <c r="O37" s="108" t="n">
        <v>0.103002160645919</v>
      </c>
      <c r="P37" s="109" t="n">
        <v>64</v>
      </c>
      <c r="Q37" s="110" t="n">
        <v>22828</v>
      </c>
      <c r="R37" s="110" t="n">
        <v>19065.5827638715</v>
      </c>
      <c r="S37" s="110" t="n">
        <v>12748.2066113811</v>
      </c>
      <c r="T37" s="110" t="n">
        <v>54641.7893752526</v>
      </c>
      <c r="U37" s="104" t="n">
        <v>24000</v>
      </c>
      <c r="V37" s="104" t="n">
        <v>0</v>
      </c>
      <c r="W37" s="104">
        <f>$U37+$V37</f>
        <v/>
      </c>
      <c r="X37" s="111">
        <f>IFERROR(A37/Q37,0)</f>
        <v/>
      </c>
      <c r="Y37" s="111">
        <f>IFERROR(B37/T37,0)</f>
        <v/>
      </c>
      <c r="Z37" s="111">
        <f>IFERROR(C37/Q37,0)</f>
        <v/>
      </c>
      <c r="AA37" s="111">
        <f>IFERROR(D37/T37,0)</f>
        <v/>
      </c>
      <c r="AC37" s="111">
        <f>IF(T37&gt;0,IFERROR(E37/T37,0),1)</f>
        <v/>
      </c>
      <c r="AD37" s="111">
        <f>IF(Q37&gt;0,IFERROR(F37/Q37,0),1)</f>
        <v/>
      </c>
      <c r="AE37" s="111">
        <f>IF(AK37&gt;0,IFERROR(G37/AK37,0),1)</f>
        <v/>
      </c>
      <c r="AF37" s="111">
        <f>IF(AL37&gt;0,IFERROR(H37/AL37,0),1)</f>
        <v/>
      </c>
      <c r="AG37" s="104">
        <f>T37-(U37+AM37+AQ37)</f>
        <v/>
      </c>
      <c r="AH37" s="104">
        <f>Q37-(U37+AN37+AQ37)</f>
        <v/>
      </c>
      <c r="AI37" s="104">
        <f>(AK37-AO37)</f>
        <v/>
      </c>
      <c r="AJ37" s="104">
        <f>(AL37-AP37)</f>
        <v/>
      </c>
      <c r="AK37" s="110">
        <f>R37+AH37</f>
        <v/>
      </c>
      <c r="AL37" s="110">
        <f>S37+AI37</f>
        <v/>
      </c>
      <c r="AM37" s="104" t="n">
        <v>0</v>
      </c>
      <c r="AN37" s="104" t="n">
        <v>0</v>
      </c>
      <c r="AO37" s="104" t="n">
        <v>0</v>
      </c>
      <c r="AP37" s="104" t="n">
        <v>0</v>
      </c>
      <c r="AQ37" s="104" t="n">
        <v>0</v>
      </c>
      <c r="AR37" s="104" t="n"/>
      <c r="AS37" s="112" t="n"/>
    </row>
    <row r="38" ht="12.65" customHeight="1" s="79">
      <c r="A38" s="104">
        <f>MIN(U38,Q38)</f>
        <v/>
      </c>
      <c r="B38" s="104">
        <f>MIN(U38,T38)</f>
        <v/>
      </c>
      <c r="C38" s="104">
        <f>MIN(W38,Q38)</f>
        <v/>
      </c>
      <c r="D38" s="104">
        <f>MIN(W38,T38)</f>
        <v/>
      </c>
      <c r="E38" s="104">
        <f>MIN((U38+AM38+AQ38),T38)</f>
        <v/>
      </c>
      <c r="F38" s="104">
        <f>MAX(MIN((U38+AN38+AQ38),Q38),0)</f>
        <v/>
      </c>
      <c r="G38" s="104">
        <f>MAX(MIN(AO38,AK38),0)</f>
        <v/>
      </c>
      <c r="H38" s="104">
        <f>MAX(MIN(AP38,AL38),0)</f>
        <v/>
      </c>
      <c r="I38" s="105" t="inlineStr">
        <is>
          <t>CHANDRAPAL NEGI</t>
        </is>
      </c>
      <c r="J38" s="106" t="inlineStr">
        <is>
          <t>LIFESTYLE</t>
        </is>
      </c>
      <c r="K38" s="107" t="inlineStr">
        <is>
          <t>LS_WOMEN ACCESSORIES</t>
        </is>
      </c>
      <c r="L38" s="107" t="inlineStr">
        <is>
          <t>LS_WA_SOCKS</t>
        </is>
      </c>
      <c r="M38" s="107" t="inlineStr">
        <is>
          <t>ARTICLE</t>
        </is>
      </c>
      <c r="N38" s="108" t="n">
        <v>0</v>
      </c>
      <c r="O38" s="108" t="n">
        <v>0</v>
      </c>
      <c r="P38" s="109" t="n">
        <v>125</v>
      </c>
      <c r="Q38" s="110" t="n">
        <v>28212</v>
      </c>
      <c r="R38" s="110" t="n">
        <v>20199.2110698119</v>
      </c>
      <c r="S38" s="110" t="n">
        <v>4618.85622749237</v>
      </c>
      <c r="T38" s="110" t="n">
        <v>53030.0672973043</v>
      </c>
      <c r="U38" s="104" t="n">
        <v>26832</v>
      </c>
      <c r="V38" s="104" t="n">
        <v>0</v>
      </c>
      <c r="W38" s="104">
        <f>$U38+$V38</f>
        <v/>
      </c>
      <c r="X38" s="111">
        <f>IFERROR(A38/Q38,0)</f>
        <v/>
      </c>
      <c r="Y38" s="111">
        <f>IFERROR(B38/T38,0)</f>
        <v/>
      </c>
      <c r="Z38" s="111">
        <f>IFERROR(C38/Q38,0)</f>
        <v/>
      </c>
      <c r="AA38" s="111">
        <f>IFERROR(D38/T38,0)</f>
        <v/>
      </c>
      <c r="AC38" s="111">
        <f>IF(T38&gt;0,IFERROR(E38/T38,0),1)</f>
        <v/>
      </c>
      <c r="AD38" s="111">
        <f>IF(Q38&gt;0,IFERROR(F38/Q38,0),1)</f>
        <v/>
      </c>
      <c r="AE38" s="111">
        <f>IF(AK38&gt;0,IFERROR(G38/AK38,0),1)</f>
        <v/>
      </c>
      <c r="AF38" s="111">
        <f>IF(AL38&gt;0,IFERROR(H38/AL38,0),1)</f>
        <v/>
      </c>
      <c r="AG38" s="104">
        <f>T38-(U38+AM38+AQ38)</f>
        <v/>
      </c>
      <c r="AH38" s="104">
        <f>Q38-(U38+AN38+AQ38)</f>
        <v/>
      </c>
      <c r="AI38" s="104">
        <f>(AK38-AO38)</f>
        <v/>
      </c>
      <c r="AJ38" s="104">
        <f>(AL38-AP38)</f>
        <v/>
      </c>
      <c r="AK38" s="110">
        <f>R38+AH38</f>
        <v/>
      </c>
      <c r="AL38" s="110">
        <f>S38+AI38</f>
        <v/>
      </c>
      <c r="AM38" s="104" t="n">
        <v>26400</v>
      </c>
      <c r="AN38" s="104" t="n">
        <v>7200</v>
      </c>
      <c r="AO38" s="104" t="n">
        <v>19200</v>
      </c>
      <c r="AP38" s="104" t="n">
        <v>0</v>
      </c>
      <c r="AQ38" s="104" t="n">
        <v>0</v>
      </c>
      <c r="AR38" s="104" t="n"/>
      <c r="AS38" s="112" t="n"/>
    </row>
    <row r="39" ht="12.65" customHeight="1" s="79">
      <c r="A39" s="104">
        <f>MIN(U39,Q39)</f>
        <v/>
      </c>
      <c r="B39" s="104">
        <f>MIN(U39,T39)</f>
        <v/>
      </c>
      <c r="C39" s="104">
        <f>MIN(W39,Q39)</f>
        <v/>
      </c>
      <c r="D39" s="104">
        <f>MIN(W39,T39)</f>
        <v/>
      </c>
      <c r="E39" s="104">
        <f>MIN((U39+AM39+AQ39),T39)</f>
        <v/>
      </c>
      <c r="F39" s="104">
        <f>MAX(MIN((U39+AN39+AQ39),Q39),0)</f>
        <v/>
      </c>
      <c r="G39" s="104">
        <f>MAX(MIN(AO39,AK39),0)</f>
        <v/>
      </c>
      <c r="H39" s="104">
        <f>MAX(MIN(AP39,AL39),0)</f>
        <v/>
      </c>
      <c r="I39" s="105" t="inlineStr">
        <is>
          <t>CHANDRAPAL NEGI</t>
        </is>
      </c>
      <c r="J39" s="106" t="inlineStr">
        <is>
          <t>LIFESTYLE</t>
        </is>
      </c>
      <c r="K39" s="107" t="inlineStr">
        <is>
          <t>LS_WOMEN ACCESSORIES</t>
        </is>
      </c>
      <c r="L39" s="107" t="inlineStr">
        <is>
          <t>LS_WA_WALLET</t>
        </is>
      </c>
      <c r="M39" s="107" t="inlineStr">
        <is>
          <t>ARTICLE</t>
        </is>
      </c>
      <c r="N39" s="108" t="n">
        <v>0.151059901986823</v>
      </c>
      <c r="O39" s="108" t="n">
        <v>0.108494872373464</v>
      </c>
      <c r="P39" s="109" t="n">
        <v>29</v>
      </c>
      <c r="Q39" s="110" t="n">
        <v>19199.1</v>
      </c>
      <c r="R39" s="110" t="n">
        <v>13606.3830428908</v>
      </c>
      <c r="S39" s="110" t="n">
        <v>11904.5729636227</v>
      </c>
      <c r="T39" s="110" t="n">
        <v>44710.0560065135</v>
      </c>
      <c r="U39" s="104" t="n">
        <v>15568</v>
      </c>
      <c r="V39" s="104" t="n">
        <v>0</v>
      </c>
      <c r="W39" s="104">
        <f>$U39+$V39</f>
        <v/>
      </c>
      <c r="X39" s="111">
        <f>IFERROR(A39/Q39,0)</f>
        <v/>
      </c>
      <c r="Y39" s="111">
        <f>IFERROR(B39/T39,0)</f>
        <v/>
      </c>
      <c r="Z39" s="111">
        <f>IFERROR(C39/Q39,0)</f>
        <v/>
      </c>
      <c r="AA39" s="111">
        <f>IFERROR(D39/T39,0)</f>
        <v/>
      </c>
      <c r="AC39" s="111">
        <f>IF(T39&gt;0,IFERROR(E39/T39,0),1)</f>
        <v/>
      </c>
      <c r="AD39" s="111">
        <f>IF(Q39&gt;0,IFERROR(F39/Q39,0),1)</f>
        <v/>
      </c>
      <c r="AE39" s="111">
        <f>IF(AK39&gt;0,IFERROR(G39/AK39,0),1)</f>
        <v/>
      </c>
      <c r="AF39" s="111">
        <f>IF(AL39&gt;0,IFERROR(H39/AL39,0),1)</f>
        <v/>
      </c>
      <c r="AG39" s="104">
        <f>T39-(U39+AM39+AQ39)</f>
        <v/>
      </c>
      <c r="AH39" s="104">
        <f>Q39-(U39+AN39+AQ39)</f>
        <v/>
      </c>
      <c r="AI39" s="104">
        <f>(AK39-AO39)</f>
        <v/>
      </c>
      <c r="AJ39" s="104">
        <f>(AL39-AP39)</f>
        <v/>
      </c>
      <c r="AK39" s="110">
        <f>R39+AH39</f>
        <v/>
      </c>
      <c r="AL39" s="110">
        <f>S39+AI39</f>
        <v/>
      </c>
      <c r="AM39" s="104" t="n">
        <v>47224</v>
      </c>
      <c r="AN39" s="104" t="n">
        <v>17224</v>
      </c>
      <c r="AO39" s="104" t="n">
        <v>15000</v>
      </c>
      <c r="AP39" s="104" t="n">
        <v>15000</v>
      </c>
      <c r="AQ39" s="104" t="n">
        <v>0</v>
      </c>
      <c r="AR39" s="104" t="n"/>
      <c r="AS39" s="112" t="n"/>
    </row>
    <row r="40" ht="12.65" customHeight="1" s="79">
      <c r="A40" s="104">
        <f>MIN(U40,Q40)</f>
        <v/>
      </c>
      <c r="B40" s="104">
        <f>MIN(U40,T40)</f>
        <v/>
      </c>
      <c r="C40" s="104">
        <f>MIN(W40,Q40)</f>
        <v/>
      </c>
      <c r="D40" s="104">
        <f>MIN(W40,T40)</f>
        <v/>
      </c>
      <c r="E40" s="104">
        <f>MIN((U40+AM40+AQ40),T40)</f>
        <v/>
      </c>
      <c r="F40" s="104">
        <f>MAX(MIN((U40+AN40+AQ40),Q40),0)</f>
        <v/>
      </c>
      <c r="G40" s="104">
        <f>MAX(MIN(AO40,AK40),0)</f>
        <v/>
      </c>
      <c r="H40" s="104">
        <f>MAX(MIN(AP40,AL40),0)</f>
        <v/>
      </c>
      <c r="I40" s="105" t="inlineStr">
        <is>
          <t>CHANDRAPAL NEGI</t>
        </is>
      </c>
      <c r="J40" s="106" t="inlineStr">
        <is>
          <t>LIFESTYLE</t>
        </is>
      </c>
      <c r="K40" s="107" t="inlineStr">
        <is>
          <t>LS_WOMEN ACCESSORIES</t>
        </is>
      </c>
      <c r="L40" s="107" t="inlineStr">
        <is>
          <t>LS_WA_PURSE</t>
        </is>
      </c>
      <c r="M40" s="107" t="inlineStr">
        <is>
          <t>ARTICLE</t>
        </is>
      </c>
      <c r="N40" s="108" t="n">
        <v>0.132250074414254</v>
      </c>
      <c r="O40" s="108" t="n">
        <v>0.115358141850827</v>
      </c>
      <c r="P40" s="109" t="n">
        <v>31</v>
      </c>
      <c r="Q40" s="110" t="n">
        <v>3730</v>
      </c>
      <c r="R40" s="110" t="n">
        <v>667.212411640763</v>
      </c>
      <c r="S40" s="110" t="n">
        <v>881.067816834429</v>
      </c>
      <c r="T40" s="110" t="n">
        <v>5278.28022847519</v>
      </c>
      <c r="U40" s="104" t="n">
        <v>6076</v>
      </c>
      <c r="V40" s="104" t="n">
        <v>2016</v>
      </c>
      <c r="W40" s="104">
        <f>$U40+$V40</f>
        <v/>
      </c>
      <c r="X40" s="111">
        <f>IFERROR(A40/Q40,0)</f>
        <v/>
      </c>
      <c r="Y40" s="111">
        <f>IFERROR(B40/T40,0)</f>
        <v/>
      </c>
      <c r="Z40" s="111">
        <f>IFERROR(C40/Q40,0)</f>
        <v/>
      </c>
      <c r="AA40" s="111">
        <f>IFERROR(D40/T40,0)</f>
        <v/>
      </c>
      <c r="AC40" s="111">
        <f>IF(T40&gt;0,IFERROR(E40/T40,0),1)</f>
        <v/>
      </c>
      <c r="AD40" s="111">
        <f>IF(Q40&gt;0,IFERROR(F40/Q40,0),1)</f>
        <v/>
      </c>
      <c r="AE40" s="111">
        <f>IF(AK40&gt;0,IFERROR(G40/AK40,0),1)</f>
        <v/>
      </c>
      <c r="AF40" s="111">
        <f>IF(AL40&gt;0,IFERROR(H40/AL40,0),1)</f>
        <v/>
      </c>
      <c r="AG40" s="104">
        <f>T40-(U40+AM40+AQ40)</f>
        <v/>
      </c>
      <c r="AH40" s="104">
        <f>Q40-(U40+AN40+AQ40)</f>
        <v/>
      </c>
      <c r="AI40" s="104">
        <f>(AK40-AO40)</f>
        <v/>
      </c>
      <c r="AJ40" s="104">
        <f>(AL40-AP40)</f>
        <v/>
      </c>
      <c r="AK40" s="110">
        <f>R40+AH40</f>
        <v/>
      </c>
      <c r="AL40" s="110">
        <f>S40+AI40</f>
        <v/>
      </c>
      <c r="AM40" s="104" t="n">
        <v>38024</v>
      </c>
      <c r="AN40" s="104" t="n">
        <v>6024</v>
      </c>
      <c r="AO40" s="104" t="n">
        <v>16000</v>
      </c>
      <c r="AP40" s="104" t="n">
        <v>16000</v>
      </c>
      <c r="AQ40" s="104" t="n">
        <v>0</v>
      </c>
      <c r="AR40" s="104" t="n"/>
      <c r="AS40" s="112" t="n"/>
    </row>
    <row r="41" ht="12.65" customHeight="1" s="79">
      <c r="A41" s="104">
        <f>MIN(U41,Q41)</f>
        <v/>
      </c>
      <c r="B41" s="104">
        <f>MIN(U41,T41)</f>
        <v/>
      </c>
      <c r="C41" s="104">
        <f>MIN(W41,Q41)</f>
        <v/>
      </c>
      <c r="D41" s="104">
        <f>MIN(W41,T41)</f>
        <v/>
      </c>
      <c r="E41" s="104">
        <f>MIN((U41+AM41+AQ41),T41)</f>
        <v/>
      </c>
      <c r="F41" s="104">
        <f>MAX(MIN((U41+AN41+AQ41),Q41),0)</f>
        <v/>
      </c>
      <c r="G41" s="104">
        <f>MAX(MIN(AO41,AK41),0)</f>
        <v/>
      </c>
      <c r="H41" s="104">
        <f>MAX(MIN(AP41,AL41),0)</f>
        <v/>
      </c>
      <c r="I41" s="105" t="inlineStr">
        <is>
          <t>CHANDRAPAL NEGI</t>
        </is>
      </c>
      <c r="J41" s="106" t="inlineStr">
        <is>
          <t>LIFESTYLE</t>
        </is>
      </c>
      <c r="K41" s="107" t="inlineStr">
        <is>
          <t>LS_WOMEN ACCESSORIES</t>
        </is>
      </c>
      <c r="L41" s="107" t="inlineStr">
        <is>
          <t>LS_WA_BELT</t>
        </is>
      </c>
      <c r="M41" s="107" t="inlineStr">
        <is>
          <t>ARTICLE</t>
        </is>
      </c>
      <c r="N41" s="108" t="n">
        <v>0.0870213082998063</v>
      </c>
      <c r="O41" s="108" t="n">
        <v>0.0680546820694449</v>
      </c>
      <c r="P41" s="109" t="n">
        <v>155</v>
      </c>
      <c r="Q41" s="110" t="n">
        <v>1699</v>
      </c>
      <c r="R41" s="110" t="n">
        <v>1315.36214507255</v>
      </c>
      <c r="S41" s="110" t="n">
        <v>1461.81947411566</v>
      </c>
      <c r="T41" s="110" t="n">
        <v>4476.18161918821</v>
      </c>
      <c r="U41" s="104" t="n">
        <v>9600</v>
      </c>
      <c r="V41" s="104" t="n">
        <v>0</v>
      </c>
      <c r="W41" s="104">
        <f>$U41+$V41</f>
        <v/>
      </c>
      <c r="X41" s="111">
        <f>IFERROR(A41/Q41,0)</f>
        <v/>
      </c>
      <c r="Y41" s="111">
        <f>IFERROR(B41/T41,0)</f>
        <v/>
      </c>
      <c r="Z41" s="111">
        <f>IFERROR(C41/Q41,0)</f>
        <v/>
      </c>
      <c r="AA41" s="111">
        <f>IFERROR(D41/T41,0)</f>
        <v/>
      </c>
      <c r="AC41" s="111">
        <f>IF(T41&gt;0,IFERROR(E41/T41,0),1)</f>
        <v/>
      </c>
      <c r="AD41" s="111">
        <f>IF(Q41&gt;0,IFERROR(F41/Q41,0),1)</f>
        <v/>
      </c>
      <c r="AE41" s="111">
        <f>IF(AK41&gt;0,IFERROR(G41/AK41,0),1)</f>
        <v/>
      </c>
      <c r="AF41" s="111">
        <f>IF(AL41&gt;0,IFERROR(H41/AL41,0),1)</f>
        <v/>
      </c>
      <c r="AG41" s="104">
        <f>T41-(U41+AM41+AQ41)</f>
        <v/>
      </c>
      <c r="AH41" s="104">
        <f>Q41-(U41+AN41+AQ41)</f>
        <v/>
      </c>
      <c r="AI41" s="104">
        <f>(AK41-AO41)</f>
        <v/>
      </c>
      <c r="AJ41" s="104">
        <f>(AL41-AP41)</f>
        <v/>
      </c>
      <c r="AK41" s="110">
        <f>R41+AH41</f>
        <v/>
      </c>
      <c r="AL41" s="110">
        <f>S41+AI41</f>
        <v/>
      </c>
      <c r="AM41" s="104" t="n">
        <v>4800</v>
      </c>
      <c r="AN41" s="104" t="n">
        <v>0</v>
      </c>
      <c r="AO41" s="104" t="n">
        <v>4800</v>
      </c>
      <c r="AP41" s="104" t="n">
        <v>0</v>
      </c>
      <c r="AQ41" s="104" t="n">
        <v>0</v>
      </c>
      <c r="AR41" s="104" t="n"/>
      <c r="AS41" s="112" t="n"/>
    </row>
    <row r="42" ht="12.65" customHeight="1" s="79">
      <c r="A42" s="104">
        <f>MIN(U42,Q42)</f>
        <v/>
      </c>
      <c r="B42" s="104">
        <f>MIN(U42,T42)</f>
        <v/>
      </c>
      <c r="C42" s="104">
        <f>MIN(W42,Q42)</f>
        <v/>
      </c>
      <c r="D42" s="104">
        <f>MIN(W42,T42)</f>
        <v/>
      </c>
      <c r="E42" s="104">
        <f>MIN((U42+AM42+AQ42),T42)</f>
        <v/>
      </c>
      <c r="F42" s="104">
        <f>MAX(MIN((U42+AN42+AQ42),Q42),0)</f>
        <v/>
      </c>
      <c r="G42" s="104">
        <f>MAX(MIN(AO42,AK42),0)</f>
        <v/>
      </c>
      <c r="H42" s="104">
        <f>MAX(MIN(AP42,AL42),0)</f>
        <v/>
      </c>
      <c r="I42" s="105" t="inlineStr">
        <is>
          <t>CHANDRAPAL NEGI</t>
        </is>
      </c>
      <c r="J42" s="106" t="inlineStr">
        <is>
          <t>LIFESTYLE</t>
        </is>
      </c>
      <c r="K42" s="107" t="inlineStr">
        <is>
          <t>LS_WOMEN ACCESSORIES</t>
        </is>
      </c>
      <c r="L42" s="107" t="inlineStr">
        <is>
          <t>CLOTH ORGANIZER</t>
        </is>
      </c>
      <c r="M42" s="107" t="inlineStr">
        <is>
          <t>ARTICLE</t>
        </is>
      </c>
      <c r="N42" s="108" t="n">
        <v>0</v>
      </c>
      <c r="O42" s="108" t="n">
        <v>0</v>
      </c>
      <c r="P42" s="109" t="n">
        <v>172</v>
      </c>
      <c r="Q42" s="110" t="n">
        <v>318</v>
      </c>
      <c r="R42" s="110" t="n">
        <v>527</v>
      </c>
      <c r="S42" s="110" t="n">
        <v>656</v>
      </c>
      <c r="T42" s="110" t="n">
        <v>1501</v>
      </c>
      <c r="U42" s="104" t="n">
        <v>0</v>
      </c>
      <c r="V42" s="104" t="n">
        <v>0</v>
      </c>
      <c r="W42" s="104">
        <f>$U42+$V42</f>
        <v/>
      </c>
      <c r="X42" s="111">
        <f>IFERROR(A42/Q42,0)</f>
        <v/>
      </c>
      <c r="Y42" s="111">
        <f>IFERROR(B42/T42,0)</f>
        <v/>
      </c>
      <c r="Z42" s="111">
        <f>IFERROR(C42/Q42,0)</f>
        <v/>
      </c>
      <c r="AA42" s="111">
        <f>IFERROR(D42/T42,0)</f>
        <v/>
      </c>
      <c r="AC42" s="111">
        <f>IF(T42&gt;0,IFERROR(E42/T42,0),1)</f>
        <v/>
      </c>
      <c r="AD42" s="111">
        <f>IF(Q42&gt;0,IFERROR(F42/Q42,0),1)</f>
        <v/>
      </c>
      <c r="AE42" s="111">
        <f>IF(AK42&gt;0,IFERROR(G42/AK42,0),1)</f>
        <v/>
      </c>
      <c r="AF42" s="111">
        <f>IF(AL42&gt;0,IFERROR(H42/AL42,0),1)</f>
        <v/>
      </c>
      <c r="AG42" s="104">
        <f>T42-(U42+AM42+AQ42)</f>
        <v/>
      </c>
      <c r="AH42" s="104">
        <f>Q42-(U42+AN42+AQ42)</f>
        <v/>
      </c>
      <c r="AI42" s="104">
        <f>(AK42-AO42)</f>
        <v/>
      </c>
      <c r="AJ42" s="104">
        <f>(AL42-AP42)</f>
        <v/>
      </c>
      <c r="AK42" s="110">
        <f>R42+AH42</f>
        <v/>
      </c>
      <c r="AL42" s="110">
        <f>S42+AI42</f>
        <v/>
      </c>
      <c r="AM42" s="104" t="n">
        <v>0</v>
      </c>
      <c r="AN42" s="104" t="n">
        <v>0</v>
      </c>
      <c r="AO42" s="104" t="n">
        <v>0</v>
      </c>
      <c r="AP42" s="104" t="n">
        <v>0</v>
      </c>
      <c r="AQ42" s="104" t="n">
        <v>0</v>
      </c>
      <c r="AR42" s="104" t="n"/>
      <c r="AS42" s="112" t="n"/>
    </row>
    <row r="43" ht="12.65" customHeight="1" s="79">
      <c r="A43" s="104">
        <f>MIN(U43,Q43)</f>
        <v/>
      </c>
      <c r="B43" s="104">
        <f>MIN(U43,T43)</f>
        <v/>
      </c>
      <c r="C43" s="104">
        <f>MIN(W43,Q43)</f>
        <v/>
      </c>
      <c r="D43" s="104">
        <f>MIN(W43,T43)</f>
        <v/>
      </c>
      <c r="E43" s="104">
        <f>MIN((U43+AM43+AQ43),T43)</f>
        <v/>
      </c>
      <c r="F43" s="104">
        <f>MAX(MIN((U43+AN43+AQ43),Q43),0)</f>
        <v/>
      </c>
      <c r="G43" s="104">
        <f>MAX(MIN(AO43,AK43),0)</f>
        <v/>
      </c>
      <c r="H43" s="104">
        <f>MAX(MIN(AP43,AL43),0)</f>
        <v/>
      </c>
      <c r="I43" s="105" t="inlineStr">
        <is>
          <t>CHANDRAPAL NEGI</t>
        </is>
      </c>
      <c r="J43" s="106" t="inlineStr">
        <is>
          <t>TRAVEL ACCESSORIES</t>
        </is>
      </c>
      <c r="K43" s="107" t="inlineStr">
        <is>
          <t>TA_LUGGAGE</t>
        </is>
      </c>
      <c r="L43" s="107" t="inlineStr">
        <is>
          <t>TA_L_UPRIGHT</t>
        </is>
      </c>
      <c r="M43" s="107" t="inlineStr">
        <is>
          <t>ARTICLE</t>
        </is>
      </c>
      <c r="N43" s="108" t="n">
        <v>0.0898505948538227</v>
      </c>
      <c r="O43" s="108" t="n">
        <v>0.06515265131226571</v>
      </c>
      <c r="P43" s="109" t="n">
        <v>17</v>
      </c>
      <c r="Q43" s="110" t="n">
        <v>1072</v>
      </c>
      <c r="R43" s="110" t="n">
        <v>1011.44402809291</v>
      </c>
      <c r="S43" s="110" t="n">
        <v>1161.87928815264</v>
      </c>
      <c r="T43" s="110" t="n">
        <v>3245.32331624556</v>
      </c>
      <c r="U43" s="104" t="n">
        <v>1079</v>
      </c>
      <c r="V43" s="104" t="n">
        <v>0</v>
      </c>
      <c r="W43" s="104">
        <f>$U43+$V43</f>
        <v/>
      </c>
      <c r="X43" s="111">
        <f>IFERROR(A43/Q43,0)</f>
        <v/>
      </c>
      <c r="Y43" s="111">
        <f>IFERROR(B43/T43,0)</f>
        <v/>
      </c>
      <c r="Z43" s="111">
        <f>IFERROR(C43/Q43,0)</f>
        <v/>
      </c>
      <c r="AA43" s="111">
        <f>IFERROR(D43/T43,0)</f>
        <v/>
      </c>
      <c r="AC43" s="111">
        <f>IF(T43&gt;0,IFERROR(E43/T43,0),1)</f>
        <v/>
      </c>
      <c r="AD43" s="111">
        <f>IF(Q43&gt;0,IFERROR(F43/Q43,0),1)</f>
        <v/>
      </c>
      <c r="AE43" s="111">
        <f>IF(AK43&gt;0,IFERROR(G43/AK43,0),1)</f>
        <v/>
      </c>
      <c r="AF43" s="111">
        <f>IF(AL43&gt;0,IFERROR(H43/AL43,0),1)</f>
        <v/>
      </c>
      <c r="AG43" s="104">
        <f>T43-(U43+AM43+AQ43)</f>
        <v/>
      </c>
      <c r="AH43" s="104">
        <f>Q43-(U43+AN43+AQ43)</f>
        <v/>
      </c>
      <c r="AI43" s="104">
        <f>(AK43-AO43)</f>
        <v/>
      </c>
      <c r="AJ43" s="104">
        <f>(AL43-AP43)</f>
        <v/>
      </c>
      <c r="AK43" s="110">
        <f>R43+AH43</f>
        <v/>
      </c>
      <c r="AL43" s="110">
        <f>S43+AI43</f>
        <v/>
      </c>
      <c r="AM43" s="104" t="n">
        <v>838</v>
      </c>
      <c r="AN43" s="104" t="n">
        <v>221</v>
      </c>
      <c r="AO43" s="104" t="n">
        <v>617</v>
      </c>
      <c r="AP43" s="104" t="n">
        <v>0</v>
      </c>
      <c r="AQ43" s="104" t="n">
        <v>0</v>
      </c>
      <c r="AR43" s="104" t="n"/>
      <c r="AS43" s="112" t="n"/>
    </row>
    <row r="44" ht="12.65" customHeight="1" s="79">
      <c r="A44" s="104">
        <f>MIN(U44,Q44)</f>
        <v/>
      </c>
      <c r="B44" s="104">
        <f>MIN(U44,T44)</f>
        <v/>
      </c>
      <c r="C44" s="104">
        <f>MIN(W44,Q44)</f>
        <v/>
      </c>
      <c r="D44" s="104">
        <f>MIN(W44,T44)</f>
        <v/>
      </c>
      <c r="E44" s="104">
        <f>MIN((U44+AM44+AQ44),T44)</f>
        <v/>
      </c>
      <c r="F44" s="104">
        <f>MAX(MIN((U44+AN44+AQ44),Q44),0)</f>
        <v/>
      </c>
      <c r="G44" s="104">
        <f>MAX(MIN(AO44,AK44),0)</f>
        <v/>
      </c>
      <c r="H44" s="104">
        <f>MAX(MIN(AP44,AL44),0)</f>
        <v/>
      </c>
      <c r="I44" s="105" t="inlineStr">
        <is>
          <t>CHANDRAPAL NEGI</t>
        </is>
      </c>
      <c r="J44" s="106" t="inlineStr">
        <is>
          <t>TRAVEL ACCESSORIES</t>
        </is>
      </c>
      <c r="K44" s="107" t="inlineStr">
        <is>
          <t>TA_LUGGAGE</t>
        </is>
      </c>
      <c r="L44" s="107" t="inlineStr">
        <is>
          <t>TA_L_DUFFLE TROLLEY</t>
        </is>
      </c>
      <c r="M44" s="107" t="inlineStr">
        <is>
          <t>ARTICLE</t>
        </is>
      </c>
      <c r="N44" s="108" t="n">
        <v>0.105582524271845</v>
      </c>
      <c r="O44" s="108" t="n">
        <v>0.0452830188679245</v>
      </c>
      <c r="P44" s="109" t="n">
        <v>156</v>
      </c>
      <c r="Q44" s="110" t="n">
        <v>440</v>
      </c>
      <c r="R44" s="110" t="n">
        <v>216.172218678756</v>
      </c>
      <c r="S44" s="110" t="n">
        <v>177.034713776213</v>
      </c>
      <c r="T44" s="110" t="n">
        <v>833.206932454969</v>
      </c>
      <c r="U44" s="104" t="n">
        <v>135</v>
      </c>
      <c r="V44" s="104" t="n">
        <v>0</v>
      </c>
      <c r="W44" s="104">
        <f>$U44+$V44</f>
        <v/>
      </c>
      <c r="X44" s="111">
        <f>IFERROR(A44/Q44,0)</f>
        <v/>
      </c>
      <c r="Y44" s="111">
        <f>IFERROR(B44/T44,0)</f>
        <v/>
      </c>
      <c r="Z44" s="111">
        <f>IFERROR(C44/Q44,0)</f>
        <v/>
      </c>
      <c r="AA44" s="111">
        <f>IFERROR(D44/T44,0)</f>
        <v/>
      </c>
      <c r="AC44" s="111">
        <f>IF(T44&gt;0,IFERROR(E44/T44,0),1)</f>
        <v/>
      </c>
      <c r="AD44" s="111">
        <f>IF(Q44&gt;0,IFERROR(F44/Q44,0),1)</f>
        <v/>
      </c>
      <c r="AE44" s="111">
        <f>IF(AK44&gt;0,IFERROR(G44/AK44,0),1)</f>
        <v/>
      </c>
      <c r="AF44" s="111">
        <f>IF(AL44&gt;0,IFERROR(H44/AL44,0),1)</f>
        <v/>
      </c>
      <c r="AG44" s="104">
        <f>T44-(U44+AM44+AQ44)</f>
        <v/>
      </c>
      <c r="AH44" s="104">
        <f>Q44-(U44+AN44+AQ44)</f>
        <v/>
      </c>
      <c r="AI44" s="104">
        <f>(AK44-AO44)</f>
        <v/>
      </c>
      <c r="AJ44" s="104">
        <f>(AL44-AP44)</f>
        <v/>
      </c>
      <c r="AK44" s="110">
        <f>R44+AH44</f>
        <v/>
      </c>
      <c r="AL44" s="110">
        <f>S44+AI44</f>
        <v/>
      </c>
      <c r="AM44" s="104" t="n">
        <v>415</v>
      </c>
      <c r="AN44" s="104" t="n">
        <v>415</v>
      </c>
      <c r="AO44" s="104" t="n">
        <v>0</v>
      </c>
      <c r="AP44" s="104" t="n">
        <v>0</v>
      </c>
      <c r="AQ44" s="104" t="n">
        <v>0</v>
      </c>
      <c r="AR44" s="104" t="n"/>
      <c r="AS44" s="112" t="n"/>
    </row>
    <row r="45" ht="12.65" customHeight="1" s="79">
      <c r="A45" s="104">
        <f>MIN(U45,Q45)</f>
        <v/>
      </c>
      <c r="B45" s="104">
        <f>MIN(U45,T45)</f>
        <v/>
      </c>
      <c r="C45" s="104">
        <f>MIN(W45,Q45)</f>
        <v/>
      </c>
      <c r="D45" s="104">
        <f>MIN(W45,T45)</f>
        <v/>
      </c>
      <c r="E45" s="104">
        <f>MIN((U45+AM45+AQ45),T45)</f>
        <v/>
      </c>
      <c r="F45" s="104">
        <f>MAX(MIN((U45+AN45+AQ45),Q45),0)</f>
        <v/>
      </c>
      <c r="G45" s="104">
        <f>MAX(MIN(AO45,AK45),0)</f>
        <v/>
      </c>
      <c r="H45" s="104">
        <f>MAX(MIN(AP45,AL45),0)</f>
        <v/>
      </c>
      <c r="I45" s="105" t="inlineStr">
        <is>
          <t>CHANDRAPAL NEGI</t>
        </is>
      </c>
      <c r="J45" s="106" t="inlineStr">
        <is>
          <t>TRAVEL ACCESSORIES</t>
        </is>
      </c>
      <c r="K45" s="107" t="inlineStr">
        <is>
          <t>TA_PORTFOLIO</t>
        </is>
      </c>
      <c r="L45" s="107" t="inlineStr">
        <is>
          <t>TA_P_BACKPACK</t>
        </is>
      </c>
      <c r="M45" s="107" t="inlineStr">
        <is>
          <t>ARTICLE</t>
        </is>
      </c>
      <c r="N45" s="108" t="n">
        <v>0.122895361319849</v>
      </c>
      <c r="O45" s="108" t="n">
        <v>0.13113063891885</v>
      </c>
      <c r="P45" s="109" t="n">
        <v>10</v>
      </c>
      <c r="Q45" s="110" t="n">
        <v>15128</v>
      </c>
      <c r="R45" s="110" t="n">
        <v>20496.1708373662</v>
      </c>
      <c r="S45" s="110" t="n">
        <v>4817.37129781688</v>
      </c>
      <c r="T45" s="110" t="n">
        <v>40441.5421351831</v>
      </c>
      <c r="U45" s="104" t="n">
        <v>13186</v>
      </c>
      <c r="V45" s="104" t="n">
        <v>2400</v>
      </c>
      <c r="W45" s="104">
        <f>$U45+$V45</f>
        <v/>
      </c>
      <c r="X45" s="111">
        <f>IFERROR(A45/Q45,0)</f>
        <v/>
      </c>
      <c r="Y45" s="111">
        <f>IFERROR(B45/T45,0)</f>
        <v/>
      </c>
      <c r="Z45" s="111">
        <f>IFERROR(C45/Q45,0)</f>
        <v/>
      </c>
      <c r="AA45" s="111">
        <f>IFERROR(D45/T45,0)</f>
        <v/>
      </c>
      <c r="AC45" s="111">
        <f>IF(T45&gt;0,IFERROR(E45/T45,0),1)</f>
        <v/>
      </c>
      <c r="AD45" s="111">
        <f>IF(Q45&gt;0,IFERROR(F45/Q45,0),1)</f>
        <v/>
      </c>
      <c r="AE45" s="111">
        <f>IF(AK45&gt;0,IFERROR(G45/AK45,0),1)</f>
        <v/>
      </c>
      <c r="AF45" s="111">
        <f>IF(AL45&gt;0,IFERROR(H45/AL45,0),1)</f>
        <v/>
      </c>
      <c r="AG45" s="104">
        <f>T45-(U45+AM45+AQ45)</f>
        <v/>
      </c>
      <c r="AH45" s="104">
        <f>Q45-(U45+AN45+AQ45)</f>
        <v/>
      </c>
      <c r="AI45" s="104">
        <f>(AK45-AO45)</f>
        <v/>
      </c>
      <c r="AJ45" s="104">
        <f>(AL45-AP45)</f>
        <v/>
      </c>
      <c r="AK45" s="110">
        <f>R45+AH45</f>
        <v/>
      </c>
      <c r="AL45" s="110">
        <f>S45+AI45</f>
        <v/>
      </c>
      <c r="AM45" s="104" t="n">
        <v>31064</v>
      </c>
      <c r="AN45" s="104" t="n">
        <v>4486</v>
      </c>
      <c r="AO45" s="104" t="n">
        <v>18178</v>
      </c>
      <c r="AP45" s="104" t="n">
        <v>8400</v>
      </c>
      <c r="AQ45" s="104" t="n">
        <v>0</v>
      </c>
      <c r="AR45" s="104" t="n"/>
      <c r="AS45" s="112" t="n"/>
    </row>
    <row r="46" ht="12.65" customHeight="1" s="79">
      <c r="A46" s="104">
        <f>MIN(U46,Q46)</f>
        <v/>
      </c>
      <c r="B46" s="104">
        <f>MIN(U46,T46)</f>
        <v/>
      </c>
      <c r="C46" s="104">
        <f>MIN(W46,Q46)</f>
        <v/>
      </c>
      <c r="D46" s="104">
        <f>MIN(W46,T46)</f>
        <v/>
      </c>
      <c r="E46" s="104">
        <f>MIN((U46+AM46+AQ46),T46)</f>
        <v/>
      </c>
      <c r="F46" s="104">
        <f>MAX(MIN((U46+AN46+AQ46),Q46),0)</f>
        <v/>
      </c>
      <c r="G46" s="104">
        <f>MAX(MIN(AO46,AK46),0)</f>
        <v/>
      </c>
      <c r="H46" s="104">
        <f>MAX(MIN(AP46,AL46),0)</f>
        <v/>
      </c>
      <c r="I46" s="105" t="inlineStr">
        <is>
          <t>CHANDRAPAL NEGI</t>
        </is>
      </c>
      <c r="J46" s="106" t="inlineStr">
        <is>
          <t>TRAVEL ACCESSORIES</t>
        </is>
      </c>
      <c r="K46" s="107" t="inlineStr">
        <is>
          <t>TA_PORTFOLIO</t>
        </is>
      </c>
      <c r="L46" s="107" t="inlineStr">
        <is>
          <t>TA_P_SCHOOL BAG</t>
        </is>
      </c>
      <c r="M46" s="107" t="inlineStr">
        <is>
          <t>ARTICLE</t>
        </is>
      </c>
      <c r="N46" s="108" t="n">
        <v>0.095396176162846</v>
      </c>
      <c r="O46" s="108" t="n">
        <v>0.126536078143052</v>
      </c>
      <c r="P46" s="109" t="n">
        <v>82</v>
      </c>
      <c r="Q46" s="110" t="n">
        <v>4905</v>
      </c>
      <c r="R46" s="110" t="n">
        <v>5288.12617722488</v>
      </c>
      <c r="S46" s="110" t="n">
        <v>1259.04565974216</v>
      </c>
      <c r="T46" s="110" t="n">
        <v>11452.171836967</v>
      </c>
      <c r="U46" s="104" t="n">
        <v>3600</v>
      </c>
      <c r="V46" s="104" t="n">
        <v>1920</v>
      </c>
      <c r="W46" s="104">
        <f>$U46+$V46</f>
        <v/>
      </c>
      <c r="X46" s="111">
        <f>IFERROR(A46/Q46,0)</f>
        <v/>
      </c>
      <c r="Y46" s="111">
        <f>IFERROR(B46/T46,0)</f>
        <v/>
      </c>
      <c r="Z46" s="111">
        <f>IFERROR(C46/Q46,0)</f>
        <v/>
      </c>
      <c r="AA46" s="111">
        <f>IFERROR(D46/T46,0)</f>
        <v/>
      </c>
      <c r="AC46" s="111">
        <f>IF(T46&gt;0,IFERROR(E46/T46,0),1)</f>
        <v/>
      </c>
      <c r="AD46" s="111">
        <f>IF(Q46&gt;0,IFERROR(F46/Q46,0),1)</f>
        <v/>
      </c>
      <c r="AE46" s="111">
        <f>IF(AK46&gt;0,IFERROR(G46/AK46,0),1)</f>
        <v/>
      </c>
      <c r="AF46" s="111">
        <f>IF(AL46&gt;0,IFERROR(H46/AL46,0),1)</f>
        <v/>
      </c>
      <c r="AG46" s="104">
        <f>T46-(U46+AM46+AQ46)</f>
        <v/>
      </c>
      <c r="AH46" s="104">
        <f>Q46-(U46+AN46+AQ46)</f>
        <v/>
      </c>
      <c r="AI46" s="104">
        <f>(AK46-AO46)</f>
        <v/>
      </c>
      <c r="AJ46" s="104">
        <f>(AL46-AP46)</f>
        <v/>
      </c>
      <c r="AK46" s="110">
        <f>R46+AH46</f>
        <v/>
      </c>
      <c r="AL46" s="110">
        <f>S46+AI46</f>
        <v/>
      </c>
      <c r="AM46" s="104" t="n">
        <v>10560</v>
      </c>
      <c r="AN46" s="104" t="n">
        <v>1920</v>
      </c>
      <c r="AO46" s="104" t="n">
        <v>6720</v>
      </c>
      <c r="AP46" s="104" t="n">
        <v>1920</v>
      </c>
      <c r="AQ46" s="104" t="n">
        <v>0</v>
      </c>
      <c r="AR46" s="104" t="n"/>
      <c r="AS46" s="112" t="n"/>
    </row>
    <row r="47" ht="12.65" customHeight="1" s="79">
      <c r="A47" s="104">
        <f>MIN(U47,Q47)</f>
        <v/>
      </c>
      <c r="B47" s="104">
        <f>MIN(U47,T47)</f>
        <v/>
      </c>
      <c r="C47" s="104">
        <f>MIN(W47,Q47)</f>
        <v/>
      </c>
      <c r="D47" s="104">
        <f>MIN(W47,T47)</f>
        <v/>
      </c>
      <c r="E47" s="104">
        <f>MIN((U47+AM47+AQ47),T47)</f>
        <v/>
      </c>
      <c r="F47" s="104">
        <f>MAX(MIN((U47+AN47+AQ47),Q47),0)</f>
        <v/>
      </c>
      <c r="G47" s="104">
        <f>MAX(MIN(AO47,AK47),0)</f>
        <v/>
      </c>
      <c r="H47" s="104">
        <f>MAX(MIN(AP47,AL47),0)</f>
        <v/>
      </c>
      <c r="I47" s="105" t="inlineStr">
        <is>
          <t>KAMLESH SINGH</t>
        </is>
      </c>
      <c r="J47" s="106" t="inlineStr">
        <is>
          <t>FOOTWEAR</t>
        </is>
      </c>
      <c r="K47" s="107" t="inlineStr">
        <is>
          <t>FW_KIDS FOOTWEAR</t>
        </is>
      </c>
      <c r="L47" s="107" t="inlineStr">
        <is>
          <t>FW_B_SHOES</t>
        </is>
      </c>
      <c r="M47" s="107" t="inlineStr">
        <is>
          <t>ARTICLE</t>
        </is>
      </c>
      <c r="N47" s="108" t="n">
        <v>0.0565346873016648</v>
      </c>
      <c r="O47" s="108" t="n">
        <v>0.0462234820775421</v>
      </c>
      <c r="P47" s="109" t="n">
        <v>13</v>
      </c>
      <c r="Q47" s="110" t="n">
        <v>39617</v>
      </c>
      <c r="R47" s="110" t="n">
        <v>23600.4126286822</v>
      </c>
      <c r="S47" s="110" t="n">
        <v>6767.77411446044</v>
      </c>
      <c r="T47" s="110" t="n">
        <v>69985.18674314261</v>
      </c>
      <c r="U47" s="104" t="n">
        <v>21540</v>
      </c>
      <c r="V47" s="104" t="n">
        <v>3400</v>
      </c>
      <c r="W47" s="104">
        <f>$U47+$V47</f>
        <v/>
      </c>
      <c r="X47" s="111">
        <f>IFERROR(A47/Q47,0)</f>
        <v/>
      </c>
      <c r="Y47" s="111">
        <f>IFERROR(B47/T47,0)</f>
        <v/>
      </c>
      <c r="Z47" s="111">
        <f>IFERROR(C47/Q47,0)</f>
        <v/>
      </c>
      <c r="AA47" s="111">
        <f>IFERROR(D47/T47,0)</f>
        <v/>
      </c>
      <c r="AC47" s="111">
        <f>IF(T47&gt;0,IFERROR(E47/T47,0),1)</f>
        <v/>
      </c>
      <c r="AD47" s="111">
        <f>IF(Q47&gt;0,IFERROR(F47/Q47,0),1)</f>
        <v/>
      </c>
      <c r="AE47" s="111">
        <f>IF(AK47&gt;0,IFERROR(G47/AK47,0),1)</f>
        <v/>
      </c>
      <c r="AF47" s="111">
        <f>IF(AL47&gt;0,IFERROR(H47/AL47,0),1)</f>
        <v/>
      </c>
      <c r="AG47" s="104">
        <f>T47-(U47+AM47+AQ47)</f>
        <v/>
      </c>
      <c r="AH47" s="104">
        <f>Q47-(U47+AN47+AQ47)</f>
        <v/>
      </c>
      <c r="AI47" s="104">
        <f>(AK47-AO47)</f>
        <v/>
      </c>
      <c r="AJ47" s="104">
        <f>(AL47-AP47)</f>
        <v/>
      </c>
      <c r="AK47" s="110">
        <f>R47+AH47</f>
        <v/>
      </c>
      <c r="AL47" s="110">
        <f>S47+AI47</f>
        <v/>
      </c>
      <c r="AM47" s="104" t="n">
        <v>68200</v>
      </c>
      <c r="AN47" s="104" t="n">
        <v>20200</v>
      </c>
      <c r="AO47" s="104" t="n">
        <v>33600</v>
      </c>
      <c r="AP47" s="104" t="n">
        <v>14400</v>
      </c>
      <c r="AQ47" s="104" t="n">
        <v>0</v>
      </c>
      <c r="AR47" s="104" t="n"/>
      <c r="AS47" s="104" t="n"/>
    </row>
    <row r="48" ht="12.65" customHeight="1" s="79">
      <c r="A48" s="104">
        <f>MIN(U48,Q48)</f>
        <v/>
      </c>
      <c r="B48" s="104">
        <f>MIN(U48,T48)</f>
        <v/>
      </c>
      <c r="C48" s="104">
        <f>MIN(W48,Q48)</f>
        <v/>
      </c>
      <c r="D48" s="104">
        <f>MIN(W48,T48)</f>
        <v/>
      </c>
      <c r="E48" s="104">
        <f>MIN((U48+AM48+AQ48),T48)</f>
        <v/>
      </c>
      <c r="F48" s="104">
        <f>MAX(MIN((U48+AN48+AQ48),Q48),0)</f>
        <v/>
      </c>
      <c r="G48" s="104">
        <f>MAX(MIN(AO48,AK48),0)</f>
        <v/>
      </c>
      <c r="H48" s="104">
        <f>MAX(MIN(AP48,AL48),0)</f>
        <v/>
      </c>
      <c r="I48" s="105" t="inlineStr">
        <is>
          <t>KAMLESH SINGH</t>
        </is>
      </c>
      <c r="J48" s="106" t="inlineStr">
        <is>
          <t>FOOTWEAR</t>
        </is>
      </c>
      <c r="K48" s="107" t="inlineStr">
        <is>
          <t>FW_KIDS FOOTWEAR</t>
        </is>
      </c>
      <c r="L48" s="107" t="inlineStr">
        <is>
          <t>FW_G_SHOES</t>
        </is>
      </c>
      <c r="M48" s="107" t="inlineStr">
        <is>
          <t>ARTICLE</t>
        </is>
      </c>
      <c r="N48" s="108" t="n">
        <v>0.0613247756104899</v>
      </c>
      <c r="O48" s="108" t="n">
        <v>0.113333333333333</v>
      </c>
      <c r="P48" s="109" t="n">
        <v>45</v>
      </c>
      <c r="Q48" s="110" t="n">
        <v>17258</v>
      </c>
      <c r="R48" s="110" t="n">
        <v>13262.373531515</v>
      </c>
      <c r="S48" s="110" t="n">
        <v>5933.60510543189</v>
      </c>
      <c r="T48" s="110" t="n">
        <v>36453.9786369468</v>
      </c>
      <c r="U48" s="104" t="n">
        <v>10080</v>
      </c>
      <c r="V48" s="104" t="n">
        <v>0</v>
      </c>
      <c r="W48" s="104">
        <f>$U48+$V48</f>
        <v/>
      </c>
      <c r="X48" s="111">
        <f>IFERROR(A48/Q48,0)</f>
        <v/>
      </c>
      <c r="Y48" s="111">
        <f>IFERROR(B48/T48,0)</f>
        <v/>
      </c>
      <c r="Z48" s="111">
        <f>IFERROR(C48/Q48,0)</f>
        <v/>
      </c>
      <c r="AA48" s="111">
        <f>IFERROR(D48/T48,0)</f>
        <v/>
      </c>
      <c r="AC48" s="111">
        <f>IF(T48&gt;0,IFERROR(E48/T48,0),1)</f>
        <v/>
      </c>
      <c r="AD48" s="111">
        <f>IF(Q48&gt;0,IFERROR(F48/Q48,0),1)</f>
        <v/>
      </c>
      <c r="AE48" s="111">
        <f>IF(AK48&gt;0,IFERROR(G48/AK48,0),1)</f>
        <v/>
      </c>
      <c r="AF48" s="111">
        <f>IF(AL48&gt;0,IFERROR(H48/AL48,0),1)</f>
        <v/>
      </c>
      <c r="AG48" s="104">
        <f>T48-(U48+AM48+AQ48)</f>
        <v/>
      </c>
      <c r="AH48" s="104">
        <f>Q48-(U48+AN48+AQ48)</f>
        <v/>
      </c>
      <c r="AI48" s="104">
        <f>(AK48-AO48)</f>
        <v/>
      </c>
      <c r="AJ48" s="104">
        <f>(AL48-AP48)</f>
        <v/>
      </c>
      <c r="AK48" s="110">
        <f>R48+AH48</f>
        <v/>
      </c>
      <c r="AL48" s="110">
        <f>S48+AI48</f>
        <v/>
      </c>
      <c r="AM48" s="104" t="n">
        <v>32000</v>
      </c>
      <c r="AN48" s="104" t="n">
        <v>6400</v>
      </c>
      <c r="AO48" s="104" t="n">
        <v>17600</v>
      </c>
      <c r="AP48" s="104" t="n">
        <v>8000</v>
      </c>
      <c r="AQ48" s="104" t="n">
        <v>0</v>
      </c>
      <c r="AR48" s="104" t="n"/>
      <c r="AS48" s="104" t="n"/>
    </row>
    <row r="49" ht="12.65" customHeight="1" s="79">
      <c r="A49" s="104">
        <f>MIN(U49,Q49)</f>
        <v/>
      </c>
      <c r="B49" s="104">
        <f>MIN(U49,T49)</f>
        <v/>
      </c>
      <c r="C49" s="104">
        <f>MIN(W49,Q49)</f>
        <v/>
      </c>
      <c r="D49" s="104">
        <f>MIN(W49,T49)</f>
        <v/>
      </c>
      <c r="E49" s="104">
        <f>MIN((U49+AM49+AQ49),T49)</f>
        <v/>
      </c>
      <c r="F49" s="104">
        <f>MAX(MIN((U49+AN49+AQ49),Q49),0)</f>
        <v/>
      </c>
      <c r="G49" s="104">
        <f>MAX(MIN(AO49,AK49),0)</f>
        <v/>
      </c>
      <c r="H49" s="104">
        <f>MAX(MIN(AP49,AL49),0)</f>
        <v/>
      </c>
      <c r="I49" s="105" t="inlineStr">
        <is>
          <t>KAMLESH SINGH</t>
        </is>
      </c>
      <c r="J49" s="106" t="inlineStr">
        <is>
          <t>FOOTWEAR</t>
        </is>
      </c>
      <c r="K49" s="107" t="inlineStr">
        <is>
          <t>FW_KIDS FOOTWEAR</t>
        </is>
      </c>
      <c r="L49" s="107" t="inlineStr">
        <is>
          <t>FW_B_SANDAL</t>
        </is>
      </c>
      <c r="M49" s="107" t="inlineStr">
        <is>
          <t>ARTICLE</t>
        </is>
      </c>
      <c r="N49" s="108" t="n">
        <v>0.140119538750977</v>
      </c>
      <c r="O49" s="108" t="n">
        <v>0.119845715860042</v>
      </c>
      <c r="P49" s="109" t="n">
        <v>40</v>
      </c>
      <c r="Q49" s="110" t="n">
        <v>8912</v>
      </c>
      <c r="R49" s="110" t="n">
        <v>3594.66392831952</v>
      </c>
      <c r="S49" s="110" t="n">
        <v>5753.29176856138</v>
      </c>
      <c r="T49" s="110" t="n">
        <v>18259.9556968809</v>
      </c>
      <c r="U49" s="104" t="n">
        <v>5520</v>
      </c>
      <c r="V49" s="104" t="n">
        <v>7200</v>
      </c>
      <c r="W49" s="104">
        <f>$U49+$V49</f>
        <v/>
      </c>
      <c r="X49" s="111">
        <f>IFERROR(A49/Q49,0)</f>
        <v/>
      </c>
      <c r="Y49" s="111">
        <f>IFERROR(B49/T49,0)</f>
        <v/>
      </c>
      <c r="Z49" s="111">
        <f>IFERROR(C49/Q49,0)</f>
        <v/>
      </c>
      <c r="AA49" s="111">
        <f>IFERROR(D49/T49,0)</f>
        <v/>
      </c>
      <c r="AC49" s="111">
        <f>IF(T49&gt;0,IFERROR(E49/T49,0),1)</f>
        <v/>
      </c>
      <c r="AD49" s="111">
        <f>IF(Q49&gt;0,IFERROR(F49/Q49,0),1)</f>
        <v/>
      </c>
      <c r="AE49" s="111">
        <f>IF(AK49&gt;0,IFERROR(G49/AK49,0),1)</f>
        <v/>
      </c>
      <c r="AF49" s="111">
        <f>IF(AL49&gt;0,IFERROR(H49/AL49,0),1)</f>
        <v/>
      </c>
      <c r="AG49" s="104">
        <f>T49-(U49+AM49+AQ49)</f>
        <v/>
      </c>
      <c r="AH49" s="104">
        <f>Q49-(U49+AN49+AQ49)</f>
        <v/>
      </c>
      <c r="AI49" s="104">
        <f>(AK49-AO49)</f>
        <v/>
      </c>
      <c r="AJ49" s="104">
        <f>(AL49-AP49)</f>
        <v/>
      </c>
      <c r="AK49" s="110">
        <f>R49+AH49</f>
        <v/>
      </c>
      <c r="AL49" s="110">
        <f>S49+AI49</f>
        <v/>
      </c>
      <c r="AM49" s="104" t="n">
        <v>25200</v>
      </c>
      <c r="AN49" s="104" t="n">
        <v>3600</v>
      </c>
      <c r="AO49" s="104" t="n">
        <v>10800</v>
      </c>
      <c r="AP49" s="104" t="n">
        <v>10800</v>
      </c>
      <c r="AQ49" s="104" t="n">
        <v>0</v>
      </c>
      <c r="AR49" s="104" t="n"/>
      <c r="AS49" s="104" t="n"/>
    </row>
    <row r="50" ht="12.65" customHeight="1" s="79">
      <c r="A50" s="104">
        <f>MIN(U50,Q50)</f>
        <v/>
      </c>
      <c r="B50" s="104">
        <f>MIN(U50,T50)</f>
        <v/>
      </c>
      <c r="C50" s="104">
        <f>MIN(W50,Q50)</f>
        <v/>
      </c>
      <c r="D50" s="104">
        <f>MIN(W50,T50)</f>
        <v/>
      </c>
      <c r="E50" s="104">
        <f>MIN((U50+AM50+AQ50),T50)</f>
        <v/>
      </c>
      <c r="F50" s="104">
        <f>MAX(MIN((U50+AN50+AQ50),Q50),0)</f>
        <v/>
      </c>
      <c r="G50" s="104">
        <f>MAX(MIN(AO50,AK50),0)</f>
        <v/>
      </c>
      <c r="H50" s="104">
        <f>MAX(MIN(AP50,AL50),0)</f>
        <v/>
      </c>
      <c r="I50" s="105" t="inlineStr">
        <is>
          <t>KAMLESH SINGH</t>
        </is>
      </c>
      <c r="J50" s="106" t="inlineStr">
        <is>
          <t>FOOTWEAR</t>
        </is>
      </c>
      <c r="K50" s="107" t="inlineStr">
        <is>
          <t>FW_KIDS FOOTWEAR</t>
        </is>
      </c>
      <c r="L50" s="107" t="inlineStr">
        <is>
          <t>FW_B_SLIPPER</t>
        </is>
      </c>
      <c r="M50" s="107" t="inlineStr">
        <is>
          <t>ARTICLE</t>
        </is>
      </c>
      <c r="N50" s="108" t="n">
        <v>0.146256040046814</v>
      </c>
      <c r="O50" s="108" t="n">
        <v>0.105656447905274</v>
      </c>
      <c r="P50" s="109" t="n">
        <v>97</v>
      </c>
      <c r="Q50" s="110" t="n">
        <v>4922</v>
      </c>
      <c r="R50" s="110" t="n">
        <v>3614.33587825594</v>
      </c>
      <c r="S50" s="110" t="n">
        <v>3629.95294750714</v>
      </c>
      <c r="T50" s="110" t="n">
        <v>12166.2888257631</v>
      </c>
      <c r="U50" s="104" t="n">
        <v>0</v>
      </c>
      <c r="V50" s="104" t="n">
        <v>3600</v>
      </c>
      <c r="W50" s="104">
        <f>$U50+$V50</f>
        <v/>
      </c>
      <c r="X50" s="111">
        <f>IFERROR(A50/Q50,0)</f>
        <v/>
      </c>
      <c r="Y50" s="111">
        <f>IFERROR(B50/T50,0)</f>
        <v/>
      </c>
      <c r="Z50" s="111">
        <f>IFERROR(C50/Q50,0)</f>
        <v/>
      </c>
      <c r="AA50" s="111">
        <f>IFERROR(D50/T50,0)</f>
        <v/>
      </c>
      <c r="AC50" s="111">
        <f>IF(T50&gt;0,IFERROR(E50/T50,0),1)</f>
        <v/>
      </c>
      <c r="AD50" s="111">
        <f>IF(Q50&gt;0,IFERROR(F50/Q50,0),1)</f>
        <v/>
      </c>
      <c r="AE50" s="111">
        <f>IF(AK50&gt;0,IFERROR(G50/AK50,0),1)</f>
        <v/>
      </c>
      <c r="AF50" s="111">
        <f>IF(AL50&gt;0,IFERROR(H50/AL50,0),1)</f>
        <v/>
      </c>
      <c r="AG50" s="104">
        <f>T50-(U50+AM50+AQ50)</f>
        <v/>
      </c>
      <c r="AH50" s="104">
        <f>Q50-(U50+AN50+AQ50)</f>
        <v/>
      </c>
      <c r="AI50" s="104">
        <f>(AK50-AO50)</f>
        <v/>
      </c>
      <c r="AJ50" s="104">
        <f>(AL50-AP50)</f>
        <v/>
      </c>
      <c r="AK50" s="110">
        <f>R50+AH50</f>
        <v/>
      </c>
      <c r="AL50" s="110">
        <f>S50+AI50</f>
        <v/>
      </c>
      <c r="AM50" s="113" t="n">
        <v>20400</v>
      </c>
      <c r="AN50" s="104" t="n">
        <v>16800</v>
      </c>
      <c r="AO50" s="104" t="n">
        <v>3600</v>
      </c>
      <c r="AP50" s="104" t="n">
        <v>0</v>
      </c>
      <c r="AQ50" s="104" t="n">
        <v>0</v>
      </c>
      <c r="AR50" s="104" t="n"/>
      <c r="AS50" s="112" t="n"/>
    </row>
    <row r="51" ht="12.65" customHeight="1" s="79">
      <c r="A51" s="104">
        <f>MIN(U51,Q51)</f>
        <v/>
      </c>
      <c r="B51" s="104">
        <f>MIN(U51,T51)</f>
        <v/>
      </c>
      <c r="C51" s="104">
        <f>MIN(W51,Q51)</f>
        <v/>
      </c>
      <c r="D51" s="104">
        <f>MIN(W51,T51)</f>
        <v/>
      </c>
      <c r="E51" s="104">
        <f>MIN((U51+AM51+AQ51),T51)</f>
        <v/>
      </c>
      <c r="F51" s="104">
        <f>MAX(MIN((U51+AN51+AQ51),Q51),0)</f>
        <v/>
      </c>
      <c r="G51" s="104">
        <f>MAX(MIN(AO51,AK51),0)</f>
        <v/>
      </c>
      <c r="H51" s="104">
        <f>MAX(MIN(AP51,AL51),0)</f>
        <v/>
      </c>
      <c r="I51" s="105" t="inlineStr">
        <is>
          <t>KAMLESH SINGH</t>
        </is>
      </c>
      <c r="J51" s="106" t="inlineStr">
        <is>
          <t>FOOTWEAR</t>
        </is>
      </c>
      <c r="K51" s="107" t="inlineStr">
        <is>
          <t>FW_KIDS FOOTWEAR</t>
        </is>
      </c>
      <c r="L51" s="107" t="inlineStr">
        <is>
          <t>FW_G_SANDAL</t>
        </is>
      </c>
      <c r="M51" s="107" t="inlineStr">
        <is>
          <t>ARTICLE</t>
        </is>
      </c>
      <c r="N51" s="108" t="n">
        <v>0.133423276290563</v>
      </c>
      <c r="O51" s="108" t="n">
        <v>0.081546898369062</v>
      </c>
      <c r="P51" s="109" t="n">
        <v>146</v>
      </c>
      <c r="Q51" s="110" t="n">
        <v>438</v>
      </c>
      <c r="R51" s="110" t="n">
        <v>213.748619876988</v>
      </c>
      <c r="S51" s="110" t="n">
        <v>150.759640325875</v>
      </c>
      <c r="T51" s="110" t="n">
        <v>802.508260202863</v>
      </c>
      <c r="U51" s="104" t="n">
        <v>4799</v>
      </c>
      <c r="V51" s="104" t="n">
        <v>4800</v>
      </c>
      <c r="W51" s="104">
        <f>$U51+$V51</f>
        <v/>
      </c>
      <c r="X51" s="111">
        <f>IFERROR(A51/Q51,0)</f>
        <v/>
      </c>
      <c r="Y51" s="111">
        <f>IFERROR(B51/T51,0)</f>
        <v/>
      </c>
      <c r="Z51" s="111">
        <f>IFERROR(C51/Q51,0)</f>
        <v/>
      </c>
      <c r="AA51" s="111">
        <f>IFERROR(D51/T51,0)</f>
        <v/>
      </c>
      <c r="AC51" s="111">
        <f>IF(T51&gt;0,IFERROR(E51/T51,0),1)</f>
        <v/>
      </c>
      <c r="AD51" s="111">
        <f>IF(Q51&gt;0,IFERROR(F51/Q51,0),1)</f>
        <v/>
      </c>
      <c r="AE51" s="111">
        <f>IF(AK51&gt;0,IFERROR(G51/AK51,0),1)</f>
        <v/>
      </c>
      <c r="AF51" s="111">
        <f>IF(AL51&gt;0,IFERROR(H51/AL51,0),1)</f>
        <v/>
      </c>
      <c r="AG51" s="104">
        <f>T51-(U51+AM51+AQ51)</f>
        <v/>
      </c>
      <c r="AH51" s="104">
        <f>Q51-(U51+AN51+AQ51)</f>
        <v/>
      </c>
      <c r="AI51" s="104">
        <f>(AK51-AO51)</f>
        <v/>
      </c>
      <c r="AJ51" s="104">
        <f>(AL51-AP51)</f>
        <v/>
      </c>
      <c r="AK51" s="110">
        <f>R51+AH51</f>
        <v/>
      </c>
      <c r="AL51" s="110">
        <f>S51+AI51</f>
        <v/>
      </c>
      <c r="AM51" s="104" t="n">
        <v>9600</v>
      </c>
      <c r="AN51" s="104" t="n">
        <v>9600</v>
      </c>
      <c r="AO51" s="104" t="n">
        <v>0</v>
      </c>
      <c r="AP51" s="104" t="n">
        <v>0</v>
      </c>
      <c r="AQ51" s="104" t="n">
        <v>0</v>
      </c>
      <c r="AR51" s="104" t="n"/>
      <c r="AS51" s="104" t="n"/>
    </row>
    <row r="52" ht="12.65" customHeight="1" s="79">
      <c r="A52" s="104">
        <f>MIN(U52,Q52)</f>
        <v/>
      </c>
      <c r="B52" s="104">
        <f>MIN(U52,T52)</f>
        <v/>
      </c>
      <c r="C52" s="104">
        <f>MIN(W52,Q52)</f>
        <v/>
      </c>
      <c r="D52" s="104">
        <f>MIN(W52,T52)</f>
        <v/>
      </c>
      <c r="E52" s="104">
        <f>MIN((U52+AM52+AQ52),T52)</f>
        <v/>
      </c>
      <c r="F52" s="104">
        <f>MAX(MIN((U52+AN52+AQ52),Q52),0)</f>
        <v/>
      </c>
      <c r="G52" s="104">
        <f>MAX(MIN(AO52,AK52),0)</f>
        <v/>
      </c>
      <c r="H52" s="104">
        <f>MAX(MIN(AP52,AL52),0)</f>
        <v/>
      </c>
      <c r="I52" s="105" t="inlineStr">
        <is>
          <t>KAMLESH SINGH</t>
        </is>
      </c>
      <c r="J52" s="106" t="inlineStr">
        <is>
          <t>FOOTWEAR</t>
        </is>
      </c>
      <c r="K52" s="107" t="inlineStr">
        <is>
          <t>FW_LADIES FOOTWEAR</t>
        </is>
      </c>
      <c r="L52" s="107" t="inlineStr">
        <is>
          <t>FW_L_SLIPPER</t>
        </is>
      </c>
      <c r="M52" s="107" t="inlineStr">
        <is>
          <t>ARTICLE</t>
        </is>
      </c>
      <c r="N52" s="108" t="n">
        <v>0.111102332119474</v>
      </c>
      <c r="O52" s="108" t="n">
        <v>0.0921826175177545</v>
      </c>
      <c r="P52" s="109" t="n">
        <v>20</v>
      </c>
      <c r="Q52" s="110" t="n">
        <v>16674</v>
      </c>
      <c r="R52" s="110" t="n">
        <v>12018.3897823305</v>
      </c>
      <c r="S52" s="110" t="n">
        <v>12437.8770738506</v>
      </c>
      <c r="T52" s="110" t="n">
        <v>41130.2668561811</v>
      </c>
      <c r="U52" s="104" t="n">
        <v>25912</v>
      </c>
      <c r="V52" s="104" t="n">
        <v>0</v>
      </c>
      <c r="W52" s="104">
        <f>$U52+$V52</f>
        <v/>
      </c>
      <c r="X52" s="111">
        <f>IFERROR(A52/Q52,0)</f>
        <v/>
      </c>
      <c r="Y52" s="111">
        <f>IFERROR(B52/T52,0)</f>
        <v/>
      </c>
      <c r="Z52" s="111">
        <f>IFERROR(C52/Q52,0)</f>
        <v/>
      </c>
      <c r="AA52" s="111">
        <f>IFERROR(D52/T52,0)</f>
        <v/>
      </c>
      <c r="AC52" s="111">
        <f>IF(T52&gt;0,IFERROR(E52/T52,0),1)</f>
        <v/>
      </c>
      <c r="AD52" s="111">
        <f>IF(Q52&gt;0,IFERROR(F52/Q52,0),1)</f>
        <v/>
      </c>
      <c r="AE52" s="111">
        <f>IF(AK52&gt;0,IFERROR(G52/AK52,0),1)</f>
        <v/>
      </c>
      <c r="AF52" s="111">
        <f>IF(AL52&gt;0,IFERROR(H52/AL52,0),1)</f>
        <v/>
      </c>
      <c r="AG52" s="104">
        <f>T52-(U52+AM52+AQ52)</f>
        <v/>
      </c>
      <c r="AH52" s="104">
        <f>Q52-(U52+AN52+AQ52)</f>
        <v/>
      </c>
      <c r="AI52" s="104">
        <f>(AK52-AO52)</f>
        <v/>
      </c>
      <c r="AJ52" s="104">
        <f>(AL52-AP52)</f>
        <v/>
      </c>
      <c r="AK52" s="110">
        <f>R52+AH52</f>
        <v/>
      </c>
      <c r="AL52" s="110">
        <f>S52+AI52</f>
        <v/>
      </c>
      <c r="AM52" s="104" t="n">
        <v>51600</v>
      </c>
      <c r="AN52" s="104" t="n">
        <v>27600</v>
      </c>
      <c r="AO52" s="104" t="n">
        <v>16800</v>
      </c>
      <c r="AP52" s="104" t="n">
        <v>7200</v>
      </c>
      <c r="AQ52" s="104" t="n">
        <v>0</v>
      </c>
      <c r="AR52" s="104" t="n"/>
      <c r="AS52" s="112" t="n"/>
    </row>
    <row r="53" ht="12.65" customHeight="1" s="79">
      <c r="A53" s="104">
        <f>MIN(U53,Q53)</f>
        <v/>
      </c>
      <c r="B53" s="104">
        <f>MIN(U53,T53)</f>
        <v/>
      </c>
      <c r="C53" s="104">
        <f>MIN(W53,Q53)</f>
        <v/>
      </c>
      <c r="D53" s="104">
        <f>MIN(W53,T53)</f>
        <v/>
      </c>
      <c r="E53" s="104">
        <f>MIN((U53+AM53+AQ53),T53)</f>
        <v/>
      </c>
      <c r="F53" s="104">
        <f>MAX(MIN((U53+AN53+AQ53),Q53),0)</f>
        <v/>
      </c>
      <c r="G53" s="104">
        <f>MAX(MIN(AO53,AK53),0)</f>
        <v/>
      </c>
      <c r="H53" s="104">
        <f>MAX(MIN(AP53,AL53),0)</f>
        <v/>
      </c>
      <c r="I53" s="105" t="inlineStr">
        <is>
          <t>KAMLESH SINGH</t>
        </is>
      </c>
      <c r="J53" s="106" t="inlineStr">
        <is>
          <t>FOOTWEAR</t>
        </is>
      </c>
      <c r="K53" s="107" t="inlineStr">
        <is>
          <t>FW_LADIES FOOTWEAR</t>
        </is>
      </c>
      <c r="L53" s="107" t="inlineStr">
        <is>
          <t>FW_L_SHOES</t>
        </is>
      </c>
      <c r="M53" s="107" t="inlineStr">
        <is>
          <t>ARTICLE</t>
        </is>
      </c>
      <c r="N53" s="108" t="n">
        <v>0.0484649211513236</v>
      </c>
      <c r="O53" s="108" t="n">
        <v>0.0411043779184864</v>
      </c>
      <c r="P53" s="109" t="n">
        <v>25</v>
      </c>
      <c r="Q53" s="110" t="n">
        <v>10887</v>
      </c>
      <c r="R53" s="110" t="n">
        <v>16122.013531761</v>
      </c>
      <c r="S53" s="110" t="n">
        <v>5794.15336794486</v>
      </c>
      <c r="T53" s="110" t="n">
        <v>32803.1668997059</v>
      </c>
      <c r="U53" s="104" t="n">
        <v>4800</v>
      </c>
      <c r="V53" s="104" t="n">
        <v>2400</v>
      </c>
      <c r="W53" s="104">
        <f>$U53+$V53</f>
        <v/>
      </c>
      <c r="X53" s="111">
        <f>IFERROR(A53/Q53,0)</f>
        <v/>
      </c>
      <c r="Y53" s="111">
        <f>IFERROR(B53/T53,0)</f>
        <v/>
      </c>
      <c r="Z53" s="111">
        <f>IFERROR(C53/Q53,0)</f>
        <v/>
      </c>
      <c r="AA53" s="111">
        <f>IFERROR(D53/T53,0)</f>
        <v/>
      </c>
      <c r="AC53" s="111">
        <f>IF(T53&gt;0,IFERROR(E53/T53,0),1)</f>
        <v/>
      </c>
      <c r="AD53" s="111">
        <f>IF(Q53&gt;0,IFERROR(F53/Q53,0),1)</f>
        <v/>
      </c>
      <c r="AE53" s="111">
        <f>IF(AK53&gt;0,IFERROR(G53/AK53,0),1)</f>
        <v/>
      </c>
      <c r="AF53" s="111">
        <f>IF(AL53&gt;0,IFERROR(H53/AL53,0),1)</f>
        <v/>
      </c>
      <c r="AG53" s="104">
        <f>T53-(U53+AM53+AQ53)</f>
        <v/>
      </c>
      <c r="AH53" s="104">
        <f>Q53-(U53+AN53+AQ53)</f>
        <v/>
      </c>
      <c r="AI53" s="104">
        <f>(AK53-AO53)</f>
        <v/>
      </c>
      <c r="AJ53" s="104">
        <f>(AL53-AP53)</f>
        <v/>
      </c>
      <c r="AK53" s="110">
        <f>R53+AH53</f>
        <v/>
      </c>
      <c r="AL53" s="110">
        <f>S53+AI53</f>
        <v/>
      </c>
      <c r="AM53" s="104" t="n">
        <v>40000</v>
      </c>
      <c r="AN53" s="104" t="n">
        <v>8000</v>
      </c>
      <c r="AO53" s="104" t="n">
        <v>13200</v>
      </c>
      <c r="AP53" s="104" t="n">
        <v>18800</v>
      </c>
      <c r="AQ53" s="104" t="n">
        <v>0</v>
      </c>
      <c r="AR53" s="104" t="n"/>
      <c r="AS53" s="112" t="n"/>
    </row>
    <row r="54" ht="12.65" customHeight="1" s="79">
      <c r="A54" s="104">
        <f>MIN(U54,Q54)</f>
        <v/>
      </c>
      <c r="B54" s="104">
        <f>MIN(U54,T54)</f>
        <v/>
      </c>
      <c r="C54" s="104">
        <f>MIN(W54,Q54)</f>
        <v/>
      </c>
      <c r="D54" s="104">
        <f>MIN(W54,T54)</f>
        <v/>
      </c>
      <c r="E54" s="104">
        <f>MIN((U54+AM54+AQ54),T54)</f>
        <v/>
      </c>
      <c r="F54" s="104">
        <f>MAX(MIN((U54+AN54+AQ54),Q54),0)</f>
        <v/>
      </c>
      <c r="G54" s="104">
        <f>MAX(MIN(AO54,AK54),0)</f>
        <v/>
      </c>
      <c r="H54" s="104">
        <f>MAX(MIN(AP54,AL54),0)</f>
        <v/>
      </c>
      <c r="I54" s="105" t="inlineStr">
        <is>
          <t>KAMLESH SINGH</t>
        </is>
      </c>
      <c r="J54" s="106" t="inlineStr">
        <is>
          <t>FOOTWEAR</t>
        </is>
      </c>
      <c r="K54" s="107" t="inlineStr">
        <is>
          <t>FW_LADIES FOOTWEAR</t>
        </is>
      </c>
      <c r="L54" s="107" t="inlineStr">
        <is>
          <t>FW_L_FANCY_SLIPPER</t>
        </is>
      </c>
      <c r="M54" s="107" t="inlineStr">
        <is>
          <t>ARTICLE</t>
        </is>
      </c>
      <c r="N54" s="108" t="n">
        <v>0.108309888408452</v>
      </c>
      <c r="O54" s="108" t="n">
        <v>0.0669216552007393</v>
      </c>
      <c r="P54" s="109" t="n">
        <v>21</v>
      </c>
      <c r="Q54" s="110" t="n">
        <v>13395</v>
      </c>
      <c r="R54" s="110" t="n">
        <v>3846.58217015393</v>
      </c>
      <c r="S54" s="110" t="n">
        <v>3362.95434815338</v>
      </c>
      <c r="T54" s="110" t="n">
        <v>20604.5365183073</v>
      </c>
      <c r="U54" s="104" t="n">
        <v>11710</v>
      </c>
      <c r="V54" s="104" t="n">
        <v>3600</v>
      </c>
      <c r="W54" s="104">
        <f>$U54+$V54</f>
        <v/>
      </c>
      <c r="X54" s="111">
        <f>IFERROR(A54/Q54,0)</f>
        <v/>
      </c>
      <c r="Y54" s="111">
        <f>IFERROR(B54/T54,0)</f>
        <v/>
      </c>
      <c r="Z54" s="111">
        <f>IFERROR(C54/Q54,0)</f>
        <v/>
      </c>
      <c r="AA54" s="111">
        <f>IFERROR(D54/T54,0)</f>
        <v/>
      </c>
      <c r="AC54" s="111">
        <f>IF(T54&gt;0,IFERROR(E54/T54,0),1)</f>
        <v/>
      </c>
      <c r="AD54" s="111">
        <f>IF(Q54&gt;0,IFERROR(F54/Q54,0),1)</f>
        <v/>
      </c>
      <c r="AE54" s="111">
        <f>IF(AK54&gt;0,IFERROR(G54/AK54,0),1)</f>
        <v/>
      </c>
      <c r="AF54" s="111">
        <f>IF(AL54&gt;0,IFERROR(H54/AL54,0),1)</f>
        <v/>
      </c>
      <c r="AG54" s="104">
        <f>T54-(U54+AM54+AQ54)</f>
        <v/>
      </c>
      <c r="AH54" s="104">
        <f>Q54-(U54+AN54+AQ54)</f>
        <v/>
      </c>
      <c r="AI54" s="104">
        <f>(AK54-AO54)</f>
        <v/>
      </c>
      <c r="AJ54" s="104">
        <f>(AL54-AP54)</f>
        <v/>
      </c>
      <c r="AK54" s="110">
        <f>R54+AH54</f>
        <v/>
      </c>
      <c r="AL54" s="110">
        <f>S54+AI54</f>
        <v/>
      </c>
      <c r="AM54" s="104" t="n">
        <v>14448</v>
      </c>
      <c r="AN54" s="104" t="n">
        <v>14448</v>
      </c>
      <c r="AO54" s="104" t="n">
        <v>0</v>
      </c>
      <c r="AP54" s="104" t="n">
        <v>0</v>
      </c>
      <c r="AQ54" s="104" t="n">
        <v>0</v>
      </c>
      <c r="AR54" s="104" t="n"/>
      <c r="AS54" s="112" t="n"/>
    </row>
    <row r="55" ht="12.65" customHeight="1" s="79">
      <c r="A55" s="104">
        <f>MIN(U55,Q55)</f>
        <v/>
      </c>
      <c r="B55" s="104">
        <f>MIN(U55,T55)</f>
        <v/>
      </c>
      <c r="C55" s="104">
        <f>MIN(W55,Q55)</f>
        <v/>
      </c>
      <c r="D55" s="104">
        <f>MIN(W55,T55)</f>
        <v/>
      </c>
      <c r="E55" s="104">
        <f>MIN((U55+AM55+AQ55),T55)</f>
        <v/>
      </c>
      <c r="F55" s="104">
        <f>MAX(MIN((U55+AN55+AQ55),Q55),0)</f>
        <v/>
      </c>
      <c r="G55" s="104">
        <f>MAX(MIN(AO55,AK55),0)</f>
        <v/>
      </c>
      <c r="H55" s="104">
        <f>MAX(MIN(AP55,AL55),0)</f>
        <v/>
      </c>
      <c r="I55" s="105" t="inlineStr">
        <is>
          <t>KAMLESH SINGH</t>
        </is>
      </c>
      <c r="J55" s="106" t="inlineStr">
        <is>
          <t>FOOTWEAR</t>
        </is>
      </c>
      <c r="K55" s="107" t="inlineStr">
        <is>
          <t>FW_LADIES FOOTWEAR</t>
        </is>
      </c>
      <c r="L55" s="107" t="inlineStr">
        <is>
          <t>FW_L_BELLY_SHOES</t>
        </is>
      </c>
      <c r="M55" s="107" t="inlineStr">
        <is>
          <t>ARTICLE</t>
        </is>
      </c>
      <c r="N55" s="108" t="n">
        <v>0.07098954088562889</v>
      </c>
      <c r="O55" s="108" t="n">
        <v>0.0310189438683992</v>
      </c>
      <c r="P55" s="109" t="n">
        <v>92</v>
      </c>
      <c r="Q55" s="110" t="n">
        <v>6478</v>
      </c>
      <c r="R55" s="110" t="n">
        <v>2647.6255639741</v>
      </c>
      <c r="S55" s="110" t="n">
        <v>1189.98254217569</v>
      </c>
      <c r="T55" s="110" t="n">
        <v>10315.6081061498</v>
      </c>
      <c r="U55" s="104" t="n">
        <v>13224</v>
      </c>
      <c r="V55" s="104" t="n">
        <v>4176</v>
      </c>
      <c r="W55" s="104">
        <f>$U55+$V55</f>
        <v/>
      </c>
      <c r="X55" s="111">
        <f>IFERROR(A55/Q55,0)</f>
        <v/>
      </c>
      <c r="Y55" s="111">
        <f>IFERROR(B55/T55,0)</f>
        <v/>
      </c>
      <c r="Z55" s="111">
        <f>IFERROR(C55/Q55,0)</f>
        <v/>
      </c>
      <c r="AA55" s="111">
        <f>IFERROR(D55/T55,0)</f>
        <v/>
      </c>
      <c r="AC55" s="111">
        <f>IF(T55&gt;0,IFERROR(E55/T55,0),1)</f>
        <v/>
      </c>
      <c r="AD55" s="111">
        <f>IF(Q55&gt;0,IFERROR(F55/Q55,0),1)</f>
        <v/>
      </c>
      <c r="AE55" s="111">
        <f>IF(AK55&gt;0,IFERROR(G55/AK55,0),1)</f>
        <v/>
      </c>
      <c r="AF55" s="111">
        <f>IF(AL55&gt;0,IFERROR(H55/AL55,0),1)</f>
        <v/>
      </c>
      <c r="AG55" s="104">
        <f>T55-(U55+AM55+AQ55)</f>
        <v/>
      </c>
      <c r="AH55" s="104">
        <f>Q55-(U55+AN55+AQ55)</f>
        <v/>
      </c>
      <c r="AI55" s="104">
        <f>(AK55-AO55)</f>
        <v/>
      </c>
      <c r="AJ55" s="104">
        <f>(AL55-AP55)</f>
        <v/>
      </c>
      <c r="AK55" s="110">
        <f>R55+AH55</f>
        <v/>
      </c>
      <c r="AL55" s="110">
        <f>S55+AI55</f>
        <v/>
      </c>
      <c r="AM55" s="104" t="n">
        <v>33072</v>
      </c>
      <c r="AN55" s="104" t="n">
        <v>26352</v>
      </c>
      <c r="AO55" s="104" t="n">
        <v>6720</v>
      </c>
      <c r="AP55" s="104" t="n">
        <v>0</v>
      </c>
      <c r="AQ55" s="104" t="n">
        <v>0</v>
      </c>
      <c r="AR55" s="104" t="n"/>
      <c r="AS55" s="112" t="n"/>
    </row>
    <row r="56" ht="12.65" customHeight="1" s="79">
      <c r="A56" s="104">
        <f>MIN(U56,Q56)</f>
        <v/>
      </c>
      <c r="B56" s="104">
        <f>MIN(U56,T56)</f>
        <v/>
      </c>
      <c r="C56" s="104">
        <f>MIN(W56,Q56)</f>
        <v/>
      </c>
      <c r="D56" s="104">
        <f>MIN(W56,T56)</f>
        <v/>
      </c>
      <c r="E56" s="104">
        <f>MIN((U56+AM56+AQ56),T56)</f>
        <v/>
      </c>
      <c r="F56" s="104">
        <f>MAX(MIN((U56+AN56+AQ56),Q56),0)</f>
        <v/>
      </c>
      <c r="G56" s="104">
        <f>MAX(MIN(AO56,AK56),0)</f>
        <v/>
      </c>
      <c r="H56" s="104">
        <f>MAX(MIN(AP56,AL56),0)</f>
        <v/>
      </c>
      <c r="I56" s="105" t="inlineStr">
        <is>
          <t>KAMLESH SINGH</t>
        </is>
      </c>
      <c r="J56" s="106" t="inlineStr">
        <is>
          <t>FOOTWEAR</t>
        </is>
      </c>
      <c r="K56" s="107" t="inlineStr">
        <is>
          <t>FW_LADIES FOOTWEAR</t>
        </is>
      </c>
      <c r="L56" s="107" t="inlineStr">
        <is>
          <t>FW_L_CASUAL SANDAL</t>
        </is>
      </c>
      <c r="M56" s="107" t="inlineStr">
        <is>
          <t>ARTICLE</t>
        </is>
      </c>
      <c r="N56" s="108" t="n">
        <v>0.0848153592403194</v>
      </c>
      <c r="O56" s="108" t="n">
        <v>0.0690850789264439</v>
      </c>
      <c r="P56" s="109" t="n">
        <v>68</v>
      </c>
      <c r="Q56" s="110" t="n">
        <v>5133</v>
      </c>
      <c r="R56" s="110" t="n">
        <v>2782.12257331564</v>
      </c>
      <c r="S56" s="110" t="n">
        <v>2386.41646220318</v>
      </c>
      <c r="T56" s="110" t="n">
        <v>10301.5390355188</v>
      </c>
      <c r="U56" s="104" t="n">
        <v>10800</v>
      </c>
      <c r="V56" s="104" t="n">
        <v>4800</v>
      </c>
      <c r="W56" s="104">
        <f>$U56+$V56</f>
        <v/>
      </c>
      <c r="X56" s="111">
        <f>IFERROR(A56/Q56,0)</f>
        <v/>
      </c>
      <c r="Y56" s="111">
        <f>IFERROR(B56/T56,0)</f>
        <v/>
      </c>
      <c r="Z56" s="111">
        <f>IFERROR(C56/Q56,0)</f>
        <v/>
      </c>
      <c r="AA56" s="111">
        <f>IFERROR(D56/T56,0)</f>
        <v/>
      </c>
      <c r="AC56" s="111">
        <f>IF(T56&gt;0,IFERROR(E56/T56,0),1)</f>
        <v/>
      </c>
      <c r="AD56" s="111">
        <f>IF(Q56&gt;0,IFERROR(F56/Q56,0),1)</f>
        <v/>
      </c>
      <c r="AE56" s="111">
        <f>IF(AK56&gt;0,IFERROR(G56/AK56,0),1)</f>
        <v/>
      </c>
      <c r="AF56" s="111">
        <f>IF(AL56&gt;0,IFERROR(H56/AL56,0),1)</f>
        <v/>
      </c>
      <c r="AG56" s="104">
        <f>T56-(U56+AM56+AQ56)</f>
        <v/>
      </c>
      <c r="AH56" s="104">
        <f>Q56-(U56+AN56+AQ56)</f>
        <v/>
      </c>
      <c r="AI56" s="104">
        <f>(AK56-AO56)</f>
        <v/>
      </c>
      <c r="AJ56" s="104">
        <f>(AL56-AP56)</f>
        <v/>
      </c>
      <c r="AK56" s="110">
        <f>R56+AH56</f>
        <v/>
      </c>
      <c r="AL56" s="110">
        <f>S56+AI56</f>
        <v/>
      </c>
      <c r="AM56" s="104" t="n">
        <v>15840</v>
      </c>
      <c r="AN56" s="104" t="n">
        <v>12480</v>
      </c>
      <c r="AO56" s="104" t="n">
        <v>3360</v>
      </c>
      <c r="AP56" s="104" t="n">
        <v>0</v>
      </c>
      <c r="AQ56" s="104" t="n">
        <v>0</v>
      </c>
      <c r="AR56" s="104" t="n"/>
      <c r="AS56" s="104" t="n"/>
    </row>
    <row r="57" ht="12.65" customHeight="1" s="79">
      <c r="A57" s="104">
        <f>MIN(U57,Q57)</f>
        <v/>
      </c>
      <c r="B57" s="104">
        <f>MIN(U57,T57)</f>
        <v/>
      </c>
      <c r="C57" s="104">
        <f>MIN(W57,Q57)</f>
        <v/>
      </c>
      <c r="D57" s="104">
        <f>MIN(W57,T57)</f>
        <v/>
      </c>
      <c r="E57" s="104">
        <f>MIN((U57+AM57+AQ57),T57)</f>
        <v/>
      </c>
      <c r="F57" s="104">
        <f>MAX(MIN((U57+AN57+AQ57),Q57),0)</f>
        <v/>
      </c>
      <c r="G57" s="104">
        <f>MAX(MIN(AO57,AK57),0)</f>
        <v/>
      </c>
      <c r="H57" s="104">
        <f>MAX(MIN(AP57,AL57),0)</f>
        <v/>
      </c>
      <c r="I57" s="105" t="inlineStr">
        <is>
          <t>KAMLESH SINGH</t>
        </is>
      </c>
      <c r="J57" s="106" t="inlineStr">
        <is>
          <t>FOOTWEAR</t>
        </is>
      </c>
      <c r="K57" s="107" t="inlineStr">
        <is>
          <t>FW_MENS FOOTWEAR</t>
        </is>
      </c>
      <c r="L57" s="107" t="inlineStr">
        <is>
          <t>FW_M_SHOES</t>
        </is>
      </c>
      <c r="M57" s="107" t="inlineStr">
        <is>
          <t>ARTICLE</t>
        </is>
      </c>
      <c r="N57" s="108" t="n">
        <v>0.0599619606927158</v>
      </c>
      <c r="O57" s="108" t="n">
        <v>0.0367830163742853</v>
      </c>
      <c r="P57" s="109" t="n">
        <v>15</v>
      </c>
      <c r="Q57" s="110" t="n">
        <v>16335</v>
      </c>
      <c r="R57" s="110" t="n">
        <v>16344.8366851684</v>
      </c>
      <c r="S57" s="110" t="n">
        <v>8993.80900904587</v>
      </c>
      <c r="T57" s="110" t="n">
        <v>41673.6456942143</v>
      </c>
      <c r="U57" s="104" t="n">
        <v>10640</v>
      </c>
      <c r="V57" s="104" t="n">
        <v>4320</v>
      </c>
      <c r="W57" s="104">
        <f>$U57+$V57</f>
        <v/>
      </c>
      <c r="X57" s="111">
        <f>IFERROR(A57/Q57,0)</f>
        <v/>
      </c>
      <c r="Y57" s="111">
        <f>IFERROR(B57/T57,0)</f>
        <v/>
      </c>
      <c r="Z57" s="111">
        <f>IFERROR(C57/Q57,0)</f>
        <v/>
      </c>
      <c r="AA57" s="111">
        <f>IFERROR(D57/T57,0)</f>
        <v/>
      </c>
      <c r="AC57" s="111">
        <f>IF(T57&gt;0,IFERROR(E57/T57,0),1)</f>
        <v/>
      </c>
      <c r="AD57" s="111">
        <f>IF(Q57&gt;0,IFERROR(F57/Q57,0),1)</f>
        <v/>
      </c>
      <c r="AE57" s="111">
        <f>IF(AK57&gt;0,IFERROR(G57/AK57,0),1)</f>
        <v/>
      </c>
      <c r="AF57" s="111">
        <f>IF(AL57&gt;0,IFERROR(H57/AL57,0),1)</f>
        <v/>
      </c>
      <c r="AG57" s="104">
        <f>T57-(U57+AM57+AQ57)</f>
        <v/>
      </c>
      <c r="AH57" s="104">
        <f>Q57-(U57+AN57+AQ57)</f>
        <v/>
      </c>
      <c r="AI57" s="104">
        <f>(AK57-AO57)</f>
        <v/>
      </c>
      <c r="AJ57" s="104">
        <f>(AL57-AP57)</f>
        <v/>
      </c>
      <c r="AK57" s="110">
        <f>R57+AH57</f>
        <v/>
      </c>
      <c r="AL57" s="110">
        <f>S57+AI57</f>
        <v/>
      </c>
      <c r="AM57" s="104" t="n">
        <v>42480</v>
      </c>
      <c r="AN57" s="104" t="n">
        <v>10320</v>
      </c>
      <c r="AO57" s="104" t="n">
        <v>11040</v>
      </c>
      <c r="AP57" s="104" t="n">
        <v>21120</v>
      </c>
      <c r="AQ57" s="104" t="n">
        <v>0</v>
      </c>
      <c r="AR57" s="104" t="n"/>
      <c r="AS57" s="112" t="n"/>
    </row>
    <row r="58" ht="12.65" customHeight="1" s="79">
      <c r="A58" s="104">
        <f>MIN(U58,Q58)</f>
        <v/>
      </c>
      <c r="B58" s="104">
        <f>MIN(U58,T58)</f>
        <v/>
      </c>
      <c r="C58" s="104">
        <f>MIN(W58,Q58)</f>
        <v/>
      </c>
      <c r="D58" s="104">
        <f>MIN(W58,T58)</f>
        <v/>
      </c>
      <c r="E58" s="104">
        <f>MIN((U58+AM58+AQ58),T58)</f>
        <v/>
      </c>
      <c r="F58" s="104">
        <f>MAX(MIN((U58+AN58+AQ58),Q58),0)</f>
        <v/>
      </c>
      <c r="G58" s="104">
        <f>MAX(MIN(AO58,AK58),0)</f>
        <v/>
      </c>
      <c r="H58" s="104">
        <f>MAX(MIN(AP58,AL58),0)</f>
        <v/>
      </c>
      <c r="I58" s="105" t="inlineStr">
        <is>
          <t>KAMLESH SINGH</t>
        </is>
      </c>
      <c r="J58" s="106" t="inlineStr">
        <is>
          <t>FOOTWEAR</t>
        </is>
      </c>
      <c r="K58" s="107" t="inlineStr">
        <is>
          <t>FW_MENS FOOTWEAR</t>
        </is>
      </c>
      <c r="L58" s="107" t="inlineStr">
        <is>
          <t>FW_M_SLIPPER</t>
        </is>
      </c>
      <c r="M58" s="107" t="inlineStr">
        <is>
          <t>ARTICLE</t>
        </is>
      </c>
      <c r="N58" s="108" t="n">
        <v>0.138095846550706</v>
      </c>
      <c r="O58" s="108" t="n">
        <v>0.107287753568745</v>
      </c>
      <c r="P58" s="109" t="n">
        <v>30</v>
      </c>
      <c r="Q58" s="110" t="n">
        <v>7221</v>
      </c>
      <c r="R58" s="110" t="n">
        <v>9009.46033488522</v>
      </c>
      <c r="S58" s="110" t="n">
        <v>8414.89642012176</v>
      </c>
      <c r="T58" s="110" t="n">
        <v>24645.356755007</v>
      </c>
      <c r="U58" s="104" t="n">
        <v>19792</v>
      </c>
      <c r="V58" s="104" t="n">
        <v>0</v>
      </c>
      <c r="W58" s="104">
        <f>$U58+$V58</f>
        <v/>
      </c>
      <c r="X58" s="111">
        <f>IFERROR(A58/Q58,0)</f>
        <v/>
      </c>
      <c r="Y58" s="111">
        <f>IFERROR(B58/T58,0)</f>
        <v/>
      </c>
      <c r="Z58" s="111">
        <f>IFERROR(C58/Q58,0)</f>
        <v/>
      </c>
      <c r="AA58" s="111">
        <f>IFERROR(D58/T58,0)</f>
        <v/>
      </c>
      <c r="AC58" s="111">
        <f>IF(T58&gt;0,IFERROR(E58/T58,0),1)</f>
        <v/>
      </c>
      <c r="AD58" s="111">
        <f>IF(Q58&gt;0,IFERROR(F58/Q58,0),1)</f>
        <v/>
      </c>
      <c r="AE58" s="111">
        <f>IF(AK58&gt;0,IFERROR(G58/AK58,0),1)</f>
        <v/>
      </c>
      <c r="AF58" s="111">
        <f>IF(AL58&gt;0,IFERROR(H58/AL58,0),1)</f>
        <v/>
      </c>
      <c r="AG58" s="104">
        <f>T58-(U58+AM58+AQ58)</f>
        <v/>
      </c>
      <c r="AH58" s="104">
        <f>Q58-(U58+AN58+AQ58)</f>
        <v/>
      </c>
      <c r="AI58" s="104">
        <f>(AK58-AO58)</f>
        <v/>
      </c>
      <c r="AJ58" s="104">
        <f>(AL58-AP58)</f>
        <v/>
      </c>
      <c r="AK58" s="110">
        <f>R58+AH58</f>
        <v/>
      </c>
      <c r="AL58" s="110">
        <f>S58+AI58</f>
        <v/>
      </c>
      <c r="AM58" s="104" t="n">
        <v>36848</v>
      </c>
      <c r="AN58" s="104" t="n">
        <v>16688</v>
      </c>
      <c r="AO58" s="104" t="n">
        <v>9360</v>
      </c>
      <c r="AP58" s="104" t="n">
        <v>10800</v>
      </c>
      <c r="AQ58" s="104" t="n">
        <v>0</v>
      </c>
      <c r="AR58" s="104" t="n"/>
      <c r="AS58" s="112" t="n"/>
    </row>
    <row r="59" ht="12.65" customHeight="1" s="79">
      <c r="A59" s="104">
        <f>MIN(U59,Q59)</f>
        <v/>
      </c>
      <c r="B59" s="104">
        <f>MIN(U59,T59)</f>
        <v/>
      </c>
      <c r="C59" s="104">
        <f>MIN(W59,Q59)</f>
        <v/>
      </c>
      <c r="D59" s="104">
        <f>MIN(W59,T59)</f>
        <v/>
      </c>
      <c r="E59" s="104">
        <f>MIN((U59+AM59+AQ59),T59)</f>
        <v/>
      </c>
      <c r="F59" s="104">
        <f>MAX(MIN((U59+AN59+AQ59),Q59),0)</f>
        <v/>
      </c>
      <c r="G59" s="104">
        <f>MAX(MIN(AO59,AK59),0)</f>
        <v/>
      </c>
      <c r="H59" s="104">
        <f>MAX(MIN(AP59,AL59),0)</f>
        <v/>
      </c>
      <c r="I59" s="105" t="inlineStr">
        <is>
          <t>KAMLESH SINGH</t>
        </is>
      </c>
      <c r="J59" s="106" t="inlineStr">
        <is>
          <t>FOOTWEAR</t>
        </is>
      </c>
      <c r="K59" s="107" t="inlineStr">
        <is>
          <t>FW_MENS FOOTWEAR</t>
        </is>
      </c>
      <c r="L59" s="107" t="inlineStr">
        <is>
          <t>FW_M_CASUAL SANDAL</t>
        </is>
      </c>
      <c r="M59" s="107" t="inlineStr">
        <is>
          <t>ARTICLE</t>
        </is>
      </c>
      <c r="N59" s="108" t="n">
        <v>0.120814864898705</v>
      </c>
      <c r="O59" s="108" t="n">
        <v>0.109875805883524</v>
      </c>
      <c r="P59" s="109" t="n">
        <v>78</v>
      </c>
      <c r="Q59" s="110" t="n">
        <v>2076</v>
      </c>
      <c r="R59" s="110" t="n">
        <v>1770.45066228664</v>
      </c>
      <c r="S59" s="110" t="n">
        <v>400.989145046615</v>
      </c>
      <c r="T59" s="110" t="n">
        <v>4247.43980733326</v>
      </c>
      <c r="U59" s="104" t="n">
        <v>2336</v>
      </c>
      <c r="V59" s="104" t="n">
        <v>1360</v>
      </c>
      <c r="W59" s="104">
        <f>$U59+$V59</f>
        <v/>
      </c>
      <c r="X59" s="111">
        <f>IFERROR(A59/Q59,0)</f>
        <v/>
      </c>
      <c r="Y59" s="111">
        <f>IFERROR(B59/T59,0)</f>
        <v/>
      </c>
      <c r="Z59" s="111">
        <f>IFERROR(C59/Q59,0)</f>
        <v/>
      </c>
      <c r="AA59" s="111">
        <f>IFERROR(D59/T59,0)</f>
        <v/>
      </c>
      <c r="AC59" s="111">
        <f>IF(T59&gt;0,IFERROR(E59/T59,0),1)</f>
        <v/>
      </c>
      <c r="AD59" s="111">
        <f>IF(Q59&gt;0,IFERROR(F59/Q59,0),1)</f>
        <v/>
      </c>
      <c r="AE59" s="111">
        <f>IF(AK59&gt;0,IFERROR(G59/AK59,0),1)</f>
        <v/>
      </c>
      <c r="AF59" s="111">
        <f>IF(AL59&gt;0,IFERROR(H59/AL59,0),1)</f>
        <v/>
      </c>
      <c r="AG59" s="104">
        <f>T59-(U59+AM59+AQ59)</f>
        <v/>
      </c>
      <c r="AH59" s="104">
        <f>Q59-(U59+AN59+AQ59)</f>
        <v/>
      </c>
      <c r="AI59" s="104">
        <f>(AK59-AO59)</f>
        <v/>
      </c>
      <c r="AJ59" s="104">
        <f>(AL59-AP59)</f>
        <v/>
      </c>
      <c r="AK59" s="110">
        <f>R59+AH59</f>
        <v/>
      </c>
      <c r="AL59" s="110">
        <f>S59+AI59</f>
        <v/>
      </c>
      <c r="AM59" s="104" t="n">
        <v>1504</v>
      </c>
      <c r="AN59" s="104" t="n">
        <v>1440</v>
      </c>
      <c r="AO59" s="104" t="n">
        <v>64</v>
      </c>
      <c r="AP59" s="104" t="n">
        <v>0</v>
      </c>
      <c r="AQ59" s="104" t="n">
        <v>0</v>
      </c>
      <c r="AR59" s="104" t="n"/>
      <c r="AS59" s="112" t="n"/>
    </row>
    <row r="60" ht="12.65" customHeight="1" s="79">
      <c r="A60" s="104">
        <f>MIN(U60,Q60)</f>
        <v/>
      </c>
      <c r="B60" s="104">
        <f>MIN(U60,T60)</f>
        <v/>
      </c>
      <c r="C60" s="104">
        <f>MIN(W60,Q60)</f>
        <v/>
      </c>
      <c r="D60" s="104">
        <f>MIN(W60,T60)</f>
        <v/>
      </c>
      <c r="E60" s="104">
        <f>MIN((U60+AM60+AQ60),T60)</f>
        <v/>
      </c>
      <c r="F60" s="104">
        <f>MAX(MIN((U60+AN60+AQ60),Q60),0)</f>
        <v/>
      </c>
      <c r="G60" s="104">
        <f>MAX(MIN(AO60,AK60),0)</f>
        <v/>
      </c>
      <c r="H60" s="104">
        <f>MAX(MIN(AP60,AL60),0)</f>
        <v/>
      </c>
      <c r="I60" s="105" t="inlineStr">
        <is>
          <t>MAHIMA VOHRA</t>
        </is>
      </c>
      <c r="J60" s="106" t="inlineStr">
        <is>
          <t>HOME FURNISHING</t>
        </is>
      </c>
      <c r="K60" s="107" t="inlineStr">
        <is>
          <t>HF_BEDROOM FURNISHING</t>
        </is>
      </c>
      <c r="L60" s="107" t="inlineStr">
        <is>
          <t>HF_BF_DOUB BEDSHEET</t>
        </is>
      </c>
      <c r="M60" s="107" t="inlineStr">
        <is>
          <t>ARTICLE</t>
        </is>
      </c>
      <c r="N60" s="108" t="n">
        <v>0.102354601767525</v>
      </c>
      <c r="O60" s="108" t="n">
        <v>0.08191694620797869</v>
      </c>
      <c r="P60" s="109" t="n">
        <v>3</v>
      </c>
      <c r="Q60" s="110" t="n">
        <v>30532</v>
      </c>
      <c r="R60" s="110" t="n">
        <v>10276.3019649086</v>
      </c>
      <c r="S60" s="110" t="n">
        <v>8099.86862866979</v>
      </c>
      <c r="T60" s="110" t="n">
        <v>48908.1705935784</v>
      </c>
      <c r="U60" s="104" t="n">
        <v>18720</v>
      </c>
      <c r="V60" s="104" t="n">
        <v>7188</v>
      </c>
      <c r="W60" s="104">
        <f>$U60+$V60</f>
        <v/>
      </c>
      <c r="X60" s="111">
        <f>IFERROR(A60/Q60,0)</f>
        <v/>
      </c>
      <c r="Y60" s="111">
        <f>IFERROR(B60/T60,0)</f>
        <v/>
      </c>
      <c r="Z60" s="111">
        <f>IFERROR(C60/Q60,0)</f>
        <v/>
      </c>
      <c r="AA60" s="111">
        <f>IFERROR(D60/T60,0)</f>
        <v/>
      </c>
      <c r="AC60" s="111">
        <f>IF(T60&gt;0,IFERROR(E60/T60,0),1)</f>
        <v/>
      </c>
      <c r="AD60" s="111">
        <f>IF(Q60&gt;0,IFERROR(F60/Q60,0),1)</f>
        <v/>
      </c>
      <c r="AE60" s="111">
        <f>IF(AK60&gt;0,IFERROR(G60/AK60,0),1)</f>
        <v/>
      </c>
      <c r="AF60" s="111">
        <f>IF(AL60&gt;0,IFERROR(H60/AL60,0),1)</f>
        <v/>
      </c>
      <c r="AG60" s="104">
        <f>T60-(U60+AM60+AQ60)</f>
        <v/>
      </c>
      <c r="AH60" s="104">
        <f>Q60-(U60+AN60+AQ60)</f>
        <v/>
      </c>
      <c r="AI60" s="104">
        <f>(AK60-AO60)</f>
        <v/>
      </c>
      <c r="AJ60" s="104">
        <f>(AL60-AP60)</f>
        <v/>
      </c>
      <c r="AK60" s="110">
        <f>R60+AH60</f>
        <v/>
      </c>
      <c r="AL60" s="110">
        <f>S60+AI60</f>
        <v/>
      </c>
      <c r="AM60" s="104" t="n">
        <v>53088</v>
      </c>
      <c r="AN60" s="104" t="n">
        <v>35688</v>
      </c>
      <c r="AO60" s="104" t="n">
        <v>12600</v>
      </c>
      <c r="AP60" s="104" t="n">
        <v>4800</v>
      </c>
      <c r="AQ60" s="104" t="n">
        <v>0</v>
      </c>
      <c r="AR60" s="104" t="n"/>
      <c r="AS60" s="104" t="n"/>
    </row>
    <row r="61" ht="12.65" customHeight="1" s="79">
      <c r="A61" s="104">
        <f>MIN(U61,Q61)</f>
        <v/>
      </c>
      <c r="B61" s="104">
        <f>MIN(U61,T61)</f>
        <v/>
      </c>
      <c r="C61" s="104">
        <f>MIN(W61,Q61)</f>
        <v/>
      </c>
      <c r="D61" s="104">
        <f>MIN(W61,T61)</f>
        <v/>
      </c>
      <c r="E61" s="104">
        <f>MIN((U61+AM61+AQ61),T61)</f>
        <v/>
      </c>
      <c r="F61" s="104">
        <f>MAX(MIN((U61+AN61+AQ61),Q61),0)</f>
        <v/>
      </c>
      <c r="G61" s="104">
        <f>MAX(MIN(AO61,AK61),0)</f>
        <v/>
      </c>
      <c r="H61" s="104">
        <f>MAX(MIN(AP61,AL61),0)</f>
        <v/>
      </c>
      <c r="I61" s="105" t="inlineStr">
        <is>
          <t>MAHIMA VOHRA</t>
        </is>
      </c>
      <c r="J61" s="106" t="inlineStr">
        <is>
          <t>HOME FURNISHING</t>
        </is>
      </c>
      <c r="K61" s="107" t="inlineStr">
        <is>
          <t>HF_BEDROOM FURNISHING</t>
        </is>
      </c>
      <c r="L61" s="107" t="inlineStr">
        <is>
          <t>HF_BF_PILLOW</t>
        </is>
      </c>
      <c r="M61" s="107" t="inlineStr">
        <is>
          <t>ARTICLE</t>
        </is>
      </c>
      <c r="N61" s="108" t="n">
        <v>0.167186178567114</v>
      </c>
      <c r="O61" s="108" t="n">
        <v>0.167773265433293</v>
      </c>
      <c r="P61" s="109" t="n">
        <v>90</v>
      </c>
      <c r="Q61" s="110" t="n">
        <v>4751</v>
      </c>
      <c r="R61" s="110" t="n">
        <v>2701.5582942441</v>
      </c>
      <c r="S61" s="110" t="n">
        <v>3087.23898042783</v>
      </c>
      <c r="T61" s="110" t="n">
        <v>10539.7972746719</v>
      </c>
      <c r="U61" s="104" t="n">
        <v>9600</v>
      </c>
      <c r="V61" s="104" t="n">
        <v>0</v>
      </c>
      <c r="W61" s="104">
        <f>$U61+$V61</f>
        <v/>
      </c>
      <c r="X61" s="111">
        <f>IFERROR(A61/Q61,0)</f>
        <v/>
      </c>
      <c r="Y61" s="111">
        <f>IFERROR(B61/T61,0)</f>
        <v/>
      </c>
      <c r="Z61" s="111">
        <f>IFERROR(C61/Q61,0)</f>
        <v/>
      </c>
      <c r="AA61" s="111">
        <f>IFERROR(D61/T61,0)</f>
        <v/>
      </c>
      <c r="AC61" s="111">
        <f>IF(T61&gt;0,IFERROR(E61/T61,0),1)</f>
        <v/>
      </c>
      <c r="AD61" s="111">
        <f>IF(Q61&gt;0,IFERROR(F61/Q61,0),1)</f>
        <v/>
      </c>
      <c r="AE61" s="111">
        <f>IF(AK61&gt;0,IFERROR(G61/AK61,0),1)</f>
        <v/>
      </c>
      <c r="AF61" s="111">
        <f>IF(AL61&gt;0,IFERROR(H61/AL61,0),1)</f>
        <v/>
      </c>
      <c r="AG61" s="104">
        <f>T61-(U61+AM61+AQ61)</f>
        <v/>
      </c>
      <c r="AH61" s="104">
        <f>Q61-(U61+AN61+AQ61)</f>
        <v/>
      </c>
      <c r="AI61" s="104">
        <f>(AK61-AO61)</f>
        <v/>
      </c>
      <c r="AJ61" s="104">
        <f>(AL61-AP61)</f>
        <v/>
      </c>
      <c r="AK61" s="110">
        <f>R61+AH61</f>
        <v/>
      </c>
      <c r="AL61" s="110">
        <f>S61+AI61</f>
        <v/>
      </c>
      <c r="AM61" s="104" t="n">
        <v>9600</v>
      </c>
      <c r="AN61" s="104" t="n">
        <v>0</v>
      </c>
      <c r="AO61" s="104" t="n">
        <v>4800</v>
      </c>
      <c r="AP61" s="104" t="n">
        <v>4800</v>
      </c>
      <c r="AQ61" s="104" t="n">
        <v>0</v>
      </c>
      <c r="AR61" s="104" t="n"/>
      <c r="AS61" s="112" t="n"/>
    </row>
    <row r="62" ht="12.65" customHeight="1" s="79">
      <c r="A62" s="104">
        <f>MIN(U62,Q62)</f>
        <v/>
      </c>
      <c r="B62" s="104">
        <f>MIN(U62,T62)</f>
        <v/>
      </c>
      <c r="C62" s="104">
        <f>MIN(W62,Q62)</f>
        <v/>
      </c>
      <c r="D62" s="104">
        <f>MIN(W62,T62)</f>
        <v/>
      </c>
      <c r="E62" s="104">
        <f>MIN((U62+AM62+AQ62),T62)</f>
        <v/>
      </c>
      <c r="F62" s="104">
        <f>MAX(MIN((U62+AN62+AQ62),Q62),0)</f>
        <v/>
      </c>
      <c r="G62" s="104">
        <f>MAX(MIN(AO62,AK62),0)</f>
        <v/>
      </c>
      <c r="H62" s="104">
        <f>MAX(MIN(AP62,AL62),0)</f>
        <v/>
      </c>
      <c r="I62" s="105" t="inlineStr">
        <is>
          <t>MAHIMA VOHRA</t>
        </is>
      </c>
      <c r="J62" s="106" t="inlineStr">
        <is>
          <t>HOME FURNISHING</t>
        </is>
      </c>
      <c r="K62" s="107" t="inlineStr">
        <is>
          <t>HF_BEDROOM FURNISHING</t>
        </is>
      </c>
      <c r="L62" s="107" t="inlineStr">
        <is>
          <t>HF_BF_SINGLE BEDSHEET</t>
        </is>
      </c>
      <c r="M62" s="107" t="inlineStr">
        <is>
          <t>ARTICLE</t>
        </is>
      </c>
      <c r="N62" s="108" t="n">
        <v>0.122340350431333</v>
      </c>
      <c r="O62" s="108" t="n">
        <v>0.11274386946141</v>
      </c>
      <c r="P62" s="109" t="n">
        <v>61</v>
      </c>
      <c r="Q62" s="110" t="n">
        <v>7290</v>
      </c>
      <c r="R62" s="110" t="n">
        <v>1089.58014154174</v>
      </c>
      <c r="S62" s="110" t="n">
        <v>738.896773436499</v>
      </c>
      <c r="T62" s="110" t="n">
        <v>9118.476914978241</v>
      </c>
      <c r="U62" s="104" t="n">
        <v>2400</v>
      </c>
      <c r="V62" s="104" t="n">
        <v>3600</v>
      </c>
      <c r="W62" s="104">
        <f>$U62+$V62</f>
        <v/>
      </c>
      <c r="X62" s="111">
        <f>IFERROR(A62/Q62,0)</f>
        <v/>
      </c>
      <c r="Y62" s="111">
        <f>IFERROR(B62/T62,0)</f>
        <v/>
      </c>
      <c r="Z62" s="111">
        <f>IFERROR(C62/Q62,0)</f>
        <v/>
      </c>
      <c r="AA62" s="111">
        <f>IFERROR(D62/T62,0)</f>
        <v/>
      </c>
      <c r="AC62" s="111">
        <f>IF(T62&gt;0,IFERROR(E62/T62,0),1)</f>
        <v/>
      </c>
      <c r="AD62" s="111">
        <f>IF(Q62&gt;0,IFERROR(F62/Q62,0),1)</f>
        <v/>
      </c>
      <c r="AE62" s="111">
        <f>IF(AK62&gt;0,IFERROR(G62/AK62,0),1)</f>
        <v/>
      </c>
      <c r="AF62" s="111">
        <f>IF(AL62&gt;0,IFERROR(H62/AL62,0),1)</f>
        <v/>
      </c>
      <c r="AG62" s="104">
        <f>T62-(U62+AM62+AQ62)</f>
        <v/>
      </c>
      <c r="AH62" s="104">
        <f>Q62-(U62+AN62+AQ62)</f>
        <v/>
      </c>
      <c r="AI62" s="104">
        <f>(AK62-AO62)</f>
        <v/>
      </c>
      <c r="AJ62" s="104">
        <f>(AL62-AP62)</f>
        <v/>
      </c>
      <c r="AK62" s="110">
        <f>R62+AH62</f>
        <v/>
      </c>
      <c r="AL62" s="110">
        <f>S62+AI62</f>
        <v/>
      </c>
      <c r="AM62" s="104" t="n">
        <v>8400</v>
      </c>
      <c r="AN62" s="104" t="n">
        <v>8400</v>
      </c>
      <c r="AO62" s="104" t="n">
        <v>0</v>
      </c>
      <c r="AP62" s="104" t="n">
        <v>0</v>
      </c>
      <c r="AQ62" s="104" t="n">
        <v>0</v>
      </c>
      <c r="AR62" s="104" t="n"/>
      <c r="AS62" s="104" t="n"/>
    </row>
    <row r="63" ht="12.65" customHeight="1" s="79">
      <c r="A63" s="104">
        <f>MIN(U63,Q63)</f>
        <v/>
      </c>
      <c r="B63" s="104">
        <f>MIN(U63,T63)</f>
        <v/>
      </c>
      <c r="C63" s="104">
        <f>MIN(W63,Q63)</f>
        <v/>
      </c>
      <c r="D63" s="104">
        <f>MIN(W63,T63)</f>
        <v/>
      </c>
      <c r="E63" s="104">
        <f>MIN((U63+AM63+AQ63),T63)</f>
        <v/>
      </c>
      <c r="F63" s="104">
        <f>MAX(MIN((U63+AN63+AQ63),Q63),0)</f>
        <v/>
      </c>
      <c r="G63" s="104">
        <f>MAX(MIN(AO63,AK63),0)</f>
        <v/>
      </c>
      <c r="H63" s="104">
        <f>MAX(MIN(AP63,AL63),0)</f>
        <v/>
      </c>
      <c r="I63" s="105" t="inlineStr">
        <is>
          <t>MAHIMA VOHRA</t>
        </is>
      </c>
      <c r="J63" s="106" t="inlineStr">
        <is>
          <t>HOME FURNISHING</t>
        </is>
      </c>
      <c r="K63" s="107" t="inlineStr">
        <is>
          <t>HF_DRAWINGROOM FURNISHING</t>
        </is>
      </c>
      <c r="L63" s="107" t="inlineStr">
        <is>
          <t>HF_DF_DURRIE</t>
        </is>
      </c>
      <c r="M63" s="107" t="inlineStr">
        <is>
          <t>ARTICLE</t>
        </is>
      </c>
      <c r="N63" s="108" t="n">
        <v>0.116377529699719</v>
      </c>
      <c r="O63" s="108" t="n">
        <v>0.11686772678468</v>
      </c>
      <c r="P63" s="109" t="n">
        <v>5</v>
      </c>
      <c r="Q63" s="110" t="n">
        <v>88714</v>
      </c>
      <c r="R63" s="110" t="n">
        <v>46511.2741635311</v>
      </c>
      <c r="S63" s="110" t="n">
        <v>43362.7484607909</v>
      </c>
      <c r="T63" s="110" t="n">
        <v>178588.022624322</v>
      </c>
      <c r="U63" s="104" t="n">
        <v>39705</v>
      </c>
      <c r="V63" s="104" t="n">
        <v>28320</v>
      </c>
      <c r="W63" s="104">
        <f>$U63+$V63</f>
        <v/>
      </c>
      <c r="X63" s="111">
        <f>IFERROR(A63/Q63,0)</f>
        <v/>
      </c>
      <c r="Y63" s="111">
        <f>IFERROR(B63/T63,0)</f>
        <v/>
      </c>
      <c r="Z63" s="111">
        <f>IFERROR(C63/Q63,0)</f>
        <v/>
      </c>
      <c r="AA63" s="111">
        <f>IFERROR(D63/T63,0)</f>
        <v/>
      </c>
      <c r="AC63" s="111">
        <f>IF(T63&gt;0,IFERROR(E63/T63,0),1)</f>
        <v/>
      </c>
      <c r="AD63" s="111">
        <f>IF(Q63&gt;0,IFERROR(F63/Q63,0),1)</f>
        <v/>
      </c>
      <c r="AE63" s="111">
        <f>IF(AK63&gt;0,IFERROR(G63/AK63,0),1)</f>
        <v/>
      </c>
      <c r="AF63" s="111">
        <f>IF(AL63&gt;0,IFERROR(H63/AL63,0),1)</f>
        <v/>
      </c>
      <c r="AG63" s="104">
        <f>T63-(U63+AM63+AQ63)</f>
        <v/>
      </c>
      <c r="AH63" s="104">
        <f>Q63-(U63+AN63+AQ63)</f>
        <v/>
      </c>
      <c r="AI63" s="104">
        <f>(AK63-AO63)</f>
        <v/>
      </c>
      <c r="AJ63" s="104">
        <f>(AL63-AP63)</f>
        <v/>
      </c>
      <c r="AK63" s="110">
        <f>R63+AH63</f>
        <v/>
      </c>
      <c r="AL63" s="110">
        <f>S63+AI63</f>
        <v/>
      </c>
      <c r="AM63" s="104" t="n">
        <v>143054</v>
      </c>
      <c r="AN63" s="104" t="n">
        <v>45854</v>
      </c>
      <c r="AO63" s="104" t="n">
        <v>51600</v>
      </c>
      <c r="AP63" s="104" t="n">
        <v>45600</v>
      </c>
      <c r="AQ63" s="104" t="n">
        <v>0</v>
      </c>
      <c r="AR63" s="104" t="n"/>
      <c r="AS63" s="112" t="n"/>
    </row>
    <row r="64" ht="12.65" customHeight="1" s="79">
      <c r="A64" s="104">
        <f>MIN(U64,Q64)</f>
        <v/>
      </c>
      <c r="B64" s="104">
        <f>MIN(U64,T64)</f>
        <v/>
      </c>
      <c r="C64" s="104">
        <f>MIN(W64,Q64)</f>
        <v/>
      </c>
      <c r="D64" s="104">
        <f>MIN(W64,T64)</f>
        <v/>
      </c>
      <c r="E64" s="104">
        <f>MIN((U64+AM64+AQ64),T64)</f>
        <v/>
      </c>
      <c r="F64" s="104">
        <f>MAX(MIN((U64+AN64+AQ64),Q64),0)</f>
        <v/>
      </c>
      <c r="G64" s="104">
        <f>MAX(MIN(AO64,AK64),0)</f>
        <v/>
      </c>
      <c r="H64" s="104">
        <f>MAX(MIN(AP64,AL64),0)</f>
        <v/>
      </c>
      <c r="I64" s="105" t="inlineStr">
        <is>
          <t>MAHIMA VOHRA</t>
        </is>
      </c>
      <c r="J64" s="106" t="inlineStr">
        <is>
          <t>HOME FURNISHING</t>
        </is>
      </c>
      <c r="K64" s="107" t="inlineStr">
        <is>
          <t>HF_DRAWINGROOM FURNISHING</t>
        </is>
      </c>
      <c r="L64" s="107" t="inlineStr">
        <is>
          <t>HF_DF_CURTAIN</t>
        </is>
      </c>
      <c r="M64" s="107" t="inlineStr">
        <is>
          <t>ARTICLE</t>
        </is>
      </c>
      <c r="N64" s="108" t="n">
        <v>0.07319752932520859</v>
      </c>
      <c r="O64" s="108" t="n">
        <v>0.0593168915419977</v>
      </c>
      <c r="P64" s="109" t="n">
        <v>7</v>
      </c>
      <c r="Q64" s="110" t="n">
        <v>46176</v>
      </c>
      <c r="R64" s="110" t="n">
        <v>2904.33579450991</v>
      </c>
      <c r="S64" s="110" t="n">
        <v>4256.77728068315</v>
      </c>
      <c r="T64" s="110" t="n">
        <v>53337.1130751931</v>
      </c>
      <c r="U64" s="104" t="n">
        <v>22439</v>
      </c>
      <c r="V64" s="104" t="n">
        <v>11904</v>
      </c>
      <c r="W64" s="104">
        <f>$U64+$V64</f>
        <v/>
      </c>
      <c r="X64" s="111">
        <f>IFERROR(A64/Q64,0)</f>
        <v/>
      </c>
      <c r="Y64" s="111">
        <f>IFERROR(B64/T64,0)</f>
        <v/>
      </c>
      <c r="Z64" s="111">
        <f>IFERROR(C64/Q64,0)</f>
        <v/>
      </c>
      <c r="AA64" s="111">
        <f>IFERROR(D64/T64,0)</f>
        <v/>
      </c>
      <c r="AC64" s="111">
        <f>IF(T64&gt;0,IFERROR(E64/T64,0),1)</f>
        <v/>
      </c>
      <c r="AD64" s="111">
        <f>IF(Q64&gt;0,IFERROR(F64/Q64,0),1)</f>
        <v/>
      </c>
      <c r="AE64" s="111">
        <f>IF(AK64&gt;0,IFERROR(G64/AK64,0),1)</f>
        <v/>
      </c>
      <c r="AF64" s="111">
        <f>IF(AL64&gt;0,IFERROR(H64/AL64,0),1)</f>
        <v/>
      </c>
      <c r="AG64" s="104">
        <f>T64-(U64+AM64+AQ64)</f>
        <v/>
      </c>
      <c r="AH64" s="104">
        <f>Q64-(U64+AN64+AQ64)</f>
        <v/>
      </c>
      <c r="AI64" s="104">
        <f>(AK64-AO64)</f>
        <v/>
      </c>
      <c r="AJ64" s="104">
        <f>(AL64-AP64)</f>
        <v/>
      </c>
      <c r="AK64" s="110">
        <f>R64+AH64</f>
        <v/>
      </c>
      <c r="AL64" s="110">
        <f>S64+AI64</f>
        <v/>
      </c>
      <c r="AM64" s="104" t="n">
        <v>34297</v>
      </c>
      <c r="AN64" s="104" t="n">
        <v>34297</v>
      </c>
      <c r="AO64" s="104" t="n">
        <v>0</v>
      </c>
      <c r="AP64" s="104" t="n">
        <v>0</v>
      </c>
      <c r="AQ64" s="104" t="n">
        <v>0</v>
      </c>
      <c r="AR64" s="104" t="n"/>
      <c r="AS64" s="112" t="n"/>
    </row>
    <row r="65" ht="12.65" customHeight="1" s="79">
      <c r="A65" s="104">
        <f>MIN(U65,Q65)</f>
        <v/>
      </c>
      <c r="B65" s="104">
        <f>MIN(U65,T65)</f>
        <v/>
      </c>
      <c r="C65" s="104">
        <f>MIN(W65,Q65)</f>
        <v/>
      </c>
      <c r="D65" s="104">
        <f>MIN(W65,T65)</f>
        <v/>
      </c>
      <c r="E65" s="104">
        <f>MIN((U65+AM65+AQ65),T65)</f>
        <v/>
      </c>
      <c r="F65" s="104">
        <f>MAX(MIN((U65+AN65+AQ65),Q65),0)</f>
        <v/>
      </c>
      <c r="G65" s="104">
        <f>MAX(MIN(AO65,AK65),0)</f>
        <v/>
      </c>
      <c r="H65" s="104">
        <f>MAX(MIN(AP65,AL65),0)</f>
        <v/>
      </c>
      <c r="I65" s="105" t="inlineStr">
        <is>
          <t>MAHIMA VOHRA</t>
        </is>
      </c>
      <c r="J65" s="106" t="inlineStr">
        <is>
          <t>HOME FURNISHING</t>
        </is>
      </c>
      <c r="K65" s="107" t="inlineStr">
        <is>
          <t>HF_TOWEL LINEN</t>
        </is>
      </c>
      <c r="L65" s="107" t="inlineStr">
        <is>
          <t>HF_TL_BATH TOWEL</t>
        </is>
      </c>
      <c r="M65" s="107" t="inlineStr">
        <is>
          <t>ARTICLE</t>
        </is>
      </c>
      <c r="N65" s="108" t="n">
        <v>0.103847139190944</v>
      </c>
      <c r="O65" s="108" t="n">
        <v>0.08701654505526731</v>
      </c>
      <c r="P65" s="109" t="n">
        <v>9</v>
      </c>
      <c r="Q65" s="110" t="n">
        <v>38698</v>
      </c>
      <c r="R65" s="110" t="n">
        <v>25453.5983166609</v>
      </c>
      <c r="S65" s="110" t="n">
        <v>28618.1590847646</v>
      </c>
      <c r="T65" s="110" t="n">
        <v>92769.7574014256</v>
      </c>
      <c r="U65" s="104" t="n">
        <v>33966</v>
      </c>
      <c r="V65" s="104" t="n">
        <v>9900</v>
      </c>
      <c r="W65" s="104">
        <f>$U65+$V65</f>
        <v/>
      </c>
      <c r="X65" s="111">
        <f>IFERROR(A65/Q65,0)</f>
        <v/>
      </c>
      <c r="Y65" s="111">
        <f>IFERROR(B65/T65,0)</f>
        <v/>
      </c>
      <c r="Z65" s="111">
        <f>IFERROR(C65/Q65,0)</f>
        <v/>
      </c>
      <c r="AA65" s="111">
        <f>IFERROR(D65/T65,0)</f>
        <v/>
      </c>
      <c r="AC65" s="111">
        <f>IF(T65&gt;0,IFERROR(E65/T65,0),1)</f>
        <v/>
      </c>
      <c r="AD65" s="111">
        <f>IF(Q65&gt;0,IFERROR(F65/Q65,0),1)</f>
        <v/>
      </c>
      <c r="AE65" s="111">
        <f>IF(AK65&gt;0,IFERROR(G65/AK65,0),1)</f>
        <v/>
      </c>
      <c r="AF65" s="111">
        <f>IF(AL65&gt;0,IFERROR(H65/AL65,0),1)</f>
        <v/>
      </c>
      <c r="AG65" s="104">
        <f>T65-(U65+AM65+AQ65)</f>
        <v/>
      </c>
      <c r="AH65" s="104">
        <f>Q65-(U65+AN65+AQ65)</f>
        <v/>
      </c>
      <c r="AI65" s="104">
        <f>(AK65-AO65)</f>
        <v/>
      </c>
      <c r="AJ65" s="104">
        <f>(AL65-AP65)</f>
        <v/>
      </c>
      <c r="AK65" s="110">
        <f>R65+AH65</f>
        <v/>
      </c>
      <c r="AL65" s="110">
        <f>S65+AI65</f>
        <v/>
      </c>
      <c r="AM65" s="104" t="n">
        <v>29580</v>
      </c>
      <c r="AN65" s="104" t="n">
        <v>14940</v>
      </c>
      <c r="AO65" s="104" t="n">
        <v>9840</v>
      </c>
      <c r="AP65" s="104" t="n">
        <v>4800</v>
      </c>
      <c r="AQ65" s="104" t="n">
        <v>0</v>
      </c>
      <c r="AR65" s="104" t="n"/>
      <c r="AS65" s="112" t="n"/>
    </row>
    <row r="66" ht="12.65" customHeight="1" s="79">
      <c r="A66" s="104">
        <f>MIN(U66,Q66)</f>
        <v/>
      </c>
      <c r="B66" s="104">
        <f>MIN(U66,T66)</f>
        <v/>
      </c>
      <c r="C66" s="104">
        <f>MIN(W66,Q66)</f>
        <v/>
      </c>
      <c r="D66" s="104">
        <f>MIN(W66,T66)</f>
        <v/>
      </c>
      <c r="E66" s="104">
        <f>MIN((U66+AM66+AQ66),T66)</f>
        <v/>
      </c>
      <c r="F66" s="104">
        <f>MAX(MIN((U66+AN66+AQ66),Q66),0)</f>
        <v/>
      </c>
      <c r="G66" s="104">
        <f>MAX(MIN(AO66,AK66),0)</f>
        <v/>
      </c>
      <c r="H66" s="104">
        <f>MAX(MIN(AP66,AL66),0)</f>
        <v/>
      </c>
      <c r="I66" s="105" t="inlineStr">
        <is>
          <t>MAHIMA VOHRA</t>
        </is>
      </c>
      <c r="J66" s="106" t="inlineStr">
        <is>
          <t>HOME FURNISHING</t>
        </is>
      </c>
      <c r="K66" s="107" t="inlineStr">
        <is>
          <t>HF_TOWEL LINEN</t>
        </is>
      </c>
      <c r="L66" s="107" t="inlineStr">
        <is>
          <t>HF_TL_HAND TOWEL</t>
        </is>
      </c>
      <c r="M66" s="107" t="inlineStr">
        <is>
          <t>ARTICLE</t>
        </is>
      </c>
      <c r="N66" s="108" t="n">
        <v>0.0794241876019606</v>
      </c>
      <c r="O66" s="108" t="n">
        <v>0.101409698950342</v>
      </c>
      <c r="P66" s="109" t="n">
        <v>95</v>
      </c>
      <c r="Q66" s="110" t="n">
        <v>10225</v>
      </c>
      <c r="R66" s="110" t="n">
        <v>7020.17196225498</v>
      </c>
      <c r="S66" s="110" t="n">
        <v>9311.928652398999</v>
      </c>
      <c r="T66" s="110" t="n">
        <v>26557.100614654</v>
      </c>
      <c r="U66" s="104" t="n">
        <v>10800</v>
      </c>
      <c r="V66" s="104" t="n">
        <v>0</v>
      </c>
      <c r="W66" s="104">
        <f>$U66+$V66</f>
        <v/>
      </c>
      <c r="X66" s="111">
        <f>IFERROR(A66/Q66,0)</f>
        <v/>
      </c>
      <c r="Y66" s="111">
        <f>IFERROR(B66/T66,0)</f>
        <v/>
      </c>
      <c r="Z66" s="111">
        <f>IFERROR(C66/Q66,0)</f>
        <v/>
      </c>
      <c r="AA66" s="111">
        <f>IFERROR(D66/T66,0)</f>
        <v/>
      </c>
      <c r="AC66" s="111">
        <f>IF(T66&gt;0,IFERROR(E66/T66,0),1)</f>
        <v/>
      </c>
      <c r="AD66" s="111">
        <f>IF(Q66&gt;0,IFERROR(F66/Q66,0),1)</f>
        <v/>
      </c>
      <c r="AE66" s="111">
        <f>IF(AK66&gt;0,IFERROR(G66/AK66,0),1)</f>
        <v/>
      </c>
      <c r="AF66" s="111">
        <f>IF(AL66&gt;0,IFERROR(H66/AL66,0),1)</f>
        <v/>
      </c>
      <c r="AG66" s="104">
        <f>T66-(U66+AM66+AQ66)</f>
        <v/>
      </c>
      <c r="AH66" s="104">
        <f>Q66-(U66+AN66+AQ66)</f>
        <v/>
      </c>
      <c r="AI66" s="104">
        <f>(AK66-AO66)</f>
        <v/>
      </c>
      <c r="AJ66" s="104">
        <f>(AL66-AP66)</f>
        <v/>
      </c>
      <c r="AK66" s="110">
        <f>R66+AH66</f>
        <v/>
      </c>
      <c r="AL66" s="110">
        <f>S66+AI66</f>
        <v/>
      </c>
      <c r="AM66" s="104" t="n">
        <v>16800</v>
      </c>
      <c r="AN66" s="104" t="n">
        <v>0</v>
      </c>
      <c r="AO66" s="104" t="n">
        <v>7200</v>
      </c>
      <c r="AP66" s="104" t="n">
        <v>9600</v>
      </c>
      <c r="AQ66" s="104" t="n">
        <v>0</v>
      </c>
      <c r="AR66" s="104" t="n"/>
      <c r="AS66" s="112" t="n"/>
    </row>
    <row r="67" ht="12.65" customHeight="1" s="79">
      <c r="A67" s="104">
        <f>MIN(U67,Q67)</f>
        <v/>
      </c>
      <c r="B67" s="104">
        <f>MIN(U67,T67)</f>
        <v/>
      </c>
      <c r="C67" s="104">
        <f>MIN(W67,Q67)</f>
        <v/>
      </c>
      <c r="D67" s="104">
        <f>MIN(W67,T67)</f>
        <v/>
      </c>
      <c r="E67" s="104">
        <f>MIN((U67+AM67+AQ67),T67)</f>
        <v/>
      </c>
      <c r="F67" s="104">
        <f>MAX(MIN((U67+AN67+AQ67),Q67),0)</f>
        <v/>
      </c>
      <c r="G67" s="104">
        <f>MAX(MIN(AO67,AK67),0)</f>
        <v/>
      </c>
      <c r="H67" s="104">
        <f>MAX(MIN(AP67,AL67),0)</f>
        <v/>
      </c>
      <c r="I67" s="105" t="inlineStr">
        <is>
          <t>MAHIMA VOHRA</t>
        </is>
      </c>
      <c r="J67" s="106" t="inlineStr">
        <is>
          <t>HOME FURNISHING</t>
        </is>
      </c>
      <c r="K67" s="107" t="inlineStr">
        <is>
          <t>HF_TOWEL LINEN</t>
        </is>
      </c>
      <c r="L67" s="107" t="inlineStr">
        <is>
          <t>HF_TL_KITCHEN NAPKIN</t>
        </is>
      </c>
      <c r="M67" s="107" t="inlineStr">
        <is>
          <t>ARTICLE</t>
        </is>
      </c>
      <c r="N67" s="108" t="n">
        <v>0.07861821354831</v>
      </c>
      <c r="O67" s="108" t="n">
        <v>0.0737303954815824</v>
      </c>
      <c r="P67" s="109" t="n">
        <v>107</v>
      </c>
      <c r="Q67" s="110" t="n">
        <v>9525</v>
      </c>
      <c r="R67" s="110" t="n">
        <v>5966.45665345459</v>
      </c>
      <c r="S67" s="110" t="n">
        <v>6477.15471950923</v>
      </c>
      <c r="T67" s="110" t="n">
        <v>21968.6113729638</v>
      </c>
      <c r="U67" s="104" t="n">
        <v>8400</v>
      </c>
      <c r="V67" s="104" t="n">
        <v>0</v>
      </c>
      <c r="W67" s="104">
        <f>$U67+$V67</f>
        <v/>
      </c>
      <c r="X67" s="111">
        <f>IFERROR(A67/Q67,0)</f>
        <v/>
      </c>
      <c r="Y67" s="111">
        <f>IFERROR(B67/T67,0)</f>
        <v/>
      </c>
      <c r="Z67" s="111">
        <f>IFERROR(C67/Q67,0)</f>
        <v/>
      </c>
      <c r="AA67" s="111">
        <f>IFERROR(D67/T67,0)</f>
        <v/>
      </c>
      <c r="AC67" s="111">
        <f>IF(T67&gt;0,IFERROR(E67/T67,0),1)</f>
        <v/>
      </c>
      <c r="AD67" s="111">
        <f>IF(Q67&gt;0,IFERROR(F67/Q67,0),1)</f>
        <v/>
      </c>
      <c r="AE67" s="111">
        <f>IF(AK67&gt;0,IFERROR(G67/AK67,0),1)</f>
        <v/>
      </c>
      <c r="AF67" s="111">
        <f>IF(AL67&gt;0,IFERROR(H67/AL67,0),1)</f>
        <v/>
      </c>
      <c r="AG67" s="104">
        <f>T67-(U67+AM67+AQ67)</f>
        <v/>
      </c>
      <c r="AH67" s="104">
        <f>Q67-(U67+AN67+AQ67)</f>
        <v/>
      </c>
      <c r="AI67" s="104">
        <f>(AK67-AO67)</f>
        <v/>
      </c>
      <c r="AJ67" s="104">
        <f>(AL67-AP67)</f>
        <v/>
      </c>
      <c r="AK67" s="110">
        <f>R67+AH67</f>
        <v/>
      </c>
      <c r="AL67" s="110">
        <f>S67+AI67</f>
        <v/>
      </c>
      <c r="AM67" s="104" t="n">
        <v>15000</v>
      </c>
      <c r="AN67" s="104" t="n">
        <v>0</v>
      </c>
      <c r="AO67" s="104" t="n">
        <v>7200</v>
      </c>
      <c r="AP67" s="104" t="n">
        <v>7800</v>
      </c>
      <c r="AQ67" s="104" t="n">
        <v>0</v>
      </c>
      <c r="AR67" s="104" t="n"/>
      <c r="AS67" s="104" t="n"/>
    </row>
    <row r="68" ht="12.65" customHeight="1" s="79">
      <c r="A68" s="104">
        <f>MIN(U68,Q68)</f>
        <v/>
      </c>
      <c r="B68" s="104">
        <f>MIN(U68,T68)</f>
        <v/>
      </c>
      <c r="C68" s="104">
        <f>MIN(W68,Q68)</f>
        <v/>
      </c>
      <c r="D68" s="104">
        <f>MIN(W68,T68)</f>
        <v/>
      </c>
      <c r="E68" s="104">
        <f>MIN((U68+AM68+AQ68),T68)</f>
        <v/>
      </c>
      <c r="F68" s="104">
        <f>MAX(MIN((U68+AN68+AQ68),Q68),0)</f>
        <v/>
      </c>
      <c r="G68" s="104">
        <f>MAX(MIN(AO68,AK68),0)</f>
        <v/>
      </c>
      <c r="H68" s="104">
        <f>MAX(MIN(AP68,AL68),0)</f>
        <v/>
      </c>
      <c r="I68" s="105" t="inlineStr">
        <is>
          <t>MAHIMA VOHRA</t>
        </is>
      </c>
      <c r="J68" s="106" t="inlineStr">
        <is>
          <t>HOME FURNISHING</t>
        </is>
      </c>
      <c r="K68" s="107" t="inlineStr">
        <is>
          <t>HF_TOWEL LINEN</t>
        </is>
      </c>
      <c r="L68" s="107" t="inlineStr">
        <is>
          <t>HF_TL_FACE TOWEL</t>
        </is>
      </c>
      <c r="M68" s="107" t="inlineStr">
        <is>
          <t>ARTICLE</t>
        </is>
      </c>
      <c r="N68" s="108" t="n">
        <v>0.0647639566267342</v>
      </c>
      <c r="O68" s="108" t="n">
        <v>0.0645648528602332</v>
      </c>
      <c r="P68" s="109" t="n">
        <v>136</v>
      </c>
      <c r="Q68" s="110" t="n">
        <v>6575</v>
      </c>
      <c r="R68" s="110" t="n">
        <v>4086.54694080885</v>
      </c>
      <c r="S68" s="110" t="n">
        <v>3905.13227198795</v>
      </c>
      <c r="T68" s="110" t="n">
        <v>14566.6792127968</v>
      </c>
      <c r="U68" s="104" t="n">
        <v>3600</v>
      </c>
      <c r="V68" s="104" t="n">
        <v>4800</v>
      </c>
      <c r="W68" s="104">
        <f>$U68+$V68</f>
        <v/>
      </c>
      <c r="X68" s="111">
        <f>IFERROR(A68/Q68,0)</f>
        <v/>
      </c>
      <c r="Y68" s="111">
        <f>IFERROR(B68/T68,0)</f>
        <v/>
      </c>
      <c r="Z68" s="111">
        <f>IFERROR(C68/Q68,0)</f>
        <v/>
      </c>
      <c r="AA68" s="111">
        <f>IFERROR(D68/T68,0)</f>
        <v/>
      </c>
      <c r="AC68" s="111">
        <f>IF(T68&gt;0,IFERROR(E68/T68,0),1)</f>
        <v/>
      </c>
      <c r="AD68" s="111">
        <f>IF(Q68&gt;0,IFERROR(F68/Q68,0),1)</f>
        <v/>
      </c>
      <c r="AE68" s="111">
        <f>IF(AK68&gt;0,IFERROR(G68/AK68,0),1)</f>
        <v/>
      </c>
      <c r="AF68" s="111">
        <f>IF(AL68&gt;0,IFERROR(H68/AL68,0),1)</f>
        <v/>
      </c>
      <c r="AG68" s="104">
        <f>T68-(U68+AM68+AQ68)</f>
        <v/>
      </c>
      <c r="AH68" s="104">
        <f>Q68-(U68+AN68+AQ68)</f>
        <v/>
      </c>
      <c r="AI68" s="104">
        <f>(AK68-AO68)</f>
        <v/>
      </c>
      <c r="AJ68" s="104">
        <f>(AL68-AP68)</f>
        <v/>
      </c>
      <c r="AK68" s="110">
        <f>R68+AH68</f>
        <v/>
      </c>
      <c r="AL68" s="110">
        <f>S68+AI68</f>
        <v/>
      </c>
      <c r="AM68" s="104" t="n">
        <v>13200</v>
      </c>
      <c r="AN68" s="104" t="n">
        <v>4800</v>
      </c>
      <c r="AO68" s="104" t="n">
        <v>3600</v>
      </c>
      <c r="AP68" s="104" t="n">
        <v>4800</v>
      </c>
      <c r="AQ68" s="104" t="n">
        <v>0</v>
      </c>
      <c r="AR68" s="104" t="n"/>
      <c r="AS68" s="104" t="n"/>
    </row>
    <row r="69" ht="12.65" customHeight="1" s="79">
      <c r="A69" s="104">
        <f>MIN(U69,Q69)</f>
        <v/>
      </c>
      <c r="B69" s="104">
        <f>MIN(U69,T69)</f>
        <v/>
      </c>
      <c r="C69" s="104">
        <f>MIN(W69,Q69)</f>
        <v/>
      </c>
      <c r="D69" s="104">
        <f>MIN(W69,T69)</f>
        <v/>
      </c>
      <c r="E69" s="104">
        <f>MIN((U69+AM69+AQ69),T69)</f>
        <v/>
      </c>
      <c r="F69" s="104">
        <f>MAX(MIN((U69+AN69+AQ69),Q69),0)</f>
        <v/>
      </c>
      <c r="G69" s="104">
        <f>MAX(MIN(AO69,AK69),0)</f>
        <v/>
      </c>
      <c r="H69" s="104">
        <f>MAX(MIN(AP69,AL69),0)</f>
        <v/>
      </c>
      <c r="I69" s="105" t="inlineStr">
        <is>
          <t>MAHIMA VOHRA</t>
        </is>
      </c>
      <c r="J69" s="106" t="inlineStr">
        <is>
          <t>HOME FURNISHING</t>
        </is>
      </c>
      <c r="K69" s="107" t="inlineStr">
        <is>
          <t>HF_TOWEL LINEN</t>
        </is>
      </c>
      <c r="L69" s="107" t="inlineStr">
        <is>
          <t>HF_TL_BABY TOWEL</t>
        </is>
      </c>
      <c r="M69" s="107" t="inlineStr">
        <is>
          <t>ARTICLE</t>
        </is>
      </c>
      <c r="N69" s="108" t="n">
        <v>0.118857819019742</v>
      </c>
      <c r="O69" s="108" t="n">
        <v>0.118680961002502</v>
      </c>
      <c r="P69" s="109" t="n">
        <v>147</v>
      </c>
      <c r="Q69" s="110" t="n">
        <v>2977</v>
      </c>
      <c r="R69" s="110" t="n">
        <v>652.543473010621</v>
      </c>
      <c r="S69" s="110" t="n">
        <v>1112.0035602228</v>
      </c>
      <c r="T69" s="110" t="n">
        <v>4741.54703323342</v>
      </c>
      <c r="U69" s="104" t="n">
        <v>0</v>
      </c>
      <c r="V69" s="104" t="n">
        <v>0</v>
      </c>
      <c r="W69" s="104">
        <f>$U69+$V69</f>
        <v/>
      </c>
      <c r="X69" s="111">
        <f>IFERROR(A69/Q69,0)</f>
        <v/>
      </c>
      <c r="Y69" s="111">
        <f>IFERROR(B69/T69,0)</f>
        <v/>
      </c>
      <c r="Z69" s="111">
        <f>IFERROR(C69/Q69,0)</f>
        <v/>
      </c>
      <c r="AA69" s="111">
        <f>IFERROR(D69/T69,0)</f>
        <v/>
      </c>
      <c r="AC69" s="111">
        <f>IF(T69&gt;0,IFERROR(E69/T69,0),1)</f>
        <v/>
      </c>
      <c r="AD69" s="111">
        <f>IF(Q69&gt;0,IFERROR(F69/Q69,0),1)</f>
        <v/>
      </c>
      <c r="AE69" s="111">
        <f>IF(AK69&gt;0,IFERROR(G69/AK69,0),1)</f>
        <v/>
      </c>
      <c r="AF69" s="111">
        <f>IF(AL69&gt;0,IFERROR(H69/AL69,0),1)</f>
        <v/>
      </c>
      <c r="AG69" s="104">
        <f>T69-(U69+AM69+AQ69)</f>
        <v/>
      </c>
      <c r="AH69" s="104">
        <f>Q69-(U69+AN69+AQ69)</f>
        <v/>
      </c>
      <c r="AI69" s="104">
        <f>(AK69-AO69)</f>
        <v/>
      </c>
      <c r="AJ69" s="104">
        <f>(AL69-AP69)</f>
        <v/>
      </c>
      <c r="AK69" s="110">
        <f>R69+AH69</f>
        <v/>
      </c>
      <c r="AL69" s="110">
        <f>S69+AI69</f>
        <v/>
      </c>
      <c r="AM69" s="104" t="n">
        <v>3000</v>
      </c>
      <c r="AN69" s="104" t="n">
        <v>3000</v>
      </c>
      <c r="AO69" s="104" t="n">
        <v>0</v>
      </c>
      <c r="AP69" s="104" t="n">
        <v>0</v>
      </c>
      <c r="AQ69" s="104" t="n">
        <v>0</v>
      </c>
      <c r="AR69" s="104" t="n"/>
      <c r="AS69" s="104" t="n"/>
    </row>
    <row r="70" ht="12.65" customHeight="1" s="79">
      <c r="A70" s="104">
        <f>MIN(U70,Q70)</f>
        <v/>
      </c>
      <c r="B70" s="104">
        <f>MIN(U70,T70)</f>
        <v/>
      </c>
      <c r="C70" s="104">
        <f>MIN(W70,Q70)</f>
        <v/>
      </c>
      <c r="D70" s="104">
        <f>MIN(W70,T70)</f>
        <v/>
      </c>
      <c r="E70" s="104">
        <f>MIN((U70+AM70+AQ70),T70)</f>
        <v/>
      </c>
      <c r="F70" s="104">
        <f>MAX(MIN((U70+AN70+AQ70),Q70),0)</f>
        <v/>
      </c>
      <c r="G70" s="104">
        <f>MAX(MIN(AO70,AK70),0)</f>
        <v/>
      </c>
      <c r="H70" s="104">
        <f>MAX(MIN(AP70,AL70),0)</f>
        <v/>
      </c>
      <c r="I70" s="105" t="inlineStr">
        <is>
          <t>MAHIMA VOHRA</t>
        </is>
      </c>
      <c r="J70" s="106" t="inlineStr">
        <is>
          <t>NON FOOD</t>
        </is>
      </c>
      <c r="K70" s="107" t="inlineStr">
        <is>
          <t>NF_BEAUTY CARE</t>
        </is>
      </c>
      <c r="L70" s="107" t="inlineStr">
        <is>
          <t>NF_B_FACEWASH</t>
        </is>
      </c>
      <c r="M70" s="107" t="inlineStr">
        <is>
          <t>ARTICLE</t>
        </is>
      </c>
      <c r="N70" s="108" t="n">
        <v>0.106408346450791</v>
      </c>
      <c r="O70" s="108" t="n">
        <v>0.115803115456668</v>
      </c>
      <c r="P70" s="109" t="n">
        <v>23</v>
      </c>
      <c r="Q70" s="110" t="n">
        <v>44711</v>
      </c>
      <c r="R70" s="110" t="n">
        <v>13249.8566288849</v>
      </c>
      <c r="S70" s="110" t="n">
        <v>12088.543541477</v>
      </c>
      <c r="T70" s="110" t="n">
        <v>70049.4001703619</v>
      </c>
      <c r="U70" s="104" t="n">
        <v>29184</v>
      </c>
      <c r="V70" s="104" t="n">
        <v>0</v>
      </c>
      <c r="W70" s="104">
        <f>$U70+$V70</f>
        <v/>
      </c>
      <c r="X70" s="111">
        <f>IFERROR(A70/Q70,0)</f>
        <v/>
      </c>
      <c r="Y70" s="111">
        <f>IFERROR(B70/T70,0)</f>
        <v/>
      </c>
      <c r="Z70" s="111">
        <f>IFERROR(C70/Q70,0)</f>
        <v/>
      </c>
      <c r="AA70" s="111">
        <f>IFERROR(D70/T70,0)</f>
        <v/>
      </c>
      <c r="AC70" s="111">
        <f>IF(T70&gt;0,IFERROR(E70/T70,0),1)</f>
        <v/>
      </c>
      <c r="AD70" s="111">
        <f>IF(Q70&gt;0,IFERROR(F70/Q70,0),1)</f>
        <v/>
      </c>
      <c r="AE70" s="111">
        <f>IF(AK70&gt;0,IFERROR(G70/AK70,0),1)</f>
        <v/>
      </c>
      <c r="AF70" s="111">
        <f>IF(AL70&gt;0,IFERROR(H70/AL70,0),1)</f>
        <v/>
      </c>
      <c r="AG70" s="104">
        <f>T70-(U70+AM70+AQ70)</f>
        <v/>
      </c>
      <c r="AH70" s="104">
        <f>Q70-(U70+AN70+AQ70)</f>
        <v/>
      </c>
      <c r="AI70" s="104">
        <f>(AK70-AO70)</f>
        <v/>
      </c>
      <c r="AJ70" s="104">
        <f>(AL70-AP70)</f>
        <v/>
      </c>
      <c r="AK70" s="110">
        <f>R70+AH70</f>
        <v/>
      </c>
      <c r="AL70" s="110">
        <f>S70+AI70</f>
        <v/>
      </c>
      <c r="AM70" s="104" t="n">
        <v>37200</v>
      </c>
      <c r="AN70" s="104" t="n">
        <v>18000</v>
      </c>
      <c r="AO70" s="104" t="n">
        <v>9600</v>
      </c>
      <c r="AP70" s="104" t="n">
        <v>9600</v>
      </c>
      <c r="AQ70" s="104" t="n">
        <v>0</v>
      </c>
      <c r="AR70" s="104" t="n"/>
      <c r="AS70" s="112" t="n"/>
    </row>
    <row r="71" ht="12.65" customHeight="1" s="79">
      <c r="A71" s="104">
        <f>MIN(U71,Q71)</f>
        <v/>
      </c>
      <c r="B71" s="104">
        <f>MIN(U71,T71)</f>
        <v/>
      </c>
      <c r="C71" s="104">
        <f>MIN(W71,Q71)</f>
        <v/>
      </c>
      <c r="D71" s="104">
        <f>MIN(W71,T71)</f>
        <v/>
      </c>
      <c r="E71" s="104">
        <f>MIN((U71+AM71+AQ71),T71)</f>
        <v/>
      </c>
      <c r="F71" s="104">
        <f>MAX(MIN((U71+AN71+AQ71),Q71),0)</f>
        <v/>
      </c>
      <c r="G71" s="104">
        <f>MAX(MIN(AO71,AK71),0)</f>
        <v/>
      </c>
      <c r="H71" s="104">
        <f>MAX(MIN(AP71,AL71),0)</f>
        <v/>
      </c>
      <c r="I71" s="105" t="inlineStr">
        <is>
          <t>MAHIMA VOHRA</t>
        </is>
      </c>
      <c r="J71" s="106" t="inlineStr">
        <is>
          <t>NON FOOD</t>
        </is>
      </c>
      <c r="K71" s="107" t="inlineStr">
        <is>
          <t>NF_BEAUTY CARE</t>
        </is>
      </c>
      <c r="L71" s="107" t="inlineStr">
        <is>
          <t>NF_B_HANDWASH</t>
        </is>
      </c>
      <c r="M71" s="107" t="inlineStr">
        <is>
          <t>ARTICLE</t>
        </is>
      </c>
      <c r="N71" s="108" t="n">
        <v>0.136587164595671</v>
      </c>
      <c r="O71" s="108" t="n">
        <v>0.153180306176833</v>
      </c>
      <c r="P71" s="109" t="n">
        <v>48</v>
      </c>
      <c r="Q71" s="110" t="n">
        <v>14045</v>
      </c>
      <c r="R71" s="110" t="n">
        <v>10762.1118479349</v>
      </c>
      <c r="S71" s="110" t="n">
        <v>10296.7320187115</v>
      </c>
      <c r="T71" s="110" t="n">
        <v>35103.8438666464</v>
      </c>
      <c r="U71" s="104" t="n">
        <v>14560</v>
      </c>
      <c r="V71" s="104" t="n">
        <v>0</v>
      </c>
      <c r="W71" s="104">
        <f>$U71+$V71</f>
        <v/>
      </c>
      <c r="X71" s="111">
        <f>IFERROR(A71/Q71,0)</f>
        <v/>
      </c>
      <c r="Y71" s="111">
        <f>IFERROR(B71/T71,0)</f>
        <v/>
      </c>
      <c r="Z71" s="111">
        <f>IFERROR(C71/Q71,0)</f>
        <v/>
      </c>
      <c r="AA71" s="111">
        <f>IFERROR(D71/T71,0)</f>
        <v/>
      </c>
      <c r="AC71" s="111">
        <f>IF(T71&gt;0,IFERROR(E71/T71,0),1)</f>
        <v/>
      </c>
      <c r="AD71" s="111">
        <f>IF(Q71&gt;0,IFERROR(F71/Q71,0),1)</f>
        <v/>
      </c>
      <c r="AE71" s="111">
        <f>IF(AK71&gt;0,IFERROR(G71/AK71,0),1)</f>
        <v/>
      </c>
      <c r="AF71" s="111">
        <f>IF(AL71&gt;0,IFERROR(H71/AL71,0),1)</f>
        <v/>
      </c>
      <c r="AG71" s="104">
        <f>T71-(U71+AM71+AQ71)</f>
        <v/>
      </c>
      <c r="AH71" s="104">
        <f>Q71-(U71+AN71+AQ71)</f>
        <v/>
      </c>
      <c r="AI71" s="104">
        <f>(AK71-AO71)</f>
        <v/>
      </c>
      <c r="AJ71" s="104">
        <f>(AL71-AP71)</f>
        <v/>
      </c>
      <c r="AK71" s="110">
        <f>R71+AH71</f>
        <v/>
      </c>
      <c r="AL71" s="110">
        <f>S71+AI71</f>
        <v/>
      </c>
      <c r="AM71" s="104" t="n">
        <v>21792</v>
      </c>
      <c r="AN71" s="104" t="n">
        <v>0</v>
      </c>
      <c r="AO71" s="104" t="n">
        <v>11520</v>
      </c>
      <c r="AP71" s="104" t="n">
        <v>10272</v>
      </c>
      <c r="AQ71" s="104" t="n">
        <v>0</v>
      </c>
      <c r="AR71" s="104" t="n"/>
      <c r="AS71" s="104" t="n"/>
    </row>
    <row r="72" ht="12.65" customHeight="1" s="79">
      <c r="A72" s="104">
        <f>MIN(U72,Q72)</f>
        <v/>
      </c>
      <c r="B72" s="104">
        <f>MIN(U72,T72)</f>
        <v/>
      </c>
      <c r="C72" s="104">
        <f>MIN(W72,Q72)</f>
        <v/>
      </c>
      <c r="D72" s="104">
        <f>MIN(W72,T72)</f>
        <v/>
      </c>
      <c r="E72" s="104">
        <f>MIN((U72+AM72+AQ72),T72)</f>
        <v/>
      </c>
      <c r="F72" s="104">
        <f>MAX(MIN((U72+AN72+AQ72),Q72),0)</f>
        <v/>
      </c>
      <c r="G72" s="104">
        <f>MAX(MIN(AO72,AK72),0)</f>
        <v/>
      </c>
      <c r="H72" s="104">
        <f>MAX(MIN(AP72,AL72),0)</f>
        <v/>
      </c>
      <c r="I72" s="105" t="inlineStr">
        <is>
          <t>MAHIMA VOHRA</t>
        </is>
      </c>
      <c r="J72" s="106" t="inlineStr">
        <is>
          <t>NON FOOD</t>
        </is>
      </c>
      <c r="K72" s="107" t="inlineStr">
        <is>
          <t>NF_BEAUTY CARE</t>
        </is>
      </c>
      <c r="L72" s="107" t="inlineStr">
        <is>
          <t>NF_B_SHOWER GEL</t>
        </is>
      </c>
      <c r="M72" s="107" t="inlineStr">
        <is>
          <t>ARTICLE</t>
        </is>
      </c>
      <c r="N72" s="108" t="n">
        <v>0.149016440372976</v>
      </c>
      <c r="O72" s="108" t="n">
        <v>0.162218558938297</v>
      </c>
      <c r="P72" s="109" t="n">
        <v>100</v>
      </c>
      <c r="Q72" s="110" t="n">
        <v>13926</v>
      </c>
      <c r="R72" s="110" t="n">
        <v>7212.06625081871</v>
      </c>
      <c r="S72" s="110" t="n">
        <v>5596.57560091728</v>
      </c>
      <c r="T72" s="110" t="n">
        <v>26734.641851736</v>
      </c>
      <c r="U72" s="104" t="n">
        <v>0</v>
      </c>
      <c r="V72" s="104" t="n">
        <v>0</v>
      </c>
      <c r="W72" s="104">
        <f>$U72+$V72</f>
        <v/>
      </c>
      <c r="X72" s="111">
        <f>IFERROR(A72/Q72,0)</f>
        <v/>
      </c>
      <c r="Y72" s="111">
        <f>IFERROR(B72/T72,0)</f>
        <v/>
      </c>
      <c r="Z72" s="111">
        <f>IFERROR(C72/Q72,0)</f>
        <v/>
      </c>
      <c r="AA72" s="111">
        <f>IFERROR(D72/T72,0)</f>
        <v/>
      </c>
      <c r="AC72" s="111">
        <f>IF(T72&gt;0,IFERROR(E72/T72,0),1)</f>
        <v/>
      </c>
      <c r="AD72" s="111">
        <f>IF(Q72&gt;0,IFERROR(F72/Q72,0),1)</f>
        <v/>
      </c>
      <c r="AE72" s="111">
        <f>IF(AK72&gt;0,IFERROR(G72/AK72,0),1)</f>
        <v/>
      </c>
      <c r="AF72" s="111">
        <f>IF(AL72&gt;0,IFERROR(H72/AL72,0),1)</f>
        <v/>
      </c>
      <c r="AG72" s="104">
        <f>T72-(U72+AM72+AQ72)</f>
        <v/>
      </c>
      <c r="AH72" s="104">
        <f>Q72-(U72+AN72+AQ72)</f>
        <v/>
      </c>
      <c r="AI72" s="104">
        <f>(AK72-AO72)</f>
        <v/>
      </c>
      <c r="AJ72" s="104">
        <f>(AL72-AP72)</f>
        <v/>
      </c>
      <c r="AK72" s="110">
        <f>R72+AH72</f>
        <v/>
      </c>
      <c r="AL72" s="110">
        <f>S72+AI72</f>
        <v/>
      </c>
      <c r="AM72" s="104" t="n">
        <v>41880</v>
      </c>
      <c r="AN72" s="104" t="n">
        <v>41880</v>
      </c>
      <c r="AO72" s="104" t="n">
        <v>0</v>
      </c>
      <c r="AP72" s="104" t="n">
        <v>0</v>
      </c>
      <c r="AQ72" s="104" t="n">
        <v>0</v>
      </c>
      <c r="AR72" s="104" t="n"/>
      <c r="AS72" s="112" t="n"/>
    </row>
    <row r="73" ht="12.65" customHeight="1" s="79">
      <c r="A73" s="104">
        <f>MIN(U73,Q73)</f>
        <v/>
      </c>
      <c r="B73" s="104">
        <f>MIN(U73,T73)</f>
        <v/>
      </c>
      <c r="C73" s="104">
        <f>MIN(W73,Q73)</f>
        <v/>
      </c>
      <c r="D73" s="104">
        <f>MIN(W73,T73)</f>
        <v/>
      </c>
      <c r="E73" s="104">
        <f>MIN((U73+AM73+AQ73),T73)</f>
        <v/>
      </c>
      <c r="F73" s="104">
        <f>MAX(MIN((U73+AN73+AQ73),Q73),0)</f>
        <v/>
      </c>
      <c r="G73" s="104">
        <f>MAX(MIN(AO73,AK73),0)</f>
        <v/>
      </c>
      <c r="H73" s="104">
        <f>MAX(MIN(AP73,AL73),0)</f>
        <v/>
      </c>
      <c r="I73" s="105" t="inlineStr">
        <is>
          <t>MAHIMA VOHRA</t>
        </is>
      </c>
      <c r="J73" s="106" t="inlineStr">
        <is>
          <t>NON FOOD</t>
        </is>
      </c>
      <c r="K73" s="107" t="inlineStr">
        <is>
          <t>NF_BEAUTY CARE</t>
        </is>
      </c>
      <c r="L73" s="107" t="inlineStr">
        <is>
          <t>NF_B_SHAMPOO</t>
        </is>
      </c>
      <c r="M73" s="107" t="inlineStr">
        <is>
          <t>ARTICLE</t>
        </is>
      </c>
      <c r="N73" s="108" t="n">
        <v>0.0867228670897615</v>
      </c>
      <c r="O73" s="108" t="n">
        <v>0.0914126001349805</v>
      </c>
      <c r="P73" s="109" t="n">
        <v>84</v>
      </c>
      <c r="Q73" s="110" t="n">
        <v>5383</v>
      </c>
      <c r="R73" s="110" t="n">
        <v>753.748144995773</v>
      </c>
      <c r="S73" s="110" t="n">
        <v>516.899673846314</v>
      </c>
      <c r="T73" s="110" t="n">
        <v>6653.64781884209</v>
      </c>
      <c r="U73" s="104" t="n">
        <v>4290</v>
      </c>
      <c r="V73" s="104" t="n">
        <v>0</v>
      </c>
      <c r="W73" s="104">
        <f>$U73+$V73</f>
        <v/>
      </c>
      <c r="X73" s="111">
        <f>IFERROR(A73/Q73,0)</f>
        <v/>
      </c>
      <c r="Y73" s="111">
        <f>IFERROR(B73/T73,0)</f>
        <v/>
      </c>
      <c r="Z73" s="111">
        <f>IFERROR(C73/Q73,0)</f>
        <v/>
      </c>
      <c r="AA73" s="111">
        <f>IFERROR(D73/T73,0)</f>
        <v/>
      </c>
      <c r="AC73" s="111">
        <f>IF(T73&gt;0,IFERROR(E73/T73,0),1)</f>
        <v/>
      </c>
      <c r="AD73" s="111">
        <f>IF(Q73&gt;0,IFERROR(F73/Q73,0),1)</f>
        <v/>
      </c>
      <c r="AE73" s="111">
        <f>IF(AK73&gt;0,IFERROR(G73/AK73,0),1)</f>
        <v/>
      </c>
      <c r="AF73" s="111">
        <f>IF(AL73&gt;0,IFERROR(H73/AL73,0),1)</f>
        <v/>
      </c>
      <c r="AG73" s="104">
        <f>T73-(U73+AM73+AQ73)</f>
        <v/>
      </c>
      <c r="AH73" s="104">
        <f>Q73-(U73+AN73+AQ73)</f>
        <v/>
      </c>
      <c r="AI73" s="104">
        <f>(AK73-AO73)</f>
        <v/>
      </c>
      <c r="AJ73" s="104">
        <f>(AL73-AP73)</f>
        <v/>
      </c>
      <c r="AK73" s="110">
        <f>R73+AH73</f>
        <v/>
      </c>
      <c r="AL73" s="110">
        <f>S73+AI73</f>
        <v/>
      </c>
      <c r="AM73" s="104" t="n">
        <v>5520</v>
      </c>
      <c r="AN73" s="104" t="n">
        <v>5520</v>
      </c>
      <c r="AO73" s="104" t="n">
        <v>0</v>
      </c>
      <c r="AP73" s="104" t="n">
        <v>0</v>
      </c>
      <c r="AQ73" s="104" t="n">
        <v>0</v>
      </c>
      <c r="AR73" s="104" t="n"/>
      <c r="AS73" s="104" t="n"/>
    </row>
    <row r="74" ht="12.65" customHeight="1" s="79">
      <c r="A74" s="104">
        <f>MIN(U74,Q74)</f>
        <v/>
      </c>
      <c r="B74" s="104">
        <f>MIN(U74,T74)</f>
        <v/>
      </c>
      <c r="C74" s="104">
        <f>MIN(W74,Q74)</f>
        <v/>
      </c>
      <c r="D74" s="104">
        <f>MIN(W74,T74)</f>
        <v/>
      </c>
      <c r="E74" s="104">
        <f>MIN((U74+AM74+AQ74),T74)</f>
        <v/>
      </c>
      <c r="F74" s="104">
        <f>MAX(MIN((U74+AN74+AQ74),Q74),0)</f>
        <v/>
      </c>
      <c r="G74" s="104">
        <f>MAX(MIN(AO74,AK74),0)</f>
        <v/>
      </c>
      <c r="H74" s="104">
        <f>MAX(MIN(AP74,AL74),0)</f>
        <v/>
      </c>
      <c r="I74" s="105" t="inlineStr">
        <is>
          <t>MAHIMA VOHRA</t>
        </is>
      </c>
      <c r="J74" s="106" t="inlineStr">
        <is>
          <t>NON FOOD</t>
        </is>
      </c>
      <c r="K74" s="107" t="inlineStr">
        <is>
          <t>NF_BEAUTY CARE</t>
        </is>
      </c>
      <c r="L74" s="107" t="inlineStr">
        <is>
          <t>NF_B_SCRUB</t>
        </is>
      </c>
      <c r="M74" s="107" t="inlineStr">
        <is>
          <t>ARTICLE</t>
        </is>
      </c>
      <c r="N74" s="108" t="n">
        <v>0.0856688200646019</v>
      </c>
      <c r="O74" s="108" t="n">
        <v>0.0931816422877486</v>
      </c>
      <c r="P74" s="109" t="n">
        <v>173</v>
      </c>
      <c r="Q74" s="110" t="n">
        <v>914</v>
      </c>
      <c r="R74" s="110" t="n">
        <v>442.4443889336</v>
      </c>
      <c r="S74" s="110" t="n">
        <v>305.921982256769</v>
      </c>
      <c r="T74" s="110" t="n">
        <v>1662.36637119037</v>
      </c>
      <c r="U74" s="104" t="n">
        <v>0</v>
      </c>
      <c r="V74" s="104" t="n">
        <v>0</v>
      </c>
      <c r="W74" s="104">
        <f>$U74+$V74</f>
        <v/>
      </c>
      <c r="X74" s="111">
        <f>IFERROR(A74/Q74,0)</f>
        <v/>
      </c>
      <c r="Y74" s="111">
        <f>IFERROR(B74/T74,0)</f>
        <v/>
      </c>
      <c r="Z74" s="111">
        <f>IFERROR(C74/Q74,0)</f>
        <v/>
      </c>
      <c r="AA74" s="111">
        <f>IFERROR(D74/T74,0)</f>
        <v/>
      </c>
      <c r="AC74" s="111">
        <f>IF(T74&gt;0,IFERROR(E74/T74,0),1)</f>
        <v/>
      </c>
      <c r="AD74" s="111">
        <f>IF(Q74&gt;0,IFERROR(F74/Q74,0),1)</f>
        <v/>
      </c>
      <c r="AE74" s="111">
        <f>IF(AK74&gt;0,IFERROR(G74/AK74,0),1)</f>
        <v/>
      </c>
      <c r="AF74" s="111">
        <f>IF(AL74&gt;0,IFERROR(H74/AL74,0),1)</f>
        <v/>
      </c>
      <c r="AG74" s="104">
        <f>T74-(U74+AM74+AQ74)</f>
        <v/>
      </c>
      <c r="AH74" s="104">
        <f>Q74-(U74+AN74+AQ74)</f>
        <v/>
      </c>
      <c r="AI74" s="104">
        <f>(AK74-AO74)</f>
        <v/>
      </c>
      <c r="AJ74" s="104">
        <f>(AL74-AP74)</f>
        <v/>
      </c>
      <c r="AK74" s="110">
        <f>R74+AH74</f>
        <v/>
      </c>
      <c r="AL74" s="110">
        <f>S74+AI74</f>
        <v/>
      </c>
      <c r="AM74" s="104" t="n">
        <v>0</v>
      </c>
      <c r="AN74" s="104" t="n">
        <v>0</v>
      </c>
      <c r="AO74" s="104" t="n">
        <v>0</v>
      </c>
      <c r="AP74" s="104" t="n">
        <v>0</v>
      </c>
      <c r="AQ74" s="104" t="n">
        <v>0</v>
      </c>
      <c r="AR74" s="104" t="n"/>
      <c r="AS74" s="104" t="n"/>
    </row>
    <row r="75" ht="12.65" customHeight="1" s="79">
      <c r="A75" s="104">
        <f>MIN(U75,Q75)</f>
        <v/>
      </c>
      <c r="B75" s="104">
        <f>MIN(U75,T75)</f>
        <v/>
      </c>
      <c r="C75" s="104">
        <f>MIN(W75,Q75)</f>
        <v/>
      </c>
      <c r="D75" s="104">
        <f>MIN(W75,T75)</f>
        <v/>
      </c>
      <c r="E75" s="104">
        <f>MIN((U75+AM75+AQ75),T75)</f>
        <v/>
      </c>
      <c r="F75" s="104">
        <f>MAX(MIN((U75+AN75+AQ75),Q75),0)</f>
        <v/>
      </c>
      <c r="G75" s="104">
        <f>MAX(MIN(AO75,AK75),0)</f>
        <v/>
      </c>
      <c r="H75" s="104">
        <f>MAX(MIN(AP75,AL75),0)</f>
        <v/>
      </c>
      <c r="I75" s="105" t="inlineStr">
        <is>
          <t>MAHIMA VOHRA</t>
        </is>
      </c>
      <c r="J75" s="106" t="inlineStr">
        <is>
          <t>NON FOOD</t>
        </is>
      </c>
      <c r="K75" s="107" t="inlineStr">
        <is>
          <t>NF_BEAUTY CARE</t>
        </is>
      </c>
      <c r="L75" s="107" t="inlineStr">
        <is>
          <t>NF_B_SOAP</t>
        </is>
      </c>
      <c r="M75" s="107" t="inlineStr">
        <is>
          <t>ARTICLE</t>
        </is>
      </c>
      <c r="N75" s="108" t="n">
        <v>0.0946371974543712</v>
      </c>
      <c r="O75" s="108" t="n">
        <v>0.1119143401591</v>
      </c>
      <c r="P75" s="109" t="n">
        <v>150</v>
      </c>
      <c r="Q75" s="110" t="n">
        <v>104</v>
      </c>
      <c r="R75" s="110" t="n">
        <v>108.14240063069</v>
      </c>
      <c r="S75" s="110" t="n">
        <v>333.151607207414</v>
      </c>
      <c r="T75" s="110" t="n">
        <v>545.294007838104</v>
      </c>
      <c r="U75" s="104" t="n">
        <v>0</v>
      </c>
      <c r="V75" s="104" t="n">
        <v>0</v>
      </c>
      <c r="W75" s="104">
        <f>$U75+$V75</f>
        <v/>
      </c>
      <c r="X75" s="111">
        <f>IFERROR(A75/Q75,0)</f>
        <v/>
      </c>
      <c r="Y75" s="111">
        <f>IFERROR(B75/T75,0)</f>
        <v/>
      </c>
      <c r="Z75" s="111">
        <f>IFERROR(C75/Q75,0)</f>
        <v/>
      </c>
      <c r="AA75" s="111">
        <f>IFERROR(D75/T75,0)</f>
        <v/>
      </c>
      <c r="AC75" s="111">
        <f>IF(T75&gt;0,IFERROR(E75/T75,0),1)</f>
        <v/>
      </c>
      <c r="AD75" s="111">
        <f>IF(Q75&gt;0,IFERROR(F75/Q75,0),1)</f>
        <v/>
      </c>
      <c r="AE75" s="111">
        <f>IF(AK75&gt;0,IFERROR(G75/AK75,0),1)</f>
        <v/>
      </c>
      <c r="AF75" s="111">
        <f>IF(AL75&gt;0,IFERROR(H75/AL75,0),1)</f>
        <v/>
      </c>
      <c r="AG75" s="104">
        <f>T75-(U75+AM75+AQ75)</f>
        <v/>
      </c>
      <c r="AH75" s="104">
        <f>Q75-(U75+AN75+AQ75)</f>
        <v/>
      </c>
      <c r="AI75" s="104">
        <f>(AK75-AO75)</f>
        <v/>
      </c>
      <c r="AJ75" s="104">
        <f>(AL75-AP75)</f>
        <v/>
      </c>
      <c r="AK75" s="110">
        <f>R75+AH75</f>
        <v/>
      </c>
      <c r="AL75" s="110">
        <f>S75+AI75</f>
        <v/>
      </c>
      <c r="AM75" s="104" t="n">
        <v>0</v>
      </c>
      <c r="AN75" s="104" t="n">
        <v>0</v>
      </c>
      <c r="AO75" s="104" t="n">
        <v>0</v>
      </c>
      <c r="AP75" s="104" t="n">
        <v>0</v>
      </c>
      <c r="AQ75" s="104" t="n">
        <v>0</v>
      </c>
      <c r="AR75" s="104" t="n"/>
      <c r="AS75" s="104" t="n"/>
    </row>
    <row r="76" ht="12.65" customHeight="1" s="79">
      <c r="A76" s="104">
        <f>MIN(U76,Q76)</f>
        <v/>
      </c>
      <c r="B76" s="104">
        <f>MIN(U76,T76)</f>
        <v/>
      </c>
      <c r="C76" s="104">
        <f>MIN(W76,Q76)</f>
        <v/>
      </c>
      <c r="D76" s="104">
        <f>MIN(W76,T76)</f>
        <v/>
      </c>
      <c r="E76" s="104">
        <f>MIN((U76+AM76+AQ76),T76)</f>
        <v/>
      </c>
      <c r="F76" s="104">
        <f>MAX(MIN((U76+AN76+AQ76),Q76),0)</f>
        <v/>
      </c>
      <c r="G76" s="104">
        <f>MAX(MIN(AO76,AK76),0)</f>
        <v/>
      </c>
      <c r="H76" s="104">
        <f>MAX(MIN(AP76,AL76),0)</f>
        <v/>
      </c>
      <c r="I76" s="105" t="inlineStr">
        <is>
          <t>MAHIMA VOHRA</t>
        </is>
      </c>
      <c r="J76" s="106" t="inlineStr">
        <is>
          <t>NON FOOD</t>
        </is>
      </c>
      <c r="K76" s="107" t="inlineStr">
        <is>
          <t>NF_BEAUTY CARE</t>
        </is>
      </c>
      <c r="L76" s="107" t="inlineStr">
        <is>
          <t>NF_B_SUNSCREEN</t>
        </is>
      </c>
      <c r="M76" s="107" t="inlineStr">
        <is>
          <t>ARTICLE</t>
        </is>
      </c>
      <c r="N76" s="108" t="n">
        <v>0.0889813069941733</v>
      </c>
      <c r="O76" s="108" t="n">
        <v>0.0523328720920176</v>
      </c>
      <c r="P76" s="109" t="n">
        <v>179</v>
      </c>
      <c r="Q76" s="110" t="n">
        <v>0</v>
      </c>
      <c r="R76" s="110" t="n">
        <v>0</v>
      </c>
      <c r="S76" s="110" t="n">
        <v>0</v>
      </c>
      <c r="T76" s="110" t="n">
        <v>0</v>
      </c>
      <c r="U76" s="104" t="n">
        <v>0</v>
      </c>
      <c r="V76" s="104" t="n">
        <v>0</v>
      </c>
      <c r="W76" s="104">
        <f>$U76+$V76</f>
        <v/>
      </c>
      <c r="X76" s="111">
        <f>IFERROR(A76/Q76,0)</f>
        <v/>
      </c>
      <c r="Y76" s="111">
        <f>IFERROR(B76/T76,0)</f>
        <v/>
      </c>
      <c r="Z76" s="111">
        <f>IFERROR(C76/Q76,0)</f>
        <v/>
      </c>
      <c r="AA76" s="111">
        <f>IFERROR(D76/T76,0)</f>
        <v/>
      </c>
      <c r="AC76" s="111">
        <f>IF(T76&gt;0,IFERROR(E76/T76,0),1)</f>
        <v/>
      </c>
      <c r="AD76" s="111">
        <f>IF(Q76&gt;0,IFERROR(F76/Q76,0),1)</f>
        <v/>
      </c>
      <c r="AE76" s="111">
        <f>IF(AK76&gt;0,IFERROR(G76/AK76,0),1)</f>
        <v/>
      </c>
      <c r="AF76" s="111">
        <f>IF(AL76&gt;0,IFERROR(H76/AL76,0),1)</f>
        <v/>
      </c>
      <c r="AG76" s="104">
        <f>T76-(U76+AM76+AQ76)</f>
        <v/>
      </c>
      <c r="AH76" s="104">
        <f>Q76-(U76+AN76+AQ76)</f>
        <v/>
      </c>
      <c r="AI76" s="104">
        <f>(AK76-AO76)</f>
        <v/>
      </c>
      <c r="AJ76" s="104">
        <f>(AL76-AP76)</f>
        <v/>
      </c>
      <c r="AK76" s="110">
        <f>R76+AH76</f>
        <v/>
      </c>
      <c r="AL76" s="110">
        <f>S76+AI76</f>
        <v/>
      </c>
      <c r="AM76" s="104" t="n">
        <v>0</v>
      </c>
      <c r="AN76" s="104" t="n">
        <v>0</v>
      </c>
      <c r="AO76" s="104" t="n">
        <v>0</v>
      </c>
      <c r="AP76" s="104" t="n">
        <v>0</v>
      </c>
      <c r="AQ76" s="104" t="n">
        <v>0</v>
      </c>
      <c r="AR76" s="104" t="n"/>
      <c r="AS76" s="104" t="n"/>
    </row>
    <row r="77" ht="12.65" customHeight="1" s="79">
      <c r="A77" s="104">
        <f>MIN(U77,Q77)</f>
        <v/>
      </c>
      <c r="B77" s="104">
        <f>MIN(U77,T77)</f>
        <v/>
      </c>
      <c r="C77" s="104">
        <f>MIN(W77,Q77)</f>
        <v/>
      </c>
      <c r="D77" s="104">
        <f>MIN(W77,T77)</f>
        <v/>
      </c>
      <c r="E77" s="104">
        <f>MIN((U77+AM77+AQ77),T77)</f>
        <v/>
      </c>
      <c r="F77" s="104">
        <f>MAX(MIN((U77+AN77+AQ77),Q77),0)</f>
        <v/>
      </c>
      <c r="G77" s="104">
        <f>MAX(MIN(AO77,AK77),0)</f>
        <v/>
      </c>
      <c r="H77" s="104">
        <f>MAX(MIN(AP77,AL77),0)</f>
        <v/>
      </c>
      <c r="I77" s="105" t="inlineStr">
        <is>
          <t>MAHIMA VOHRA</t>
        </is>
      </c>
      <c r="J77" s="106" t="inlineStr">
        <is>
          <t>NON FOOD</t>
        </is>
      </c>
      <c r="K77" s="107" t="inlineStr">
        <is>
          <t>NF_CLEANING AIDS</t>
        </is>
      </c>
      <c r="L77" s="107" t="inlineStr">
        <is>
          <t>NF_C_FLOOR CLEANER</t>
        </is>
      </c>
      <c r="M77" s="107" t="inlineStr">
        <is>
          <t>ARTICLE</t>
        </is>
      </c>
      <c r="N77" s="108" t="n">
        <v>0.188821269451798</v>
      </c>
      <c r="O77" s="108" t="n">
        <v>0.188729478536622</v>
      </c>
      <c r="P77" s="109" t="n">
        <v>22</v>
      </c>
      <c r="Q77" s="110" t="n">
        <v>55525</v>
      </c>
      <c r="R77" s="110" t="n">
        <v>17880.6811881914</v>
      </c>
      <c r="S77" s="110" t="n">
        <v>14006.3021123342</v>
      </c>
      <c r="T77" s="110" t="n">
        <v>87411.98330052559</v>
      </c>
      <c r="U77" s="104" t="n">
        <v>7200</v>
      </c>
      <c r="V77" s="104" t="n">
        <v>5600</v>
      </c>
      <c r="W77" s="104">
        <f>$U77+$V77</f>
        <v/>
      </c>
      <c r="X77" s="111">
        <f>IFERROR(A77/Q77,0)</f>
        <v/>
      </c>
      <c r="Y77" s="111">
        <f>IFERROR(B77/T77,0)</f>
        <v/>
      </c>
      <c r="Z77" s="111">
        <f>IFERROR(C77/Q77,0)</f>
        <v/>
      </c>
      <c r="AA77" s="111">
        <f>IFERROR(D77/T77,0)</f>
        <v/>
      </c>
      <c r="AC77" s="111">
        <f>IF(T77&gt;0,IFERROR(E77/T77,0),1)</f>
        <v/>
      </c>
      <c r="AD77" s="111">
        <f>IF(Q77&gt;0,IFERROR(F77/Q77,0),1)</f>
        <v/>
      </c>
      <c r="AE77" s="111">
        <f>IF(AK77&gt;0,IFERROR(G77/AK77,0),1)</f>
        <v/>
      </c>
      <c r="AF77" s="111">
        <f>IF(AL77&gt;0,IFERROR(H77/AL77,0),1)</f>
        <v/>
      </c>
      <c r="AG77" s="104">
        <f>T77-(U77+AM77+AQ77)</f>
        <v/>
      </c>
      <c r="AH77" s="104">
        <f>Q77-(U77+AN77+AQ77)</f>
        <v/>
      </c>
      <c r="AI77" s="104">
        <f>(AK77-AO77)</f>
        <v/>
      </c>
      <c r="AJ77" s="104">
        <f>(AL77-AP77)</f>
        <v/>
      </c>
      <c r="AK77" s="110">
        <f>R77+AH77</f>
        <v/>
      </c>
      <c r="AL77" s="110">
        <f>S77+AI77</f>
        <v/>
      </c>
      <c r="AM77" s="104" t="n">
        <v>107736</v>
      </c>
      <c r="AN77" s="104" t="n">
        <v>48000</v>
      </c>
      <c r="AO77" s="104" t="n">
        <v>31200</v>
      </c>
      <c r="AP77" s="104" t="n">
        <v>28536</v>
      </c>
      <c r="AQ77" s="104" t="n">
        <v>0</v>
      </c>
      <c r="AR77" s="104" t="n"/>
      <c r="AS77" s="112" t="n"/>
    </row>
    <row r="78" ht="12.65" customHeight="1" s="79">
      <c r="A78" s="104">
        <f>MIN(U78,Q78)</f>
        <v/>
      </c>
      <c r="B78" s="104">
        <f>MIN(U78,T78)</f>
        <v/>
      </c>
      <c r="C78" s="104">
        <f>MIN(W78,Q78)</f>
        <v/>
      </c>
      <c r="D78" s="104">
        <f>MIN(W78,T78)</f>
        <v/>
      </c>
      <c r="E78" s="104">
        <f>MIN((U78+AM78+AQ78),T78)</f>
        <v/>
      </c>
      <c r="F78" s="104">
        <f>MAX(MIN((U78+AN78+AQ78),Q78),0)</f>
        <v/>
      </c>
      <c r="G78" s="104">
        <f>MAX(MIN(AO78,AK78),0)</f>
        <v/>
      </c>
      <c r="H78" s="104">
        <f>MAX(MIN(AP78,AL78),0)</f>
        <v/>
      </c>
      <c r="I78" s="105" t="inlineStr">
        <is>
          <t>MAHIMA VOHRA</t>
        </is>
      </c>
      <c r="J78" s="106" t="inlineStr">
        <is>
          <t>NON FOOD</t>
        </is>
      </c>
      <c r="K78" s="107" t="inlineStr">
        <is>
          <t>NF_CLEANING AIDS</t>
        </is>
      </c>
      <c r="L78" s="107" t="inlineStr">
        <is>
          <t>NF_C_TOILET CLEANER</t>
        </is>
      </c>
      <c r="M78" s="107" t="inlineStr">
        <is>
          <t>ARTICLE</t>
        </is>
      </c>
      <c r="N78" s="108" t="n">
        <v>0.145618046454563</v>
      </c>
      <c r="O78" s="108" t="n">
        <v>0.158878121566891</v>
      </c>
      <c r="P78" s="109" t="n">
        <v>34</v>
      </c>
      <c r="Q78" s="110" t="n">
        <v>23311</v>
      </c>
      <c r="R78" s="110" t="n">
        <v>12339.7571870003</v>
      </c>
      <c r="S78" s="110" t="n">
        <v>10637.5522435966</v>
      </c>
      <c r="T78" s="110" t="n">
        <v>46288.3094305969</v>
      </c>
      <c r="U78" s="104" t="n">
        <v>4200</v>
      </c>
      <c r="V78" s="104" t="n">
        <v>20400</v>
      </c>
      <c r="W78" s="104">
        <f>$U78+$V78</f>
        <v/>
      </c>
      <c r="X78" s="111">
        <f>IFERROR(A78/Q78,0)</f>
        <v/>
      </c>
      <c r="Y78" s="111">
        <f>IFERROR(B78/T78,0)</f>
        <v/>
      </c>
      <c r="Z78" s="111">
        <f>IFERROR(C78/Q78,0)</f>
        <v/>
      </c>
      <c r="AA78" s="111">
        <f>IFERROR(D78/T78,0)</f>
        <v/>
      </c>
      <c r="AC78" s="111">
        <f>IF(T78&gt;0,IFERROR(E78/T78,0),1)</f>
        <v/>
      </c>
      <c r="AD78" s="111">
        <f>IF(Q78&gt;0,IFERROR(F78/Q78,0),1)</f>
        <v/>
      </c>
      <c r="AE78" s="111">
        <f>IF(AK78&gt;0,IFERROR(G78/AK78,0),1)</f>
        <v/>
      </c>
      <c r="AF78" s="111">
        <f>IF(AL78&gt;0,IFERROR(H78/AL78,0),1)</f>
        <v/>
      </c>
      <c r="AG78" s="104">
        <f>T78-(U78+AM78+AQ78)</f>
        <v/>
      </c>
      <c r="AH78" s="104">
        <f>Q78-(U78+AN78+AQ78)</f>
        <v/>
      </c>
      <c r="AI78" s="104">
        <f>(AK78-AO78)</f>
        <v/>
      </c>
      <c r="AJ78" s="104">
        <f>(AL78-AP78)</f>
        <v/>
      </c>
      <c r="AK78" s="110">
        <f>R78+AH78</f>
        <v/>
      </c>
      <c r="AL78" s="110">
        <f>S78+AI78</f>
        <v/>
      </c>
      <c r="AM78" s="104" t="n">
        <v>63000</v>
      </c>
      <c r="AN78" s="104" t="n">
        <v>21400</v>
      </c>
      <c r="AO78" s="104" t="n">
        <v>20800</v>
      </c>
      <c r="AP78" s="104" t="n">
        <v>20800</v>
      </c>
      <c r="AQ78" s="104" t="n">
        <v>0</v>
      </c>
      <c r="AR78" s="104" t="n"/>
      <c r="AS78" s="112" t="n"/>
    </row>
    <row r="79" ht="12.65" customHeight="1" s="79">
      <c r="A79" s="104">
        <f>MIN(U79,Q79)</f>
        <v/>
      </c>
      <c r="B79" s="104">
        <f>MIN(U79,T79)</f>
        <v/>
      </c>
      <c r="C79" s="104">
        <f>MIN(W79,Q79)</f>
        <v/>
      </c>
      <c r="D79" s="104">
        <f>MIN(W79,T79)</f>
        <v/>
      </c>
      <c r="E79" s="104">
        <f>MIN((U79+AM79+AQ79),T79)</f>
        <v/>
      </c>
      <c r="F79" s="104">
        <f>MAX(MIN((U79+AN79+AQ79),Q79),0)</f>
        <v/>
      </c>
      <c r="G79" s="104">
        <f>MAX(MIN(AO79,AK79),0)</f>
        <v/>
      </c>
      <c r="H79" s="104">
        <f>MAX(MIN(AP79,AL79),0)</f>
        <v/>
      </c>
      <c r="I79" s="105" t="inlineStr">
        <is>
          <t>MAHIMA VOHRA</t>
        </is>
      </c>
      <c r="J79" s="106" t="inlineStr">
        <is>
          <t>NON FOOD</t>
        </is>
      </c>
      <c r="K79" s="107" t="inlineStr">
        <is>
          <t>NF_CLEANING AIDS</t>
        </is>
      </c>
      <c r="L79" s="107" t="inlineStr">
        <is>
          <t>NF_C_GLASS CLEANER</t>
        </is>
      </c>
      <c r="M79" s="107" t="inlineStr">
        <is>
          <t>ARTICLE</t>
        </is>
      </c>
      <c r="N79" s="108" t="n">
        <v>0.132524367144017</v>
      </c>
      <c r="O79" s="108" t="n">
        <v>0.1544965718512</v>
      </c>
      <c r="P79" s="109" t="n">
        <v>101</v>
      </c>
      <c r="Q79" s="110" t="n">
        <v>8575</v>
      </c>
      <c r="R79" s="110" t="n">
        <v>1647.50337951118</v>
      </c>
      <c r="S79" s="110" t="n">
        <v>2631.03664338603</v>
      </c>
      <c r="T79" s="110" t="n">
        <v>12853.5400228972</v>
      </c>
      <c r="U79" s="104" t="n">
        <v>7558</v>
      </c>
      <c r="V79" s="104" t="n">
        <v>0</v>
      </c>
      <c r="W79" s="104">
        <f>$U79+$V79</f>
        <v/>
      </c>
      <c r="X79" s="111">
        <f>IFERROR(A79/Q79,0)</f>
        <v/>
      </c>
      <c r="Y79" s="111">
        <f>IFERROR(B79/T79,0)</f>
        <v/>
      </c>
      <c r="Z79" s="111">
        <f>IFERROR(C79/Q79,0)</f>
        <v/>
      </c>
      <c r="AA79" s="111">
        <f>IFERROR(D79/T79,0)</f>
        <v/>
      </c>
      <c r="AC79" s="111">
        <f>IF(T79&gt;0,IFERROR(E79/T79,0),1)</f>
        <v/>
      </c>
      <c r="AD79" s="111">
        <f>IF(Q79&gt;0,IFERROR(F79/Q79,0),1)</f>
        <v/>
      </c>
      <c r="AE79" s="111">
        <f>IF(AK79&gt;0,IFERROR(G79/AK79,0),1)</f>
        <v/>
      </c>
      <c r="AF79" s="111">
        <f>IF(AL79&gt;0,IFERROR(H79/AL79,0),1)</f>
        <v/>
      </c>
      <c r="AG79" s="104">
        <f>T79-(U79+AM79+AQ79)</f>
        <v/>
      </c>
      <c r="AH79" s="104">
        <f>Q79-(U79+AN79+AQ79)</f>
        <v/>
      </c>
      <c r="AI79" s="104">
        <f>(AK79-AO79)</f>
        <v/>
      </c>
      <c r="AJ79" s="104">
        <f>(AL79-AP79)</f>
        <v/>
      </c>
      <c r="AK79" s="110">
        <f>R79+AH79</f>
        <v/>
      </c>
      <c r="AL79" s="110">
        <f>S79+AI79</f>
        <v/>
      </c>
      <c r="AM79" s="104" t="n">
        <v>33000</v>
      </c>
      <c r="AN79" s="104" t="n">
        <v>7200</v>
      </c>
      <c r="AO79" s="104" t="n">
        <v>12600</v>
      </c>
      <c r="AP79" s="104" t="n">
        <v>13200</v>
      </c>
      <c r="AQ79" s="104" t="n">
        <v>0</v>
      </c>
      <c r="AR79" s="104" t="n"/>
      <c r="AS79" s="112" t="n"/>
    </row>
    <row r="80" ht="12.65" customHeight="1" s="79">
      <c r="A80" s="104">
        <f>MIN(U80,Q80)</f>
        <v/>
      </c>
      <c r="B80" s="104">
        <f>MIN(U80,T80)</f>
        <v/>
      </c>
      <c r="C80" s="104">
        <f>MIN(W80,Q80)</f>
        <v/>
      </c>
      <c r="D80" s="104">
        <f>MIN(W80,T80)</f>
        <v/>
      </c>
      <c r="E80" s="104">
        <f>MIN((U80+AM80+AQ80),T80)</f>
        <v/>
      </c>
      <c r="F80" s="104">
        <f>MAX(MIN((U80+AN80+AQ80),Q80),0)</f>
        <v/>
      </c>
      <c r="G80" s="104">
        <f>MAX(MIN(AO80,AK80),0)</f>
        <v/>
      </c>
      <c r="H80" s="104">
        <f>MAX(MIN(AP80,AL80),0)</f>
        <v/>
      </c>
      <c r="I80" s="105" t="inlineStr">
        <is>
          <t>MAHIMA VOHRA</t>
        </is>
      </c>
      <c r="J80" s="106" t="inlineStr">
        <is>
          <t>NON FOOD</t>
        </is>
      </c>
      <c r="K80" s="107" t="inlineStr">
        <is>
          <t>NF_CLEANING AIDS</t>
        </is>
      </c>
      <c r="L80" s="107" t="inlineStr">
        <is>
          <t>NF_C_BATHROOM CLEANER</t>
        </is>
      </c>
      <c r="M80" s="107" t="inlineStr">
        <is>
          <t>ARTICLE</t>
        </is>
      </c>
      <c r="N80" s="108" t="n">
        <v>0.119573975592962</v>
      </c>
      <c r="O80" s="108" t="n">
        <v>0.118107192396025</v>
      </c>
      <c r="P80" s="109" t="n">
        <v>108</v>
      </c>
      <c r="Q80" s="110" t="n">
        <v>4717</v>
      </c>
      <c r="R80" s="110" t="n">
        <v>3936.03875031193</v>
      </c>
      <c r="S80" s="110" t="n">
        <v>3543.32055738945</v>
      </c>
      <c r="T80" s="110" t="n">
        <v>12196.3593077014</v>
      </c>
      <c r="U80" s="104" t="n">
        <v>8400</v>
      </c>
      <c r="V80" s="104" t="n">
        <v>0</v>
      </c>
      <c r="W80" s="104">
        <f>$U80+$V80</f>
        <v/>
      </c>
      <c r="X80" s="111">
        <f>IFERROR(A80/Q80,0)</f>
        <v/>
      </c>
      <c r="Y80" s="111">
        <f>IFERROR(B80/T80,0)</f>
        <v/>
      </c>
      <c r="Z80" s="111">
        <f>IFERROR(C80/Q80,0)</f>
        <v/>
      </c>
      <c r="AA80" s="111">
        <f>IFERROR(D80/T80,0)</f>
        <v/>
      </c>
      <c r="AC80" s="111">
        <f>IF(T80&gt;0,IFERROR(E80/T80,0),1)</f>
        <v/>
      </c>
      <c r="AD80" s="111">
        <f>IF(Q80&gt;0,IFERROR(F80/Q80,0),1)</f>
        <v/>
      </c>
      <c r="AE80" s="111">
        <f>IF(AK80&gt;0,IFERROR(G80/AK80,0),1)</f>
        <v/>
      </c>
      <c r="AF80" s="111">
        <f>IF(AL80&gt;0,IFERROR(H80/AL80,0),1)</f>
        <v/>
      </c>
      <c r="AG80" s="104">
        <f>T80-(U80+AM80+AQ80)</f>
        <v/>
      </c>
      <c r="AH80" s="104">
        <f>Q80-(U80+AN80+AQ80)</f>
        <v/>
      </c>
      <c r="AI80" s="104">
        <f>(AK80-AO80)</f>
        <v/>
      </c>
      <c r="AJ80" s="104">
        <f>(AL80-AP80)</f>
        <v/>
      </c>
      <c r="AK80" s="110">
        <f>R80+AH80</f>
        <v/>
      </c>
      <c r="AL80" s="110">
        <f>S80+AI80</f>
        <v/>
      </c>
      <c r="AM80" s="104" t="n">
        <v>7200</v>
      </c>
      <c r="AN80" s="104" t="n">
        <v>0</v>
      </c>
      <c r="AO80" s="104" t="n">
        <v>7200</v>
      </c>
      <c r="AP80" s="104" t="n">
        <v>0</v>
      </c>
      <c r="AQ80" s="104" t="n">
        <v>0</v>
      </c>
      <c r="AR80" s="104" t="n"/>
      <c r="AS80" s="112" t="n"/>
    </row>
    <row r="81" ht="12.65" customHeight="1" s="79">
      <c r="A81" s="104">
        <f>MIN(U81,Q81)</f>
        <v/>
      </c>
      <c r="B81" s="104">
        <f>MIN(U81,T81)</f>
        <v/>
      </c>
      <c r="C81" s="104">
        <f>MIN(W81,Q81)</f>
        <v/>
      </c>
      <c r="D81" s="104">
        <f>MIN(W81,T81)</f>
        <v/>
      </c>
      <c r="E81" s="104">
        <f>MIN((U81+AM81+AQ81),T81)</f>
        <v/>
      </c>
      <c r="F81" s="104">
        <f>MAX(MIN((U81+AN81+AQ81),Q81),0)</f>
        <v/>
      </c>
      <c r="G81" s="104">
        <f>MAX(MIN(AO81,AK81),0)</f>
        <v/>
      </c>
      <c r="H81" s="104">
        <f>MAX(MIN(AP81,AL81),0)</f>
        <v/>
      </c>
      <c r="I81" s="105" t="inlineStr">
        <is>
          <t>MAHIMA VOHRA</t>
        </is>
      </c>
      <c r="J81" s="106" t="inlineStr">
        <is>
          <t>NON FOOD</t>
        </is>
      </c>
      <c r="K81" s="107" t="inlineStr">
        <is>
          <t>NF_CLEANING AIDS</t>
        </is>
      </c>
      <c r="L81" s="107" t="inlineStr">
        <is>
          <t>NF_C_DISHWASHER</t>
        </is>
      </c>
      <c r="M81" s="107" t="inlineStr">
        <is>
          <t>ARTICLE</t>
        </is>
      </c>
      <c r="N81" s="108" t="n">
        <v>0.15487676035898</v>
      </c>
      <c r="O81" s="108" t="n">
        <v>0.221678798908098</v>
      </c>
      <c r="P81" s="109" t="n">
        <v>87</v>
      </c>
      <c r="Q81" s="110" t="n">
        <v>4595</v>
      </c>
      <c r="R81" s="110" t="n">
        <v>2299.107968853</v>
      </c>
      <c r="S81" s="110" t="n">
        <v>838.587733349622</v>
      </c>
      <c r="T81" s="110" t="n">
        <v>7732.69570220263</v>
      </c>
      <c r="U81" s="104" t="n">
        <v>16644</v>
      </c>
      <c r="V81" s="104" t="n">
        <v>9196</v>
      </c>
      <c r="W81" s="104">
        <f>$U81+$V81</f>
        <v/>
      </c>
      <c r="X81" s="111">
        <f>IFERROR(A81/Q81,0)</f>
        <v/>
      </c>
      <c r="Y81" s="111">
        <f>IFERROR(B81/T81,0)</f>
        <v/>
      </c>
      <c r="Z81" s="111">
        <f>IFERROR(C81/Q81,0)</f>
        <v/>
      </c>
      <c r="AA81" s="111">
        <f>IFERROR(D81/T81,0)</f>
        <v/>
      </c>
      <c r="AC81" s="111">
        <f>IF(T81&gt;0,IFERROR(E81/T81,0),1)</f>
        <v/>
      </c>
      <c r="AD81" s="111">
        <f>IF(Q81&gt;0,IFERROR(F81/Q81,0),1)</f>
        <v/>
      </c>
      <c r="AE81" s="111">
        <f>IF(AK81&gt;0,IFERROR(G81/AK81,0),1)</f>
        <v/>
      </c>
      <c r="AF81" s="111">
        <f>IF(AL81&gt;0,IFERROR(H81/AL81,0),1)</f>
        <v/>
      </c>
      <c r="AG81" s="104">
        <f>T81-(U81+AM81+AQ81)</f>
        <v/>
      </c>
      <c r="AH81" s="104">
        <f>Q81-(U81+AN81+AQ81)</f>
        <v/>
      </c>
      <c r="AI81" s="104">
        <f>(AK81-AO81)</f>
        <v/>
      </c>
      <c r="AJ81" s="104">
        <f>(AL81-AP81)</f>
        <v/>
      </c>
      <c r="AK81" s="110">
        <f>R81+AH81</f>
        <v/>
      </c>
      <c r="AL81" s="110">
        <f>S81+AI81</f>
        <v/>
      </c>
      <c r="AM81" s="104" t="n">
        <v>110400</v>
      </c>
      <c r="AN81" s="104" t="n">
        <v>28800</v>
      </c>
      <c r="AO81" s="104" t="n">
        <v>57600</v>
      </c>
      <c r="AP81" s="104" t="n">
        <v>24000</v>
      </c>
      <c r="AQ81" s="104" t="n">
        <v>0</v>
      </c>
      <c r="AR81" s="104" t="n"/>
      <c r="AS81" s="112" t="n"/>
    </row>
    <row r="82" ht="12.65" customHeight="1" s="79">
      <c r="A82" s="104">
        <f>MIN(U82,Q82)</f>
        <v/>
      </c>
      <c r="B82" s="104">
        <f>MIN(U82,T82)</f>
        <v/>
      </c>
      <c r="C82" s="104">
        <f>MIN(W82,Q82)</f>
        <v/>
      </c>
      <c r="D82" s="104">
        <f>MIN(W82,T82)</f>
        <v/>
      </c>
      <c r="E82" s="104">
        <f>MIN((U82+AM82+AQ82),T82)</f>
        <v/>
      </c>
      <c r="F82" s="104">
        <f>MAX(MIN((U82+AN82+AQ82),Q82),0)</f>
        <v/>
      </c>
      <c r="G82" s="104">
        <f>MAX(MIN(AO82,AK82),0)</f>
        <v/>
      </c>
      <c r="H82" s="104">
        <f>MAX(MIN(AP82,AL82),0)</f>
        <v/>
      </c>
      <c r="I82" s="105" t="inlineStr">
        <is>
          <t>MAHIMA VOHRA</t>
        </is>
      </c>
      <c r="J82" s="114" t="inlineStr">
        <is>
          <t>NON FOOD</t>
        </is>
      </c>
      <c r="K82" s="115" t="inlineStr">
        <is>
          <t>NF_CLEANING AIDS</t>
        </is>
      </c>
      <c r="L82" s="115" t="inlineStr">
        <is>
          <t>NF_C_DETERGENT</t>
        </is>
      </c>
      <c r="M82" s="107" t="inlineStr">
        <is>
          <t>ARTICLE</t>
        </is>
      </c>
      <c r="N82" s="108" t="n">
        <v>0.0307410203861504</v>
      </c>
      <c r="O82" s="108" t="n">
        <v>0.0327780181739507</v>
      </c>
      <c r="P82" s="109" t="n">
        <v>179</v>
      </c>
      <c r="Q82" s="110" t="n">
        <v>0</v>
      </c>
      <c r="R82" s="110" t="n">
        <v>0</v>
      </c>
      <c r="S82" s="110" t="n">
        <v>0</v>
      </c>
      <c r="T82" s="110" t="n">
        <v>0</v>
      </c>
      <c r="U82" s="104" t="n">
        <v>13100</v>
      </c>
      <c r="V82" s="104" t="n">
        <v>3600</v>
      </c>
      <c r="W82" s="104">
        <f>$U82+$V82</f>
        <v/>
      </c>
      <c r="X82" s="111">
        <f>IFERROR(A82/Q82,0)</f>
        <v/>
      </c>
      <c r="Y82" s="111">
        <f>IFERROR(B82/T82,0)</f>
        <v/>
      </c>
      <c r="Z82" s="111">
        <f>IFERROR(C82/Q82,0)</f>
        <v/>
      </c>
      <c r="AA82" s="111">
        <f>IFERROR(D82/T82,0)</f>
        <v/>
      </c>
      <c r="AC82" s="111">
        <f>IF(T82&gt;0,IFERROR(E82/T82,0),1)</f>
        <v/>
      </c>
      <c r="AD82" s="111">
        <f>IF(Q82&gt;0,IFERROR(F82/Q82,0),1)</f>
        <v/>
      </c>
      <c r="AE82" s="111">
        <f>IF(AK82&gt;0,IFERROR(G82/AK82,0),1)</f>
        <v/>
      </c>
      <c r="AF82" s="111">
        <f>IF(AL82&gt;0,IFERROR(H82/AL82,0),1)</f>
        <v/>
      </c>
      <c r="AG82" s="104">
        <f>T82-(U82+AM82+AQ82)</f>
        <v/>
      </c>
      <c r="AH82" s="104">
        <f>Q82-(U82+AN82+AQ82)</f>
        <v/>
      </c>
      <c r="AI82" s="104">
        <f>(AK82-AO82)</f>
        <v/>
      </c>
      <c r="AJ82" s="104">
        <f>(AL82-AP82)</f>
        <v/>
      </c>
      <c r="AK82" s="110">
        <f>R82+AH82</f>
        <v/>
      </c>
      <c r="AL82" s="110">
        <f>S82+AI82</f>
        <v/>
      </c>
      <c r="AM82" s="104" t="n">
        <v>40825</v>
      </c>
      <c r="AN82" s="104" t="n">
        <v>4825</v>
      </c>
      <c r="AO82" s="104" t="n">
        <v>18000</v>
      </c>
      <c r="AP82" s="104" t="n">
        <v>18000</v>
      </c>
      <c r="AQ82" s="104" t="n">
        <v>0</v>
      </c>
      <c r="AR82" s="104" t="n"/>
      <c r="AS82" s="104" t="n"/>
    </row>
    <row r="83" ht="12.65" customHeight="1" s="79">
      <c r="A83" s="104">
        <f>MIN(U83,Q83)</f>
        <v/>
      </c>
      <c r="B83" s="104">
        <f>MIN(U83,T83)</f>
        <v/>
      </c>
      <c r="C83" s="104">
        <f>MIN(W83,Q83)</f>
        <v/>
      </c>
      <c r="D83" s="104">
        <f>MIN(W83,T83)</f>
        <v/>
      </c>
      <c r="E83" s="104">
        <f>MIN((U83+AM83+AQ83),T83)</f>
        <v/>
      </c>
      <c r="F83" s="104">
        <f>MAX(MIN((U83+AN83+AQ83),Q83),0)</f>
        <v/>
      </c>
      <c r="G83" s="104">
        <f>MAX(MIN(AO83,AK83),0)</f>
        <v/>
      </c>
      <c r="H83" s="104">
        <f>MAX(MIN(AP83,AL83),0)</f>
        <v/>
      </c>
      <c r="I83" s="105" t="inlineStr">
        <is>
          <t>MAHIMA VOHRA</t>
        </is>
      </c>
      <c r="J83" s="106" t="inlineStr">
        <is>
          <t>NON FOOD</t>
        </is>
      </c>
      <c r="K83" s="107" t="inlineStr">
        <is>
          <t>NF_CLEANING AIDS</t>
        </is>
      </c>
      <c r="L83" s="107" t="inlineStr">
        <is>
          <t>NF_C_FABRIC CONDITIONER</t>
        </is>
      </c>
      <c r="M83" s="107" t="inlineStr">
        <is>
          <t>ARTICLE</t>
        </is>
      </c>
      <c r="N83" s="108" t="n">
        <v>0.0595759003702457</v>
      </c>
      <c r="O83" s="108" t="n">
        <v>0.08197363268502809</v>
      </c>
      <c r="P83" s="109" t="n">
        <v>179</v>
      </c>
      <c r="Q83" s="110" t="n">
        <v>0</v>
      </c>
      <c r="R83" s="110" t="n">
        <v>0</v>
      </c>
      <c r="S83" s="110" t="n">
        <v>0</v>
      </c>
      <c r="T83" s="110" t="n">
        <v>0</v>
      </c>
      <c r="U83" s="104" t="n">
        <v>0</v>
      </c>
      <c r="V83" s="104" t="n">
        <v>0</v>
      </c>
      <c r="W83" s="104">
        <f>$U83+$V83</f>
        <v/>
      </c>
      <c r="X83" s="111">
        <f>IFERROR(A83/Q83,0)</f>
        <v/>
      </c>
      <c r="Y83" s="111">
        <f>IFERROR(B83/T83,0)</f>
        <v/>
      </c>
      <c r="Z83" s="111">
        <f>IFERROR(C83/Q83,0)</f>
        <v/>
      </c>
      <c r="AA83" s="111">
        <f>IFERROR(D83/T83,0)</f>
        <v/>
      </c>
      <c r="AC83" s="111">
        <f>IF(T83&gt;0,IFERROR(E83/T83,0),1)</f>
        <v/>
      </c>
      <c r="AD83" s="111">
        <f>IF(Q83&gt;0,IFERROR(F83/Q83,0),1)</f>
        <v/>
      </c>
      <c r="AE83" s="111">
        <f>IF(AK83&gt;0,IFERROR(G83/AK83,0),1)</f>
        <v/>
      </c>
      <c r="AF83" s="111">
        <f>IF(AL83&gt;0,IFERROR(H83/AL83,0),1)</f>
        <v/>
      </c>
      <c r="AG83" s="104">
        <f>T83-(U83+AM83+AQ83)</f>
        <v/>
      </c>
      <c r="AH83" s="104">
        <f>Q83-(U83+AN83+AQ83)</f>
        <v/>
      </c>
      <c r="AI83" s="104">
        <f>(AK83-AO83)</f>
        <v/>
      </c>
      <c r="AJ83" s="104">
        <f>(AL83-AP83)</f>
        <v/>
      </c>
      <c r="AK83" s="110">
        <f>R83+AH83</f>
        <v/>
      </c>
      <c r="AL83" s="110">
        <f>S83+AI83</f>
        <v/>
      </c>
      <c r="AM83" s="104" t="n">
        <v>0</v>
      </c>
      <c r="AN83" s="104" t="n">
        <v>0</v>
      </c>
      <c r="AO83" s="104" t="n">
        <v>0</v>
      </c>
      <c r="AP83" s="104" t="n">
        <v>0</v>
      </c>
      <c r="AQ83" s="104" t="n">
        <v>0</v>
      </c>
      <c r="AR83" s="104" t="n"/>
      <c r="AS83" s="112" t="n"/>
    </row>
    <row r="84" ht="12.65" customHeight="1" s="79">
      <c r="A84" s="104">
        <f>MIN(U84,Q84)</f>
        <v/>
      </c>
      <c r="B84" s="104">
        <f>MIN(U84,T84)</f>
        <v/>
      </c>
      <c r="C84" s="104">
        <f>MIN(W84,Q84)</f>
        <v/>
      </c>
      <c r="D84" s="104">
        <f>MIN(W84,T84)</f>
        <v/>
      </c>
      <c r="E84" s="104">
        <f>MIN((U84+AM84+AQ84),T84)</f>
        <v/>
      </c>
      <c r="F84" s="104">
        <f>MAX(MIN((U84+AN84+AQ84),Q84),0)</f>
        <v/>
      </c>
      <c r="G84" s="104">
        <f>MAX(MIN(AO84,AK84),0)</f>
        <v/>
      </c>
      <c r="H84" s="104">
        <f>MAX(MIN(AP84,AL84),0)</f>
        <v/>
      </c>
      <c r="I84" s="105" t="inlineStr">
        <is>
          <t>MAHIMA VOHRA</t>
        </is>
      </c>
      <c r="J84" s="106" t="inlineStr">
        <is>
          <t>NON FOOD</t>
        </is>
      </c>
      <c r="K84" s="107" t="inlineStr">
        <is>
          <t>NF_COLOR COSMETIC</t>
        </is>
      </c>
      <c r="L84" s="107" t="inlineStr">
        <is>
          <t>NF_CC_NAILS</t>
        </is>
      </c>
      <c r="M84" s="107" t="inlineStr">
        <is>
          <t>ARTICLE</t>
        </is>
      </c>
      <c r="N84" s="108" t="n">
        <v>0.149037026355601</v>
      </c>
      <c r="O84" s="108" t="n">
        <v>0.116782231804916</v>
      </c>
      <c r="P84" s="109" t="n">
        <v>42</v>
      </c>
      <c r="Q84" s="110" t="n">
        <v>65718</v>
      </c>
      <c r="R84" s="110" t="n">
        <v>48111.1827468317</v>
      </c>
      <c r="S84" s="110" t="n">
        <v>54336.8580042791</v>
      </c>
      <c r="T84" s="110" t="n">
        <v>168166.040751111</v>
      </c>
      <c r="U84" s="104" t="n">
        <v>46512</v>
      </c>
      <c r="V84" s="104" t="n">
        <v>0</v>
      </c>
      <c r="W84" s="104">
        <f>$U84+$V84</f>
        <v/>
      </c>
      <c r="X84" s="111">
        <f>IFERROR(A84/Q84,0)</f>
        <v/>
      </c>
      <c r="Y84" s="111">
        <f>IFERROR(B84/T84,0)</f>
        <v/>
      </c>
      <c r="Z84" s="111">
        <f>IFERROR(C84/Q84,0)</f>
        <v/>
      </c>
      <c r="AA84" s="111">
        <f>IFERROR(D84/T84,0)</f>
        <v/>
      </c>
      <c r="AC84" s="111">
        <f>IF(T84&gt;0,IFERROR(E84/T84,0),1)</f>
        <v/>
      </c>
      <c r="AD84" s="111">
        <f>IF(Q84&gt;0,IFERROR(F84/Q84,0),1)</f>
        <v/>
      </c>
      <c r="AE84" s="111">
        <f>IF(AK84&gt;0,IFERROR(G84/AK84,0),1)</f>
        <v/>
      </c>
      <c r="AF84" s="111">
        <f>IF(AL84&gt;0,IFERROR(H84/AL84,0),1)</f>
        <v/>
      </c>
      <c r="AG84" s="104">
        <f>T84-(U84+AM84+AQ84)</f>
        <v/>
      </c>
      <c r="AH84" s="104">
        <f>Q84-(U84+AN84+AQ84)</f>
        <v/>
      </c>
      <c r="AI84" s="104">
        <f>(AK84-AO84)</f>
        <v/>
      </c>
      <c r="AJ84" s="104">
        <f>(AL84-AP84)</f>
        <v/>
      </c>
      <c r="AK84" s="110">
        <f>R84+AH84</f>
        <v/>
      </c>
      <c r="AL84" s="110">
        <f>S84+AI84</f>
        <v/>
      </c>
      <c r="AM84" s="104" t="n">
        <v>119784</v>
      </c>
      <c r="AN84" s="104" t="n">
        <v>66024</v>
      </c>
      <c r="AO84" s="104" t="n">
        <v>53760</v>
      </c>
      <c r="AP84" s="104" t="n">
        <v>0</v>
      </c>
      <c r="AQ84" s="104" t="n">
        <v>0</v>
      </c>
      <c r="AR84" s="104" t="n"/>
      <c r="AS84" s="112" t="n"/>
    </row>
    <row r="85" ht="12.65" customHeight="1" s="79">
      <c r="A85" s="104">
        <f>MIN(U85,Q85)</f>
        <v/>
      </c>
      <c r="B85" s="104">
        <f>MIN(U85,T85)</f>
        <v/>
      </c>
      <c r="C85" s="104">
        <f>MIN(W85,Q85)</f>
        <v/>
      </c>
      <c r="D85" s="104">
        <f>MIN(W85,T85)</f>
        <v/>
      </c>
      <c r="E85" s="104">
        <f>MIN((U85+AM85+AQ85),T85)</f>
        <v/>
      </c>
      <c r="F85" s="104">
        <f>MAX(MIN((U85+AN85+AQ85),Q85),0)</f>
        <v/>
      </c>
      <c r="G85" s="104">
        <f>MAX(MIN(AO85,AK85),0)</f>
        <v/>
      </c>
      <c r="H85" s="104">
        <f>MAX(MIN(AP85,AL85),0)</f>
        <v/>
      </c>
      <c r="I85" s="105" t="inlineStr">
        <is>
          <t>MAHIMA VOHRA</t>
        </is>
      </c>
      <c r="J85" s="106" t="inlineStr">
        <is>
          <t>NON FOOD</t>
        </is>
      </c>
      <c r="K85" s="107" t="inlineStr">
        <is>
          <t>NF_COLOR COSMETIC</t>
        </is>
      </c>
      <c r="L85" s="107" t="inlineStr">
        <is>
          <t>NF_CC_FACE</t>
        </is>
      </c>
      <c r="M85" s="107" t="inlineStr">
        <is>
          <t>ARTICLE</t>
        </is>
      </c>
      <c r="N85" s="108" t="n">
        <v>0.013924946896389</v>
      </c>
      <c r="O85" s="108" t="n">
        <v>0.0248777744126682</v>
      </c>
      <c r="P85" s="109" t="n">
        <v>169</v>
      </c>
      <c r="Q85" s="110" t="n">
        <v>10576</v>
      </c>
      <c r="R85" s="110" t="n">
        <v>0</v>
      </c>
      <c r="S85" s="110" t="n">
        <v>0</v>
      </c>
      <c r="T85" s="110" t="n">
        <v>10576</v>
      </c>
      <c r="U85" s="104" t="n">
        <v>0</v>
      </c>
      <c r="V85" s="104" t="n">
        <v>0</v>
      </c>
      <c r="W85" s="104">
        <f>$U85+$V85</f>
        <v/>
      </c>
      <c r="X85" s="111">
        <f>IFERROR(A85/Q85,0)</f>
        <v/>
      </c>
      <c r="Y85" s="111">
        <f>IFERROR(B85/T85,0)</f>
        <v/>
      </c>
      <c r="Z85" s="111">
        <f>IFERROR(C85/Q85,0)</f>
        <v/>
      </c>
      <c r="AA85" s="111">
        <f>IFERROR(D85/T85,0)</f>
        <v/>
      </c>
      <c r="AC85" s="111">
        <f>IF(T85&gt;0,IFERROR(E85/T85,0),1)</f>
        <v/>
      </c>
      <c r="AD85" s="111">
        <f>IF(Q85&gt;0,IFERROR(F85/Q85,0),1)</f>
        <v/>
      </c>
      <c r="AE85" s="111">
        <f>IF(AK85&gt;0,IFERROR(G85/AK85,0),1)</f>
        <v/>
      </c>
      <c r="AF85" s="111">
        <f>IF(AL85&gt;0,IFERROR(H85/AL85,0),1)</f>
        <v/>
      </c>
      <c r="AG85" s="104">
        <f>T85-(U85+AM85+AQ85)</f>
        <v/>
      </c>
      <c r="AH85" s="104">
        <f>Q85-(U85+AN85+AQ85)</f>
        <v/>
      </c>
      <c r="AI85" s="104">
        <f>(AK85-AO85)</f>
        <v/>
      </c>
      <c r="AJ85" s="104">
        <f>(AL85-AP85)</f>
        <v/>
      </c>
      <c r="AK85" s="110">
        <f>R85+AH85</f>
        <v/>
      </c>
      <c r="AL85" s="110">
        <f>S85+AI85</f>
        <v/>
      </c>
      <c r="AM85" s="104" t="n">
        <v>0</v>
      </c>
      <c r="AN85" s="104" t="n">
        <v>0</v>
      </c>
      <c r="AO85" s="104" t="n">
        <v>0</v>
      </c>
      <c r="AP85" s="104" t="n">
        <v>0</v>
      </c>
      <c r="AQ85" s="104" t="n">
        <v>0</v>
      </c>
      <c r="AR85" s="104" t="n"/>
      <c r="AS85" s="112" t="n"/>
    </row>
    <row r="86" ht="12.65" customHeight="1" s="79">
      <c r="A86" s="104">
        <f>MIN(U86,Q86)</f>
        <v/>
      </c>
      <c r="B86" s="104">
        <f>MIN(U86,T86)</f>
        <v/>
      </c>
      <c r="C86" s="104">
        <f>MIN(W86,Q86)</f>
        <v/>
      </c>
      <c r="D86" s="104">
        <f>MIN(W86,T86)</f>
        <v/>
      </c>
      <c r="E86" s="104">
        <f>MIN((U86+AM86+AQ86),T86)</f>
        <v/>
      </c>
      <c r="F86" s="104">
        <f>MAX(MIN((U86+AN86+AQ86),Q86),0)</f>
        <v/>
      </c>
      <c r="G86" s="104">
        <f>MAX(MIN(AO86,AK86),0)</f>
        <v/>
      </c>
      <c r="H86" s="104">
        <f>MAX(MIN(AP86,AL86),0)</f>
        <v/>
      </c>
      <c r="I86" s="105" t="inlineStr">
        <is>
          <t>MAHIMA VOHRA</t>
        </is>
      </c>
      <c r="J86" s="106" t="inlineStr">
        <is>
          <t>NON FOOD</t>
        </is>
      </c>
      <c r="K86" s="107" t="inlineStr">
        <is>
          <t>NF_COLOR COSMETIC</t>
        </is>
      </c>
      <c r="L86" s="107" t="inlineStr">
        <is>
          <t>NF_CC_LIPS</t>
        </is>
      </c>
      <c r="M86" s="107" t="inlineStr">
        <is>
          <t>ARTICLE</t>
        </is>
      </c>
      <c r="N86" s="108" t="n">
        <v>0.041157210136802</v>
      </c>
      <c r="O86" s="108" t="n">
        <v>0.0509204595026901</v>
      </c>
      <c r="P86" s="109" t="n">
        <v>104</v>
      </c>
      <c r="Q86" s="110" t="n">
        <v>5295</v>
      </c>
      <c r="R86" s="110" t="n">
        <v>2191.67229048432</v>
      </c>
      <c r="S86" s="110" t="n">
        <v>1373.7562360467</v>
      </c>
      <c r="T86" s="110" t="n">
        <v>8860.428526531021</v>
      </c>
      <c r="U86" s="104" t="n">
        <v>0</v>
      </c>
      <c r="V86" s="104" t="n">
        <v>14400</v>
      </c>
      <c r="W86" s="104">
        <f>$U86+$V86</f>
        <v/>
      </c>
      <c r="X86" s="111">
        <f>IFERROR(A86/Q86,0)</f>
        <v/>
      </c>
      <c r="Y86" s="111">
        <f>IFERROR(B86/T86,0)</f>
        <v/>
      </c>
      <c r="Z86" s="111">
        <f>IFERROR(C86/Q86,0)</f>
        <v/>
      </c>
      <c r="AA86" s="111">
        <f>IFERROR(D86/T86,0)</f>
        <v/>
      </c>
      <c r="AC86" s="111">
        <f>IF(T86&gt;0,IFERROR(E86/T86,0),1)</f>
        <v/>
      </c>
      <c r="AD86" s="111">
        <f>IF(Q86&gt;0,IFERROR(F86/Q86,0),1)</f>
        <v/>
      </c>
      <c r="AE86" s="111">
        <f>IF(AK86&gt;0,IFERROR(G86/AK86,0),1)</f>
        <v/>
      </c>
      <c r="AF86" s="111">
        <f>IF(AL86&gt;0,IFERROR(H86/AL86,0),1)</f>
        <v/>
      </c>
      <c r="AG86" s="104">
        <f>T86-(U86+AM86+AQ86)</f>
        <v/>
      </c>
      <c r="AH86" s="104">
        <f>Q86-(U86+AN86+AQ86)</f>
        <v/>
      </c>
      <c r="AI86" s="104">
        <f>(AK86-AO86)</f>
        <v/>
      </c>
      <c r="AJ86" s="104">
        <f>(AL86-AP86)</f>
        <v/>
      </c>
      <c r="AK86" s="110">
        <f>R86+AH86</f>
        <v/>
      </c>
      <c r="AL86" s="110">
        <f>S86+AI86</f>
        <v/>
      </c>
      <c r="AM86" s="104" t="n">
        <v>129600</v>
      </c>
      <c r="AN86" s="104" t="n">
        <v>64800</v>
      </c>
      <c r="AO86" s="104" t="n">
        <v>64800</v>
      </c>
      <c r="AP86" s="104" t="n">
        <v>0</v>
      </c>
      <c r="AQ86" s="104" t="n">
        <v>0</v>
      </c>
      <c r="AR86" s="104" t="n"/>
      <c r="AS86" s="112" t="n"/>
    </row>
    <row r="87" ht="12.65" customHeight="1" s="79">
      <c r="A87" s="104">
        <f>MIN(U87,Q87)</f>
        <v/>
      </c>
      <c r="B87" s="104">
        <f>MIN(U87,T87)</f>
        <v/>
      </c>
      <c r="C87" s="104">
        <f>MIN(W87,Q87)</f>
        <v/>
      </c>
      <c r="D87" s="104">
        <f>MIN(W87,T87)</f>
        <v/>
      </c>
      <c r="E87" s="104">
        <f>MIN((U87+AM87+AQ87),T87)</f>
        <v/>
      </c>
      <c r="F87" s="104">
        <f>MAX(MIN((U87+AN87+AQ87),Q87),0)</f>
        <v/>
      </c>
      <c r="G87" s="104">
        <f>MAX(MIN(AO87,AK87),0)</f>
        <v/>
      </c>
      <c r="H87" s="104">
        <f>MAX(MIN(AP87,AL87),0)</f>
        <v/>
      </c>
      <c r="I87" s="105" t="inlineStr">
        <is>
          <t>MAHIMA VOHRA</t>
        </is>
      </c>
      <c r="J87" s="106" t="inlineStr">
        <is>
          <t>NON FOOD</t>
        </is>
      </c>
      <c r="K87" s="107" t="inlineStr">
        <is>
          <t>NF_COLOR COSMETIC</t>
        </is>
      </c>
      <c r="L87" s="107" t="inlineStr">
        <is>
          <t>NF_CC_EYE</t>
        </is>
      </c>
      <c r="M87" s="107" t="inlineStr">
        <is>
          <t>ARTICLE</t>
        </is>
      </c>
      <c r="N87" s="108" t="n">
        <v>0.0216287878787879</v>
      </c>
      <c r="O87" s="108" t="n">
        <v>0.0363351098271654</v>
      </c>
      <c r="P87" s="109" t="n">
        <v>175</v>
      </c>
      <c r="Q87" s="110" t="n">
        <v>3176</v>
      </c>
      <c r="R87" s="110" t="n">
        <v>111.942837077361</v>
      </c>
      <c r="S87" s="110" t="n">
        <v>25.7135640938699</v>
      </c>
      <c r="T87" s="110" t="n">
        <v>3313.65640117123</v>
      </c>
      <c r="U87" s="104" t="n">
        <v>0</v>
      </c>
      <c r="V87" s="104" t="n">
        <v>0</v>
      </c>
      <c r="W87" s="104">
        <f>$U87+$V87</f>
        <v/>
      </c>
      <c r="X87" s="111">
        <f>IFERROR(A87/Q87,0)</f>
        <v/>
      </c>
      <c r="Y87" s="111">
        <f>IFERROR(B87/T87,0)</f>
        <v/>
      </c>
      <c r="Z87" s="111">
        <f>IFERROR(C87/Q87,0)</f>
        <v/>
      </c>
      <c r="AA87" s="111">
        <f>IFERROR(D87/T87,0)</f>
        <v/>
      </c>
      <c r="AC87" s="111">
        <f>IF(T87&gt;0,IFERROR(E87/T87,0),1)</f>
        <v/>
      </c>
      <c r="AD87" s="111">
        <f>IF(Q87&gt;0,IFERROR(F87/Q87,0),1)</f>
        <v/>
      </c>
      <c r="AE87" s="111">
        <f>IF(AK87&gt;0,IFERROR(G87/AK87,0),1)</f>
        <v/>
      </c>
      <c r="AF87" s="111">
        <f>IF(AL87&gt;0,IFERROR(H87/AL87,0),1)</f>
        <v/>
      </c>
      <c r="AG87" s="104">
        <f>T87-(U87+AM87+AQ87)</f>
        <v/>
      </c>
      <c r="AH87" s="104">
        <f>Q87-(U87+AN87+AQ87)</f>
        <v/>
      </c>
      <c r="AI87" s="104">
        <f>(AK87-AO87)</f>
        <v/>
      </c>
      <c r="AJ87" s="104">
        <f>(AL87-AP87)</f>
        <v/>
      </c>
      <c r="AK87" s="110">
        <f>R87+AH87</f>
        <v/>
      </c>
      <c r="AL87" s="110">
        <f>S87+AI87</f>
        <v/>
      </c>
      <c r="AM87" s="104" t="n">
        <v>13440</v>
      </c>
      <c r="AN87" s="104" t="n">
        <v>11040</v>
      </c>
      <c r="AO87" s="104" t="n">
        <v>2400</v>
      </c>
      <c r="AP87" s="104" t="n">
        <v>0</v>
      </c>
      <c r="AQ87" s="104" t="n">
        <v>0</v>
      </c>
      <c r="AR87" s="104" t="n"/>
      <c r="AS87" s="112" t="n"/>
    </row>
    <row r="88" ht="12.65" customHeight="1" s="79">
      <c r="A88" s="104">
        <f>MIN(U88,Q88)</f>
        <v/>
      </c>
      <c r="B88" s="104">
        <f>MIN(U88,T88)</f>
        <v/>
      </c>
      <c r="C88" s="104">
        <f>MIN(W88,Q88)</f>
        <v/>
      </c>
      <c r="D88" s="104">
        <f>MIN(W88,T88)</f>
        <v/>
      </c>
      <c r="E88" s="104">
        <f>MIN((U88+AM88+AQ88),T88)</f>
        <v/>
      </c>
      <c r="F88" s="104">
        <f>MAX(MIN((U88+AN88+AQ88),Q88),0)</f>
        <v/>
      </c>
      <c r="G88" s="104">
        <f>MAX(MIN(AO88,AK88),0)</f>
        <v/>
      </c>
      <c r="H88" s="104">
        <f>MAX(MIN(AP88,AL88),0)</f>
        <v/>
      </c>
      <c r="I88" s="105" t="inlineStr">
        <is>
          <t>MAHIMA VOHRA</t>
        </is>
      </c>
      <c r="J88" s="106" t="inlineStr">
        <is>
          <t>NON FOOD</t>
        </is>
      </c>
      <c r="K88" s="107" t="inlineStr">
        <is>
          <t>NF_COLOR COSMETIC</t>
        </is>
      </c>
      <c r="L88" s="107" t="inlineStr">
        <is>
          <t>NF_CC_SHEET MASK</t>
        </is>
      </c>
      <c r="M88" s="107" t="inlineStr">
        <is>
          <t>ARTICLE</t>
        </is>
      </c>
      <c r="N88" s="108" t="n">
        <v>0.102984071032044</v>
      </c>
      <c r="O88" s="108" t="n">
        <v>0.140009718777016</v>
      </c>
      <c r="P88" s="109" t="n">
        <v>161</v>
      </c>
      <c r="Q88" s="110" t="n">
        <v>118</v>
      </c>
      <c r="R88" s="110" t="n">
        <v>46.1353205381616</v>
      </c>
      <c r="S88" s="110" t="n">
        <v>69.7026308277875</v>
      </c>
      <c r="T88" s="110" t="n">
        <v>233.837951365949</v>
      </c>
      <c r="U88" s="104" t="n">
        <v>14400</v>
      </c>
      <c r="V88" s="104" t="n">
        <v>0</v>
      </c>
      <c r="W88" s="104">
        <f>$U88+$V88</f>
        <v/>
      </c>
      <c r="X88" s="111">
        <f>IFERROR(A88/Q88,0)</f>
        <v/>
      </c>
      <c r="Y88" s="111">
        <f>IFERROR(B88/T88,0)</f>
        <v/>
      </c>
      <c r="Z88" s="111">
        <f>IFERROR(C88/Q88,0)</f>
        <v/>
      </c>
      <c r="AA88" s="111">
        <f>IFERROR(D88/T88,0)</f>
        <v/>
      </c>
      <c r="AC88" s="111">
        <f>IF(T88&gt;0,IFERROR(E88/T88,0),1)</f>
        <v/>
      </c>
      <c r="AD88" s="111">
        <f>IF(Q88&gt;0,IFERROR(F88/Q88,0),1)</f>
        <v/>
      </c>
      <c r="AE88" s="111">
        <f>IF(AK88&gt;0,IFERROR(G88/AK88,0),1)</f>
        <v/>
      </c>
      <c r="AF88" s="111">
        <f>IF(AL88&gt;0,IFERROR(H88/AL88,0),1)</f>
        <v/>
      </c>
      <c r="AG88" s="104">
        <f>T88-(U88+AM88+AQ88)</f>
        <v/>
      </c>
      <c r="AH88" s="104">
        <f>Q88-(U88+AN88+AQ88)</f>
        <v/>
      </c>
      <c r="AI88" s="104">
        <f>(AK88-AO88)</f>
        <v/>
      </c>
      <c r="AJ88" s="104">
        <f>(AL88-AP88)</f>
        <v/>
      </c>
      <c r="AK88" s="110">
        <f>R88+AH88</f>
        <v/>
      </c>
      <c r="AL88" s="110">
        <f>S88+AI88</f>
        <v/>
      </c>
      <c r="AM88" s="104" t="n">
        <v>175000</v>
      </c>
      <c r="AN88" s="104" t="n">
        <v>75000</v>
      </c>
      <c r="AO88" s="104" t="n">
        <v>50000</v>
      </c>
      <c r="AP88" s="104" t="n">
        <v>50000</v>
      </c>
      <c r="AQ88" s="104" t="n">
        <v>0</v>
      </c>
      <c r="AR88" s="104" t="n"/>
      <c r="AS88" s="112" t="n"/>
    </row>
    <row r="89" ht="12.65" customHeight="1" s="79">
      <c r="A89" s="104">
        <f>MIN(U89,Q89)</f>
        <v/>
      </c>
      <c r="B89" s="104">
        <f>MIN(U89,T89)</f>
        <v/>
      </c>
      <c r="C89" s="104">
        <f>MIN(W89,Q89)</f>
        <v/>
      </c>
      <c r="D89" s="104">
        <f>MIN(W89,T89)</f>
        <v/>
      </c>
      <c r="E89" s="104">
        <f>MIN((U89+AM89+AQ89),T89)</f>
        <v/>
      </c>
      <c r="F89" s="104">
        <f>MAX(MIN((U89+AN89+AQ89),Q89),0)</f>
        <v/>
      </c>
      <c r="G89" s="104">
        <f>MAX(MIN(AO89,AK89),0)</f>
        <v/>
      </c>
      <c r="H89" s="104">
        <f>MAX(MIN(AP89,AL89),0)</f>
        <v/>
      </c>
      <c r="I89" s="105" t="inlineStr">
        <is>
          <t>MAHIMA VOHRA</t>
        </is>
      </c>
      <c r="J89" s="106" t="inlineStr">
        <is>
          <t>NON FOOD</t>
        </is>
      </c>
      <c r="K89" s="107" t="inlineStr">
        <is>
          <t>NF_COLOR COSMETIC</t>
        </is>
      </c>
      <c r="L89" s="107" t="inlineStr">
        <is>
          <t>NF_CC_ACCESSORIES</t>
        </is>
      </c>
      <c r="M89" s="107" t="inlineStr">
        <is>
          <t>ARTICLE</t>
        </is>
      </c>
      <c r="N89" s="108" t="n">
        <v>0.0729218404298551</v>
      </c>
      <c r="O89" s="108" t="n">
        <v>0.0759357871535296</v>
      </c>
      <c r="P89" s="109" t="n">
        <v>177</v>
      </c>
      <c r="Q89" s="110" t="n">
        <v>98</v>
      </c>
      <c r="R89" s="110" t="n">
        <v>0</v>
      </c>
      <c r="S89" s="110" t="n">
        <v>0</v>
      </c>
      <c r="T89" s="110" t="n">
        <v>98</v>
      </c>
      <c r="U89" s="104" t="n">
        <v>57084</v>
      </c>
      <c r="V89" s="104" t="n">
        <v>0</v>
      </c>
      <c r="W89" s="104">
        <f>$U89+$V89</f>
        <v/>
      </c>
      <c r="X89" s="111">
        <f>IFERROR(A89/Q89,0)</f>
        <v/>
      </c>
      <c r="Y89" s="111">
        <f>IFERROR(B89/T89,0)</f>
        <v/>
      </c>
      <c r="Z89" s="111">
        <f>IFERROR(C89/Q89,0)</f>
        <v/>
      </c>
      <c r="AA89" s="111">
        <f>IFERROR(D89/T89,0)</f>
        <v/>
      </c>
      <c r="AC89" s="111">
        <f>IF(T89&gt;0,IFERROR(E89/T89,0),1)</f>
        <v/>
      </c>
      <c r="AD89" s="111">
        <f>IF(Q89&gt;0,IFERROR(F89/Q89,0),1)</f>
        <v/>
      </c>
      <c r="AE89" s="111">
        <f>IF(AK89&gt;0,IFERROR(G89/AK89,0),1)</f>
        <v/>
      </c>
      <c r="AF89" s="111">
        <f>IF(AL89&gt;0,IFERROR(H89/AL89,0),1)</f>
        <v/>
      </c>
      <c r="AG89" s="104">
        <f>T89-(U89+AM89+AQ89)</f>
        <v/>
      </c>
      <c r="AH89" s="104">
        <f>Q89-(U89+AN89+AQ89)</f>
        <v/>
      </c>
      <c r="AI89" s="104">
        <f>(AK89-AO89)</f>
        <v/>
      </c>
      <c r="AJ89" s="104">
        <f>(AL89-AP89)</f>
        <v/>
      </c>
      <c r="AK89" s="110">
        <f>R89+AH89</f>
        <v/>
      </c>
      <c r="AL89" s="110">
        <f>S89+AI89</f>
        <v/>
      </c>
      <c r="AM89" s="104" t="n">
        <v>37680</v>
      </c>
      <c r="AN89" s="104" t="n">
        <v>17040</v>
      </c>
      <c r="AO89" s="104" t="n">
        <v>20640</v>
      </c>
      <c r="AP89" s="104" t="n">
        <v>0</v>
      </c>
      <c r="AQ89" s="104" t="n">
        <v>0</v>
      </c>
      <c r="AR89" s="104" t="n"/>
      <c r="AS89" s="112" t="n"/>
    </row>
    <row r="90" ht="12.65" customHeight="1" s="79">
      <c r="A90" s="104">
        <f>MIN(U90,Q90)</f>
        <v/>
      </c>
      <c r="B90" s="104">
        <f>MIN(U90,T90)</f>
        <v/>
      </c>
      <c r="C90" s="104">
        <f>MIN(W90,Q90)</f>
        <v/>
      </c>
      <c r="D90" s="104">
        <f>MIN(W90,T90)</f>
        <v/>
      </c>
      <c r="E90" s="104">
        <f>MIN((U90+AM90+AQ90),T90)</f>
        <v/>
      </c>
      <c r="F90" s="104">
        <f>MAX(MIN((U90+AN90+AQ90),Q90),0)</f>
        <v/>
      </c>
      <c r="G90" s="104">
        <f>MAX(MIN(AO90,AK90),0)</f>
        <v/>
      </c>
      <c r="H90" s="104">
        <f>MAX(MIN(AP90,AL90),0)</f>
        <v/>
      </c>
      <c r="I90" s="105" t="inlineStr">
        <is>
          <t>MAHIMA VOHRA</t>
        </is>
      </c>
      <c r="J90" s="106" t="inlineStr">
        <is>
          <t>NON FOOD</t>
        </is>
      </c>
      <c r="K90" s="107" t="inlineStr">
        <is>
          <t>NF_COLOR COSMETIC</t>
        </is>
      </c>
      <c r="L90" s="107" t="inlineStr">
        <is>
          <t>NF_CC_SANITARY PAD</t>
        </is>
      </c>
      <c r="M90" s="107" t="inlineStr">
        <is>
          <t>ARTICLE</t>
        </is>
      </c>
      <c r="N90" s="108" t="n">
        <v>0.157992565055762</v>
      </c>
      <c r="O90" s="108" t="n">
        <v>0.170332241459991</v>
      </c>
      <c r="P90" s="109" t="n">
        <v>179</v>
      </c>
      <c r="Q90" s="110" t="n">
        <v>0</v>
      </c>
      <c r="R90" s="110" t="n">
        <v>0</v>
      </c>
      <c r="S90" s="110" t="n">
        <v>0</v>
      </c>
      <c r="T90" s="110" t="n">
        <v>0</v>
      </c>
      <c r="U90" s="104" t="n">
        <v>14399</v>
      </c>
      <c r="V90" s="104" t="n">
        <v>0</v>
      </c>
      <c r="W90" s="104">
        <f>$U90+$V90</f>
        <v/>
      </c>
      <c r="X90" s="111">
        <f>IFERROR(A90/Q90,0)</f>
        <v/>
      </c>
      <c r="Y90" s="111">
        <f>IFERROR(B90/T90,0)</f>
        <v/>
      </c>
      <c r="Z90" s="111">
        <f>IFERROR(C90/Q90,0)</f>
        <v/>
      </c>
      <c r="AA90" s="111">
        <f>IFERROR(D90/T90,0)</f>
        <v/>
      </c>
      <c r="AC90" s="111">
        <f>IF(T90&gt;0,IFERROR(E90/T90,0),1)</f>
        <v/>
      </c>
      <c r="AD90" s="111">
        <f>IF(Q90&gt;0,IFERROR(F90/Q90,0),1)</f>
        <v/>
      </c>
      <c r="AE90" s="111">
        <f>IF(AK90&gt;0,IFERROR(G90/AK90,0),1)</f>
        <v/>
      </c>
      <c r="AF90" s="111">
        <f>IF(AL90&gt;0,IFERROR(H90/AL90,0),1)</f>
        <v/>
      </c>
      <c r="AG90" s="104">
        <f>T90-(U90+AM90+AQ90)</f>
        <v/>
      </c>
      <c r="AH90" s="104">
        <f>Q90-(U90+AN90+AQ90)</f>
        <v/>
      </c>
      <c r="AI90" s="104">
        <f>(AK90-AO90)</f>
        <v/>
      </c>
      <c r="AJ90" s="104">
        <f>(AL90-AP90)</f>
        <v/>
      </c>
      <c r="AK90" s="110">
        <f>R90+AH90</f>
        <v/>
      </c>
      <c r="AL90" s="110">
        <f>S90+AI90</f>
        <v/>
      </c>
      <c r="AM90" s="104" t="n">
        <v>91200</v>
      </c>
      <c r="AN90" s="104" t="n">
        <v>43200</v>
      </c>
      <c r="AO90" s="104" t="n">
        <v>24000</v>
      </c>
      <c r="AP90" s="104" t="n">
        <v>24000</v>
      </c>
      <c r="AQ90" s="104" t="n">
        <v>0</v>
      </c>
      <c r="AR90" s="104" t="n"/>
      <c r="AS90" s="112" t="n"/>
    </row>
    <row r="91" ht="12.65" customHeight="1" s="79">
      <c r="A91" s="104">
        <f>MIN(U91,Q91)</f>
        <v/>
      </c>
      <c r="B91" s="104">
        <f>MIN(U91,T91)</f>
        <v/>
      </c>
      <c r="C91" s="104">
        <f>MIN(W91,Q91)</f>
        <v/>
      </c>
      <c r="D91" s="104">
        <f>MIN(W91,T91)</f>
        <v/>
      </c>
      <c r="E91" s="104">
        <f>MIN((U91+AM91+AQ91),T91)</f>
        <v/>
      </c>
      <c r="F91" s="104">
        <f>MAX(MIN((U91+AN91+AQ91),Q91),0)</f>
        <v/>
      </c>
      <c r="G91" s="104">
        <f>MAX(MIN(AO91,AK91),0)</f>
        <v/>
      </c>
      <c r="H91" s="104">
        <f>MAX(MIN(AP91,AL91),0)</f>
        <v/>
      </c>
      <c r="I91" s="105" t="inlineStr">
        <is>
          <t>MAHIMA VOHRA</t>
        </is>
      </c>
      <c r="J91" s="106" t="inlineStr">
        <is>
          <t>NON FOOD</t>
        </is>
      </c>
      <c r="K91" s="107" t="inlineStr">
        <is>
          <t>NF_COLOR COSMETIC</t>
        </is>
      </c>
      <c r="L91" s="107" t="inlineStr">
        <is>
          <t>NF_CC_WET WIPES</t>
        </is>
      </c>
      <c r="M91" s="107" t="inlineStr">
        <is>
          <t>ARTICLE</t>
        </is>
      </c>
      <c r="N91" s="108" t="n">
        <v>0.14557138449426</v>
      </c>
      <c r="O91" s="108" t="n">
        <v>0.138388030929939</v>
      </c>
      <c r="P91" s="109" t="n">
        <v>158</v>
      </c>
      <c r="Q91" s="110" t="n">
        <v>0</v>
      </c>
      <c r="R91" s="110" t="n">
        <v>0</v>
      </c>
      <c r="S91" s="110" t="n">
        <v>0</v>
      </c>
      <c r="T91" s="110" t="n">
        <v>0</v>
      </c>
      <c r="U91" s="104" t="n">
        <v>28800</v>
      </c>
      <c r="V91" s="104" t="n">
        <v>19200</v>
      </c>
      <c r="W91" s="104">
        <f>$U91+$V91</f>
        <v/>
      </c>
      <c r="X91" s="111">
        <f>IFERROR(A91/Q91,0)</f>
        <v/>
      </c>
      <c r="Y91" s="111">
        <f>IFERROR(B91/T91,0)</f>
        <v/>
      </c>
      <c r="Z91" s="111">
        <f>IFERROR(C91/Q91,0)</f>
        <v/>
      </c>
      <c r="AA91" s="111">
        <f>IFERROR(D91/T91,0)</f>
        <v/>
      </c>
      <c r="AC91" s="111">
        <f>IF(T91&gt;0,IFERROR(E91/T91,0),1)</f>
        <v/>
      </c>
      <c r="AD91" s="111">
        <f>IF(Q91&gt;0,IFERROR(F91/Q91,0),1)</f>
        <v/>
      </c>
      <c r="AE91" s="111">
        <f>IF(AK91&gt;0,IFERROR(G91/AK91,0),1)</f>
        <v/>
      </c>
      <c r="AF91" s="111">
        <f>IF(AL91&gt;0,IFERROR(H91/AL91,0),1)</f>
        <v/>
      </c>
      <c r="AG91" s="104">
        <f>T91-(U91+AM91+AQ91)</f>
        <v/>
      </c>
      <c r="AH91" s="104">
        <f>Q91-(U91+AN91+AQ91)</f>
        <v/>
      </c>
      <c r="AI91" s="104">
        <f>(AK91-AO91)</f>
        <v/>
      </c>
      <c r="AJ91" s="104">
        <f>(AL91-AP91)</f>
        <v/>
      </c>
      <c r="AK91" s="110">
        <f>R91+AH91</f>
        <v/>
      </c>
      <c r="AL91" s="110">
        <f>S91+AI91</f>
        <v/>
      </c>
      <c r="AM91" s="104" t="n">
        <v>134403</v>
      </c>
      <c r="AN91" s="104" t="n">
        <v>3</v>
      </c>
      <c r="AO91" s="104" t="n">
        <v>96000</v>
      </c>
      <c r="AP91" s="104" t="n">
        <v>38400</v>
      </c>
      <c r="AQ91" s="104" t="n">
        <v>0</v>
      </c>
      <c r="AR91" s="104" t="n"/>
      <c r="AS91" s="112" t="n"/>
    </row>
    <row r="92" ht="12.65" customHeight="1" s="79">
      <c r="A92" s="104">
        <f>MIN(U92,Q92)</f>
        <v/>
      </c>
      <c r="B92" s="104">
        <f>MIN(U92,T92)</f>
        <v/>
      </c>
      <c r="C92" s="104">
        <f>MIN(W92,Q92)</f>
        <v/>
      </c>
      <c r="D92" s="104">
        <f>MIN(W92,T92)</f>
        <v/>
      </c>
      <c r="E92" s="104">
        <f>MIN((U92+AM92+AQ92),T92)</f>
        <v/>
      </c>
      <c r="F92" s="104">
        <f>MAX(MIN((U92+AN92+AQ92),Q92),0)</f>
        <v/>
      </c>
      <c r="G92" s="104">
        <f>MAX(MIN(AO92,AK92),0)</f>
        <v/>
      </c>
      <c r="H92" s="104">
        <f>MAX(MIN(AP92,AL92),0)</f>
        <v/>
      </c>
      <c r="I92" s="105" t="inlineStr">
        <is>
          <t>MAHIMA VOHRA</t>
        </is>
      </c>
      <c r="J92" s="106" t="inlineStr">
        <is>
          <t>NON FOOD</t>
        </is>
      </c>
      <c r="K92" s="107" t="inlineStr">
        <is>
          <t>NF_FRAGNANCE</t>
        </is>
      </c>
      <c r="L92" s="107" t="inlineStr">
        <is>
          <t>NF_F_DEO</t>
        </is>
      </c>
      <c r="M92" s="107" t="inlineStr">
        <is>
          <t>ARTICLE</t>
        </is>
      </c>
      <c r="N92" s="108" t="n">
        <v>0.121073568821284</v>
      </c>
      <c r="O92" s="108" t="n">
        <v>0.101449915960863</v>
      </c>
      <c r="P92" s="109" t="n">
        <v>2</v>
      </c>
      <c r="Q92" s="110" t="n">
        <v>101116</v>
      </c>
      <c r="R92" s="110" t="n">
        <v>58077.0630217497</v>
      </c>
      <c r="S92" s="110" t="n">
        <v>45962.6689567756</v>
      </c>
      <c r="T92" s="110" t="n">
        <v>205155.731978525</v>
      </c>
      <c r="U92" s="104" t="n">
        <v>66702</v>
      </c>
      <c r="V92" s="104" t="n">
        <v>12000</v>
      </c>
      <c r="W92" s="104">
        <f>$U92+$V92</f>
        <v/>
      </c>
      <c r="X92" s="111">
        <f>IFERROR(A92/Q92,0)</f>
        <v/>
      </c>
      <c r="Y92" s="111">
        <f>IFERROR(B92/T92,0)</f>
        <v/>
      </c>
      <c r="Z92" s="111">
        <f>IFERROR(C92/Q92,0)</f>
        <v/>
      </c>
      <c r="AA92" s="111">
        <f>IFERROR(D92/T92,0)</f>
        <v/>
      </c>
      <c r="AC92" s="111">
        <f>IF(T92&gt;0,IFERROR(E92/T92,0),1)</f>
        <v/>
      </c>
      <c r="AD92" s="111">
        <f>IF(Q92&gt;0,IFERROR(F92/Q92,0),1)</f>
        <v/>
      </c>
      <c r="AE92" s="111">
        <f>IF(AK92&gt;0,IFERROR(G92/AK92,0),1)</f>
        <v/>
      </c>
      <c r="AF92" s="111">
        <f>IF(AL92&gt;0,IFERROR(H92/AL92,0),1)</f>
        <v/>
      </c>
      <c r="AG92" s="104">
        <f>T92-(U92+AM92+AQ92)</f>
        <v/>
      </c>
      <c r="AH92" s="104">
        <f>Q92-(U92+AN92+AQ92)</f>
        <v/>
      </c>
      <c r="AI92" s="104">
        <f>(AK92-AO92)</f>
        <v/>
      </c>
      <c r="AJ92" s="104">
        <f>(AL92-AP92)</f>
        <v/>
      </c>
      <c r="AK92" s="110">
        <f>R92+AH92</f>
        <v/>
      </c>
      <c r="AL92" s="110">
        <f>S92+AI92</f>
        <v/>
      </c>
      <c r="AM92" s="104" t="n">
        <v>48000</v>
      </c>
      <c r="AN92" s="104" t="n">
        <v>36000</v>
      </c>
      <c r="AO92" s="104" t="n">
        <v>12000</v>
      </c>
      <c r="AP92" s="104" t="n">
        <v>0</v>
      </c>
      <c r="AQ92" s="104" t="n">
        <v>0</v>
      </c>
      <c r="AR92" s="104" t="n"/>
      <c r="AS92" s="112" t="n"/>
    </row>
    <row r="93" ht="12.65" customHeight="1" s="79">
      <c r="A93" s="104">
        <f>MIN(U93,Q93)</f>
        <v/>
      </c>
      <c r="B93" s="104">
        <f>MIN(U93,T93)</f>
        <v/>
      </c>
      <c r="C93" s="104">
        <f>MIN(W93,Q93)</f>
        <v/>
      </c>
      <c r="D93" s="104">
        <f>MIN(W93,T93)</f>
        <v/>
      </c>
      <c r="E93" s="104">
        <f>MIN((U93+AM93+AQ93),T93)</f>
        <v/>
      </c>
      <c r="F93" s="104">
        <f>MAX(MIN((U93+AN93+AQ93),Q93),0)</f>
        <v/>
      </c>
      <c r="G93" s="104">
        <f>MAX(MIN(AO93,AK93),0)</f>
        <v/>
      </c>
      <c r="H93" s="104">
        <f>MAX(MIN(AP93,AL93),0)</f>
        <v/>
      </c>
      <c r="I93" s="105" t="inlineStr">
        <is>
          <t>MAHIMA VOHRA</t>
        </is>
      </c>
      <c r="J93" s="106" t="inlineStr">
        <is>
          <t>NON FOOD</t>
        </is>
      </c>
      <c r="K93" s="107" t="inlineStr">
        <is>
          <t>NF_FRAGNANCE</t>
        </is>
      </c>
      <c r="L93" s="107" t="inlineStr">
        <is>
          <t>NF_F_ROOM FRESHENER</t>
        </is>
      </c>
      <c r="M93" s="107" t="inlineStr">
        <is>
          <t>ARTICLE</t>
        </is>
      </c>
      <c r="N93" s="108" t="n">
        <v>0.153461322542163</v>
      </c>
      <c r="O93" s="108" t="n">
        <v>0.168010146561443</v>
      </c>
      <c r="P93" s="109" t="n">
        <v>56</v>
      </c>
      <c r="Q93" s="110" t="n">
        <v>31249</v>
      </c>
      <c r="R93" s="110" t="n">
        <v>13114.5630259884</v>
      </c>
      <c r="S93" s="110" t="n">
        <v>9552.70274293056</v>
      </c>
      <c r="T93" s="110" t="n">
        <v>53916.265768919</v>
      </c>
      <c r="U93" s="104" t="n">
        <v>31608</v>
      </c>
      <c r="V93" s="104" t="n">
        <v>0</v>
      </c>
      <c r="W93" s="104">
        <f>$U93+$V93</f>
        <v/>
      </c>
      <c r="X93" s="111">
        <f>IFERROR(A93/Q93,0)</f>
        <v/>
      </c>
      <c r="Y93" s="111">
        <f>IFERROR(B93/T93,0)</f>
        <v/>
      </c>
      <c r="Z93" s="111">
        <f>IFERROR(C93/Q93,0)</f>
        <v/>
      </c>
      <c r="AA93" s="111">
        <f>IFERROR(D93/T93,0)</f>
        <v/>
      </c>
      <c r="AC93" s="111">
        <f>IF(T93&gt;0,IFERROR(E93/T93,0),1)</f>
        <v/>
      </c>
      <c r="AD93" s="111">
        <f>IF(Q93&gt;0,IFERROR(F93/Q93,0),1)</f>
        <v/>
      </c>
      <c r="AE93" s="111">
        <f>IF(AK93&gt;0,IFERROR(G93/AK93,0),1)</f>
        <v/>
      </c>
      <c r="AF93" s="111">
        <f>IF(AL93&gt;0,IFERROR(H93/AL93,0),1)</f>
        <v/>
      </c>
      <c r="AG93" s="104">
        <f>T93-(U93+AM93+AQ93)</f>
        <v/>
      </c>
      <c r="AH93" s="104">
        <f>Q93-(U93+AN93+AQ93)</f>
        <v/>
      </c>
      <c r="AI93" s="104">
        <f>(AK93-AO93)</f>
        <v/>
      </c>
      <c r="AJ93" s="104">
        <f>(AL93-AP93)</f>
        <v/>
      </c>
      <c r="AK93" s="110">
        <f>R93+AH93</f>
        <v/>
      </c>
      <c r="AL93" s="110">
        <f>S93+AI93</f>
        <v/>
      </c>
      <c r="AM93" s="104" t="n">
        <v>45432</v>
      </c>
      <c r="AN93" s="104" t="n">
        <v>2232</v>
      </c>
      <c r="AO93" s="104" t="n">
        <v>21600</v>
      </c>
      <c r="AP93" s="104" t="n">
        <v>21600</v>
      </c>
      <c r="AQ93" s="104" t="n">
        <v>0</v>
      </c>
      <c r="AR93" s="104" t="n"/>
      <c r="AS93" s="112" t="n"/>
    </row>
    <row r="94" ht="12.65" customHeight="1" s="79">
      <c r="A94" s="104">
        <f>MIN(U94,Q94)</f>
        <v/>
      </c>
      <c r="B94" s="104">
        <f>MIN(U94,T94)</f>
        <v/>
      </c>
      <c r="C94" s="104">
        <f>MIN(W94,Q94)</f>
        <v/>
      </c>
      <c r="D94" s="104">
        <f>MIN(W94,T94)</f>
        <v/>
      </c>
      <c r="E94" s="104">
        <f>MIN((U94+AM94+AQ94),T94)</f>
        <v/>
      </c>
      <c r="F94" s="104">
        <f>MAX(MIN((U94+AN94+AQ94),Q94),0)</f>
        <v/>
      </c>
      <c r="G94" s="104">
        <f>MAX(MIN(AO94,AK94),0)</f>
        <v/>
      </c>
      <c r="H94" s="104">
        <f>MAX(MIN(AP94,AL94),0)</f>
        <v/>
      </c>
      <c r="I94" s="105" t="inlineStr">
        <is>
          <t>MAHIMA VOHRA</t>
        </is>
      </c>
      <c r="J94" s="106" t="inlineStr">
        <is>
          <t>NON FOOD</t>
        </is>
      </c>
      <c r="K94" s="107" t="inlineStr">
        <is>
          <t>NF_FRAGNANCE</t>
        </is>
      </c>
      <c r="L94" s="107" t="inlineStr">
        <is>
          <t>NF_F_PERFUME</t>
        </is>
      </c>
      <c r="M94" s="107" t="inlineStr">
        <is>
          <t>ARTICLE</t>
        </is>
      </c>
      <c r="N94" s="108" t="n">
        <v>0.129391213679496</v>
      </c>
      <c r="O94" s="108" t="n">
        <v>0.110897538576539</v>
      </c>
      <c r="P94" s="109" t="n">
        <v>35</v>
      </c>
      <c r="Q94" s="110" t="n">
        <v>19015</v>
      </c>
      <c r="R94" s="110" t="n">
        <v>3158.10271288911</v>
      </c>
      <c r="S94" s="110" t="n">
        <v>3773.14276986805</v>
      </c>
      <c r="T94" s="110" t="n">
        <v>25946.2454827572</v>
      </c>
      <c r="U94" s="104" t="n">
        <v>11304</v>
      </c>
      <c r="V94" s="104" t="n">
        <v>4200</v>
      </c>
      <c r="W94" s="104">
        <f>$U94+$V94</f>
        <v/>
      </c>
      <c r="X94" s="111">
        <f>IFERROR(A94/Q94,0)</f>
        <v/>
      </c>
      <c r="Y94" s="111">
        <f>IFERROR(B94/T94,0)</f>
        <v/>
      </c>
      <c r="Z94" s="111">
        <f>IFERROR(C94/Q94,0)</f>
        <v/>
      </c>
      <c r="AA94" s="111">
        <f>IFERROR(D94/T94,0)</f>
        <v/>
      </c>
      <c r="AC94" s="111">
        <f>IF(T94&gt;0,IFERROR(E94/T94,0),1)</f>
        <v/>
      </c>
      <c r="AD94" s="111">
        <f>IF(Q94&gt;0,IFERROR(F94/Q94,0),1)</f>
        <v/>
      </c>
      <c r="AE94" s="111">
        <f>IF(AK94&gt;0,IFERROR(G94/AK94,0),1)</f>
        <v/>
      </c>
      <c r="AF94" s="111">
        <f>IF(AL94&gt;0,IFERROR(H94/AL94,0),1)</f>
        <v/>
      </c>
      <c r="AG94" s="104">
        <f>T94-(U94+AM94+AQ94)</f>
        <v/>
      </c>
      <c r="AH94" s="104">
        <f>Q94-(U94+AN94+AQ94)</f>
        <v/>
      </c>
      <c r="AI94" s="104">
        <f>(AK94-AO94)</f>
        <v/>
      </c>
      <c r="AJ94" s="104">
        <f>(AL94-AP94)</f>
        <v/>
      </c>
      <c r="AK94" s="110">
        <f>R94+AH94</f>
        <v/>
      </c>
      <c r="AL94" s="110">
        <f>S94+AI94</f>
        <v/>
      </c>
      <c r="AM94" s="104" t="n">
        <v>21384</v>
      </c>
      <c r="AN94" s="104" t="n">
        <v>14184</v>
      </c>
      <c r="AO94" s="104" t="n">
        <v>7200</v>
      </c>
      <c r="AP94" s="104" t="n">
        <v>0</v>
      </c>
      <c r="AQ94" s="104" t="n">
        <v>0</v>
      </c>
      <c r="AR94" s="104" t="n"/>
      <c r="AS94" s="112" t="n"/>
    </row>
    <row r="95" ht="12.65" customHeight="1" s="79">
      <c r="A95" s="104">
        <f>MIN(U95,Q95)</f>
        <v/>
      </c>
      <c r="B95" s="104">
        <f>MIN(U95,T95)</f>
        <v/>
      </c>
      <c r="C95" s="104">
        <f>MIN(W95,Q95)</f>
        <v/>
      </c>
      <c r="D95" s="104">
        <f>MIN(W95,T95)</f>
        <v/>
      </c>
      <c r="E95" s="104">
        <f>MIN((U95+AM95+AQ95),T95)</f>
        <v/>
      </c>
      <c r="F95" s="104">
        <f>MAX(MIN((U95+AN95+AQ95),Q95),0)</f>
        <v/>
      </c>
      <c r="G95" s="104">
        <f>MAX(MIN(AO95,AK95),0)</f>
        <v/>
      </c>
      <c r="H95" s="104">
        <f>MAX(MIN(AP95,AL95),0)</f>
        <v/>
      </c>
      <c r="I95" s="105" t="inlineStr">
        <is>
          <t>MAHIMA VOHRA</t>
        </is>
      </c>
      <c r="J95" s="106" t="inlineStr">
        <is>
          <t>NON FOOD</t>
        </is>
      </c>
      <c r="K95" s="107" t="inlineStr">
        <is>
          <t>NF_FRAGNANCE</t>
        </is>
      </c>
      <c r="L95" s="107" t="inlineStr">
        <is>
          <t>NF_F_TALCUM</t>
        </is>
      </c>
      <c r="M95" s="107" t="inlineStr">
        <is>
          <t>ARTICLE</t>
        </is>
      </c>
      <c r="N95" s="108" t="n">
        <v>0.09413315600975281</v>
      </c>
      <c r="O95" s="108" t="n">
        <v>0.0800769508236143</v>
      </c>
      <c r="P95" s="109" t="n">
        <v>179</v>
      </c>
      <c r="Q95" s="110" t="n">
        <v>0</v>
      </c>
      <c r="R95" s="110" t="n">
        <v>0</v>
      </c>
      <c r="S95" s="110" t="n">
        <v>0</v>
      </c>
      <c r="T95" s="110" t="n">
        <v>0</v>
      </c>
      <c r="U95" s="104" t="n">
        <v>0</v>
      </c>
      <c r="V95" s="104" t="n">
        <v>0</v>
      </c>
      <c r="W95" s="104">
        <f>$U95+$V95</f>
        <v/>
      </c>
      <c r="X95" s="111">
        <f>IFERROR(A95/Q95,0)</f>
        <v/>
      </c>
      <c r="Y95" s="111">
        <f>IFERROR(B95/T95,0)</f>
        <v/>
      </c>
      <c r="Z95" s="111">
        <f>IFERROR(C95/Q95,0)</f>
        <v/>
      </c>
      <c r="AA95" s="111">
        <f>IFERROR(D95/T95,0)</f>
        <v/>
      </c>
      <c r="AC95" s="111">
        <f>IF(T95&gt;0,IFERROR(E95/T95,0),1)</f>
        <v/>
      </c>
      <c r="AD95" s="111">
        <f>IF(Q95&gt;0,IFERROR(F95/Q95,0),1)</f>
        <v/>
      </c>
      <c r="AE95" s="111">
        <f>IF(AK95&gt;0,IFERROR(G95/AK95,0),1)</f>
        <v/>
      </c>
      <c r="AF95" s="111">
        <f>IF(AL95&gt;0,IFERROR(H95/AL95,0),1)</f>
        <v/>
      </c>
      <c r="AG95" s="104">
        <f>T95-(U95+AM95+AQ95)</f>
        <v/>
      </c>
      <c r="AH95" s="104">
        <f>Q95-(U95+AN95+AQ95)</f>
        <v/>
      </c>
      <c r="AI95" s="104">
        <f>(AK95-AO95)</f>
        <v/>
      </c>
      <c r="AJ95" s="104">
        <f>(AL95-AP95)</f>
        <v/>
      </c>
      <c r="AK95" s="110">
        <f>R95+AH95</f>
        <v/>
      </c>
      <c r="AL95" s="110">
        <f>S95+AI95</f>
        <v/>
      </c>
      <c r="AM95" s="104" t="n">
        <v>0</v>
      </c>
      <c r="AN95" s="104" t="n">
        <v>0</v>
      </c>
      <c r="AO95" s="104" t="n">
        <v>0</v>
      </c>
      <c r="AP95" s="104" t="n">
        <v>0</v>
      </c>
      <c r="AQ95" s="104" t="n">
        <v>0</v>
      </c>
      <c r="AR95" s="104" t="n"/>
      <c r="AS95" s="112" t="n"/>
    </row>
    <row r="96" ht="12.65" customHeight="1" s="79">
      <c r="A96" s="104">
        <f>MIN(U96,Q96)</f>
        <v/>
      </c>
      <c r="B96" s="104">
        <f>MIN(U96,T96)</f>
        <v/>
      </c>
      <c r="C96" s="104">
        <f>MIN(W96,Q96)</f>
        <v/>
      </c>
      <c r="D96" s="104">
        <f>MIN(W96,T96)</f>
        <v/>
      </c>
      <c r="E96" s="104">
        <f>MIN((U96+AM96+AQ96),T96)</f>
        <v/>
      </c>
      <c r="F96" s="104">
        <f>MAX(MIN((U96+AN96+AQ96),Q96),0)</f>
        <v/>
      </c>
      <c r="G96" s="104">
        <f>MAX(MIN(AO96,AK96),0)</f>
        <v/>
      </c>
      <c r="H96" s="104">
        <f>MAX(MIN(AP96,AL96),0)</f>
        <v/>
      </c>
      <c r="I96" s="105" t="inlineStr">
        <is>
          <t>MAHIMA VOHRA</t>
        </is>
      </c>
      <c r="J96" s="106" t="inlineStr">
        <is>
          <t>SPORTS  &amp; TOYS</t>
        </is>
      </c>
      <c r="K96" s="107" t="inlineStr">
        <is>
          <t>SF_SPORT INDOOR</t>
        </is>
      </c>
      <c r="L96" s="107" t="inlineStr">
        <is>
          <t>SF_ID_BALLS</t>
        </is>
      </c>
      <c r="M96" s="107" t="inlineStr">
        <is>
          <t>ARTICLE</t>
        </is>
      </c>
      <c r="N96" s="108" t="n">
        <v>0.15760100989925</v>
      </c>
      <c r="O96" s="108" t="n">
        <v>0.138641252663537</v>
      </c>
      <c r="P96" s="109" t="n">
        <v>39</v>
      </c>
      <c r="Q96" s="110" t="n">
        <v>16149</v>
      </c>
      <c r="R96" s="110" t="n">
        <v>15974.5442724576</v>
      </c>
      <c r="S96" s="110" t="n">
        <v>16182.487676562</v>
      </c>
      <c r="T96" s="110" t="n">
        <v>48306.0319490196</v>
      </c>
      <c r="U96" s="104" t="n">
        <v>22795</v>
      </c>
      <c r="V96" s="104" t="n">
        <v>0</v>
      </c>
      <c r="W96" s="104">
        <f>$U96+$V96</f>
        <v/>
      </c>
      <c r="X96" s="111">
        <f>IFERROR(A96/Q96,0)</f>
        <v/>
      </c>
      <c r="Y96" s="111">
        <f>IFERROR(B96/T96,0)</f>
        <v/>
      </c>
      <c r="Z96" s="111">
        <f>IFERROR(C96/Q96,0)</f>
        <v/>
      </c>
      <c r="AA96" s="111">
        <f>IFERROR(D96/T96,0)</f>
        <v/>
      </c>
      <c r="AC96" s="111">
        <f>IF(T96&gt;0,IFERROR(E96/T96,0),1)</f>
        <v/>
      </c>
      <c r="AD96" s="111">
        <f>IF(Q96&gt;0,IFERROR(F96/Q96,0),1)</f>
        <v/>
      </c>
      <c r="AE96" s="111">
        <f>IF(AK96&gt;0,IFERROR(G96/AK96,0),1)</f>
        <v/>
      </c>
      <c r="AF96" s="111">
        <f>IF(AL96&gt;0,IFERROR(H96/AL96,0),1)</f>
        <v/>
      </c>
      <c r="AG96" s="104">
        <f>T96-(U96+AM96+AQ96)</f>
        <v/>
      </c>
      <c r="AH96" s="104">
        <f>Q96-(U96+AN96+AQ96)</f>
        <v/>
      </c>
      <c r="AI96" s="104">
        <f>(AK96-AO96)</f>
        <v/>
      </c>
      <c r="AJ96" s="104">
        <f>(AL96-AP96)</f>
        <v/>
      </c>
      <c r="AK96" s="110">
        <f>R96+AH96</f>
        <v/>
      </c>
      <c r="AL96" s="110">
        <f>S96+AI96</f>
        <v/>
      </c>
      <c r="AM96" s="104" t="n">
        <v>37212</v>
      </c>
      <c r="AN96" s="104" t="n">
        <v>7200</v>
      </c>
      <c r="AO96" s="104" t="n">
        <v>18012</v>
      </c>
      <c r="AP96" s="104" t="n">
        <v>12000</v>
      </c>
      <c r="AQ96" s="104" t="n">
        <v>0</v>
      </c>
      <c r="AR96" s="104" t="n"/>
      <c r="AS96" s="104" t="n"/>
    </row>
    <row r="97" ht="12.65" customHeight="1" s="79">
      <c r="A97" s="104">
        <f>MIN(U97,Q97)</f>
        <v/>
      </c>
      <c r="B97" s="104">
        <f>MIN(U97,T97)</f>
        <v/>
      </c>
      <c r="C97" s="104">
        <f>MIN(W97,Q97)</f>
        <v/>
      </c>
      <c r="D97" s="104">
        <f>MIN(W97,T97)</f>
        <v/>
      </c>
      <c r="E97" s="104">
        <f>MIN((U97+AM97+AQ97),T97)</f>
        <v/>
      </c>
      <c r="F97" s="104">
        <f>MAX(MIN((U97+AN97+AQ97),Q97),0)</f>
        <v/>
      </c>
      <c r="G97" s="104">
        <f>MAX(MIN(AO97,AK97),0)</f>
        <v/>
      </c>
      <c r="H97" s="104">
        <f>MAX(MIN(AP97,AL97),0)</f>
        <v/>
      </c>
      <c r="I97" s="105" t="inlineStr">
        <is>
          <t>MAHIMA VOHRA</t>
        </is>
      </c>
      <c r="J97" s="106" t="inlineStr">
        <is>
          <t>SPORTS  &amp; TOYS</t>
        </is>
      </c>
      <c r="K97" s="107" t="inlineStr">
        <is>
          <t>TG_NON SOFT TOYS</t>
        </is>
      </c>
      <c r="L97" s="107" t="inlineStr">
        <is>
          <t>TG_NS_P_SET</t>
        </is>
      </c>
      <c r="M97" s="107" t="inlineStr">
        <is>
          <t>ARTICLE</t>
        </is>
      </c>
      <c r="N97" s="108" t="n">
        <v>0.150494760488542</v>
      </c>
      <c r="O97" s="108" t="n">
        <v>0.129049746280956</v>
      </c>
      <c r="P97" s="109" t="n">
        <v>14</v>
      </c>
      <c r="Q97" s="110" t="n">
        <v>56010</v>
      </c>
      <c r="R97" s="110" t="n">
        <v>42279.6843509969</v>
      </c>
      <c r="S97" s="110" t="n">
        <v>24482.3056598562</v>
      </c>
      <c r="T97" s="110" t="n">
        <v>122771.990010853</v>
      </c>
      <c r="U97" s="104" t="n">
        <v>37787</v>
      </c>
      <c r="V97" s="104" t="n">
        <v>11760</v>
      </c>
      <c r="W97" s="104">
        <f>$U97+$V97</f>
        <v/>
      </c>
      <c r="X97" s="111">
        <f>IFERROR(A97/Q97,0)</f>
        <v/>
      </c>
      <c r="Y97" s="111">
        <f>IFERROR(B97/T97,0)</f>
        <v/>
      </c>
      <c r="Z97" s="111">
        <f>IFERROR(C97/Q97,0)</f>
        <v/>
      </c>
      <c r="AA97" s="111">
        <f>IFERROR(D97/T97,0)</f>
        <v/>
      </c>
      <c r="AC97" s="111">
        <f>IF(T97&gt;0,IFERROR(E97/T97,0),1)</f>
        <v/>
      </c>
      <c r="AD97" s="111">
        <f>IF(Q97&gt;0,IFERROR(F97/Q97,0),1)</f>
        <v/>
      </c>
      <c r="AE97" s="111">
        <f>IF(AK97&gt;0,IFERROR(G97/AK97,0),1)</f>
        <v/>
      </c>
      <c r="AF97" s="111">
        <f>IF(AL97&gt;0,IFERROR(H97/AL97,0),1)</f>
        <v/>
      </c>
      <c r="AG97" s="104">
        <f>T97-(U97+AM97+AQ97)</f>
        <v/>
      </c>
      <c r="AH97" s="104">
        <f>Q97-(U97+AN97+AQ97)</f>
        <v/>
      </c>
      <c r="AI97" s="104">
        <f>(AK97-AO97)</f>
        <v/>
      </c>
      <c r="AJ97" s="104">
        <f>(AL97-AP97)</f>
        <v/>
      </c>
      <c r="AK97" s="110">
        <f>R97+AH97</f>
        <v/>
      </c>
      <c r="AL97" s="110">
        <f>S97+AI97</f>
        <v/>
      </c>
      <c r="AM97" s="104" t="n">
        <v>68436</v>
      </c>
      <c r="AN97" s="104" t="n">
        <v>22596</v>
      </c>
      <c r="AO97" s="104" t="n">
        <v>38400</v>
      </c>
      <c r="AP97" s="104" t="n">
        <v>7440</v>
      </c>
      <c r="AQ97" s="104" t="n">
        <v>0</v>
      </c>
      <c r="AR97" s="104" t="n"/>
      <c r="AS97" s="104" t="n"/>
    </row>
    <row r="98" ht="12.65" customHeight="1" s="79">
      <c r="A98" s="104">
        <f>MIN(U98,Q98)</f>
        <v/>
      </c>
      <c r="B98" s="104">
        <f>MIN(U98,T98)</f>
        <v/>
      </c>
      <c r="C98" s="104">
        <f>MIN(W98,Q98)</f>
        <v/>
      </c>
      <c r="D98" s="104">
        <f>MIN(W98,T98)</f>
        <v/>
      </c>
      <c r="E98" s="104">
        <f>MIN((U98+AM98+AQ98),T98)</f>
        <v/>
      </c>
      <c r="F98" s="104">
        <f>MAX(MIN((U98+AN98+AQ98),Q98),0)</f>
        <v/>
      </c>
      <c r="G98" s="104">
        <f>MAX(MIN(AO98,AK98),0)</f>
        <v/>
      </c>
      <c r="H98" s="104">
        <f>MAX(MIN(AP98,AL98),0)</f>
        <v/>
      </c>
      <c r="I98" s="105" t="inlineStr">
        <is>
          <t>MAHIMA VOHRA</t>
        </is>
      </c>
      <c r="J98" s="106" t="inlineStr">
        <is>
          <t>SPORTS  &amp; TOYS</t>
        </is>
      </c>
      <c r="K98" s="107" t="inlineStr">
        <is>
          <t>TG_NON SOFT TOYS</t>
        </is>
      </c>
      <c r="L98" s="107" t="inlineStr">
        <is>
          <t>TG_NS_P_TOYS</t>
        </is>
      </c>
      <c r="M98" s="107" t="inlineStr">
        <is>
          <t>ARTICLE</t>
        </is>
      </c>
      <c r="N98" s="108" t="n">
        <v>0.110241787740294</v>
      </c>
      <c r="O98" s="108" t="n">
        <v>0.0911351846893253</v>
      </c>
      <c r="P98" s="109" t="n">
        <v>27</v>
      </c>
      <c r="Q98" s="110" t="n">
        <v>37052</v>
      </c>
      <c r="R98" s="110" t="n">
        <v>25476.1601926363</v>
      </c>
      <c r="S98" s="110" t="n">
        <v>20928.8048949007</v>
      </c>
      <c r="T98" s="110" t="n">
        <v>83456.965087537</v>
      </c>
      <c r="U98" s="104" t="n">
        <v>37151</v>
      </c>
      <c r="V98" s="104" t="n">
        <v>0</v>
      </c>
      <c r="W98" s="104">
        <f>$U98+$V98</f>
        <v/>
      </c>
      <c r="X98" s="111">
        <f>IFERROR(A98/Q98,0)</f>
        <v/>
      </c>
      <c r="Y98" s="111">
        <f>IFERROR(B98/T98,0)</f>
        <v/>
      </c>
      <c r="Z98" s="111">
        <f>IFERROR(C98/Q98,0)</f>
        <v/>
      </c>
      <c r="AA98" s="111">
        <f>IFERROR(D98/T98,0)</f>
        <v/>
      </c>
      <c r="AC98" s="111">
        <f>IF(T98&gt;0,IFERROR(E98/T98,0),1)</f>
        <v/>
      </c>
      <c r="AD98" s="111">
        <f>IF(Q98&gt;0,IFERROR(F98/Q98,0),1)</f>
        <v/>
      </c>
      <c r="AE98" s="111">
        <f>IF(AK98&gt;0,IFERROR(G98/AK98,0),1)</f>
        <v/>
      </c>
      <c r="AF98" s="111">
        <f>IF(AL98&gt;0,IFERROR(H98/AL98,0),1)</f>
        <v/>
      </c>
      <c r="AG98" s="104">
        <f>T98-(U98+AM98+AQ98)</f>
        <v/>
      </c>
      <c r="AH98" s="104">
        <f>Q98-(U98+AN98+AQ98)</f>
        <v/>
      </c>
      <c r="AI98" s="104">
        <f>(AK98-AO98)</f>
        <v/>
      </c>
      <c r="AJ98" s="104">
        <f>(AL98-AP98)</f>
        <v/>
      </c>
      <c r="AK98" s="110">
        <f>R98+AH98</f>
        <v/>
      </c>
      <c r="AL98" s="110">
        <f>S98+AI98</f>
        <v/>
      </c>
      <c r="AM98" s="104" t="n">
        <v>32400</v>
      </c>
      <c r="AN98" s="104" t="n">
        <v>1680</v>
      </c>
      <c r="AO98" s="104" t="n">
        <v>18720</v>
      </c>
      <c r="AP98" s="104" t="n">
        <v>12000</v>
      </c>
      <c r="AQ98" s="104" t="n">
        <v>0</v>
      </c>
      <c r="AR98" s="104" t="n"/>
      <c r="AS98" s="112" t="n"/>
    </row>
    <row r="99" ht="12.65" customHeight="1" s="79">
      <c r="A99" s="104">
        <f>MIN(U99,Q99)</f>
        <v/>
      </c>
      <c r="B99" s="104">
        <f>MIN(U99,T99)</f>
        <v/>
      </c>
      <c r="C99" s="104">
        <f>MIN(W99,Q99)</f>
        <v/>
      </c>
      <c r="D99" s="104">
        <f>MIN(W99,T99)</f>
        <v/>
      </c>
      <c r="E99" s="104">
        <f>MIN((U99+AM99+AQ99),T99)</f>
        <v/>
      </c>
      <c r="F99" s="104">
        <f>MAX(MIN((U99+AN99+AQ99),Q99),0)</f>
        <v/>
      </c>
      <c r="G99" s="104">
        <f>MAX(MIN(AO99,AK99),0)</f>
        <v/>
      </c>
      <c r="H99" s="104">
        <f>MAX(MIN(AP99,AL99),0)</f>
        <v/>
      </c>
      <c r="I99" s="105" t="inlineStr">
        <is>
          <t>MAHIMA VOHRA</t>
        </is>
      </c>
      <c r="J99" s="106" t="inlineStr">
        <is>
          <t>SPORTS  &amp; TOYS</t>
        </is>
      </c>
      <c r="K99" s="107" t="inlineStr">
        <is>
          <t>TG_NON SOFT TOYS</t>
        </is>
      </c>
      <c r="L99" s="107" t="inlineStr">
        <is>
          <t>TG_NS_FRICTION</t>
        </is>
      </c>
      <c r="M99" s="107" t="inlineStr">
        <is>
          <t>ARTICLE</t>
        </is>
      </c>
      <c r="N99" s="108" t="n">
        <v>0.133453175826057</v>
      </c>
      <c r="O99" s="108" t="n">
        <v>0.13415986489187</v>
      </c>
      <c r="P99" s="109" t="n">
        <v>24</v>
      </c>
      <c r="Q99" s="110" t="n">
        <v>23147</v>
      </c>
      <c r="R99" s="110" t="n">
        <v>13279.5751766703</v>
      </c>
      <c r="S99" s="110" t="n">
        <v>8500.814163355821</v>
      </c>
      <c r="T99" s="110" t="n">
        <v>44927.3893400262</v>
      </c>
      <c r="U99" s="104" t="n">
        <v>22368</v>
      </c>
      <c r="V99" s="104" t="n">
        <v>3120</v>
      </c>
      <c r="W99" s="104">
        <f>$U99+$V99</f>
        <v/>
      </c>
      <c r="X99" s="111">
        <f>IFERROR(A99/Q99,0)</f>
        <v/>
      </c>
      <c r="Y99" s="111">
        <f>IFERROR(B99/T99,0)</f>
        <v/>
      </c>
      <c r="Z99" s="111">
        <f>IFERROR(C99/Q99,0)</f>
        <v/>
      </c>
      <c r="AA99" s="111">
        <f>IFERROR(D99/T99,0)</f>
        <v/>
      </c>
      <c r="AC99" s="111">
        <f>IF(T99&gt;0,IFERROR(E99/T99,0),1)</f>
        <v/>
      </c>
      <c r="AD99" s="111">
        <f>IF(Q99&gt;0,IFERROR(F99/Q99,0),1)</f>
        <v/>
      </c>
      <c r="AE99" s="111">
        <f>IF(AK99&gt;0,IFERROR(G99/AK99,0),1)</f>
        <v/>
      </c>
      <c r="AF99" s="111">
        <f>IF(AL99&gt;0,IFERROR(H99/AL99,0),1)</f>
        <v/>
      </c>
      <c r="AG99" s="104">
        <f>T99-(U99+AM99+AQ99)</f>
        <v/>
      </c>
      <c r="AH99" s="104">
        <f>Q99-(U99+AN99+AQ99)</f>
        <v/>
      </c>
      <c r="AI99" s="104">
        <f>(AK99-AO99)</f>
        <v/>
      </c>
      <c r="AJ99" s="104">
        <f>(AL99-AP99)</f>
        <v/>
      </c>
      <c r="AK99" s="110">
        <f>R99+AH99</f>
        <v/>
      </c>
      <c r="AL99" s="110">
        <f>S99+AI99</f>
        <v/>
      </c>
      <c r="AM99" s="104" t="n">
        <v>38040</v>
      </c>
      <c r="AN99" s="104" t="n">
        <v>4800</v>
      </c>
      <c r="AO99" s="104" t="n">
        <v>23400</v>
      </c>
      <c r="AP99" s="104" t="n">
        <v>9840</v>
      </c>
      <c r="AQ99" s="104" t="n">
        <v>0</v>
      </c>
      <c r="AR99" s="104" t="n"/>
      <c r="AS99" s="112" t="n"/>
    </row>
    <row r="100" ht="12.65" customHeight="1" s="79">
      <c r="A100" s="104">
        <f>MIN(U100,Q100)</f>
        <v/>
      </c>
      <c r="B100" s="104">
        <f>MIN(U100,T100)</f>
        <v/>
      </c>
      <c r="C100" s="104">
        <f>MIN(W100,Q100)</f>
        <v/>
      </c>
      <c r="D100" s="104">
        <f>MIN(W100,T100)</f>
        <v/>
      </c>
      <c r="E100" s="104">
        <f>MIN((U100+AM100+AQ100),T100)</f>
        <v/>
      </c>
      <c r="F100" s="104">
        <f>MAX(MIN((U100+AN100+AQ100),Q100),0)</f>
        <v/>
      </c>
      <c r="G100" s="104">
        <f>MAX(MIN(AO100,AK100),0)</f>
        <v/>
      </c>
      <c r="H100" s="104">
        <f>MAX(MIN(AP100,AL100),0)</f>
        <v/>
      </c>
      <c r="I100" s="105" t="inlineStr">
        <is>
          <t>MAHIMA VOHRA</t>
        </is>
      </c>
      <c r="J100" s="106" t="inlineStr">
        <is>
          <t>SPORTS  &amp; TOYS</t>
        </is>
      </c>
      <c r="K100" s="107" t="inlineStr">
        <is>
          <t>TG_NON SOFT TOYS</t>
        </is>
      </c>
      <c r="L100" s="107" t="inlineStr">
        <is>
          <t>TG_NS_BLOCKS</t>
        </is>
      </c>
      <c r="M100" s="107" t="inlineStr">
        <is>
          <t>ARTICLE</t>
        </is>
      </c>
      <c r="N100" s="108" t="n">
        <v>0.119937768386971</v>
      </c>
      <c r="O100" s="108" t="n">
        <v>0.115317620747495</v>
      </c>
      <c r="P100" s="109" t="n">
        <v>55</v>
      </c>
      <c r="Q100" s="110" t="n">
        <v>15568</v>
      </c>
      <c r="R100" s="110" t="n">
        <v>11379.9596296137</v>
      </c>
      <c r="S100" s="110" t="n">
        <v>9685.60681172739</v>
      </c>
      <c r="T100" s="110" t="n">
        <v>36633.566441341</v>
      </c>
      <c r="U100" s="104" t="n">
        <v>11208</v>
      </c>
      <c r="V100" s="104" t="n">
        <v>0</v>
      </c>
      <c r="W100" s="104">
        <f>$U100+$V100</f>
        <v/>
      </c>
      <c r="X100" s="111">
        <f>IFERROR(A100/Q100,0)</f>
        <v/>
      </c>
      <c r="Y100" s="111">
        <f>IFERROR(B100/T100,0)</f>
        <v/>
      </c>
      <c r="Z100" s="111">
        <f>IFERROR(C100/Q100,0)</f>
        <v/>
      </c>
      <c r="AA100" s="111">
        <f>IFERROR(D100/T100,0)</f>
        <v/>
      </c>
      <c r="AC100" s="111">
        <f>IF(T100&gt;0,IFERROR(E100/T100,0),1)</f>
        <v/>
      </c>
      <c r="AD100" s="111">
        <f>IF(Q100&gt;0,IFERROR(F100/Q100,0),1)</f>
        <v/>
      </c>
      <c r="AE100" s="111">
        <f>IF(AK100&gt;0,IFERROR(G100/AK100,0),1)</f>
        <v/>
      </c>
      <c r="AF100" s="111">
        <f>IF(AL100&gt;0,IFERROR(H100/AL100,0),1)</f>
        <v/>
      </c>
      <c r="AG100" s="104">
        <f>T100-(U100+AM100+AQ100)</f>
        <v/>
      </c>
      <c r="AH100" s="104">
        <f>Q100-(U100+AN100+AQ100)</f>
        <v/>
      </c>
      <c r="AI100" s="104">
        <f>(AK100-AO100)</f>
        <v/>
      </c>
      <c r="AJ100" s="104">
        <f>(AL100-AP100)</f>
        <v/>
      </c>
      <c r="AK100" s="110">
        <f>R100+AH100</f>
        <v/>
      </c>
      <c r="AL100" s="110">
        <f>S100+AI100</f>
        <v/>
      </c>
      <c r="AM100" s="104" t="n">
        <v>14532</v>
      </c>
      <c r="AN100" s="104" t="n">
        <v>4320</v>
      </c>
      <c r="AO100" s="104" t="n">
        <v>10212</v>
      </c>
      <c r="AP100" s="104" t="n">
        <v>0</v>
      </c>
      <c r="AQ100" s="104" t="n">
        <v>0</v>
      </c>
      <c r="AR100" s="104" t="n"/>
      <c r="AS100" s="104" t="n"/>
    </row>
    <row r="101" ht="12.65" customHeight="1" s="79">
      <c r="A101" s="104">
        <f>MIN(U101,Q101)</f>
        <v/>
      </c>
      <c r="B101" s="104">
        <f>MIN(U101,T101)</f>
        <v/>
      </c>
      <c r="C101" s="104">
        <f>MIN(W101,Q101)</f>
        <v/>
      </c>
      <c r="D101" s="104">
        <f>MIN(W101,T101)</f>
        <v/>
      </c>
      <c r="E101" s="104">
        <f>MIN((U101+AM101+AQ101),T101)</f>
        <v/>
      </c>
      <c r="F101" s="104">
        <f>MAX(MIN((U101+AN101+AQ101),Q101),0)</f>
        <v/>
      </c>
      <c r="G101" s="104">
        <f>MAX(MIN(AO101,AK101),0)</f>
        <v/>
      </c>
      <c r="H101" s="104">
        <f>MAX(MIN(AP101,AL101),0)</f>
        <v/>
      </c>
      <c r="I101" s="105" t="inlineStr">
        <is>
          <t>MAHIMA VOHRA</t>
        </is>
      </c>
      <c r="J101" s="106" t="inlineStr">
        <is>
          <t>SPORTS  &amp; TOYS</t>
        </is>
      </c>
      <c r="K101" s="107" t="inlineStr">
        <is>
          <t>TG_NON SOFT TOYS</t>
        </is>
      </c>
      <c r="L101" s="107" t="inlineStr">
        <is>
          <t>TG_NS_PULL ALONG</t>
        </is>
      </c>
      <c r="M101" s="107" t="inlineStr">
        <is>
          <t>ARTICLE</t>
        </is>
      </c>
      <c r="N101" s="108" t="n">
        <v>0.137808135000355</v>
      </c>
      <c r="O101" s="108" t="n">
        <v>0.10048823939697</v>
      </c>
      <c r="P101" s="109" t="n">
        <v>81</v>
      </c>
      <c r="Q101" s="110" t="n">
        <v>5641</v>
      </c>
      <c r="R101" s="110" t="n">
        <v>12824.7745793524</v>
      </c>
      <c r="S101" s="110" t="n">
        <v>9275.26752597467</v>
      </c>
      <c r="T101" s="110" t="n">
        <v>27741.0421053271</v>
      </c>
      <c r="U101" s="104" t="n">
        <v>8208</v>
      </c>
      <c r="V101" s="104" t="n">
        <v>0</v>
      </c>
      <c r="W101" s="104">
        <f>$U101+$V101</f>
        <v/>
      </c>
      <c r="X101" s="111">
        <f>IFERROR(A101/Q101,0)</f>
        <v/>
      </c>
      <c r="Y101" s="111">
        <f>IFERROR(B101/T101,0)</f>
        <v/>
      </c>
      <c r="Z101" s="111">
        <f>IFERROR(C101/Q101,0)</f>
        <v/>
      </c>
      <c r="AA101" s="111">
        <f>IFERROR(D101/T101,0)</f>
        <v/>
      </c>
      <c r="AC101" s="111">
        <f>IF(T101&gt;0,IFERROR(E101/T101,0),1)</f>
        <v/>
      </c>
      <c r="AD101" s="111">
        <f>IF(Q101&gt;0,IFERROR(F101/Q101,0),1)</f>
        <v/>
      </c>
      <c r="AE101" s="111">
        <f>IF(AK101&gt;0,IFERROR(G101/AK101,0),1)</f>
        <v/>
      </c>
      <c r="AF101" s="111">
        <f>IF(AL101&gt;0,IFERROR(H101/AL101,0),1)</f>
        <v/>
      </c>
      <c r="AG101" s="104">
        <f>T101-(U101+AM101+AQ101)</f>
        <v/>
      </c>
      <c r="AH101" s="104">
        <f>Q101-(U101+AN101+AQ101)</f>
        <v/>
      </c>
      <c r="AI101" s="104">
        <f>(AK101-AO101)</f>
        <v/>
      </c>
      <c r="AJ101" s="104">
        <f>(AL101-AP101)</f>
        <v/>
      </c>
      <c r="AK101" s="110">
        <f>R101+AH101</f>
        <v/>
      </c>
      <c r="AL101" s="110">
        <f>S101+AI101</f>
        <v/>
      </c>
      <c r="AM101" s="104" t="n">
        <v>18300</v>
      </c>
      <c r="AN101" s="104" t="n">
        <v>2700</v>
      </c>
      <c r="AO101" s="104" t="n">
        <v>8880</v>
      </c>
      <c r="AP101" s="104" t="n">
        <v>6720</v>
      </c>
      <c r="AQ101" s="104" t="n">
        <v>0</v>
      </c>
      <c r="AR101" s="104" t="n"/>
      <c r="AS101" s="112" t="n"/>
    </row>
    <row r="102" ht="12.65" customHeight="1" s="79">
      <c r="A102" s="104">
        <f>MIN(U102,Q102)</f>
        <v/>
      </c>
      <c r="B102" s="104">
        <f>MIN(U102,T102)</f>
        <v/>
      </c>
      <c r="C102" s="104">
        <f>MIN(W102,Q102)</f>
        <v/>
      </c>
      <c r="D102" s="104">
        <f>MIN(W102,T102)</f>
        <v/>
      </c>
      <c r="E102" s="104">
        <f>MIN((U102+AM102+AQ102),T102)</f>
        <v/>
      </c>
      <c r="F102" s="104">
        <f>MAX(MIN((U102+AN102+AQ102),Q102),0)</f>
        <v/>
      </c>
      <c r="G102" s="104">
        <f>MAX(MIN(AO102,AK102),0)</f>
        <v/>
      </c>
      <c r="H102" s="104">
        <f>MAX(MIN(AP102,AL102),0)</f>
        <v/>
      </c>
      <c r="I102" s="105" t="inlineStr">
        <is>
          <t>MAHIMA VOHRA</t>
        </is>
      </c>
      <c r="J102" s="106" t="inlineStr">
        <is>
          <t>SPORTS  &amp; TOYS</t>
        </is>
      </c>
      <c r="K102" s="107" t="inlineStr">
        <is>
          <t>TG_NON SOFT TOYS</t>
        </is>
      </c>
      <c r="L102" s="107" t="inlineStr">
        <is>
          <t>TG_NS_VNL_TOYS</t>
        </is>
      </c>
      <c r="M102" s="107" t="inlineStr">
        <is>
          <t>ARTICLE</t>
        </is>
      </c>
      <c r="N102" s="108" t="n">
        <v>0.136602253210771</v>
      </c>
      <c r="O102" s="108" t="n">
        <v>0.118269424387999</v>
      </c>
      <c r="P102" s="109" t="n">
        <v>49</v>
      </c>
      <c r="Q102" s="110" t="n">
        <v>12592</v>
      </c>
      <c r="R102" s="110" t="n">
        <v>6413.71839678316</v>
      </c>
      <c r="S102" s="110" t="n">
        <v>5500.79983714854</v>
      </c>
      <c r="T102" s="110" t="n">
        <v>24506.5182339317</v>
      </c>
      <c r="U102" s="104" t="n">
        <v>11280</v>
      </c>
      <c r="V102" s="104" t="n">
        <v>3840</v>
      </c>
      <c r="W102" s="104">
        <f>$U102+$V102</f>
        <v/>
      </c>
      <c r="X102" s="111">
        <f>IFERROR(A102/Q102,0)</f>
        <v/>
      </c>
      <c r="Y102" s="111">
        <f>IFERROR(B102/T102,0)</f>
        <v/>
      </c>
      <c r="Z102" s="111">
        <f>IFERROR(C102/Q102,0)</f>
        <v/>
      </c>
      <c r="AA102" s="111">
        <f>IFERROR(D102/T102,0)</f>
        <v/>
      </c>
      <c r="AC102" s="111">
        <f>IF(T102&gt;0,IFERROR(E102/T102,0),1)</f>
        <v/>
      </c>
      <c r="AD102" s="111">
        <f>IF(Q102&gt;0,IFERROR(F102/Q102,0),1)</f>
        <v/>
      </c>
      <c r="AE102" s="111">
        <f>IF(AK102&gt;0,IFERROR(G102/AK102,0),1)</f>
        <v/>
      </c>
      <c r="AF102" s="111">
        <f>IF(AL102&gt;0,IFERROR(H102/AL102,0),1)</f>
        <v/>
      </c>
      <c r="AG102" s="104">
        <f>T102-(U102+AM102+AQ102)</f>
        <v/>
      </c>
      <c r="AH102" s="104">
        <f>Q102-(U102+AN102+AQ102)</f>
        <v/>
      </c>
      <c r="AI102" s="104">
        <f>(AK102-AO102)</f>
        <v/>
      </c>
      <c r="AJ102" s="104">
        <f>(AL102-AP102)</f>
        <v/>
      </c>
      <c r="AK102" s="110">
        <f>R102+AH102</f>
        <v/>
      </c>
      <c r="AL102" s="110">
        <f>S102+AI102</f>
        <v/>
      </c>
      <c r="AM102" s="104" t="n">
        <v>26040</v>
      </c>
      <c r="AN102" s="104" t="n">
        <v>5640</v>
      </c>
      <c r="AO102" s="104" t="n">
        <v>20400</v>
      </c>
      <c r="AP102" s="104" t="n">
        <v>0</v>
      </c>
      <c r="AQ102" s="104" t="n">
        <v>0</v>
      </c>
      <c r="AR102" s="104" t="n"/>
      <c r="AS102" s="112" t="n"/>
    </row>
    <row r="103" ht="12.65" customHeight="1" s="79">
      <c r="A103" s="104">
        <f>MIN(U103,Q103)</f>
        <v/>
      </c>
      <c r="B103" s="104">
        <f>MIN(U103,T103)</f>
        <v/>
      </c>
      <c r="C103" s="104">
        <f>MIN(W103,Q103)</f>
        <v/>
      </c>
      <c r="D103" s="104">
        <f>MIN(W103,T103)</f>
        <v/>
      </c>
      <c r="E103" s="104">
        <f>MIN((U103+AM103+AQ103),T103)</f>
        <v/>
      </c>
      <c r="F103" s="104">
        <f>MAX(MIN((U103+AN103+AQ103),Q103),0)</f>
        <v/>
      </c>
      <c r="G103" s="104">
        <f>MAX(MIN(AO103,AK103),0)</f>
        <v/>
      </c>
      <c r="H103" s="104">
        <f>MAX(MIN(AP103,AL103),0)</f>
        <v/>
      </c>
      <c r="I103" s="105" t="inlineStr">
        <is>
          <t>MAHIMA VOHRA</t>
        </is>
      </c>
      <c r="J103" s="106" t="inlineStr">
        <is>
          <t>SPORTS  &amp; TOYS</t>
        </is>
      </c>
      <c r="K103" s="107" t="inlineStr">
        <is>
          <t>TG_NON SOFT TOYS</t>
        </is>
      </c>
      <c r="L103" s="107" t="inlineStr">
        <is>
          <t>TG_NS_BO</t>
        </is>
      </c>
      <c r="M103" s="107" t="inlineStr">
        <is>
          <t>ARTICLE</t>
        </is>
      </c>
      <c r="N103" s="108" t="n">
        <v>0.115045297449846</v>
      </c>
      <c r="O103" s="108" t="n">
        <v>0.116651680903142</v>
      </c>
      <c r="P103" s="109" t="n">
        <v>46</v>
      </c>
      <c r="Q103" s="110" t="n">
        <v>8769</v>
      </c>
      <c r="R103" s="110" t="n">
        <v>6986.24680970337</v>
      </c>
      <c r="S103" s="110" t="n">
        <v>3705.65974749282</v>
      </c>
      <c r="T103" s="110" t="n">
        <v>19460.9065571962</v>
      </c>
      <c r="U103" s="104" t="n">
        <v>4800</v>
      </c>
      <c r="V103" s="104" t="n">
        <v>3600</v>
      </c>
      <c r="W103" s="104">
        <f>$U103+$V103</f>
        <v/>
      </c>
      <c r="X103" s="111">
        <f>IFERROR(A103/Q103,0)</f>
        <v/>
      </c>
      <c r="Y103" s="111">
        <f>IFERROR(B103/T103,0)</f>
        <v/>
      </c>
      <c r="Z103" s="111">
        <f>IFERROR(C103/Q103,0)</f>
        <v/>
      </c>
      <c r="AA103" s="111">
        <f>IFERROR(D103/T103,0)</f>
        <v/>
      </c>
      <c r="AC103" s="111">
        <f>IF(T103&gt;0,IFERROR(E103/T103,0),1)</f>
        <v/>
      </c>
      <c r="AD103" s="111">
        <f>IF(Q103&gt;0,IFERROR(F103/Q103,0),1)</f>
        <v/>
      </c>
      <c r="AE103" s="111">
        <f>IF(AK103&gt;0,IFERROR(G103/AK103,0),1)</f>
        <v/>
      </c>
      <c r="AF103" s="111">
        <f>IF(AL103&gt;0,IFERROR(H103/AL103,0),1)</f>
        <v/>
      </c>
      <c r="AG103" s="104">
        <f>T103-(U103+AM103+AQ103)</f>
        <v/>
      </c>
      <c r="AH103" s="104">
        <f>Q103-(U103+AN103+AQ103)</f>
        <v/>
      </c>
      <c r="AI103" s="104">
        <f>(AK103-AO103)</f>
        <v/>
      </c>
      <c r="AJ103" s="104">
        <f>(AL103-AP103)</f>
        <v/>
      </c>
      <c r="AK103" s="110">
        <f>R103+AH103</f>
        <v/>
      </c>
      <c r="AL103" s="110">
        <f>S103+AI103</f>
        <v/>
      </c>
      <c r="AM103" s="104" t="n">
        <v>22800</v>
      </c>
      <c r="AN103" s="104" t="n">
        <v>8400</v>
      </c>
      <c r="AO103" s="104" t="n">
        <v>7200</v>
      </c>
      <c r="AP103" s="104" t="n">
        <v>7200</v>
      </c>
      <c r="AQ103" s="104" t="n">
        <v>0</v>
      </c>
      <c r="AR103" s="104" t="n"/>
      <c r="AS103" s="112" t="n"/>
    </row>
    <row r="104" ht="12.65" customHeight="1" s="79">
      <c r="A104" s="104">
        <f>MIN(U104,Q104)</f>
        <v/>
      </c>
      <c r="B104" s="104">
        <f>MIN(U104,T104)</f>
        <v/>
      </c>
      <c r="C104" s="104">
        <f>MIN(W104,Q104)</f>
        <v/>
      </c>
      <c r="D104" s="104">
        <f>MIN(W104,T104)</f>
        <v/>
      </c>
      <c r="E104" s="104">
        <f>MIN((U104+AM104+AQ104),T104)</f>
        <v/>
      </c>
      <c r="F104" s="104">
        <f>MAX(MIN((U104+AN104+AQ104),Q104),0)</f>
        <v/>
      </c>
      <c r="G104" s="104">
        <f>MAX(MIN(AO104,AK104),0)</f>
        <v/>
      </c>
      <c r="H104" s="104">
        <f>MAX(MIN(AP104,AL104),0)</f>
        <v/>
      </c>
      <c r="I104" s="105" t="inlineStr">
        <is>
          <t>MAHIMA VOHRA</t>
        </is>
      </c>
      <c r="J104" s="106" t="inlineStr">
        <is>
          <t>SPORTS  &amp; TOYS</t>
        </is>
      </c>
      <c r="K104" s="107" t="inlineStr">
        <is>
          <t>TG_NON SOFT TOYS</t>
        </is>
      </c>
      <c r="L104" s="107" t="inlineStr">
        <is>
          <t>TG_NS_DOLLS</t>
        </is>
      </c>
      <c r="M104" s="107" t="inlineStr">
        <is>
          <t>ARTICLE</t>
        </is>
      </c>
      <c r="N104" s="108" t="n">
        <v>0.117751886905475</v>
      </c>
      <c r="O104" s="108" t="n">
        <v>0.0929340914191666</v>
      </c>
      <c r="P104" s="109" t="n">
        <v>65</v>
      </c>
      <c r="Q104" s="110" t="n">
        <v>6150</v>
      </c>
      <c r="R104" s="110" t="n">
        <v>6570.06108891758</v>
      </c>
      <c r="S104" s="110" t="n">
        <v>6581.8049074937</v>
      </c>
      <c r="T104" s="110" t="n">
        <v>19301.8659964113</v>
      </c>
      <c r="U104" s="104" t="n">
        <v>4560</v>
      </c>
      <c r="V104" s="104" t="n">
        <v>4320</v>
      </c>
      <c r="W104" s="104">
        <f>$U104+$V104</f>
        <v/>
      </c>
      <c r="X104" s="111">
        <f>IFERROR(A104/Q104,0)</f>
        <v/>
      </c>
      <c r="Y104" s="111">
        <f>IFERROR(B104/T104,0)</f>
        <v/>
      </c>
      <c r="Z104" s="111">
        <f>IFERROR(C104/Q104,0)</f>
        <v/>
      </c>
      <c r="AA104" s="111">
        <f>IFERROR(D104/T104,0)</f>
        <v/>
      </c>
      <c r="AC104" s="111">
        <f>IF(T104&gt;0,IFERROR(E104/T104,0),1)</f>
        <v/>
      </c>
      <c r="AD104" s="111">
        <f>IF(Q104&gt;0,IFERROR(F104/Q104,0),1)</f>
        <v/>
      </c>
      <c r="AE104" s="111">
        <f>IF(AK104&gt;0,IFERROR(G104/AK104,0),1)</f>
        <v/>
      </c>
      <c r="AF104" s="111">
        <f>IF(AL104&gt;0,IFERROR(H104/AL104,0),1)</f>
        <v/>
      </c>
      <c r="AG104" s="104">
        <f>T104-(U104+AM104+AQ104)</f>
        <v/>
      </c>
      <c r="AH104" s="104">
        <f>Q104-(U104+AN104+AQ104)</f>
        <v/>
      </c>
      <c r="AI104" s="104">
        <f>(AK104-AO104)</f>
        <v/>
      </c>
      <c r="AJ104" s="104">
        <f>(AL104-AP104)</f>
        <v/>
      </c>
      <c r="AK104" s="110">
        <f>R104+AH104</f>
        <v/>
      </c>
      <c r="AL104" s="110">
        <f>S104+AI104</f>
        <v/>
      </c>
      <c r="AM104" s="104" t="n">
        <v>15120</v>
      </c>
      <c r="AN104" s="104" t="n">
        <v>2880</v>
      </c>
      <c r="AO104" s="104" t="n">
        <v>9840</v>
      </c>
      <c r="AP104" s="104" t="n">
        <v>2400</v>
      </c>
      <c r="AQ104" s="104" t="n">
        <v>0</v>
      </c>
      <c r="AR104" s="104" t="n"/>
      <c r="AS104" s="104" t="n"/>
    </row>
    <row r="105" ht="12.65" customHeight="1" s="79">
      <c r="A105" s="104">
        <f>MIN(U105,Q105)</f>
        <v/>
      </c>
      <c r="B105" s="104">
        <f>MIN(U105,T105)</f>
        <v/>
      </c>
      <c r="C105" s="104">
        <f>MIN(W105,Q105)</f>
        <v/>
      </c>
      <c r="D105" s="104">
        <f>MIN(W105,T105)</f>
        <v/>
      </c>
      <c r="E105" s="104">
        <f>MIN((U105+AM105+AQ105),T105)</f>
        <v/>
      </c>
      <c r="F105" s="104">
        <f>MAX(MIN((U105+AN105+AQ105),Q105),0)</f>
        <v/>
      </c>
      <c r="G105" s="104">
        <f>MAX(MIN(AO105,AK105),0)</f>
        <v/>
      </c>
      <c r="H105" s="104">
        <f>MAX(MIN(AP105,AL105),0)</f>
        <v/>
      </c>
      <c r="I105" s="105" t="inlineStr">
        <is>
          <t>MAHIMA VOHRA</t>
        </is>
      </c>
      <c r="J105" s="106" t="inlineStr">
        <is>
          <t>SPORTS  &amp; TOYS</t>
        </is>
      </c>
      <c r="K105" s="107" t="inlineStr">
        <is>
          <t>TG_NON SOFT TOYS</t>
        </is>
      </c>
      <c r="L105" s="107" t="inlineStr">
        <is>
          <t>TG_NS_GUN</t>
        </is>
      </c>
      <c r="M105" s="107" t="inlineStr">
        <is>
          <t>ARTICLE</t>
        </is>
      </c>
      <c r="N105" s="108" t="n">
        <v>0.148444512639534</v>
      </c>
      <c r="O105" s="108" t="n">
        <v>0.139665396018636</v>
      </c>
      <c r="P105" s="109" t="n">
        <v>80</v>
      </c>
      <c r="Q105" s="110" t="n">
        <v>7901</v>
      </c>
      <c r="R105" s="110" t="n">
        <v>4518.65036826102</v>
      </c>
      <c r="S105" s="110" t="n">
        <v>3084.60003498584</v>
      </c>
      <c r="T105" s="110" t="n">
        <v>15504.2504032469</v>
      </c>
      <c r="U105" s="104" t="n">
        <v>10320</v>
      </c>
      <c r="V105" s="104" t="n">
        <v>1800</v>
      </c>
      <c r="W105" s="104">
        <f>$U105+$V105</f>
        <v/>
      </c>
      <c r="X105" s="111">
        <f>IFERROR(A105/Q105,0)</f>
        <v/>
      </c>
      <c r="Y105" s="111">
        <f>IFERROR(B105/T105,0)</f>
        <v/>
      </c>
      <c r="Z105" s="111">
        <f>IFERROR(C105/Q105,0)</f>
        <v/>
      </c>
      <c r="AA105" s="111">
        <f>IFERROR(D105/T105,0)</f>
        <v/>
      </c>
      <c r="AC105" s="111">
        <f>IF(T105&gt;0,IFERROR(E105/T105,0),1)</f>
        <v/>
      </c>
      <c r="AD105" s="111">
        <f>IF(Q105&gt;0,IFERROR(F105/Q105,0),1)</f>
        <v/>
      </c>
      <c r="AE105" s="111">
        <f>IF(AK105&gt;0,IFERROR(G105/AK105,0),1)</f>
        <v/>
      </c>
      <c r="AF105" s="111">
        <f>IF(AL105&gt;0,IFERROR(H105/AL105,0),1)</f>
        <v/>
      </c>
      <c r="AG105" s="104">
        <f>T105-(U105+AM105+AQ105)</f>
        <v/>
      </c>
      <c r="AH105" s="104">
        <f>Q105-(U105+AN105+AQ105)</f>
        <v/>
      </c>
      <c r="AI105" s="104">
        <f>(AK105-AO105)</f>
        <v/>
      </c>
      <c r="AJ105" s="104">
        <f>(AL105-AP105)</f>
        <v/>
      </c>
      <c r="AK105" s="110">
        <f>R105+AH105</f>
        <v/>
      </c>
      <c r="AL105" s="110">
        <f>S105+AI105</f>
        <v/>
      </c>
      <c r="AM105" s="104" t="n">
        <v>5400</v>
      </c>
      <c r="AN105" s="104" t="n">
        <v>1800</v>
      </c>
      <c r="AO105" s="104" t="n">
        <v>3600</v>
      </c>
      <c r="AP105" s="104" t="n">
        <v>0</v>
      </c>
      <c r="AQ105" s="104" t="n">
        <v>0</v>
      </c>
      <c r="AR105" s="104" t="n"/>
      <c r="AS105" s="112" t="n"/>
    </row>
    <row r="106" ht="12.65" customHeight="1" s="79">
      <c r="A106" s="104">
        <f>MIN(U106,Q106)</f>
        <v/>
      </c>
      <c r="B106" s="104">
        <f>MIN(U106,T106)</f>
        <v/>
      </c>
      <c r="C106" s="104">
        <f>MIN(W106,Q106)</f>
        <v/>
      </c>
      <c r="D106" s="104">
        <f>MIN(W106,T106)</f>
        <v/>
      </c>
      <c r="E106" s="104">
        <f>MIN((U106+AM106+AQ106),T106)</f>
        <v/>
      </c>
      <c r="F106" s="104">
        <f>MAX(MIN((U106+AN106+AQ106),Q106),0)</f>
        <v/>
      </c>
      <c r="G106" s="104">
        <f>MAX(MIN(AO106,AK106),0)</f>
        <v/>
      </c>
      <c r="H106" s="104">
        <f>MAX(MIN(AP106,AL106),0)</f>
        <v/>
      </c>
      <c r="I106" s="105" t="inlineStr">
        <is>
          <t>MAHIMA VOHRA</t>
        </is>
      </c>
      <c r="J106" s="106" t="inlineStr">
        <is>
          <t>SPORTS  &amp; TOYS</t>
        </is>
      </c>
      <c r="K106" s="107" t="inlineStr">
        <is>
          <t>TG_NON SOFT TOYS</t>
        </is>
      </c>
      <c r="L106" s="107" t="inlineStr">
        <is>
          <t>TG_NS_BAT BALL</t>
        </is>
      </c>
      <c r="M106" s="107" t="inlineStr">
        <is>
          <t>ARTICLE</t>
        </is>
      </c>
      <c r="N106" s="108" t="n">
        <v>0.158228011849475</v>
      </c>
      <c r="O106" s="108" t="n">
        <v>0.102545460486546</v>
      </c>
      <c r="P106" s="109" t="n">
        <v>51</v>
      </c>
      <c r="Q106" s="110" t="n">
        <v>2489</v>
      </c>
      <c r="R106" s="110" t="n">
        <v>2916.88209375248</v>
      </c>
      <c r="S106" s="110" t="n">
        <v>7273.16154153086</v>
      </c>
      <c r="T106" s="110" t="n">
        <v>12679.0436352833</v>
      </c>
      <c r="U106" s="104" t="n">
        <v>9948</v>
      </c>
      <c r="V106" s="104" t="n">
        <v>1440</v>
      </c>
      <c r="W106" s="104">
        <f>$U106+$V106</f>
        <v/>
      </c>
      <c r="X106" s="111">
        <f>IFERROR(A106/Q106,0)</f>
        <v/>
      </c>
      <c r="Y106" s="111">
        <f>IFERROR(B106/T106,0)</f>
        <v/>
      </c>
      <c r="Z106" s="111">
        <f>IFERROR(C106/Q106,0)</f>
        <v/>
      </c>
      <c r="AA106" s="111">
        <f>IFERROR(D106/T106,0)</f>
        <v/>
      </c>
      <c r="AC106" s="111">
        <f>IF(T106&gt;0,IFERROR(E106/T106,0),1)</f>
        <v/>
      </c>
      <c r="AD106" s="111">
        <f>IF(Q106&gt;0,IFERROR(F106/Q106,0),1)</f>
        <v/>
      </c>
      <c r="AE106" s="111">
        <f>IF(AK106&gt;0,IFERROR(G106/AK106,0),1)</f>
        <v/>
      </c>
      <c r="AF106" s="111">
        <f>IF(AL106&gt;0,IFERROR(H106/AL106,0),1)</f>
        <v/>
      </c>
      <c r="AG106" s="104">
        <f>T106-(U106+AM106+AQ106)</f>
        <v/>
      </c>
      <c r="AH106" s="104">
        <f>Q106-(U106+AN106+AQ106)</f>
        <v/>
      </c>
      <c r="AI106" s="104">
        <f>(AK106-AO106)</f>
        <v/>
      </c>
      <c r="AJ106" s="104">
        <f>(AL106-AP106)</f>
        <v/>
      </c>
      <c r="AK106" s="110">
        <f>R106+AH106</f>
        <v/>
      </c>
      <c r="AL106" s="110">
        <f>S106+AI106</f>
        <v/>
      </c>
      <c r="AM106" s="104" t="n">
        <v>14580</v>
      </c>
      <c r="AN106" s="104" t="n">
        <v>2940</v>
      </c>
      <c r="AO106" s="104" t="n">
        <v>11640</v>
      </c>
      <c r="AP106" s="104" t="n">
        <v>0</v>
      </c>
      <c r="AQ106" s="104" t="n">
        <v>0</v>
      </c>
      <c r="AR106" s="104" t="n"/>
      <c r="AS106" s="112" t="n"/>
    </row>
    <row r="107" ht="12.65" customHeight="1" s="79">
      <c r="A107" s="104">
        <f>MIN(U107,Q107)</f>
        <v/>
      </c>
      <c r="B107" s="104">
        <f>MIN(U107,T107)</f>
        <v/>
      </c>
      <c r="C107" s="104">
        <f>MIN(W107,Q107)</f>
        <v/>
      </c>
      <c r="D107" s="104">
        <f>MIN(W107,T107)</f>
        <v/>
      </c>
      <c r="E107" s="104">
        <f>MIN((U107+AM107+AQ107),T107)</f>
        <v/>
      </c>
      <c r="F107" s="104">
        <f>MAX(MIN((U107+AN107+AQ107),Q107),0)</f>
        <v/>
      </c>
      <c r="G107" s="104">
        <f>MAX(MIN(AO107,AK107),0)</f>
        <v/>
      </c>
      <c r="H107" s="104">
        <f>MAX(MIN(AP107,AL107),0)</f>
        <v/>
      </c>
      <c r="I107" s="105" t="inlineStr">
        <is>
          <t>MAHIMA VOHRA</t>
        </is>
      </c>
      <c r="J107" s="106" t="inlineStr">
        <is>
          <t>SPORTS  &amp; TOYS</t>
        </is>
      </c>
      <c r="K107" s="107" t="inlineStr">
        <is>
          <t>TG_NON SOFT TOYS</t>
        </is>
      </c>
      <c r="L107" s="107" t="inlineStr">
        <is>
          <t>TG_NS_MUSICAL</t>
        </is>
      </c>
      <c r="M107" s="107" t="inlineStr">
        <is>
          <t>ARTICLE</t>
        </is>
      </c>
      <c r="N107" s="108" t="n">
        <v>0.112518066767723</v>
      </c>
      <c r="O107" s="108" t="n">
        <v>0.143126177024482</v>
      </c>
      <c r="P107" s="109" t="n">
        <v>79</v>
      </c>
      <c r="Q107" s="110" t="n">
        <v>4615</v>
      </c>
      <c r="R107" s="110" t="n">
        <v>2484.70969841924</v>
      </c>
      <c r="S107" s="110" t="n">
        <v>3157.57222045605</v>
      </c>
      <c r="T107" s="110" t="n">
        <v>10257.2819188753</v>
      </c>
      <c r="U107" s="104" t="n">
        <v>6239</v>
      </c>
      <c r="V107" s="104" t="n">
        <v>1200</v>
      </c>
      <c r="W107" s="104">
        <f>$U107+$V107</f>
        <v/>
      </c>
      <c r="X107" s="111">
        <f>IFERROR(A107/Q107,0)</f>
        <v/>
      </c>
      <c r="Y107" s="111">
        <f>IFERROR(B107/T107,0)</f>
        <v/>
      </c>
      <c r="Z107" s="111">
        <f>IFERROR(C107/Q107,0)</f>
        <v/>
      </c>
      <c r="AA107" s="111">
        <f>IFERROR(D107/T107,0)</f>
        <v/>
      </c>
      <c r="AC107" s="111">
        <f>IF(T107&gt;0,IFERROR(E107/T107,0),1)</f>
        <v/>
      </c>
      <c r="AD107" s="111">
        <f>IF(Q107&gt;0,IFERROR(F107/Q107,0),1)</f>
        <v/>
      </c>
      <c r="AE107" s="111">
        <f>IF(AK107&gt;0,IFERROR(G107/AK107,0),1)</f>
        <v/>
      </c>
      <c r="AF107" s="111">
        <f>IF(AL107&gt;0,IFERROR(H107/AL107,0),1)</f>
        <v/>
      </c>
      <c r="AG107" s="104">
        <f>T107-(U107+AM107+AQ107)</f>
        <v/>
      </c>
      <c r="AH107" s="104">
        <f>Q107-(U107+AN107+AQ107)</f>
        <v/>
      </c>
      <c r="AI107" s="104">
        <f>(AK107-AO107)</f>
        <v/>
      </c>
      <c r="AJ107" s="104">
        <f>(AL107-AP107)</f>
        <v/>
      </c>
      <c r="AK107" s="110">
        <f>R107+AH107</f>
        <v/>
      </c>
      <c r="AL107" s="110">
        <f>S107+AI107</f>
        <v/>
      </c>
      <c r="AM107" s="104" t="n">
        <v>5640</v>
      </c>
      <c r="AN107" s="104" t="n">
        <v>600</v>
      </c>
      <c r="AO107" s="104" t="n">
        <v>5040</v>
      </c>
      <c r="AP107" s="104" t="n">
        <v>0</v>
      </c>
      <c r="AQ107" s="104" t="n">
        <v>0</v>
      </c>
      <c r="AR107" s="104" t="n"/>
      <c r="AS107" s="104" t="n"/>
    </row>
    <row r="108" ht="12.65" customHeight="1" s="79">
      <c r="A108" s="104">
        <f>MIN(U108,Q108)</f>
        <v/>
      </c>
      <c r="B108" s="104">
        <f>MIN(U108,T108)</f>
        <v/>
      </c>
      <c r="C108" s="104">
        <f>MIN(W108,Q108)</f>
        <v/>
      </c>
      <c r="D108" s="104">
        <f>MIN(W108,T108)</f>
        <v/>
      </c>
      <c r="E108" s="104">
        <f>MIN((U108+AM108+AQ108),T108)</f>
        <v/>
      </c>
      <c r="F108" s="104">
        <f>MAX(MIN((U108+AN108+AQ108),Q108),0)</f>
        <v/>
      </c>
      <c r="G108" s="104">
        <f>MAX(MIN(AO108,AK108),0)</f>
        <v/>
      </c>
      <c r="H108" s="104">
        <f>MAX(MIN(AP108,AL108),0)</f>
        <v/>
      </c>
      <c r="I108" s="105" t="inlineStr">
        <is>
          <t>MAHIMA VOHRA</t>
        </is>
      </c>
      <c r="J108" s="106" t="inlineStr">
        <is>
          <t>SPORTS  &amp; TOYS</t>
        </is>
      </c>
      <c r="K108" s="107" t="inlineStr">
        <is>
          <t>TG_NON SOFT TOYS</t>
        </is>
      </c>
      <c r="L108" s="107" t="inlineStr">
        <is>
          <t>TG_NS_KIDS CHAIR</t>
        </is>
      </c>
      <c r="M108" s="107" t="inlineStr">
        <is>
          <t>ARTICLE</t>
        </is>
      </c>
      <c r="N108" s="108" t="n">
        <v>0.147966226845164</v>
      </c>
      <c r="O108" s="108" t="n">
        <v>0.129181259834526</v>
      </c>
      <c r="P108" s="109" t="n">
        <v>89</v>
      </c>
      <c r="Q108" s="110" t="n">
        <v>1731</v>
      </c>
      <c r="R108" s="110" t="n">
        <v>1752.35383954428</v>
      </c>
      <c r="S108" s="110" t="n">
        <v>1613.17377071119</v>
      </c>
      <c r="T108" s="110" t="n">
        <v>5096.52761025547</v>
      </c>
      <c r="U108" s="104" t="n">
        <v>1800</v>
      </c>
      <c r="V108" s="104" t="n">
        <v>0</v>
      </c>
      <c r="W108" s="104">
        <f>$U108+$V108</f>
        <v/>
      </c>
      <c r="X108" s="111">
        <f>IFERROR(A108/Q108,0)</f>
        <v/>
      </c>
      <c r="Y108" s="111">
        <f>IFERROR(B108/T108,0)</f>
        <v/>
      </c>
      <c r="Z108" s="111">
        <f>IFERROR(C108/Q108,0)</f>
        <v/>
      </c>
      <c r="AA108" s="111">
        <f>IFERROR(D108/T108,0)</f>
        <v/>
      </c>
      <c r="AC108" s="111">
        <f>IF(T108&gt;0,IFERROR(E108/T108,0),1)</f>
        <v/>
      </c>
      <c r="AD108" s="111">
        <f>IF(Q108&gt;0,IFERROR(F108/Q108,0),1)</f>
        <v/>
      </c>
      <c r="AE108" s="111">
        <f>IF(AK108&gt;0,IFERROR(G108/AK108,0),1)</f>
        <v/>
      </c>
      <c r="AF108" s="111">
        <f>IF(AL108&gt;0,IFERROR(H108/AL108,0),1)</f>
        <v/>
      </c>
      <c r="AG108" s="104">
        <f>T108-(U108+AM108+AQ108)</f>
        <v/>
      </c>
      <c r="AH108" s="104">
        <f>Q108-(U108+AN108+AQ108)</f>
        <v/>
      </c>
      <c r="AI108" s="104">
        <f>(AK108-AO108)</f>
        <v/>
      </c>
      <c r="AJ108" s="104">
        <f>(AL108-AP108)</f>
        <v/>
      </c>
      <c r="AK108" s="110">
        <f>R108+AH108</f>
        <v/>
      </c>
      <c r="AL108" s="110">
        <f>S108+AI108</f>
        <v/>
      </c>
      <c r="AM108" s="104" t="n">
        <v>1800</v>
      </c>
      <c r="AN108" s="104" t="n">
        <v>0</v>
      </c>
      <c r="AO108" s="104" t="n">
        <v>1800</v>
      </c>
      <c r="AP108" s="104" t="n">
        <v>0</v>
      </c>
      <c r="AQ108" s="104" t="n">
        <v>0</v>
      </c>
      <c r="AR108" s="104" t="n"/>
      <c r="AS108" s="112" t="n"/>
    </row>
    <row r="109" ht="12.65" customHeight="1" s="79">
      <c r="A109" s="104">
        <f>MIN(U109,Q109)</f>
        <v/>
      </c>
      <c r="B109" s="104">
        <f>MIN(U109,T109)</f>
        <v/>
      </c>
      <c r="C109" s="104">
        <f>MIN(W109,Q109)</f>
        <v/>
      </c>
      <c r="D109" s="104">
        <f>MIN(W109,T109)</f>
        <v/>
      </c>
      <c r="E109" s="104">
        <f>MIN((U109+AM109+AQ109),T109)</f>
        <v/>
      </c>
      <c r="F109" s="104">
        <f>MAX(MIN((U109+AN109+AQ109),Q109),0)</f>
        <v/>
      </c>
      <c r="G109" s="104">
        <f>MAX(MIN(AO109,AK109),0)</f>
        <v/>
      </c>
      <c r="H109" s="104">
        <f>MAX(MIN(AP109,AL109),0)</f>
        <v/>
      </c>
      <c r="I109" s="105" t="inlineStr">
        <is>
          <t>MAHIMA VOHRA</t>
        </is>
      </c>
      <c r="J109" s="106" t="inlineStr">
        <is>
          <t>SPORTS  &amp; TOYS</t>
        </is>
      </c>
      <c r="K109" s="107" t="inlineStr">
        <is>
          <t>TG_NON SOFT TOYS</t>
        </is>
      </c>
      <c r="L109" s="107" t="inlineStr">
        <is>
          <t>TG_NS_P_RIDER</t>
        </is>
      </c>
      <c r="M109" s="107" t="inlineStr">
        <is>
          <t>ARTICLE</t>
        </is>
      </c>
      <c r="N109" s="108" t="n">
        <v>0.11119453680861</v>
      </c>
      <c r="O109" s="108" t="n">
        <v>0.111379246333766</v>
      </c>
      <c r="P109" s="109" t="n">
        <v>116</v>
      </c>
      <c r="Q109" s="110" t="n">
        <v>323</v>
      </c>
      <c r="R109" s="110" t="n">
        <v>261.377801400527</v>
      </c>
      <c r="S109" s="110" t="n">
        <v>581.267247480357</v>
      </c>
      <c r="T109" s="110" t="n">
        <v>1165.64504888088</v>
      </c>
      <c r="U109" s="104" t="n">
        <v>360</v>
      </c>
      <c r="V109" s="104" t="n">
        <v>0</v>
      </c>
      <c r="W109" s="104">
        <f>$U109+$V109</f>
        <v/>
      </c>
      <c r="X109" s="111">
        <f>IFERROR(A109/Q109,0)</f>
        <v/>
      </c>
      <c r="Y109" s="111">
        <f>IFERROR(B109/T109,0)</f>
        <v/>
      </c>
      <c r="Z109" s="111">
        <f>IFERROR(C109/Q109,0)</f>
        <v/>
      </c>
      <c r="AA109" s="111">
        <f>IFERROR(D109/T109,0)</f>
        <v/>
      </c>
      <c r="AC109" s="111">
        <f>IF(T109&gt;0,IFERROR(E109/T109,0),1)</f>
        <v/>
      </c>
      <c r="AD109" s="111">
        <f>IF(Q109&gt;0,IFERROR(F109/Q109,0),1)</f>
        <v/>
      </c>
      <c r="AE109" s="111">
        <f>IF(AK109&gt;0,IFERROR(G109/AK109,0),1)</f>
        <v/>
      </c>
      <c r="AF109" s="111">
        <f>IF(AL109&gt;0,IFERROR(H109/AL109,0),1)</f>
        <v/>
      </c>
      <c r="AG109" s="104">
        <f>T109-(U109+AM109+AQ109)</f>
        <v/>
      </c>
      <c r="AH109" s="104">
        <f>Q109-(U109+AN109+AQ109)</f>
        <v/>
      </c>
      <c r="AI109" s="104">
        <f>(AK109-AO109)</f>
        <v/>
      </c>
      <c r="AJ109" s="104">
        <f>(AL109-AP109)</f>
        <v/>
      </c>
      <c r="AK109" s="110">
        <f>R109+AH109</f>
        <v/>
      </c>
      <c r="AL109" s="110">
        <f>S109+AI109</f>
        <v/>
      </c>
      <c r="AM109" s="104" t="n">
        <v>760</v>
      </c>
      <c r="AN109" s="104" t="n">
        <v>0</v>
      </c>
      <c r="AO109" s="104" t="n">
        <v>280</v>
      </c>
      <c r="AP109" s="104" t="n">
        <v>480</v>
      </c>
      <c r="AQ109" s="104" t="n">
        <v>0</v>
      </c>
      <c r="AR109" s="104" t="n"/>
      <c r="AS109" s="104" t="n"/>
    </row>
    <row r="110" ht="12.65" customHeight="1" s="79">
      <c r="A110" s="104">
        <f>MIN(U110,Q110)</f>
        <v/>
      </c>
      <c r="B110" s="104">
        <f>MIN(U110,T110)</f>
        <v/>
      </c>
      <c r="C110" s="104">
        <f>MIN(W110,Q110)</f>
        <v/>
      </c>
      <c r="D110" s="104">
        <f>MIN(W110,T110)</f>
        <v/>
      </c>
      <c r="E110" s="104">
        <f>MIN((U110+AM110+AQ110),T110)</f>
        <v/>
      </c>
      <c r="F110" s="104">
        <f>MAX(MIN((U110+AN110+AQ110),Q110),0)</f>
        <v/>
      </c>
      <c r="G110" s="104">
        <f>MAX(MIN(AO110,AK110),0)</f>
        <v/>
      </c>
      <c r="H110" s="104">
        <f>MAX(MIN(AP110,AL110),0)</f>
        <v/>
      </c>
      <c r="I110" s="105" t="inlineStr">
        <is>
          <t>MAHIMA VOHRA</t>
        </is>
      </c>
      <c r="J110" s="106" t="inlineStr">
        <is>
          <t>SPORTS  &amp; TOYS</t>
        </is>
      </c>
      <c r="K110" s="107" t="inlineStr">
        <is>
          <t>TG_SOFT TOYS</t>
        </is>
      </c>
      <c r="L110" s="107" t="inlineStr">
        <is>
          <t>TG_ST_OTHERS</t>
        </is>
      </c>
      <c r="M110" s="107" t="inlineStr">
        <is>
          <t>ARTICLE</t>
        </is>
      </c>
      <c r="N110" s="108" t="n">
        <v>0.162767077941619</v>
      </c>
      <c r="O110" s="108" t="n">
        <v>0.166278709651638</v>
      </c>
      <c r="P110" s="109" t="n">
        <v>33</v>
      </c>
      <c r="Q110" s="110" t="n">
        <v>9050</v>
      </c>
      <c r="R110" s="110" t="n">
        <v>5387.35200597374</v>
      </c>
      <c r="S110" s="110" t="n">
        <v>3765.13747048296</v>
      </c>
      <c r="T110" s="110" t="n">
        <v>18202.4894764567</v>
      </c>
      <c r="U110" s="104" t="n">
        <v>7200</v>
      </c>
      <c r="V110" s="104" t="n">
        <v>6120</v>
      </c>
      <c r="W110" s="104">
        <f>$U110+$V110</f>
        <v/>
      </c>
      <c r="X110" s="111">
        <f>IFERROR(A110/Q110,0)</f>
        <v/>
      </c>
      <c r="Y110" s="111">
        <f>IFERROR(B110/T110,0)</f>
        <v/>
      </c>
      <c r="Z110" s="111">
        <f>IFERROR(C110/Q110,0)</f>
        <v/>
      </c>
      <c r="AA110" s="111">
        <f>IFERROR(D110/T110,0)</f>
        <v/>
      </c>
      <c r="AC110" s="111">
        <f>IF(T110&gt;0,IFERROR(E110/T110,0),1)</f>
        <v/>
      </c>
      <c r="AD110" s="111">
        <f>IF(Q110&gt;0,IFERROR(F110/Q110,0),1)</f>
        <v/>
      </c>
      <c r="AE110" s="111">
        <f>IF(AK110&gt;0,IFERROR(G110/AK110,0),1)</f>
        <v/>
      </c>
      <c r="AF110" s="111">
        <f>IF(AL110&gt;0,IFERROR(H110/AL110,0),1)</f>
        <v/>
      </c>
      <c r="AG110" s="104">
        <f>T110-(U110+AM110+AQ110)</f>
        <v/>
      </c>
      <c r="AH110" s="104">
        <f>Q110-(U110+AN110+AQ110)</f>
        <v/>
      </c>
      <c r="AI110" s="104">
        <f>(AK110-AO110)</f>
        <v/>
      </c>
      <c r="AJ110" s="104">
        <f>(AL110-AP110)</f>
        <v/>
      </c>
      <c r="AK110" s="110">
        <f>R110+AH110</f>
        <v/>
      </c>
      <c r="AL110" s="110">
        <f>S110+AI110</f>
        <v/>
      </c>
      <c r="AM110" s="104" t="n">
        <v>21240</v>
      </c>
      <c r="AN110" s="104" t="n">
        <v>6120</v>
      </c>
      <c r="AO110" s="104" t="n">
        <v>9120</v>
      </c>
      <c r="AP110" s="104" t="n">
        <v>6000</v>
      </c>
      <c r="AQ110" s="104" t="n">
        <v>0</v>
      </c>
      <c r="AR110" s="104" t="n"/>
      <c r="AS110" s="112" t="n"/>
    </row>
    <row r="111" ht="12.65" customHeight="1" s="79">
      <c r="A111" s="104">
        <f>MIN(U111,Q111)</f>
        <v/>
      </c>
      <c r="B111" s="104">
        <f>MIN(U111,T111)</f>
        <v/>
      </c>
      <c r="C111" s="104">
        <f>MIN(W111,Q111)</f>
        <v/>
      </c>
      <c r="D111" s="104">
        <f>MIN(W111,T111)</f>
        <v/>
      </c>
      <c r="E111" s="104">
        <f>MIN((U111+AM111+AQ111),T111)</f>
        <v/>
      </c>
      <c r="F111" s="104">
        <f>MAX(MIN((U111+AN111+AQ111),Q111),0)</f>
        <v/>
      </c>
      <c r="G111" s="104">
        <f>MAX(MIN(AO111,AK111),0)</f>
        <v/>
      </c>
      <c r="H111" s="104">
        <f>MAX(MIN(AP111,AL111),0)</f>
        <v/>
      </c>
      <c r="I111" s="105" t="inlineStr">
        <is>
          <t>MAHIMA VOHRA</t>
        </is>
      </c>
      <c r="J111" s="106" t="inlineStr">
        <is>
          <t>SPORTS  &amp; TOYS</t>
        </is>
      </c>
      <c r="K111" s="107" t="inlineStr">
        <is>
          <t>TG_SOFT TOYS</t>
        </is>
      </c>
      <c r="L111" s="107" t="inlineStr">
        <is>
          <t>TG_ST_TEDDY BEAR</t>
        </is>
      </c>
      <c r="M111" s="107" t="inlineStr">
        <is>
          <t>ARTICLE</t>
        </is>
      </c>
      <c r="N111" s="108" t="n">
        <v>0.13932781540005</v>
      </c>
      <c r="O111" s="108" t="n">
        <v>0.154747596153846</v>
      </c>
      <c r="P111" s="109" t="n">
        <v>93</v>
      </c>
      <c r="Q111" s="110" t="n">
        <v>3986</v>
      </c>
      <c r="R111" s="110" t="n">
        <v>2781.56324180087</v>
      </c>
      <c r="S111" s="110" t="n">
        <v>2419.44217904281</v>
      </c>
      <c r="T111" s="110" t="n">
        <v>9187.00542084368</v>
      </c>
      <c r="U111" s="104" t="n">
        <v>0</v>
      </c>
      <c r="V111" s="104" t="n">
        <v>0</v>
      </c>
      <c r="W111" s="104">
        <f>$U111+$V111</f>
        <v/>
      </c>
      <c r="X111" s="111">
        <f>IFERROR(A111/Q111,0)</f>
        <v/>
      </c>
      <c r="Y111" s="111">
        <f>IFERROR(B111/T111,0)</f>
        <v/>
      </c>
      <c r="Z111" s="111">
        <f>IFERROR(C111/Q111,0)</f>
        <v/>
      </c>
      <c r="AA111" s="111">
        <f>IFERROR(D111/T111,0)</f>
        <v/>
      </c>
      <c r="AC111" s="111">
        <f>IF(T111&gt;0,IFERROR(E111/T111,0),1)</f>
        <v/>
      </c>
      <c r="AD111" s="111">
        <f>IF(Q111&gt;0,IFERROR(F111/Q111,0),1)</f>
        <v/>
      </c>
      <c r="AE111" s="111">
        <f>IF(AK111&gt;0,IFERROR(G111/AK111,0),1)</f>
        <v/>
      </c>
      <c r="AF111" s="111">
        <f>IF(AL111&gt;0,IFERROR(H111/AL111,0),1)</f>
        <v/>
      </c>
      <c r="AG111" s="104">
        <f>T111-(U111+AM111+AQ111)</f>
        <v/>
      </c>
      <c r="AH111" s="104">
        <f>Q111-(U111+AN111+AQ111)</f>
        <v/>
      </c>
      <c r="AI111" s="104">
        <f>(AK111-AO111)</f>
        <v/>
      </c>
      <c r="AJ111" s="104">
        <f>(AL111-AP111)</f>
        <v/>
      </c>
      <c r="AK111" s="110">
        <f>R111+AH111</f>
        <v/>
      </c>
      <c r="AL111" s="110">
        <f>S111+AI111</f>
        <v/>
      </c>
      <c r="AM111" s="104" t="n">
        <v>10800</v>
      </c>
      <c r="AN111" s="104" t="n">
        <v>4200</v>
      </c>
      <c r="AO111" s="104" t="n">
        <v>3600</v>
      </c>
      <c r="AP111" s="104" t="n">
        <v>3000</v>
      </c>
      <c r="AQ111" s="104" t="n">
        <v>0</v>
      </c>
      <c r="AR111" s="104" t="n"/>
      <c r="AS111" s="116" t="n"/>
    </row>
    <row r="112" ht="12.65" customHeight="1" s="79">
      <c r="A112" s="104">
        <f>MIN(U112,Q112)</f>
        <v/>
      </c>
      <c r="B112" s="104">
        <f>MIN(U112,T112)</f>
        <v/>
      </c>
      <c r="C112" s="104">
        <f>MIN(W112,Q112)</f>
        <v/>
      </c>
      <c r="D112" s="104">
        <f>MIN(W112,T112)</f>
        <v/>
      </c>
      <c r="E112" s="104">
        <f>MIN((U112+AM112+AQ112),T112)</f>
        <v/>
      </c>
      <c r="F112" s="104">
        <f>MAX(MIN((U112+AN112+AQ112),Q112),0)</f>
        <v/>
      </c>
      <c r="G112" s="104">
        <f>MAX(MIN(AO112,AK112),0)</f>
        <v/>
      </c>
      <c r="H112" s="104">
        <f>MAX(MIN(AP112,AL112),0)</f>
        <v/>
      </c>
      <c r="I112" s="105" t="inlineStr">
        <is>
          <t>MAHIMA VOHRA</t>
        </is>
      </c>
      <c r="J112" s="106" t="inlineStr">
        <is>
          <t>STATIONERY</t>
        </is>
      </c>
      <c r="K112" s="107" t="inlineStr">
        <is>
          <t>ST_NON PAPER</t>
        </is>
      </c>
      <c r="L112" s="107" t="inlineStr">
        <is>
          <t>ST_NP_PENCIL BOX</t>
        </is>
      </c>
      <c r="M112" s="107" t="inlineStr">
        <is>
          <t>ARTICLE</t>
        </is>
      </c>
      <c r="N112" s="108" t="n">
        <v>0.122754542133172</v>
      </c>
      <c r="O112" s="108" t="n">
        <v>0.100550331321918</v>
      </c>
      <c r="P112" s="109" t="n">
        <v>37</v>
      </c>
      <c r="Q112" s="110" t="n">
        <v>12550</v>
      </c>
      <c r="R112" s="110" t="n">
        <v>11647.6899981485</v>
      </c>
      <c r="S112" s="110" t="n">
        <v>5227.35274555748</v>
      </c>
      <c r="T112" s="110" t="n">
        <v>29425.042743706</v>
      </c>
      <c r="U112" s="104" t="n">
        <v>8724</v>
      </c>
      <c r="V112" s="104" t="n">
        <v>2100</v>
      </c>
      <c r="W112" s="104">
        <f>$U112+$V112</f>
        <v/>
      </c>
      <c r="X112" s="111">
        <f>IFERROR(A112/Q112,0)</f>
        <v/>
      </c>
      <c r="Y112" s="111">
        <f>IFERROR(B112/T112,0)</f>
        <v/>
      </c>
      <c r="Z112" s="111">
        <f>IFERROR(C112/Q112,0)</f>
        <v/>
      </c>
      <c r="AA112" s="111">
        <f>IFERROR(D112/T112,0)</f>
        <v/>
      </c>
      <c r="AC112" s="111">
        <f>IF(T112&gt;0,IFERROR(E112/T112,0),1)</f>
        <v/>
      </c>
      <c r="AD112" s="111">
        <f>IF(Q112&gt;0,IFERROR(F112/Q112,0),1)</f>
        <v/>
      </c>
      <c r="AE112" s="111">
        <f>IF(AK112&gt;0,IFERROR(G112/AK112,0),1)</f>
        <v/>
      </c>
      <c r="AF112" s="111">
        <f>IF(AL112&gt;0,IFERROR(H112/AL112,0),1)</f>
        <v/>
      </c>
      <c r="AG112" s="104">
        <f>T112-(U112+AM112+AQ112)</f>
        <v/>
      </c>
      <c r="AH112" s="104">
        <f>Q112-(U112+AN112+AQ112)</f>
        <v/>
      </c>
      <c r="AI112" s="104">
        <f>(AK112-AO112)</f>
        <v/>
      </c>
      <c r="AJ112" s="104">
        <f>(AL112-AP112)</f>
        <v/>
      </c>
      <c r="AK112" s="110">
        <f>R112+AH112</f>
        <v/>
      </c>
      <c r="AL112" s="110">
        <f>S112+AI112</f>
        <v/>
      </c>
      <c r="AM112" s="104" t="n">
        <v>34620</v>
      </c>
      <c r="AN112" s="104" t="n">
        <v>2100</v>
      </c>
      <c r="AO112" s="104" t="n">
        <v>23880</v>
      </c>
      <c r="AP112" s="104" t="n">
        <v>8640</v>
      </c>
      <c r="AQ112" s="104" t="n">
        <v>0</v>
      </c>
      <c r="AR112" s="104" t="n"/>
      <c r="AS112" s="104" t="n"/>
    </row>
    <row r="113" ht="12.65" customHeight="1" s="79">
      <c r="A113" s="104">
        <f>MIN(U113,Q113)</f>
        <v/>
      </c>
      <c r="B113" s="104">
        <f>MIN(U113,T113)</f>
        <v/>
      </c>
      <c r="C113" s="104">
        <f>MIN(W113,Q113)</f>
        <v/>
      </c>
      <c r="D113" s="104">
        <f>MIN(W113,T113)</f>
        <v/>
      </c>
      <c r="E113" s="104">
        <f>MIN((U113+AM113+AQ113),T113)</f>
        <v/>
      </c>
      <c r="F113" s="104">
        <f>MAX(MIN((U113+AN113+AQ113),Q113),0)</f>
        <v/>
      </c>
      <c r="G113" s="104">
        <f>MAX(MIN(AO113,AK113),0)</f>
        <v/>
      </c>
      <c r="H113" s="104">
        <f>MAX(MIN(AP113,AL113),0)</f>
        <v/>
      </c>
      <c r="I113" s="105" t="inlineStr">
        <is>
          <t>MAHIMA VOHRA</t>
        </is>
      </c>
      <c r="J113" s="106" t="inlineStr">
        <is>
          <t>STATIONERY</t>
        </is>
      </c>
      <c r="K113" s="107" t="inlineStr">
        <is>
          <t>ST_NON PAPER</t>
        </is>
      </c>
      <c r="L113" s="107" t="inlineStr">
        <is>
          <t>ST_NP_CLAY</t>
        </is>
      </c>
      <c r="M113" s="107" t="inlineStr">
        <is>
          <t>ARTICLE</t>
        </is>
      </c>
      <c r="N113" s="108" t="n">
        <v>0.165505770200647</v>
      </c>
      <c r="O113" s="108" t="n">
        <v>0.143020016240468</v>
      </c>
      <c r="P113" s="109" t="n">
        <v>69</v>
      </c>
      <c r="Q113" s="110" t="n">
        <v>16370</v>
      </c>
      <c r="R113" s="110" t="n">
        <v>8353.22219613247</v>
      </c>
      <c r="S113" s="110" t="n">
        <v>3671.60798723637</v>
      </c>
      <c r="T113" s="110" t="n">
        <v>28394.8301833689</v>
      </c>
      <c r="U113" s="104" t="n">
        <v>7200</v>
      </c>
      <c r="V113" s="104" t="n">
        <v>0</v>
      </c>
      <c r="W113" s="104">
        <f>$U113+$V113</f>
        <v/>
      </c>
      <c r="X113" s="111">
        <f>IFERROR(A113/Q113,0)</f>
        <v/>
      </c>
      <c r="Y113" s="111">
        <f>IFERROR(B113/T113,0)</f>
        <v/>
      </c>
      <c r="Z113" s="111">
        <f>IFERROR(C113/Q113,0)</f>
        <v/>
      </c>
      <c r="AA113" s="111">
        <f>IFERROR(D113/T113,0)</f>
        <v/>
      </c>
      <c r="AC113" s="111">
        <f>IF(T113&gt;0,IFERROR(E113/T113,0),1)</f>
        <v/>
      </c>
      <c r="AD113" s="111">
        <f>IF(Q113&gt;0,IFERROR(F113/Q113,0),1)</f>
        <v/>
      </c>
      <c r="AE113" s="111">
        <f>IF(AK113&gt;0,IFERROR(G113/AK113,0),1)</f>
        <v/>
      </c>
      <c r="AF113" s="111">
        <f>IF(AL113&gt;0,IFERROR(H113/AL113,0),1)</f>
        <v/>
      </c>
      <c r="AG113" s="104">
        <f>T113-(U113+AM113+AQ113)</f>
        <v/>
      </c>
      <c r="AH113" s="104">
        <f>Q113-(U113+AN113+AQ113)</f>
        <v/>
      </c>
      <c r="AI113" s="104">
        <f>(AK113-AO113)</f>
        <v/>
      </c>
      <c r="AJ113" s="104">
        <f>(AL113-AP113)</f>
        <v/>
      </c>
      <c r="AK113" s="110">
        <f>R113+AH113</f>
        <v/>
      </c>
      <c r="AL113" s="110">
        <f>S113+AI113</f>
        <v/>
      </c>
      <c r="AM113" s="104" t="n">
        <v>30600</v>
      </c>
      <c r="AN113" s="104" t="n">
        <v>9000</v>
      </c>
      <c r="AO113" s="104" t="n">
        <v>13200</v>
      </c>
      <c r="AP113" s="104" t="n">
        <v>8400</v>
      </c>
      <c r="AQ113" s="104" t="n">
        <v>0</v>
      </c>
      <c r="AR113" s="104" t="n"/>
      <c r="AS113" s="112" t="n"/>
    </row>
    <row r="114" ht="12.65" customHeight="1" s="79">
      <c r="A114" s="104">
        <f>MIN(U114,Q114)</f>
        <v/>
      </c>
      <c r="B114" s="104">
        <f>MIN(U114,T114)</f>
        <v/>
      </c>
      <c r="C114" s="104">
        <f>MIN(W114,Q114)</f>
        <v/>
      </c>
      <c r="D114" s="104">
        <f>MIN(W114,T114)</f>
        <v/>
      </c>
      <c r="E114" s="104">
        <f>MIN((U114+AM114+AQ114),T114)</f>
        <v/>
      </c>
      <c r="F114" s="104">
        <f>MAX(MIN((U114+AN114+AQ114),Q114),0)</f>
        <v/>
      </c>
      <c r="G114" s="104">
        <f>MAX(MIN(AO114,AK114),0)</f>
        <v/>
      </c>
      <c r="H114" s="104">
        <f>MAX(MIN(AP114,AL114),0)</f>
        <v/>
      </c>
      <c r="I114" s="105" t="inlineStr">
        <is>
          <t>MAHIMA VOHRA</t>
        </is>
      </c>
      <c r="J114" s="106" t="inlineStr">
        <is>
          <t>STATIONERY</t>
        </is>
      </c>
      <c r="K114" s="107" t="inlineStr">
        <is>
          <t>ST_NON PAPER</t>
        </is>
      </c>
      <c r="L114" s="107" t="inlineStr">
        <is>
          <t>ST_NP_KEY CHAIN</t>
        </is>
      </c>
      <c r="M114" s="107" t="inlineStr">
        <is>
          <t>ARTICLE</t>
        </is>
      </c>
      <c r="N114" s="108" t="n">
        <v>0.117405010784802</v>
      </c>
      <c r="O114" s="108" t="n">
        <v>0.0883303964004038</v>
      </c>
      <c r="P114" s="109" t="n">
        <v>115</v>
      </c>
      <c r="Q114" s="110" t="n">
        <v>12801</v>
      </c>
      <c r="R114" s="110" t="n">
        <v>7273.8543477255</v>
      </c>
      <c r="S114" s="110" t="n">
        <v>2281.23513044041</v>
      </c>
      <c r="T114" s="110" t="n">
        <v>22356.0894781659</v>
      </c>
      <c r="U114" s="104" t="n">
        <v>20184</v>
      </c>
      <c r="V114" s="104" t="n">
        <v>0</v>
      </c>
      <c r="W114" s="104">
        <f>$U114+$V114</f>
        <v/>
      </c>
      <c r="X114" s="111">
        <f>IFERROR(A114/Q114,0)</f>
        <v/>
      </c>
      <c r="Y114" s="111">
        <f>IFERROR(B114/T114,0)</f>
        <v/>
      </c>
      <c r="Z114" s="111">
        <f>IFERROR(C114/Q114,0)</f>
        <v/>
      </c>
      <c r="AA114" s="111">
        <f>IFERROR(D114/T114,0)</f>
        <v/>
      </c>
      <c r="AC114" s="111">
        <f>IF(T114&gt;0,IFERROR(E114/T114,0),1)</f>
        <v/>
      </c>
      <c r="AD114" s="111">
        <f>IF(Q114&gt;0,IFERROR(F114/Q114,0),1)</f>
        <v/>
      </c>
      <c r="AE114" s="111">
        <f>IF(AK114&gt;0,IFERROR(G114/AK114,0),1)</f>
        <v/>
      </c>
      <c r="AF114" s="111">
        <f>IF(AL114&gt;0,IFERROR(H114/AL114,0),1)</f>
        <v/>
      </c>
      <c r="AG114" s="104">
        <f>T114-(U114+AM114+AQ114)</f>
        <v/>
      </c>
      <c r="AH114" s="104">
        <f>Q114-(U114+AN114+AQ114)</f>
        <v/>
      </c>
      <c r="AI114" s="104">
        <f>(AK114-AO114)</f>
        <v/>
      </c>
      <c r="AJ114" s="104">
        <f>(AL114-AP114)</f>
        <v/>
      </c>
      <c r="AK114" s="110">
        <f>R114+AH114</f>
        <v/>
      </c>
      <c r="AL114" s="110">
        <f>S114+AI114</f>
        <v/>
      </c>
      <c r="AM114" s="104" t="n">
        <v>21600</v>
      </c>
      <c r="AN114" s="104" t="n">
        <v>0</v>
      </c>
      <c r="AO114" s="104" t="n">
        <v>12000</v>
      </c>
      <c r="AP114" s="104" t="n">
        <v>9600</v>
      </c>
      <c r="AQ114" s="104" t="n">
        <v>0</v>
      </c>
      <c r="AR114" s="104" t="n"/>
      <c r="AS114" s="112" t="n"/>
    </row>
    <row r="115" ht="12.65" customHeight="1" s="79">
      <c r="A115" s="104">
        <f>MIN(U115,Q115)</f>
        <v/>
      </c>
      <c r="B115" s="104">
        <f>MIN(U115,T115)</f>
        <v/>
      </c>
      <c r="C115" s="104">
        <f>MIN(W115,Q115)</f>
        <v/>
      </c>
      <c r="D115" s="104">
        <f>MIN(W115,T115)</f>
        <v/>
      </c>
      <c r="E115" s="104">
        <f>MIN((U115+AM115+AQ115),T115)</f>
        <v/>
      </c>
      <c r="F115" s="104">
        <f>MAX(MIN((U115+AN115+AQ115),Q115),0)</f>
        <v/>
      </c>
      <c r="G115" s="104">
        <f>MAX(MIN(AO115,AK115),0)</f>
        <v/>
      </c>
      <c r="H115" s="104">
        <f>MAX(MIN(AP115,AL115),0)</f>
        <v/>
      </c>
      <c r="I115" s="105" t="inlineStr">
        <is>
          <t>MAHIMA VOHRA</t>
        </is>
      </c>
      <c r="J115" s="106" t="inlineStr">
        <is>
          <t>STATIONERY</t>
        </is>
      </c>
      <c r="K115" s="107" t="inlineStr">
        <is>
          <t>ST_NON PAPER</t>
        </is>
      </c>
      <c r="L115" s="107" t="inlineStr">
        <is>
          <t>ST_NP_PEN STAND</t>
        </is>
      </c>
      <c r="M115" s="107" t="inlineStr">
        <is>
          <t>ARTICLE</t>
        </is>
      </c>
      <c r="N115" s="108" t="n">
        <v>0.146978467722519</v>
      </c>
      <c r="O115" s="108" t="n">
        <v>0.153076456938471</v>
      </c>
      <c r="P115" s="109" t="n">
        <v>145</v>
      </c>
      <c r="Q115" s="110" t="n">
        <v>8074</v>
      </c>
      <c r="R115" s="110" t="n">
        <v>5293.71714323723</v>
      </c>
      <c r="S115" s="110" t="n">
        <v>3517.52512009905</v>
      </c>
      <c r="T115" s="110" t="n">
        <v>16885.2422633363</v>
      </c>
      <c r="U115" s="104" t="n">
        <v>1800</v>
      </c>
      <c r="V115" s="104" t="n">
        <v>0</v>
      </c>
      <c r="W115" s="104">
        <f>$U115+$V115</f>
        <v/>
      </c>
      <c r="X115" s="111">
        <f>IFERROR(A115/Q115,0)</f>
        <v/>
      </c>
      <c r="Y115" s="111">
        <f>IFERROR(B115/T115,0)</f>
        <v/>
      </c>
      <c r="Z115" s="111">
        <f>IFERROR(C115/Q115,0)</f>
        <v/>
      </c>
      <c r="AA115" s="111">
        <f>IFERROR(D115/T115,0)</f>
        <v/>
      </c>
      <c r="AC115" s="111">
        <f>IF(T115&gt;0,IFERROR(E115/T115,0),1)</f>
        <v/>
      </c>
      <c r="AD115" s="111">
        <f>IF(Q115&gt;0,IFERROR(F115/Q115,0),1)</f>
        <v/>
      </c>
      <c r="AE115" s="111">
        <f>IF(AK115&gt;0,IFERROR(G115/AK115,0),1)</f>
        <v/>
      </c>
      <c r="AF115" s="111">
        <f>IF(AL115&gt;0,IFERROR(H115/AL115,0),1)</f>
        <v/>
      </c>
      <c r="AG115" s="104">
        <f>T115-(U115+AM115+AQ115)</f>
        <v/>
      </c>
      <c r="AH115" s="104">
        <f>Q115-(U115+AN115+AQ115)</f>
        <v/>
      </c>
      <c r="AI115" s="104">
        <f>(AK115-AO115)</f>
        <v/>
      </c>
      <c r="AJ115" s="104">
        <f>(AL115-AP115)</f>
        <v/>
      </c>
      <c r="AK115" s="110">
        <f>R115+AH115</f>
        <v/>
      </c>
      <c r="AL115" s="110">
        <f>S115+AI115</f>
        <v/>
      </c>
      <c r="AM115" s="104" t="n">
        <v>14640</v>
      </c>
      <c r="AN115" s="104" t="n">
        <v>6600</v>
      </c>
      <c r="AO115" s="104" t="n">
        <v>1440</v>
      </c>
      <c r="AP115" s="104" t="n">
        <v>6600</v>
      </c>
      <c r="AQ115" s="104" t="n">
        <v>0</v>
      </c>
      <c r="AR115" s="104" t="n"/>
      <c r="AS115" s="112" t="n"/>
    </row>
    <row r="116" ht="12.65" customHeight="1" s="79">
      <c r="A116" s="104">
        <f>MIN(U116,Q116)</f>
        <v/>
      </c>
      <c r="B116" s="104">
        <f>MIN(U116,T116)</f>
        <v/>
      </c>
      <c r="C116" s="104">
        <f>MIN(W116,Q116)</f>
        <v/>
      </c>
      <c r="D116" s="104">
        <f>MIN(W116,T116)</f>
        <v/>
      </c>
      <c r="E116" s="104">
        <f>MIN((U116+AM116+AQ116),T116)</f>
        <v/>
      </c>
      <c r="F116" s="104">
        <f>MAX(MIN((U116+AN116+AQ116),Q116),0)</f>
        <v/>
      </c>
      <c r="G116" s="104">
        <f>MAX(MIN(AO116,AK116),0)</f>
        <v/>
      </c>
      <c r="H116" s="104">
        <f>MAX(MIN(AP116,AL116),0)</f>
        <v/>
      </c>
      <c r="I116" s="105" t="inlineStr">
        <is>
          <t>MAHIMA VOHRA</t>
        </is>
      </c>
      <c r="J116" s="106" t="inlineStr">
        <is>
          <t>STATIONERY</t>
        </is>
      </c>
      <c r="K116" s="107" t="inlineStr">
        <is>
          <t>ST_NON PAPER</t>
        </is>
      </c>
      <c r="L116" s="107" t="inlineStr">
        <is>
          <t>ST_NP_POUCH</t>
        </is>
      </c>
      <c r="M116" s="107" t="inlineStr">
        <is>
          <t>ARTICLE</t>
        </is>
      </c>
      <c r="N116" s="108" t="n">
        <v>0.127277791963602</v>
      </c>
      <c r="O116" s="108" t="n">
        <v>0.0921829614733953</v>
      </c>
      <c r="P116" s="109" t="n">
        <v>123</v>
      </c>
      <c r="Q116" s="110" t="n">
        <v>2106</v>
      </c>
      <c r="R116" s="110" t="n">
        <v>2233.99101870614</v>
      </c>
      <c r="S116" s="110" t="n">
        <v>687.158427001604</v>
      </c>
      <c r="T116" s="110" t="n">
        <v>5027.14944570775</v>
      </c>
      <c r="U116" s="104" t="n">
        <v>4200</v>
      </c>
      <c r="V116" s="104" t="n">
        <v>0</v>
      </c>
      <c r="W116" s="104">
        <f>$U116+$V116</f>
        <v/>
      </c>
      <c r="X116" s="111">
        <f>IFERROR(A116/Q116,0)</f>
        <v/>
      </c>
      <c r="Y116" s="111">
        <f>IFERROR(B116/T116,0)</f>
        <v/>
      </c>
      <c r="Z116" s="111">
        <f>IFERROR(C116/Q116,0)</f>
        <v/>
      </c>
      <c r="AA116" s="111">
        <f>IFERROR(D116/T116,0)</f>
        <v/>
      </c>
      <c r="AC116" s="111">
        <f>IF(T116&gt;0,IFERROR(E116/T116,0),1)</f>
        <v/>
      </c>
      <c r="AD116" s="111">
        <f>IF(Q116&gt;0,IFERROR(F116/Q116,0),1)</f>
        <v/>
      </c>
      <c r="AE116" s="111">
        <f>IF(AK116&gt;0,IFERROR(G116/AK116,0),1)</f>
        <v/>
      </c>
      <c r="AF116" s="111">
        <f>IF(AL116&gt;0,IFERROR(H116/AL116,0),1)</f>
        <v/>
      </c>
      <c r="AG116" s="104">
        <f>T116-(U116+AM116+AQ116)</f>
        <v/>
      </c>
      <c r="AH116" s="104">
        <f>Q116-(U116+AN116+AQ116)</f>
        <v/>
      </c>
      <c r="AI116" s="104">
        <f>(AK116-AO116)</f>
        <v/>
      </c>
      <c r="AJ116" s="104">
        <f>(AL116-AP116)</f>
        <v/>
      </c>
      <c r="AK116" s="110">
        <f>R116+AH116</f>
        <v/>
      </c>
      <c r="AL116" s="110">
        <f>S116+AI116</f>
        <v/>
      </c>
      <c r="AM116" s="104" t="n">
        <v>4200</v>
      </c>
      <c r="AN116" s="104" t="n">
        <v>0</v>
      </c>
      <c r="AO116" s="104" t="n">
        <v>4200</v>
      </c>
      <c r="AP116" s="104" t="n">
        <v>0</v>
      </c>
      <c r="AQ116" s="104" t="n">
        <v>0</v>
      </c>
      <c r="AR116" s="104" t="n"/>
      <c r="AS116" s="112" t="n"/>
    </row>
    <row r="117" ht="12.65" customHeight="1" s="79">
      <c r="A117" s="104">
        <f>MIN(U117,Q117)</f>
        <v/>
      </c>
      <c r="B117" s="104">
        <f>MIN(U117,T117)</f>
        <v/>
      </c>
      <c r="C117" s="104">
        <f>MIN(W117,Q117)</f>
        <v/>
      </c>
      <c r="D117" s="104">
        <f>MIN(W117,T117)</f>
        <v/>
      </c>
      <c r="E117" s="104">
        <f>MIN((U117+AM117+AQ117),T117)</f>
        <v/>
      </c>
      <c r="F117" s="104">
        <f>MAX(MIN((U117+AN117+AQ117),Q117),0)</f>
        <v/>
      </c>
      <c r="G117" s="104">
        <f>MAX(MIN(AO117,AK117),0)</f>
        <v/>
      </c>
      <c r="H117" s="104">
        <f>MAX(MIN(AP117,AL117),0)</f>
        <v/>
      </c>
      <c r="I117" s="105" t="inlineStr">
        <is>
          <t>MAHIMA VOHRA</t>
        </is>
      </c>
      <c r="J117" s="106" t="inlineStr">
        <is>
          <t>STATIONERY</t>
        </is>
      </c>
      <c r="K117" s="107" t="inlineStr">
        <is>
          <t>ST_NON PAPER</t>
        </is>
      </c>
      <c r="L117" s="107" t="inlineStr">
        <is>
          <t>ST_NP_COIN BANK</t>
        </is>
      </c>
      <c r="M117" s="107" t="inlineStr">
        <is>
          <t>ARTICLE</t>
        </is>
      </c>
      <c r="N117" s="108" t="n">
        <v>0.0718790870353964</v>
      </c>
      <c r="O117" s="108" t="n">
        <v>0.0506373812634627</v>
      </c>
      <c r="P117" s="109" t="n">
        <v>157</v>
      </c>
      <c r="Q117" s="110" t="n">
        <v>1511</v>
      </c>
      <c r="R117" s="110" t="n">
        <v>765.128672784576</v>
      </c>
      <c r="S117" s="110" t="n">
        <v>1335.78601856822</v>
      </c>
      <c r="T117" s="110" t="n">
        <v>3611.9146913528</v>
      </c>
      <c r="U117" s="104" t="n">
        <v>1200</v>
      </c>
      <c r="V117" s="104" t="n">
        <v>0</v>
      </c>
      <c r="W117" s="104">
        <f>$U117+$V117</f>
        <v/>
      </c>
      <c r="X117" s="111">
        <f>IFERROR(A117/Q117,0)</f>
        <v/>
      </c>
      <c r="Y117" s="111">
        <f>IFERROR(B117/T117,0)</f>
        <v/>
      </c>
      <c r="Z117" s="111">
        <f>IFERROR(C117/Q117,0)</f>
        <v/>
      </c>
      <c r="AA117" s="111">
        <f>IFERROR(D117/T117,0)</f>
        <v/>
      </c>
      <c r="AC117" s="111">
        <f>IF(T117&gt;0,IFERROR(E117/T117,0),1)</f>
        <v/>
      </c>
      <c r="AD117" s="111">
        <f>IF(Q117&gt;0,IFERROR(F117/Q117,0),1)</f>
        <v/>
      </c>
      <c r="AE117" s="111">
        <f>IF(AK117&gt;0,IFERROR(G117/AK117,0),1)</f>
        <v/>
      </c>
      <c r="AF117" s="111">
        <f>IF(AL117&gt;0,IFERROR(H117/AL117,0),1)</f>
        <v/>
      </c>
      <c r="AG117" s="104">
        <f>T117-(U117+AM117+AQ117)</f>
        <v/>
      </c>
      <c r="AH117" s="104">
        <f>Q117-(U117+AN117+AQ117)</f>
        <v/>
      </c>
      <c r="AI117" s="104">
        <f>(AK117-AO117)</f>
        <v/>
      </c>
      <c r="AJ117" s="104">
        <f>(AL117-AP117)</f>
        <v/>
      </c>
      <c r="AK117" s="110">
        <f>R117+AH117</f>
        <v/>
      </c>
      <c r="AL117" s="110">
        <f>S117+AI117</f>
        <v/>
      </c>
      <c r="AM117" s="104" t="n">
        <v>3120</v>
      </c>
      <c r="AN117" s="104" t="n">
        <v>1200</v>
      </c>
      <c r="AO117" s="104" t="n">
        <v>1920</v>
      </c>
      <c r="AP117" s="104" t="n">
        <v>0</v>
      </c>
      <c r="AQ117" s="104" t="n">
        <v>0</v>
      </c>
      <c r="AR117" s="104" t="n"/>
      <c r="AS117" s="104" t="n"/>
    </row>
    <row r="118" ht="12.65" customHeight="1" s="79">
      <c r="A118" s="104">
        <f>MIN(U118,Q118)</f>
        <v/>
      </c>
      <c r="B118" s="104">
        <f>MIN(U118,T118)</f>
        <v/>
      </c>
      <c r="C118" s="104">
        <f>MIN(W118,Q118)</f>
        <v/>
      </c>
      <c r="D118" s="104">
        <f>MIN(W118,T118)</f>
        <v/>
      </c>
      <c r="E118" s="104">
        <f>MIN((U118+AM118+AQ118),T118)</f>
        <v/>
      </c>
      <c r="F118" s="104">
        <f>MAX(MIN((U118+AN118+AQ118),Q118),0)</f>
        <v/>
      </c>
      <c r="G118" s="104">
        <f>MAX(MIN(AO118,AK118),0)</f>
        <v/>
      </c>
      <c r="H118" s="104">
        <f>MAX(MIN(AP118,AL118),0)</f>
        <v/>
      </c>
      <c r="I118" s="105" t="inlineStr">
        <is>
          <t>MAHIMA VOHRA</t>
        </is>
      </c>
      <c r="J118" s="106" t="inlineStr">
        <is>
          <t>STATIONERY</t>
        </is>
      </c>
      <c r="K118" s="107" t="inlineStr">
        <is>
          <t>ST_NON PAPER</t>
        </is>
      </c>
      <c r="L118" s="107" t="inlineStr">
        <is>
          <t>ST_NP_KIDS BAG</t>
        </is>
      </c>
      <c r="M118" s="107" t="inlineStr">
        <is>
          <t>ARTICLE</t>
        </is>
      </c>
      <c r="N118" s="108" t="n">
        <v>0.0810254366739723</v>
      </c>
      <c r="O118" s="108" t="n">
        <v>0.095935960591133</v>
      </c>
      <c r="P118" s="109" t="n">
        <v>171</v>
      </c>
      <c r="Q118" s="110" t="n">
        <v>0</v>
      </c>
      <c r="R118" s="110" t="n">
        <v>0</v>
      </c>
      <c r="S118" s="110" t="n">
        <v>0</v>
      </c>
      <c r="T118" s="110" t="n">
        <v>0</v>
      </c>
      <c r="U118" s="104" t="n">
        <v>0</v>
      </c>
      <c r="V118" s="104" t="n">
        <v>0</v>
      </c>
      <c r="W118" s="104">
        <f>$U118+$V118</f>
        <v/>
      </c>
      <c r="X118" s="111">
        <f>IFERROR(A118/Q118,0)</f>
        <v/>
      </c>
      <c r="Y118" s="111">
        <f>IFERROR(B118/T118,0)</f>
        <v/>
      </c>
      <c r="Z118" s="111">
        <f>IFERROR(C118/Q118,0)</f>
        <v/>
      </c>
      <c r="AA118" s="111">
        <f>IFERROR(D118/T118,0)</f>
        <v/>
      </c>
      <c r="AC118" s="111">
        <f>IF(T118&gt;0,IFERROR(E118/T118,0),1)</f>
        <v/>
      </c>
      <c r="AD118" s="111">
        <f>IF(Q118&gt;0,IFERROR(F118/Q118,0),1)</f>
        <v/>
      </c>
      <c r="AE118" s="111">
        <f>IF(AK118&gt;0,IFERROR(G118/AK118,0),1)</f>
        <v/>
      </c>
      <c r="AF118" s="111">
        <f>IF(AL118&gt;0,IFERROR(H118/AL118,0),1)</f>
        <v/>
      </c>
      <c r="AG118" s="104">
        <f>T118-(U118+AM118+AQ118)</f>
        <v/>
      </c>
      <c r="AH118" s="104">
        <f>Q118-(U118+AN118+AQ118)</f>
        <v/>
      </c>
      <c r="AI118" s="104">
        <f>(AK118-AO118)</f>
        <v/>
      </c>
      <c r="AJ118" s="104">
        <f>(AL118-AP118)</f>
        <v/>
      </c>
      <c r="AK118" s="110">
        <f>R118+AH118</f>
        <v/>
      </c>
      <c r="AL118" s="110">
        <f>S118+AI118</f>
        <v/>
      </c>
      <c r="AM118" s="104" t="n">
        <v>0</v>
      </c>
      <c r="AN118" s="104" t="n">
        <v>0</v>
      </c>
      <c r="AO118" s="104" t="n">
        <v>0</v>
      </c>
      <c r="AP118" s="104" t="n">
        <v>0</v>
      </c>
      <c r="AQ118" s="104" t="n">
        <v>0</v>
      </c>
      <c r="AR118" s="104" t="n"/>
      <c r="AS118" s="112" t="n"/>
    </row>
    <row r="119" ht="12.65" customHeight="1" s="79">
      <c r="A119" s="104">
        <f>MIN(U119,Q119)</f>
        <v/>
      </c>
      <c r="B119" s="104">
        <f>MIN(U119,T119)</f>
        <v/>
      </c>
      <c r="C119" s="104">
        <f>MIN(W119,Q119)</f>
        <v/>
      </c>
      <c r="D119" s="104">
        <f>MIN(W119,T119)</f>
        <v/>
      </c>
      <c r="E119" s="104">
        <f>MIN((U119+AM119+AQ119),T119)</f>
        <v/>
      </c>
      <c r="F119" s="104">
        <f>MAX(MIN((U119+AN119+AQ119),Q119),0)</f>
        <v/>
      </c>
      <c r="G119" s="104">
        <f>MAX(MIN(AO119,AK119),0)</f>
        <v/>
      </c>
      <c r="H119" s="104">
        <f>MAX(MIN(AP119,AL119),0)</f>
        <v/>
      </c>
      <c r="I119" s="105" t="inlineStr">
        <is>
          <t>MAHIMA VOHRA</t>
        </is>
      </c>
      <c r="J119" s="106" t="inlineStr">
        <is>
          <t>STATIONERY</t>
        </is>
      </c>
      <c r="K119" s="107" t="inlineStr">
        <is>
          <t>ST_PAPER</t>
        </is>
      </c>
      <c r="L119" s="107" t="inlineStr">
        <is>
          <t>ST_NP_BOOKS</t>
        </is>
      </c>
      <c r="M119" s="107" t="inlineStr">
        <is>
          <t>ARTICLE</t>
        </is>
      </c>
      <c r="N119" s="108" t="n">
        <v>0.0850031408896422</v>
      </c>
      <c r="O119" s="108" t="n">
        <v>0.0935376168188128</v>
      </c>
      <c r="P119" s="109" t="n">
        <v>70</v>
      </c>
      <c r="Q119" s="110" t="n">
        <v>16814</v>
      </c>
      <c r="R119" s="110" t="n">
        <v>18015.306777623</v>
      </c>
      <c r="S119" s="110" t="n">
        <v>10463.5640255539</v>
      </c>
      <c r="T119" s="110" t="n">
        <v>45292.870803177</v>
      </c>
      <c r="U119" s="104" t="n">
        <v>17160</v>
      </c>
      <c r="V119" s="104" t="n">
        <v>0</v>
      </c>
      <c r="W119" s="104">
        <f>$U119+$V119</f>
        <v/>
      </c>
      <c r="X119" s="111">
        <f>IFERROR(A119/Q119,0)</f>
        <v/>
      </c>
      <c r="Y119" s="111">
        <f>IFERROR(B119/T119,0)</f>
        <v/>
      </c>
      <c r="Z119" s="111">
        <f>IFERROR(C119/Q119,0)</f>
        <v/>
      </c>
      <c r="AA119" s="111">
        <f>IFERROR(D119/T119,0)</f>
        <v/>
      </c>
      <c r="AC119" s="111">
        <f>IF(T119&gt;0,IFERROR(E119/T119,0),1)</f>
        <v/>
      </c>
      <c r="AD119" s="111">
        <f>IF(Q119&gt;0,IFERROR(F119/Q119,0),1)</f>
        <v/>
      </c>
      <c r="AE119" s="111">
        <f>IF(AK119&gt;0,IFERROR(G119/AK119,0),1)</f>
        <v/>
      </c>
      <c r="AF119" s="111">
        <f>IF(AL119&gt;0,IFERROR(H119/AL119,0),1)</f>
        <v/>
      </c>
      <c r="AG119" s="104">
        <f>T119-(U119+AM119+AQ119)</f>
        <v/>
      </c>
      <c r="AH119" s="104">
        <f>Q119-(U119+AN119+AQ119)</f>
        <v/>
      </c>
      <c r="AI119" s="104">
        <f>(AK119-AO119)</f>
        <v/>
      </c>
      <c r="AJ119" s="104">
        <f>(AL119-AP119)</f>
        <v/>
      </c>
      <c r="AK119" s="110">
        <f>R119+AH119</f>
        <v/>
      </c>
      <c r="AL119" s="110">
        <f>S119+AI119</f>
        <v/>
      </c>
      <c r="AM119" s="104" t="n">
        <v>23040</v>
      </c>
      <c r="AN119" s="104" t="n">
        <v>3600</v>
      </c>
      <c r="AO119" s="104" t="n">
        <v>19440</v>
      </c>
      <c r="AP119" s="104" t="n">
        <v>0</v>
      </c>
      <c r="AQ119" s="104" t="n">
        <v>0</v>
      </c>
      <c r="AR119" s="104" t="n"/>
      <c r="AS119" s="104" t="n"/>
    </row>
    <row r="120" ht="12.65" customHeight="1" s="79">
      <c r="A120" s="104">
        <f>MIN(U120,Q120)</f>
        <v/>
      </c>
      <c r="B120" s="104">
        <f>MIN(U120,T120)</f>
        <v/>
      </c>
      <c r="C120" s="104">
        <f>MIN(W120,Q120)</f>
        <v/>
      </c>
      <c r="D120" s="104">
        <f>MIN(W120,T120)</f>
        <v/>
      </c>
      <c r="E120" s="104">
        <f>MIN((U120+AM120+AQ120),T120)</f>
        <v/>
      </c>
      <c r="F120" s="104">
        <f>MAX(MIN((U120+AN120+AQ120),Q120),0)</f>
        <v/>
      </c>
      <c r="G120" s="104">
        <f>MAX(MIN(AO120,AK120),0)</f>
        <v/>
      </c>
      <c r="H120" s="104">
        <f>MAX(MIN(AP120,AL120),0)</f>
        <v/>
      </c>
      <c r="I120" s="105" t="inlineStr">
        <is>
          <t>MAHIMA VOHRA</t>
        </is>
      </c>
      <c r="J120" s="106" t="inlineStr">
        <is>
          <t>STATIONERY</t>
        </is>
      </c>
      <c r="K120" s="107" t="inlineStr">
        <is>
          <t>ST_PAPER</t>
        </is>
      </c>
      <c r="L120" s="107" t="inlineStr">
        <is>
          <t>ST_NP_DIARY</t>
        </is>
      </c>
      <c r="M120" s="107" t="inlineStr">
        <is>
          <t>ARTICLE</t>
        </is>
      </c>
      <c r="N120" s="108" t="n">
        <v>0.091290707930022</v>
      </c>
      <c r="O120" s="108" t="n">
        <v>0.09423475133505289</v>
      </c>
      <c r="P120" s="109" t="n">
        <v>164</v>
      </c>
      <c r="Q120" s="110" t="n">
        <v>2818</v>
      </c>
      <c r="R120" s="110" t="n">
        <v>1275.14737875013</v>
      </c>
      <c r="S120" s="110" t="n">
        <v>1565.80643415909</v>
      </c>
      <c r="T120" s="110" t="n">
        <v>5658.95381290922</v>
      </c>
      <c r="U120" s="104" t="n">
        <v>2400</v>
      </c>
      <c r="V120" s="104" t="n">
        <v>1440</v>
      </c>
      <c r="W120" s="104">
        <f>$U120+$V120</f>
        <v/>
      </c>
      <c r="X120" s="111">
        <f>IFERROR(A120/Q120,0)</f>
        <v/>
      </c>
      <c r="Y120" s="111">
        <f>IFERROR(B120/T120,0)</f>
        <v/>
      </c>
      <c r="Z120" s="111">
        <f>IFERROR(C120/Q120,0)</f>
        <v/>
      </c>
      <c r="AA120" s="111">
        <f>IFERROR(D120/T120,0)</f>
        <v/>
      </c>
      <c r="AC120" s="111">
        <f>IF(T120&gt;0,IFERROR(E120/T120,0),1)</f>
        <v/>
      </c>
      <c r="AD120" s="111">
        <f>IF(Q120&gt;0,IFERROR(F120/Q120,0),1)</f>
        <v/>
      </c>
      <c r="AE120" s="111">
        <f>IF(AK120&gt;0,IFERROR(G120/AK120,0),1)</f>
        <v/>
      </c>
      <c r="AF120" s="111">
        <f>IF(AL120&gt;0,IFERROR(H120/AL120,0),1)</f>
        <v/>
      </c>
      <c r="AG120" s="104">
        <f>T120-(U120+AM120+AQ120)</f>
        <v/>
      </c>
      <c r="AH120" s="104">
        <f>Q120-(U120+AN120+AQ120)</f>
        <v/>
      </c>
      <c r="AI120" s="104">
        <f>(AK120-AO120)</f>
        <v/>
      </c>
      <c r="AJ120" s="104">
        <f>(AL120-AP120)</f>
        <v/>
      </c>
      <c r="AK120" s="110">
        <f>R120+AH120</f>
        <v/>
      </c>
      <c r="AL120" s="110">
        <f>S120+AI120</f>
        <v/>
      </c>
      <c r="AM120" s="104" t="n">
        <v>6240</v>
      </c>
      <c r="AN120" s="104" t="n">
        <v>1440</v>
      </c>
      <c r="AO120" s="104" t="n">
        <v>2400</v>
      </c>
      <c r="AP120" s="104" t="n">
        <v>2400</v>
      </c>
      <c r="AQ120" s="104" t="n">
        <v>0</v>
      </c>
      <c r="AR120" s="104" t="n"/>
      <c r="AS120" s="112" t="n"/>
    </row>
    <row r="121" ht="12.65" customHeight="1" s="79">
      <c r="A121" s="104">
        <f>MIN(U121,Q121)</f>
        <v/>
      </c>
      <c r="B121" s="104">
        <f>MIN(U121,T121)</f>
        <v/>
      </c>
      <c r="C121" s="104">
        <f>MIN(W121,Q121)</f>
        <v/>
      </c>
      <c r="D121" s="104">
        <f>MIN(W121,T121)</f>
        <v/>
      </c>
      <c r="E121" s="104">
        <f>MIN((U121+AM121+AQ121),T121)</f>
        <v/>
      </c>
      <c r="F121" s="104">
        <f>MAX(MIN((U121+AN121+AQ121),Q121),0)</f>
        <v/>
      </c>
      <c r="G121" s="104">
        <f>MAX(MIN(AO121,AK121),0)</f>
        <v/>
      </c>
      <c r="H121" s="104">
        <f>MAX(MIN(AP121,AL121),0)</f>
        <v/>
      </c>
      <c r="I121" s="105" t="inlineStr">
        <is>
          <t>MAHIMA VOHRA</t>
        </is>
      </c>
      <c r="J121" s="106" t="inlineStr">
        <is>
          <t>STATIONERY</t>
        </is>
      </c>
      <c r="K121" s="107" t="inlineStr">
        <is>
          <t>ST_WRITTING</t>
        </is>
      </c>
      <c r="L121" s="107" t="inlineStr">
        <is>
          <t>ST_NP_KIT</t>
        </is>
      </c>
      <c r="M121" s="107" t="inlineStr">
        <is>
          <t>ARTICLE</t>
        </is>
      </c>
      <c r="N121" s="108" t="n">
        <v>0.101627548254137</v>
      </c>
      <c r="O121" s="108" t="n">
        <v>0.115631063403643</v>
      </c>
      <c r="P121" s="109" t="n">
        <v>18</v>
      </c>
      <c r="Q121" s="110" t="n">
        <v>33383</v>
      </c>
      <c r="R121" s="110" t="n">
        <v>29237.6307740644</v>
      </c>
      <c r="S121" s="110" t="n">
        <v>21068.7994317732</v>
      </c>
      <c r="T121" s="110" t="n">
        <v>83689.43020583761</v>
      </c>
      <c r="U121" s="104" t="n">
        <v>22440</v>
      </c>
      <c r="V121" s="104" t="n">
        <v>8988</v>
      </c>
      <c r="W121" s="104">
        <f>$U121+$V121</f>
        <v/>
      </c>
      <c r="X121" s="111">
        <f>IFERROR(A121/Q121,0)</f>
        <v/>
      </c>
      <c r="Y121" s="111">
        <f>IFERROR(B121/T121,0)</f>
        <v/>
      </c>
      <c r="Z121" s="111">
        <f>IFERROR(C121/Q121,0)</f>
        <v/>
      </c>
      <c r="AA121" s="111">
        <f>IFERROR(D121/T121,0)</f>
        <v/>
      </c>
      <c r="AC121" s="111">
        <f>IF(T121&gt;0,IFERROR(E121/T121,0),1)</f>
        <v/>
      </c>
      <c r="AD121" s="111">
        <f>IF(Q121&gt;0,IFERROR(F121/Q121,0),1)</f>
        <v/>
      </c>
      <c r="AE121" s="111">
        <f>IF(AK121&gt;0,IFERROR(G121/AK121,0),1)</f>
        <v/>
      </c>
      <c r="AF121" s="111">
        <f>IF(AL121&gt;0,IFERROR(H121/AL121,0),1)</f>
        <v/>
      </c>
      <c r="AG121" s="104">
        <f>T121-(U121+AM121+AQ121)</f>
        <v/>
      </c>
      <c r="AH121" s="104">
        <f>Q121-(U121+AN121+AQ121)</f>
        <v/>
      </c>
      <c r="AI121" s="104">
        <f>(AK121-AO121)</f>
        <v/>
      </c>
      <c r="AJ121" s="104">
        <f>(AL121-AP121)</f>
        <v/>
      </c>
      <c r="AK121" s="110">
        <f>R121+AH121</f>
        <v/>
      </c>
      <c r="AL121" s="110">
        <f>S121+AI121</f>
        <v/>
      </c>
      <c r="AM121" s="104" t="n">
        <v>40440</v>
      </c>
      <c r="AN121" s="104" t="n">
        <v>11400</v>
      </c>
      <c r="AO121" s="104" t="n">
        <v>29040</v>
      </c>
      <c r="AP121" s="104" t="n">
        <v>0</v>
      </c>
      <c r="AQ121" s="104" t="n">
        <v>0</v>
      </c>
      <c r="AR121" s="104" t="n"/>
      <c r="AS121" s="112" t="n"/>
    </row>
    <row r="122" ht="12.65" customHeight="1" s="79">
      <c r="A122" s="104">
        <f>MIN(U122,Q122)</f>
        <v/>
      </c>
      <c r="B122" s="104">
        <f>MIN(U122,T122)</f>
        <v/>
      </c>
      <c r="C122" s="104">
        <f>MIN(W122,Q122)</f>
        <v/>
      </c>
      <c r="D122" s="104">
        <f>MIN(W122,T122)</f>
        <v/>
      </c>
      <c r="E122" s="104">
        <f>MIN((U122+AM122+AQ122),T122)</f>
        <v/>
      </c>
      <c r="F122" s="104">
        <f>MAX(MIN((U122+AN122+AQ122),Q122),0)</f>
        <v/>
      </c>
      <c r="G122" s="104">
        <f>MAX(MIN(AO122,AK122),0)</f>
        <v/>
      </c>
      <c r="H122" s="104">
        <f>MAX(MIN(AP122,AL122),0)</f>
        <v/>
      </c>
      <c r="I122" s="105" t="inlineStr">
        <is>
          <t>MAHIMA VOHRA</t>
        </is>
      </c>
      <c r="J122" s="106" t="inlineStr">
        <is>
          <t>STATIONERY</t>
        </is>
      </c>
      <c r="K122" s="107" t="inlineStr">
        <is>
          <t>ST_WRITTING</t>
        </is>
      </c>
      <c r="L122" s="107" t="inlineStr">
        <is>
          <t>ST_NP_COLOR</t>
        </is>
      </c>
      <c r="M122" s="107" t="inlineStr">
        <is>
          <t>ARTICLE</t>
        </is>
      </c>
      <c r="N122" s="108" t="n">
        <v>0.120298849984786</v>
      </c>
      <c r="O122" s="108" t="n">
        <v>0.142779982134325</v>
      </c>
      <c r="P122" s="109" t="n">
        <v>122</v>
      </c>
      <c r="Q122" s="110" t="n">
        <v>11561</v>
      </c>
      <c r="R122" s="110" t="n">
        <v>7601.55564896122</v>
      </c>
      <c r="S122" s="110" t="n">
        <v>4243.04910965624</v>
      </c>
      <c r="T122" s="110" t="n">
        <v>23405.6047586175</v>
      </c>
      <c r="U122" s="104" t="n">
        <v>7340</v>
      </c>
      <c r="V122" s="104" t="n">
        <v>0</v>
      </c>
      <c r="W122" s="104">
        <f>$U122+$V122</f>
        <v/>
      </c>
      <c r="X122" s="111">
        <f>IFERROR(A122/Q122,0)</f>
        <v/>
      </c>
      <c r="Y122" s="111">
        <f>IFERROR(B122/T122,0)</f>
        <v/>
      </c>
      <c r="Z122" s="111">
        <f>IFERROR(C122/Q122,0)</f>
        <v/>
      </c>
      <c r="AA122" s="111">
        <f>IFERROR(D122/T122,0)</f>
        <v/>
      </c>
      <c r="AC122" s="111">
        <f>IF(T122&gt;0,IFERROR(E122/T122,0),1)</f>
        <v/>
      </c>
      <c r="AD122" s="111">
        <f>IF(Q122&gt;0,IFERROR(F122/Q122,0),1)</f>
        <v/>
      </c>
      <c r="AE122" s="111">
        <f>IF(AK122&gt;0,IFERROR(G122/AK122,0),1)</f>
        <v/>
      </c>
      <c r="AF122" s="111">
        <f>IF(AL122&gt;0,IFERROR(H122/AL122,0),1)</f>
        <v/>
      </c>
      <c r="AG122" s="104">
        <f>T122-(U122+AM122+AQ122)</f>
        <v/>
      </c>
      <c r="AH122" s="104">
        <f>Q122-(U122+AN122+AQ122)</f>
        <v/>
      </c>
      <c r="AI122" s="104">
        <f>(AK122-AO122)</f>
        <v/>
      </c>
      <c r="AJ122" s="104">
        <f>(AL122-AP122)</f>
        <v/>
      </c>
      <c r="AK122" s="110">
        <f>R122+AH122</f>
        <v/>
      </c>
      <c r="AL122" s="110">
        <f>S122+AI122</f>
        <v/>
      </c>
      <c r="AM122" s="104" t="n">
        <v>36600</v>
      </c>
      <c r="AN122" s="104" t="n">
        <v>8600</v>
      </c>
      <c r="AO122" s="104" t="n">
        <v>12800</v>
      </c>
      <c r="AP122" s="104" t="n">
        <v>15200</v>
      </c>
      <c r="AQ122" s="104" t="n">
        <v>0</v>
      </c>
      <c r="AR122" s="104" t="n"/>
      <c r="AS122" s="104" t="n"/>
    </row>
    <row r="123" ht="12.65" customHeight="1" s="79">
      <c r="A123" s="104">
        <f>MIN(U123,Q123)</f>
        <v/>
      </c>
      <c r="B123" s="104">
        <f>MIN(U123,T123)</f>
        <v/>
      </c>
      <c r="C123" s="104">
        <f>MIN(W123,Q123)</f>
        <v/>
      </c>
      <c r="D123" s="104">
        <f>MIN(W123,T123)</f>
        <v/>
      </c>
      <c r="E123" s="104">
        <f>MIN((U123+AM123+AQ123),T123)</f>
        <v/>
      </c>
      <c r="F123" s="104">
        <f>MAX(MIN((U123+AN123+AQ123),Q123),0)</f>
        <v/>
      </c>
      <c r="G123" s="104">
        <f>MAX(MIN(AO123,AK123),0)</f>
        <v/>
      </c>
      <c r="H123" s="104">
        <f>MAX(MIN(AP123,AL123),0)</f>
        <v/>
      </c>
      <c r="I123" s="105" t="inlineStr">
        <is>
          <t>MAHIMA VOHRA</t>
        </is>
      </c>
      <c r="J123" s="106" t="inlineStr">
        <is>
          <t>STATIONERY</t>
        </is>
      </c>
      <c r="K123" s="107" t="inlineStr">
        <is>
          <t>ST_WRITTING</t>
        </is>
      </c>
      <c r="L123" s="107" t="inlineStr">
        <is>
          <t>ST_NP_PENCIL</t>
        </is>
      </c>
      <c r="M123" s="107" t="inlineStr">
        <is>
          <t>ARTICLE</t>
        </is>
      </c>
      <c r="N123" s="108" t="n">
        <v>0.087171534025901</v>
      </c>
      <c r="O123" s="108" t="n">
        <v>0.0932345442508416</v>
      </c>
      <c r="P123" s="109" t="n">
        <v>121</v>
      </c>
      <c r="Q123" s="110" t="n">
        <v>5205</v>
      </c>
      <c r="R123" s="110" t="n">
        <v>4733.86155528691</v>
      </c>
      <c r="S123" s="110" t="n">
        <v>4566.13776711361</v>
      </c>
      <c r="T123" s="110" t="n">
        <v>14504.9993224005</v>
      </c>
      <c r="U123" s="104" t="n">
        <v>5017</v>
      </c>
      <c r="V123" s="104" t="n">
        <v>0</v>
      </c>
      <c r="W123" s="104">
        <f>$U123+$V123</f>
        <v/>
      </c>
      <c r="X123" s="111">
        <f>IFERROR(A123/Q123,0)</f>
        <v/>
      </c>
      <c r="Y123" s="111">
        <f>IFERROR(B123/T123,0)</f>
        <v/>
      </c>
      <c r="Z123" s="111">
        <f>IFERROR(C123/Q123,0)</f>
        <v/>
      </c>
      <c r="AA123" s="111">
        <f>IFERROR(D123/T123,0)</f>
        <v/>
      </c>
      <c r="AC123" s="111">
        <f>IF(T123&gt;0,IFERROR(E123/T123,0),1)</f>
        <v/>
      </c>
      <c r="AD123" s="111">
        <f>IF(Q123&gt;0,IFERROR(F123/Q123,0),1)</f>
        <v/>
      </c>
      <c r="AE123" s="111">
        <f>IF(AK123&gt;0,IFERROR(G123/AK123,0),1)</f>
        <v/>
      </c>
      <c r="AF123" s="111">
        <f>IF(AL123&gt;0,IFERROR(H123/AL123,0),1)</f>
        <v/>
      </c>
      <c r="AG123" s="104">
        <f>T123-(U123+AM123+AQ123)</f>
        <v/>
      </c>
      <c r="AH123" s="104">
        <f>Q123-(U123+AN123+AQ123)</f>
        <v/>
      </c>
      <c r="AI123" s="104">
        <f>(AK123-AO123)</f>
        <v/>
      </c>
      <c r="AJ123" s="104">
        <f>(AL123-AP123)</f>
        <v/>
      </c>
      <c r="AK123" s="110">
        <f>R123+AH123</f>
        <v/>
      </c>
      <c r="AL123" s="110">
        <f>S123+AI123</f>
        <v/>
      </c>
      <c r="AM123" s="104" t="n">
        <v>4983</v>
      </c>
      <c r="AN123" s="104" t="n">
        <v>0</v>
      </c>
      <c r="AO123" s="104" t="n">
        <v>4983</v>
      </c>
      <c r="AP123" s="104" t="n">
        <v>0</v>
      </c>
      <c r="AQ123" s="104" t="n">
        <v>0</v>
      </c>
      <c r="AR123" s="104" t="n"/>
      <c r="AS123" s="104" t="n"/>
    </row>
    <row r="124" ht="12.65" customHeight="1" s="79">
      <c r="A124" s="104">
        <f>MIN(U124,Q124)</f>
        <v/>
      </c>
      <c r="B124" s="104">
        <f>MIN(U124,T124)</f>
        <v/>
      </c>
      <c r="C124" s="104">
        <f>MIN(W124,Q124)</f>
        <v/>
      </c>
      <c r="D124" s="104">
        <f>MIN(W124,T124)</f>
        <v/>
      </c>
      <c r="E124" s="104">
        <f>MIN((U124+AM124+AQ124),T124)</f>
        <v/>
      </c>
      <c r="F124" s="104">
        <f>MAX(MIN((U124+AN124+AQ124),Q124),0)</f>
        <v/>
      </c>
      <c r="G124" s="104">
        <f>MAX(MIN(AO124,AK124),0)</f>
        <v/>
      </c>
      <c r="H124" s="104">
        <f>MAX(MIN(AP124,AL124),0)</f>
        <v/>
      </c>
      <c r="I124" s="105" t="inlineStr">
        <is>
          <t>MAHIMA VOHRA</t>
        </is>
      </c>
      <c r="J124" s="106" t="inlineStr">
        <is>
          <t>STATIONERY</t>
        </is>
      </c>
      <c r="K124" s="107" t="inlineStr">
        <is>
          <t>ST_WRITTING</t>
        </is>
      </c>
      <c r="L124" s="107" t="inlineStr">
        <is>
          <t>ST_NP_ERASER</t>
        </is>
      </c>
      <c r="M124" s="107" t="inlineStr">
        <is>
          <t>ARTICLE</t>
        </is>
      </c>
      <c r="N124" s="108" t="n">
        <v>0.102035718746097</v>
      </c>
      <c r="O124" s="108" t="n">
        <v>0.129098889749548</v>
      </c>
      <c r="P124" s="109" t="n">
        <v>176</v>
      </c>
      <c r="Q124" s="110" t="n">
        <v>2115</v>
      </c>
      <c r="R124" s="110" t="n">
        <v>1759.48293529973</v>
      </c>
      <c r="S124" s="110" t="n">
        <v>1597.16107546123</v>
      </c>
      <c r="T124" s="110" t="n">
        <v>5471.64401076096</v>
      </c>
      <c r="U124" s="104" t="n">
        <v>0</v>
      </c>
      <c r="V124" s="104" t="n">
        <v>7200</v>
      </c>
      <c r="W124" s="104">
        <f>$U124+$V124</f>
        <v/>
      </c>
      <c r="X124" s="111">
        <f>IFERROR(A124/Q124,0)</f>
        <v/>
      </c>
      <c r="Y124" s="111">
        <f>IFERROR(B124/T124,0)</f>
        <v/>
      </c>
      <c r="Z124" s="111">
        <f>IFERROR(C124/Q124,0)</f>
        <v/>
      </c>
      <c r="AA124" s="111">
        <f>IFERROR(D124/T124,0)</f>
        <v/>
      </c>
      <c r="AC124" s="111">
        <f>IF(T124&gt;0,IFERROR(E124/T124,0),1)</f>
        <v/>
      </c>
      <c r="AD124" s="111">
        <f>IF(Q124&gt;0,IFERROR(F124/Q124,0),1)</f>
        <v/>
      </c>
      <c r="AE124" s="111">
        <f>IF(AK124&gt;0,IFERROR(G124/AK124,0),1)</f>
        <v/>
      </c>
      <c r="AF124" s="111">
        <f>IF(AL124&gt;0,IFERROR(H124/AL124,0),1)</f>
        <v/>
      </c>
      <c r="AG124" s="104">
        <f>T124-(U124+AM124+AQ124)</f>
        <v/>
      </c>
      <c r="AH124" s="104">
        <f>Q124-(U124+AN124+AQ124)</f>
        <v/>
      </c>
      <c r="AI124" s="104">
        <f>(AK124-AO124)</f>
        <v/>
      </c>
      <c r="AJ124" s="104">
        <f>(AL124-AP124)</f>
        <v/>
      </c>
      <c r="AK124" s="110">
        <f>R124+AH124</f>
        <v/>
      </c>
      <c r="AL124" s="110">
        <f>S124+AI124</f>
        <v/>
      </c>
      <c r="AM124" s="104" t="n">
        <v>7200</v>
      </c>
      <c r="AN124" s="104" t="n">
        <v>7200</v>
      </c>
      <c r="AO124" s="104" t="n">
        <v>0</v>
      </c>
      <c r="AP124" s="104" t="n">
        <v>0</v>
      </c>
      <c r="AQ124" s="104" t="n">
        <v>0</v>
      </c>
      <c r="AR124" s="104" t="n"/>
      <c r="AS124" s="112" t="n"/>
    </row>
    <row r="125" ht="12.65" customHeight="1" s="79">
      <c r="A125" s="104">
        <f>MIN(U125,Q125)</f>
        <v/>
      </c>
      <c r="B125" s="104">
        <f>MIN(U125,T125)</f>
        <v/>
      </c>
      <c r="C125" s="104">
        <f>MIN(W125,Q125)</f>
        <v/>
      </c>
      <c r="D125" s="104">
        <f>MIN(W125,T125)</f>
        <v/>
      </c>
      <c r="E125" s="104">
        <f>MIN((U125+AM125+AQ125),T125)</f>
        <v/>
      </c>
      <c r="F125" s="104">
        <f>MAX(MIN((U125+AN125+AQ125),Q125),0)</f>
        <v/>
      </c>
      <c r="G125" s="104">
        <f>MAX(MIN(AO125,AK125),0)</f>
        <v/>
      </c>
      <c r="H125" s="104">
        <f>MAX(MIN(AP125,AL125),0)</f>
        <v/>
      </c>
      <c r="I125" s="105" t="inlineStr">
        <is>
          <t>ROOP KISHOR</t>
        </is>
      </c>
      <c r="J125" s="106" t="inlineStr">
        <is>
          <t>HOUSEHOLD</t>
        </is>
      </c>
      <c r="K125" s="107" t="inlineStr">
        <is>
          <t>HH_CLEANING AIDS</t>
        </is>
      </c>
      <c r="L125" s="107" t="inlineStr">
        <is>
          <t>HH_CA_SCRUBBER</t>
        </is>
      </c>
      <c r="M125" s="107" t="inlineStr">
        <is>
          <t>ARTICLE</t>
        </is>
      </c>
      <c r="N125" s="108" t="n">
        <v>0.150518257364423</v>
      </c>
      <c r="O125" s="108" t="n">
        <v>0.138410763232947</v>
      </c>
      <c r="P125" s="109" t="n">
        <v>11</v>
      </c>
      <c r="Q125" s="110" t="n">
        <v>126758</v>
      </c>
      <c r="R125" s="110" t="n">
        <v>109575.755983493</v>
      </c>
      <c r="S125" s="110" t="n">
        <v>89107.7969664554</v>
      </c>
      <c r="T125" s="110" t="n">
        <v>325441.552949948</v>
      </c>
      <c r="U125" s="104" t="n">
        <v>109878</v>
      </c>
      <c r="V125" s="104" t="n">
        <v>19200</v>
      </c>
      <c r="W125" s="104">
        <f>$U125+$V125</f>
        <v/>
      </c>
      <c r="X125" s="111">
        <f>IFERROR(A125/Q125,0)</f>
        <v/>
      </c>
      <c r="Y125" s="111">
        <f>IFERROR(B125/T125,0)</f>
        <v/>
      </c>
      <c r="Z125" s="111">
        <f>IFERROR(C125/Q125,0)</f>
        <v/>
      </c>
      <c r="AA125" s="111">
        <f>IFERROR(D125/T125,0)</f>
        <v/>
      </c>
      <c r="AC125" s="111">
        <f>IF(T125&gt;0,IFERROR(E125/T125,0),1)</f>
        <v/>
      </c>
      <c r="AD125" s="111">
        <f>IF(Q125&gt;0,IFERROR(F125/Q125,0),1)</f>
        <v/>
      </c>
      <c r="AE125" s="111">
        <f>IF(AK125&gt;0,IFERROR(G125/AK125,0),1)</f>
        <v/>
      </c>
      <c r="AF125" s="111">
        <f>IF(AL125&gt;0,IFERROR(H125/AL125,0),1)</f>
        <v/>
      </c>
      <c r="AG125" s="104">
        <f>T125-(U125+AM125+AQ125)</f>
        <v/>
      </c>
      <c r="AH125" s="104">
        <f>Q125-(U125+AN125+AQ125)</f>
        <v/>
      </c>
      <c r="AI125" s="104">
        <f>(AK125-AO125)</f>
        <v/>
      </c>
      <c r="AJ125" s="104">
        <f>(AL125-AP125)</f>
        <v/>
      </c>
      <c r="AK125" s="110">
        <f>R125+AH125</f>
        <v/>
      </c>
      <c r="AL125" s="110">
        <f>S125+AI125</f>
        <v/>
      </c>
      <c r="AM125" s="104" t="n">
        <v>279956</v>
      </c>
      <c r="AN125" s="104" t="n">
        <v>66320</v>
      </c>
      <c r="AO125" s="104" t="n">
        <v>135516</v>
      </c>
      <c r="AP125" s="104" t="n">
        <v>78120</v>
      </c>
      <c r="AQ125" s="104" t="n">
        <v>0</v>
      </c>
      <c r="AR125" s="104" t="n"/>
      <c r="AS125" s="112" t="n"/>
    </row>
    <row r="126" ht="12.65" customHeight="1" s="79">
      <c r="A126" s="104">
        <f>MIN(U126,Q126)</f>
        <v/>
      </c>
      <c r="B126" s="104">
        <f>MIN(U126,T126)</f>
        <v/>
      </c>
      <c r="C126" s="104">
        <f>MIN(W126,Q126)</f>
        <v/>
      </c>
      <c r="D126" s="104">
        <f>MIN(W126,T126)</f>
        <v/>
      </c>
      <c r="E126" s="104">
        <f>MIN((U126+AM126+AQ126),T126)</f>
        <v/>
      </c>
      <c r="F126" s="104">
        <f>MAX(MIN((U126+AN126+AQ126),Q126),0)</f>
        <v/>
      </c>
      <c r="G126" s="104">
        <f>MAX(MIN(AO126,AK126),0)</f>
        <v/>
      </c>
      <c r="H126" s="104">
        <f>MAX(MIN(AP126,AL126),0)</f>
        <v/>
      </c>
      <c r="I126" s="105" t="inlineStr">
        <is>
          <t>ROOP KISHOR</t>
        </is>
      </c>
      <c r="J126" s="106" t="inlineStr">
        <is>
          <t>HOUSEHOLD</t>
        </is>
      </c>
      <c r="K126" s="107" t="inlineStr">
        <is>
          <t>HH_CLEANING AIDS</t>
        </is>
      </c>
      <c r="L126" s="107" t="inlineStr">
        <is>
          <t>HH_CA_BRUSH</t>
        </is>
      </c>
      <c r="M126" s="107" t="inlineStr">
        <is>
          <t>ARTICLE</t>
        </is>
      </c>
      <c r="N126" s="108" t="n">
        <v>0.143894320013418</v>
      </c>
      <c r="O126" s="108" t="n">
        <v>0.145010443845359</v>
      </c>
      <c r="P126" s="109" t="n">
        <v>50</v>
      </c>
      <c r="Q126" s="110" t="n">
        <v>38196</v>
      </c>
      <c r="R126" s="110" t="n">
        <v>34654.9325032551</v>
      </c>
      <c r="S126" s="110" t="n">
        <v>22544.1513852354</v>
      </c>
      <c r="T126" s="110" t="n">
        <v>95395.0838884905</v>
      </c>
      <c r="U126" s="104" t="n">
        <v>33328</v>
      </c>
      <c r="V126" s="104" t="n">
        <v>8420</v>
      </c>
      <c r="W126" s="104">
        <f>$U126+$V126</f>
        <v/>
      </c>
      <c r="X126" s="111">
        <f>IFERROR(A126/Q126,0)</f>
        <v/>
      </c>
      <c r="Y126" s="111">
        <f>IFERROR(B126/T126,0)</f>
        <v/>
      </c>
      <c r="Z126" s="111">
        <f>IFERROR(C126/Q126,0)</f>
        <v/>
      </c>
      <c r="AA126" s="111">
        <f>IFERROR(D126/T126,0)</f>
        <v/>
      </c>
      <c r="AC126" s="111">
        <f>IF(T126&gt;0,IFERROR(E126/T126,0),1)</f>
        <v/>
      </c>
      <c r="AD126" s="111">
        <f>IF(Q126&gt;0,IFERROR(F126/Q126,0),1)</f>
        <v/>
      </c>
      <c r="AE126" s="111">
        <f>IF(AK126&gt;0,IFERROR(G126/AK126,0),1)</f>
        <v/>
      </c>
      <c r="AF126" s="111">
        <f>IF(AL126&gt;0,IFERROR(H126/AL126,0),1)</f>
        <v/>
      </c>
      <c r="AG126" s="104">
        <f>T126-(U126+AM126+AQ126)</f>
        <v/>
      </c>
      <c r="AH126" s="104">
        <f>Q126-(U126+AN126+AQ126)</f>
        <v/>
      </c>
      <c r="AI126" s="104">
        <f>(AK126-AO126)</f>
        <v/>
      </c>
      <c r="AJ126" s="104">
        <f>(AL126-AP126)</f>
        <v/>
      </c>
      <c r="AK126" s="110">
        <f>R126+AH126</f>
        <v/>
      </c>
      <c r="AL126" s="110">
        <f>S126+AI126</f>
        <v/>
      </c>
      <c r="AM126" s="104" t="n">
        <v>112408</v>
      </c>
      <c r="AN126" s="104" t="n">
        <v>40388</v>
      </c>
      <c r="AO126" s="104" t="n">
        <v>48020</v>
      </c>
      <c r="AP126" s="104" t="n">
        <v>24000</v>
      </c>
      <c r="AQ126" s="104" t="n">
        <v>0</v>
      </c>
      <c r="AR126" s="104" t="n"/>
      <c r="AS126" s="112" t="n"/>
    </row>
    <row r="127" ht="12.65" customHeight="1" s="79">
      <c r="A127" s="104">
        <f>MIN(U127,Q127)</f>
        <v/>
      </c>
      <c r="B127" s="104">
        <f>MIN(U127,T127)</f>
        <v/>
      </c>
      <c r="C127" s="104">
        <f>MIN(W127,Q127)</f>
        <v/>
      </c>
      <c r="D127" s="104">
        <f>MIN(W127,T127)</f>
        <v/>
      </c>
      <c r="E127" s="104">
        <f>MIN((U127+AM127+AQ127),T127)</f>
        <v/>
      </c>
      <c r="F127" s="104">
        <f>MAX(MIN((U127+AN127+AQ127),Q127),0)</f>
        <v/>
      </c>
      <c r="G127" s="104">
        <f>MAX(MIN(AO127,AK127),0)</f>
        <v/>
      </c>
      <c r="H127" s="104">
        <f>MAX(MIN(AP127,AL127),0)</f>
        <v/>
      </c>
      <c r="I127" s="105" t="inlineStr">
        <is>
          <t>ROOP KISHOR</t>
        </is>
      </c>
      <c r="J127" s="106" t="inlineStr">
        <is>
          <t>HOUSEHOLD</t>
        </is>
      </c>
      <c r="K127" s="107" t="inlineStr">
        <is>
          <t>HH_CLEANING AIDS</t>
        </is>
      </c>
      <c r="L127" s="107" t="inlineStr">
        <is>
          <t>HH_P_CLOTH CLIP</t>
        </is>
      </c>
      <c r="M127" s="107" t="inlineStr">
        <is>
          <t>ARTICLE</t>
        </is>
      </c>
      <c r="N127" s="108" t="n">
        <v>0.134559458575883</v>
      </c>
      <c r="O127" s="108" t="n">
        <v>0.133925183132281</v>
      </c>
      <c r="P127" s="109" t="n">
        <v>43</v>
      </c>
      <c r="Q127" s="110" t="n">
        <v>17279</v>
      </c>
      <c r="R127" s="110" t="n">
        <v>23752.286374603</v>
      </c>
      <c r="S127" s="110" t="n">
        <v>21160.2898790576</v>
      </c>
      <c r="T127" s="110" t="n">
        <v>62191.5762536607</v>
      </c>
      <c r="U127" s="104" t="n">
        <v>24296</v>
      </c>
      <c r="V127" s="104" t="n">
        <v>0</v>
      </c>
      <c r="W127" s="104">
        <f>$U127+$V127</f>
        <v/>
      </c>
      <c r="X127" s="111">
        <f>IFERROR(A127/Q127,0)</f>
        <v/>
      </c>
      <c r="Y127" s="111">
        <f>IFERROR(B127/T127,0)</f>
        <v/>
      </c>
      <c r="Z127" s="111">
        <f>IFERROR(C127/Q127,0)</f>
        <v/>
      </c>
      <c r="AA127" s="111">
        <f>IFERROR(D127/T127,0)</f>
        <v/>
      </c>
      <c r="AC127" s="111">
        <f>IF(T127&gt;0,IFERROR(E127/T127,0),1)</f>
        <v/>
      </c>
      <c r="AD127" s="111">
        <f>IF(Q127&gt;0,IFERROR(F127/Q127,0),1)</f>
        <v/>
      </c>
      <c r="AE127" s="111">
        <f>IF(AK127&gt;0,IFERROR(G127/AK127,0),1)</f>
        <v/>
      </c>
      <c r="AF127" s="111">
        <f>IF(AL127&gt;0,IFERROR(H127/AL127,0),1)</f>
        <v/>
      </c>
      <c r="AG127" s="104">
        <f>T127-(U127+AM127+AQ127)</f>
        <v/>
      </c>
      <c r="AH127" s="104">
        <f>Q127-(U127+AN127+AQ127)</f>
        <v/>
      </c>
      <c r="AI127" s="104">
        <f>(AK127-AO127)</f>
        <v/>
      </c>
      <c r="AJ127" s="104">
        <f>(AL127-AP127)</f>
        <v/>
      </c>
      <c r="AK127" s="110">
        <f>R127+AH127</f>
        <v/>
      </c>
      <c r="AL127" s="110">
        <f>S127+AI127</f>
        <v/>
      </c>
      <c r="AM127" s="104" t="n">
        <v>56572</v>
      </c>
      <c r="AN127" s="104" t="n">
        <v>21748</v>
      </c>
      <c r="AO127" s="104" t="n">
        <v>19212</v>
      </c>
      <c r="AP127" s="104" t="n">
        <v>15612</v>
      </c>
      <c r="AQ127" s="104" t="n">
        <v>0</v>
      </c>
      <c r="AR127" s="104" t="n"/>
      <c r="AS127" s="112" t="n"/>
    </row>
    <row r="128" ht="12.65" customHeight="1" s="79">
      <c r="A128" s="104">
        <f>MIN(U128,Q128)</f>
        <v/>
      </c>
      <c r="B128" s="104">
        <f>MIN(U128,T128)</f>
        <v/>
      </c>
      <c r="C128" s="104">
        <f>MIN(W128,Q128)</f>
        <v/>
      </c>
      <c r="D128" s="104">
        <f>MIN(W128,T128)</f>
        <v/>
      </c>
      <c r="E128" s="104">
        <f>MIN((U128+AM128+AQ128),T128)</f>
        <v/>
      </c>
      <c r="F128" s="104">
        <f>MAX(MIN((U128+AN128+AQ128),Q128),0)</f>
        <v/>
      </c>
      <c r="G128" s="104">
        <f>MAX(MIN(AO128,AK128),0)</f>
        <v/>
      </c>
      <c r="H128" s="104">
        <f>MAX(MIN(AP128,AL128),0)</f>
        <v/>
      </c>
      <c r="I128" s="105" t="inlineStr">
        <is>
          <t>ROOP KISHOR</t>
        </is>
      </c>
      <c r="J128" s="106" t="inlineStr">
        <is>
          <t>HOUSEHOLD</t>
        </is>
      </c>
      <c r="K128" s="107" t="inlineStr">
        <is>
          <t>HH_CLEANING AIDS</t>
        </is>
      </c>
      <c r="L128" s="107" t="inlineStr">
        <is>
          <t>HH_P_BATH MUG</t>
        </is>
      </c>
      <c r="M128" s="107" t="inlineStr">
        <is>
          <t>ARTICLE</t>
        </is>
      </c>
      <c r="N128" s="108" t="n">
        <v>0.177303216974675</v>
      </c>
      <c r="O128" s="108" t="n">
        <v>0.147882308325548</v>
      </c>
      <c r="P128" s="109" t="n">
        <v>126</v>
      </c>
      <c r="Q128" s="110" t="n">
        <v>16009</v>
      </c>
      <c r="R128" s="110" t="n">
        <v>15563.1799612482</v>
      </c>
      <c r="S128" s="110" t="n">
        <v>10768.0497281863</v>
      </c>
      <c r="T128" s="110" t="n">
        <v>42340.2296894345</v>
      </c>
      <c r="U128" s="104" t="n">
        <v>3600</v>
      </c>
      <c r="V128" s="104" t="n">
        <v>0</v>
      </c>
      <c r="W128" s="104">
        <f>$U128+$V128</f>
        <v/>
      </c>
      <c r="X128" s="111">
        <f>IFERROR(A128/Q128,0)</f>
        <v/>
      </c>
      <c r="Y128" s="111">
        <f>IFERROR(B128/T128,0)</f>
        <v/>
      </c>
      <c r="Z128" s="111">
        <f>IFERROR(C128/Q128,0)</f>
        <v/>
      </c>
      <c r="AA128" s="111">
        <f>IFERROR(D128/T128,0)</f>
        <v/>
      </c>
      <c r="AC128" s="111">
        <f>IF(T128&gt;0,IFERROR(E128/T128,0),1)</f>
        <v/>
      </c>
      <c r="AD128" s="111">
        <f>IF(Q128&gt;0,IFERROR(F128/Q128,0),1)</f>
        <v/>
      </c>
      <c r="AE128" s="111">
        <f>IF(AK128&gt;0,IFERROR(G128/AK128,0),1)</f>
        <v/>
      </c>
      <c r="AF128" s="111">
        <f>IF(AL128&gt;0,IFERROR(H128/AL128,0),1)</f>
        <v/>
      </c>
      <c r="AG128" s="104">
        <f>T128-(U128+AM128+AQ128)</f>
        <v/>
      </c>
      <c r="AH128" s="104">
        <f>Q128-(U128+AN128+AQ128)</f>
        <v/>
      </c>
      <c r="AI128" s="104">
        <f>(AK128-AO128)</f>
        <v/>
      </c>
      <c r="AJ128" s="104">
        <f>(AL128-AP128)</f>
        <v/>
      </c>
      <c r="AK128" s="110">
        <f>R128+AH128</f>
        <v/>
      </c>
      <c r="AL128" s="110">
        <f>S128+AI128</f>
        <v/>
      </c>
      <c r="AM128" s="104" t="n">
        <v>46800</v>
      </c>
      <c r="AN128" s="104" t="n">
        <v>10800</v>
      </c>
      <c r="AO128" s="104" t="n">
        <v>18000</v>
      </c>
      <c r="AP128" s="104" t="n">
        <v>18000</v>
      </c>
      <c r="AQ128" s="104" t="n">
        <v>0</v>
      </c>
      <c r="AR128" s="104" t="n"/>
      <c r="AS128" s="112" t="n"/>
    </row>
    <row r="129" ht="12.65" customHeight="1" s="79">
      <c r="A129" s="104">
        <f>MIN(U129,Q129)</f>
        <v/>
      </c>
      <c r="B129" s="104">
        <f>MIN(U129,T129)</f>
        <v/>
      </c>
      <c r="C129" s="104">
        <f>MIN(W129,Q129)</f>
        <v/>
      </c>
      <c r="D129" s="104">
        <f>MIN(W129,T129)</f>
        <v/>
      </c>
      <c r="E129" s="104">
        <f>MIN((U129+AM129+AQ129),T129)</f>
        <v/>
      </c>
      <c r="F129" s="104">
        <f>MAX(MIN((U129+AN129+AQ129),Q129),0)</f>
        <v/>
      </c>
      <c r="G129" s="104">
        <f>MAX(MIN(AO129,AK129),0)</f>
        <v/>
      </c>
      <c r="H129" s="104">
        <f>MAX(MIN(AP129,AL129),0)</f>
        <v/>
      </c>
      <c r="I129" s="105" t="inlineStr">
        <is>
          <t>ROOP KISHOR</t>
        </is>
      </c>
      <c r="J129" s="106" t="inlineStr">
        <is>
          <t>HOUSEHOLD</t>
        </is>
      </c>
      <c r="K129" s="107" t="inlineStr">
        <is>
          <t>HH_CLEANING AIDS</t>
        </is>
      </c>
      <c r="L129" s="107" t="inlineStr">
        <is>
          <t>HH_P_PATLA</t>
        </is>
      </c>
      <c r="M129" s="107" t="inlineStr">
        <is>
          <t>ARTICLE</t>
        </is>
      </c>
      <c r="N129" s="108" t="n">
        <v>0.125843108364475</v>
      </c>
      <c r="O129" s="108" t="n">
        <v>0.129789437348982</v>
      </c>
      <c r="P129" s="109" t="n">
        <v>44</v>
      </c>
      <c r="Q129" s="110" t="n">
        <v>11587</v>
      </c>
      <c r="R129" s="110" t="n">
        <v>12009.6220099489</v>
      </c>
      <c r="S129" s="110" t="n">
        <v>9393.651733232709</v>
      </c>
      <c r="T129" s="110" t="n">
        <v>32990.2737431816</v>
      </c>
      <c r="U129" s="104" t="n">
        <v>7332</v>
      </c>
      <c r="V129" s="104" t="n">
        <v>2400</v>
      </c>
      <c r="W129" s="104">
        <f>$U129+$V129</f>
        <v/>
      </c>
      <c r="X129" s="111">
        <f>IFERROR(A129/Q129,0)</f>
        <v/>
      </c>
      <c r="Y129" s="111">
        <f>IFERROR(B129/T129,0)</f>
        <v/>
      </c>
      <c r="Z129" s="111">
        <f>IFERROR(C129/Q129,0)</f>
        <v/>
      </c>
      <c r="AA129" s="111">
        <f>IFERROR(D129/T129,0)</f>
        <v/>
      </c>
      <c r="AC129" s="111">
        <f>IF(T129&gt;0,IFERROR(E129/T129,0),1)</f>
        <v/>
      </c>
      <c r="AD129" s="111">
        <f>IF(Q129&gt;0,IFERROR(F129/Q129,0),1)</f>
        <v/>
      </c>
      <c r="AE129" s="111">
        <f>IF(AK129&gt;0,IFERROR(G129/AK129,0),1)</f>
        <v/>
      </c>
      <c r="AF129" s="111">
        <f>IF(AL129&gt;0,IFERROR(H129/AL129,0),1)</f>
        <v/>
      </c>
      <c r="AG129" s="104">
        <f>T129-(U129+AM129+AQ129)</f>
        <v/>
      </c>
      <c r="AH129" s="104">
        <f>Q129-(U129+AN129+AQ129)</f>
        <v/>
      </c>
      <c r="AI129" s="104">
        <f>(AK129-AO129)</f>
        <v/>
      </c>
      <c r="AJ129" s="104">
        <f>(AL129-AP129)</f>
        <v/>
      </c>
      <c r="AK129" s="110">
        <f>R129+AH129</f>
        <v/>
      </c>
      <c r="AL129" s="110">
        <f>S129+AI129</f>
        <v/>
      </c>
      <c r="AM129" s="104" t="n">
        <v>28668</v>
      </c>
      <c r="AN129" s="104" t="n">
        <v>11868</v>
      </c>
      <c r="AO129" s="104" t="n">
        <v>10800</v>
      </c>
      <c r="AP129" s="104" t="n">
        <v>6000</v>
      </c>
      <c r="AQ129" s="104" t="n">
        <v>0</v>
      </c>
      <c r="AR129" s="104" t="n"/>
      <c r="AS129" s="112" t="n"/>
    </row>
    <row r="130" ht="12.65" customHeight="1" s="79">
      <c r="A130" s="104">
        <f>MIN(U130,Q130)</f>
        <v/>
      </c>
      <c r="B130" s="104">
        <f>MIN(U130,T130)</f>
        <v/>
      </c>
      <c r="C130" s="104">
        <f>MIN(W130,Q130)</f>
        <v/>
      </c>
      <c r="D130" s="104">
        <f>MIN(W130,T130)</f>
        <v/>
      </c>
      <c r="E130" s="104">
        <f>MIN((U130+AM130+AQ130),T130)</f>
        <v/>
      </c>
      <c r="F130" s="104">
        <f>MAX(MIN((U130+AN130+AQ130),Q130),0)</f>
        <v/>
      </c>
      <c r="G130" s="104">
        <f>MAX(MIN(AO130,AK130),0)</f>
        <v/>
      </c>
      <c r="H130" s="104">
        <f>MAX(MIN(AP130,AL130),0)</f>
        <v/>
      </c>
      <c r="I130" s="105" t="inlineStr">
        <is>
          <t>ROOP KISHOR</t>
        </is>
      </c>
      <c r="J130" s="106" t="inlineStr">
        <is>
          <t>HOUSEHOLD</t>
        </is>
      </c>
      <c r="K130" s="107" t="inlineStr">
        <is>
          <t>HH_CLEANING AIDS</t>
        </is>
      </c>
      <c r="L130" s="107" t="inlineStr">
        <is>
          <t>HH_P_ROPE</t>
        </is>
      </c>
      <c r="M130" s="107" t="inlineStr">
        <is>
          <t>ARTICLE</t>
        </is>
      </c>
      <c r="N130" s="108" t="n">
        <v>0.100706258060554</v>
      </c>
      <c r="O130" s="108" t="n">
        <v>0.12153957201087</v>
      </c>
      <c r="P130" s="109" t="n">
        <v>152</v>
      </c>
      <c r="Q130" s="110" t="n">
        <v>4968</v>
      </c>
      <c r="R130" s="110" t="n">
        <v>7454.59941898131</v>
      </c>
      <c r="S130" s="110" t="n">
        <v>5033.65430276934</v>
      </c>
      <c r="T130" s="110" t="n">
        <v>17456.2537217506</v>
      </c>
      <c r="U130" s="104" t="n">
        <v>11997</v>
      </c>
      <c r="V130" s="104" t="n">
        <v>0</v>
      </c>
      <c r="W130" s="104">
        <f>$U130+$V130</f>
        <v/>
      </c>
      <c r="X130" s="111">
        <f>IFERROR(A130/Q130,0)</f>
        <v/>
      </c>
      <c r="Y130" s="111">
        <f>IFERROR(B130/T130,0)</f>
        <v/>
      </c>
      <c r="Z130" s="111">
        <f>IFERROR(C130/Q130,0)</f>
        <v/>
      </c>
      <c r="AA130" s="111">
        <f>IFERROR(D130/T130,0)</f>
        <v/>
      </c>
      <c r="AC130" s="111">
        <f>IF(T130&gt;0,IFERROR(E130/T130,0),1)</f>
        <v/>
      </c>
      <c r="AD130" s="111">
        <f>IF(Q130&gt;0,IFERROR(F130/Q130,0),1)</f>
        <v/>
      </c>
      <c r="AE130" s="111">
        <f>IF(AK130&gt;0,IFERROR(G130/AK130,0),1)</f>
        <v/>
      </c>
      <c r="AF130" s="111">
        <f>IF(AL130&gt;0,IFERROR(H130/AL130,0),1)</f>
        <v/>
      </c>
      <c r="AG130" s="104">
        <f>T130-(U130+AM130+AQ130)</f>
        <v/>
      </c>
      <c r="AH130" s="104">
        <f>Q130-(U130+AN130+AQ130)</f>
        <v/>
      </c>
      <c r="AI130" s="104">
        <f>(AK130-AO130)</f>
        <v/>
      </c>
      <c r="AJ130" s="104">
        <f>(AL130-AP130)</f>
        <v/>
      </c>
      <c r="AK130" s="110">
        <f>R130+AH130</f>
        <v/>
      </c>
      <c r="AL130" s="110">
        <f>S130+AI130</f>
        <v/>
      </c>
      <c r="AM130" s="104" t="n">
        <v>9360</v>
      </c>
      <c r="AN130" s="104" t="n">
        <v>0</v>
      </c>
      <c r="AO130" s="104" t="n">
        <v>7200</v>
      </c>
      <c r="AP130" s="104" t="n">
        <v>2160</v>
      </c>
      <c r="AQ130" s="104" t="n">
        <v>0</v>
      </c>
      <c r="AR130" s="104" t="n"/>
      <c r="AS130" s="112" t="n"/>
    </row>
    <row r="131" ht="12.65" customHeight="1" s="79">
      <c r="A131" s="104">
        <f>MIN(U131,Q131)</f>
        <v/>
      </c>
      <c r="B131" s="104">
        <f>MIN(U131,T131)</f>
        <v/>
      </c>
      <c r="C131" s="104">
        <f>MIN(W131,Q131)</f>
        <v/>
      </c>
      <c r="D131" s="104">
        <f>MIN(W131,T131)</f>
        <v/>
      </c>
      <c r="E131" s="104">
        <f>MIN((U131+AM131+AQ131),T131)</f>
        <v/>
      </c>
      <c r="F131" s="104">
        <f>MAX(MIN((U131+AN131+AQ131),Q131),0)</f>
        <v/>
      </c>
      <c r="G131" s="104">
        <f>MAX(MIN(AO131,AK131),0)</f>
        <v/>
      </c>
      <c r="H131" s="104">
        <f>MAX(MIN(AP131,AL131),0)</f>
        <v/>
      </c>
      <c r="I131" s="105" t="inlineStr">
        <is>
          <t>ROOP KISHOR</t>
        </is>
      </c>
      <c r="J131" s="106" t="inlineStr">
        <is>
          <t>HOUSEHOLD</t>
        </is>
      </c>
      <c r="K131" s="107" t="inlineStr">
        <is>
          <t>HH_CLEANING AIDS</t>
        </is>
      </c>
      <c r="L131" s="107" t="inlineStr">
        <is>
          <t>HH_CA_WIPER</t>
        </is>
      </c>
      <c r="M131" s="107" t="inlineStr">
        <is>
          <t>ARTICLE</t>
        </is>
      </c>
      <c r="N131" s="108" t="n">
        <v>0.132955460211288</v>
      </c>
      <c r="O131" s="108" t="n">
        <v>0.13246360720454</v>
      </c>
      <c r="P131" s="109" t="n">
        <v>118</v>
      </c>
      <c r="Q131" s="110" t="n">
        <v>5017</v>
      </c>
      <c r="R131" s="110" t="n">
        <v>5945.74253401208</v>
      </c>
      <c r="S131" s="110" t="n">
        <v>4155.97285693758</v>
      </c>
      <c r="T131" s="110" t="n">
        <v>15118.7153909497</v>
      </c>
      <c r="U131" s="104" t="n">
        <v>4812</v>
      </c>
      <c r="V131" s="104" t="n">
        <v>0</v>
      </c>
      <c r="W131" s="104">
        <f>$U131+$V131</f>
        <v/>
      </c>
      <c r="X131" s="111">
        <f>IFERROR(A131/Q131,0)</f>
        <v/>
      </c>
      <c r="Y131" s="111">
        <f>IFERROR(B131/T131,0)</f>
        <v/>
      </c>
      <c r="Z131" s="111">
        <f>IFERROR(C131/Q131,0)</f>
        <v/>
      </c>
      <c r="AA131" s="111">
        <f>IFERROR(D131/T131,0)</f>
        <v/>
      </c>
      <c r="AC131" s="111">
        <f>IF(T131&gt;0,IFERROR(E131/T131,0),1)</f>
        <v/>
      </c>
      <c r="AD131" s="111">
        <f>IF(Q131&gt;0,IFERROR(F131/Q131,0),1)</f>
        <v/>
      </c>
      <c r="AE131" s="111">
        <f>IF(AK131&gt;0,IFERROR(G131/AK131,0),1)</f>
        <v/>
      </c>
      <c r="AF131" s="111">
        <f>IF(AL131&gt;0,IFERROR(H131/AL131,0),1)</f>
        <v/>
      </c>
      <c r="AG131" s="104">
        <f>T131-(U131+AM131+AQ131)</f>
        <v/>
      </c>
      <c r="AH131" s="104">
        <f>Q131-(U131+AN131+AQ131)</f>
        <v/>
      </c>
      <c r="AI131" s="104">
        <f>(AK131-AO131)</f>
        <v/>
      </c>
      <c r="AJ131" s="104">
        <f>(AL131-AP131)</f>
        <v/>
      </c>
      <c r="AK131" s="110">
        <f>R131+AH131</f>
        <v/>
      </c>
      <c r="AL131" s="110">
        <f>S131+AI131</f>
        <v/>
      </c>
      <c r="AM131" s="104" t="n">
        <v>12624</v>
      </c>
      <c r="AN131" s="104" t="n">
        <v>0</v>
      </c>
      <c r="AO131" s="104" t="n">
        <v>7812</v>
      </c>
      <c r="AP131" s="104" t="n">
        <v>4812</v>
      </c>
      <c r="AQ131" s="104" t="n">
        <v>0</v>
      </c>
      <c r="AR131" s="104" t="n"/>
      <c r="AS131" s="112" t="n"/>
    </row>
    <row r="132" ht="12.65" customHeight="1" s="79">
      <c r="A132" s="104">
        <f>MIN(U132,Q132)</f>
        <v/>
      </c>
      <c r="B132" s="104">
        <f>MIN(U132,T132)</f>
        <v/>
      </c>
      <c r="C132" s="104">
        <f>MIN(W132,Q132)</f>
        <v/>
      </c>
      <c r="D132" s="104">
        <f>MIN(W132,T132)</f>
        <v/>
      </c>
      <c r="E132" s="104">
        <f>MIN((U132+AM132+AQ132),T132)</f>
        <v/>
      </c>
      <c r="F132" s="104">
        <f>MAX(MIN((U132+AN132+AQ132),Q132),0)</f>
        <v/>
      </c>
      <c r="G132" s="104">
        <f>MAX(MIN(AO132,AK132),0)</f>
        <v/>
      </c>
      <c r="H132" s="104">
        <f>MAX(MIN(AP132,AL132),0)</f>
        <v/>
      </c>
      <c r="I132" s="105" t="inlineStr">
        <is>
          <t>ROOP KISHOR</t>
        </is>
      </c>
      <c r="J132" s="106" t="inlineStr">
        <is>
          <t>HOUSEHOLD</t>
        </is>
      </c>
      <c r="K132" s="107" t="inlineStr">
        <is>
          <t>HH_CLEANING AIDS</t>
        </is>
      </c>
      <c r="L132" s="107" t="inlineStr">
        <is>
          <t>HH_P_SOAP DISH</t>
        </is>
      </c>
      <c r="M132" s="107" t="inlineStr">
        <is>
          <t>ARTICLE</t>
        </is>
      </c>
      <c r="N132" s="108" t="n">
        <v>0.128627155352933</v>
      </c>
      <c r="O132" s="108" t="n">
        <v>0.14836771434141</v>
      </c>
      <c r="P132" s="109" t="n">
        <v>127</v>
      </c>
      <c r="Q132" s="110" t="n">
        <v>6601</v>
      </c>
      <c r="R132" s="110" t="n">
        <v>3809.67964917327</v>
      </c>
      <c r="S132" s="110" t="n">
        <v>4193.56113201704</v>
      </c>
      <c r="T132" s="110" t="n">
        <v>14604.2407811903</v>
      </c>
      <c r="U132" s="104" t="n">
        <v>9730</v>
      </c>
      <c r="V132" s="104" t="n">
        <v>6000</v>
      </c>
      <c r="W132" s="104">
        <f>$U132+$V132</f>
        <v/>
      </c>
      <c r="X132" s="111">
        <f>IFERROR(A132/Q132,0)</f>
        <v/>
      </c>
      <c r="Y132" s="111">
        <f>IFERROR(B132/T132,0)</f>
        <v/>
      </c>
      <c r="Z132" s="111">
        <f>IFERROR(C132/Q132,0)</f>
        <v/>
      </c>
      <c r="AA132" s="111">
        <f>IFERROR(D132/T132,0)</f>
        <v/>
      </c>
      <c r="AC132" s="111">
        <f>IF(T132&gt;0,IFERROR(E132/T132,0),1)</f>
        <v/>
      </c>
      <c r="AD132" s="111">
        <f>IF(Q132&gt;0,IFERROR(F132/Q132,0),1)</f>
        <v/>
      </c>
      <c r="AE132" s="111">
        <f>IF(AK132&gt;0,IFERROR(G132/AK132,0),1)</f>
        <v/>
      </c>
      <c r="AF132" s="111">
        <f>IF(AL132&gt;0,IFERROR(H132/AL132,0),1)</f>
        <v/>
      </c>
      <c r="AG132" s="104">
        <f>T132-(U132+AM132+AQ132)</f>
        <v/>
      </c>
      <c r="AH132" s="104">
        <f>Q132-(U132+AN132+AQ132)</f>
        <v/>
      </c>
      <c r="AI132" s="104">
        <f>(AK132-AO132)</f>
        <v/>
      </c>
      <c r="AJ132" s="104">
        <f>(AL132-AP132)</f>
        <v/>
      </c>
      <c r="AK132" s="110">
        <f>R132+AH132</f>
        <v/>
      </c>
      <c r="AL132" s="110">
        <f>S132+AI132</f>
        <v/>
      </c>
      <c r="AM132" s="104" t="n">
        <v>18012</v>
      </c>
      <c r="AN132" s="104" t="n">
        <v>6012</v>
      </c>
      <c r="AO132" s="104" t="n">
        <v>8400</v>
      </c>
      <c r="AP132" s="104" t="n">
        <v>3600</v>
      </c>
      <c r="AQ132" s="104" t="n">
        <v>0</v>
      </c>
      <c r="AR132" s="104" t="n"/>
      <c r="AS132" s="104" t="n"/>
    </row>
    <row r="133" ht="12.65" customHeight="1" s="79">
      <c r="A133" s="104">
        <f>MIN(U133,Q133)</f>
        <v/>
      </c>
      <c r="B133" s="104">
        <f>MIN(U133,T133)</f>
        <v/>
      </c>
      <c r="C133" s="104">
        <f>MIN(W133,Q133)</f>
        <v/>
      </c>
      <c r="D133" s="104">
        <f>MIN(W133,T133)</f>
        <v/>
      </c>
      <c r="E133" s="104">
        <f>MIN((U133+AM133+AQ133),T133)</f>
        <v/>
      </c>
      <c r="F133" s="104">
        <f>MAX(MIN((U133+AN133+AQ133),Q133),0)</f>
        <v/>
      </c>
      <c r="G133" s="104">
        <f>MAX(MIN(AO133,AK133),0)</f>
        <v/>
      </c>
      <c r="H133" s="104">
        <f>MAX(MIN(AP133,AL133),0)</f>
        <v/>
      </c>
      <c r="I133" s="105" t="inlineStr">
        <is>
          <t>ROOP KISHOR</t>
        </is>
      </c>
      <c r="J133" s="106" t="inlineStr">
        <is>
          <t>HOUSEHOLD</t>
        </is>
      </c>
      <c r="K133" s="107" t="inlineStr">
        <is>
          <t>HH_CLEANING AIDS</t>
        </is>
      </c>
      <c r="L133" s="107" t="inlineStr">
        <is>
          <t>HH_CA_DUST PAN</t>
        </is>
      </c>
      <c r="M133" s="107" t="inlineStr">
        <is>
          <t>ARTICLE</t>
        </is>
      </c>
      <c r="N133" s="108" t="n">
        <v>0.165523745584169</v>
      </c>
      <c r="O133" s="108" t="n">
        <v>0.133867969391725</v>
      </c>
      <c r="P133" s="109" t="n">
        <v>166</v>
      </c>
      <c r="Q133" s="110" t="n">
        <v>5520</v>
      </c>
      <c r="R133" s="110" t="n">
        <v>4739.98123290501</v>
      </c>
      <c r="S133" s="110" t="n">
        <v>4214.09614119888</v>
      </c>
      <c r="T133" s="110" t="n">
        <v>14474.0773741039</v>
      </c>
      <c r="U133" s="104" t="n">
        <v>960</v>
      </c>
      <c r="V133" s="104" t="n">
        <v>0</v>
      </c>
      <c r="W133" s="104">
        <f>$U133+$V133</f>
        <v/>
      </c>
      <c r="X133" s="111">
        <f>IFERROR(A133/Q133,0)</f>
        <v/>
      </c>
      <c r="Y133" s="111">
        <f>IFERROR(B133/T133,0)</f>
        <v/>
      </c>
      <c r="Z133" s="111">
        <f>IFERROR(C133/Q133,0)</f>
        <v/>
      </c>
      <c r="AA133" s="111">
        <f>IFERROR(D133/T133,0)</f>
        <v/>
      </c>
      <c r="AC133" s="111">
        <f>IF(T133&gt;0,IFERROR(E133/T133,0),1)</f>
        <v/>
      </c>
      <c r="AD133" s="111">
        <f>IF(Q133&gt;0,IFERROR(F133/Q133,0),1)</f>
        <v/>
      </c>
      <c r="AE133" s="111">
        <f>IF(AK133&gt;0,IFERROR(G133/AK133,0),1)</f>
        <v/>
      </c>
      <c r="AF133" s="111">
        <f>IF(AL133&gt;0,IFERROR(H133/AL133,0),1)</f>
        <v/>
      </c>
      <c r="AG133" s="104">
        <f>T133-(U133+AM133+AQ133)</f>
        <v/>
      </c>
      <c r="AH133" s="104">
        <f>Q133-(U133+AN133+AQ133)</f>
        <v/>
      </c>
      <c r="AI133" s="104">
        <f>(AK133-AO133)</f>
        <v/>
      </c>
      <c r="AJ133" s="104">
        <f>(AL133-AP133)</f>
        <v/>
      </c>
      <c r="AK133" s="110">
        <f>R133+AH133</f>
        <v/>
      </c>
      <c r="AL133" s="110">
        <f>S133+AI133</f>
        <v/>
      </c>
      <c r="AM133" s="104" t="n">
        <v>16800</v>
      </c>
      <c r="AN133" s="104" t="n">
        <v>7200</v>
      </c>
      <c r="AO133" s="104" t="n">
        <v>6000</v>
      </c>
      <c r="AP133" s="104" t="n">
        <v>3600</v>
      </c>
      <c r="AQ133" s="104" t="n">
        <v>0</v>
      </c>
      <c r="AR133" s="104" t="n"/>
      <c r="AS133" s="112" t="n"/>
    </row>
    <row r="134" ht="12.65" customHeight="1" s="79">
      <c r="A134" s="104">
        <f>MIN(U134,Q134)</f>
        <v/>
      </c>
      <c r="B134" s="104">
        <f>MIN(U134,T134)</f>
        <v/>
      </c>
      <c r="C134" s="104">
        <f>MIN(W134,Q134)</f>
        <v/>
      </c>
      <c r="D134" s="104">
        <f>MIN(W134,T134)</f>
        <v/>
      </c>
      <c r="E134" s="104">
        <f>MIN((U134+AM134+AQ134),T134)</f>
        <v/>
      </c>
      <c r="F134" s="104">
        <f>MAX(MIN((U134+AN134+AQ134),Q134),0)</f>
        <v/>
      </c>
      <c r="G134" s="104">
        <f>MAX(MIN(AO134,AK134),0)</f>
        <v/>
      </c>
      <c r="H134" s="104">
        <f>MAX(MIN(AP134,AL134),0)</f>
        <v/>
      </c>
      <c r="I134" s="105" t="inlineStr">
        <is>
          <t>ROOP KISHOR</t>
        </is>
      </c>
      <c r="J134" s="106" t="inlineStr">
        <is>
          <t>HOUSEHOLD</t>
        </is>
      </c>
      <c r="K134" s="107" t="inlineStr">
        <is>
          <t>HH_CLEANING AIDS</t>
        </is>
      </c>
      <c r="L134" s="107" t="inlineStr">
        <is>
          <t>HH_CA_DUSTER</t>
        </is>
      </c>
      <c r="M134" s="107" t="inlineStr">
        <is>
          <t>ARTICLE</t>
        </is>
      </c>
      <c r="N134" s="108" t="n">
        <v>0.142661522469215</v>
      </c>
      <c r="O134" s="108" t="n">
        <v>0.140650381107085</v>
      </c>
      <c r="P134" s="109" t="n">
        <v>132</v>
      </c>
      <c r="Q134" s="110" t="n">
        <v>6861</v>
      </c>
      <c r="R134" s="110" t="n">
        <v>4482.58961536619</v>
      </c>
      <c r="S134" s="110" t="n">
        <v>3077.38381611362</v>
      </c>
      <c r="T134" s="110" t="n">
        <v>14420.9734314798</v>
      </c>
      <c r="U134" s="104" t="n">
        <v>6400</v>
      </c>
      <c r="V134" s="104" t="n">
        <v>0</v>
      </c>
      <c r="W134" s="104">
        <f>$U134+$V134</f>
        <v/>
      </c>
      <c r="X134" s="111">
        <f>IFERROR(A134/Q134,0)</f>
        <v/>
      </c>
      <c r="Y134" s="111">
        <f>IFERROR(B134/T134,0)</f>
        <v/>
      </c>
      <c r="Z134" s="111">
        <f>IFERROR(C134/Q134,0)</f>
        <v/>
      </c>
      <c r="AA134" s="111">
        <f>IFERROR(D134/T134,0)</f>
        <v/>
      </c>
      <c r="AC134" s="111">
        <f>IF(T134&gt;0,IFERROR(E134/T134,0),1)</f>
        <v/>
      </c>
      <c r="AD134" s="111">
        <f>IF(Q134&gt;0,IFERROR(F134/Q134,0),1)</f>
        <v/>
      </c>
      <c r="AE134" s="111">
        <f>IF(AK134&gt;0,IFERROR(G134/AK134,0),1)</f>
        <v/>
      </c>
      <c r="AF134" s="111">
        <f>IF(AL134&gt;0,IFERROR(H134/AL134,0),1)</f>
        <v/>
      </c>
      <c r="AG134" s="104">
        <f>T134-(U134+AM134+AQ134)</f>
        <v/>
      </c>
      <c r="AH134" s="104">
        <f>Q134-(U134+AN134+AQ134)</f>
        <v/>
      </c>
      <c r="AI134" s="104">
        <f>(AK134-AO134)</f>
        <v/>
      </c>
      <c r="AJ134" s="104">
        <f>(AL134-AP134)</f>
        <v/>
      </c>
      <c r="AK134" s="110">
        <f>R134+AH134</f>
        <v/>
      </c>
      <c r="AL134" s="110">
        <f>S134+AI134</f>
        <v/>
      </c>
      <c r="AM134" s="104" t="n">
        <v>24848</v>
      </c>
      <c r="AN134" s="104" t="n">
        <v>8024</v>
      </c>
      <c r="AO134" s="104" t="n">
        <v>10824</v>
      </c>
      <c r="AP134" s="104" t="n">
        <v>6000</v>
      </c>
      <c r="AQ134" s="104" t="n">
        <v>0</v>
      </c>
      <c r="AR134" s="104" t="n"/>
      <c r="AS134" s="104" t="n"/>
    </row>
    <row r="135" ht="12.65" customHeight="1" s="79">
      <c r="A135" s="104">
        <f>MIN(U135,Q135)</f>
        <v/>
      </c>
      <c r="B135" s="104">
        <f>MIN(U135,T135)</f>
        <v/>
      </c>
      <c r="C135" s="104">
        <f>MIN(W135,Q135)</f>
        <v/>
      </c>
      <c r="D135" s="104">
        <f>MIN(W135,T135)</f>
        <v/>
      </c>
      <c r="E135" s="104">
        <f>MIN((U135+AM135+AQ135),T135)</f>
        <v/>
      </c>
      <c r="F135" s="104">
        <f>MAX(MIN((U135+AN135+AQ135),Q135),0)</f>
        <v/>
      </c>
      <c r="G135" s="104">
        <f>MAX(MIN(AO135,AK135),0)</f>
        <v/>
      </c>
      <c r="H135" s="104">
        <f>MAX(MIN(AP135,AL135),0)</f>
        <v/>
      </c>
      <c r="I135" s="105" t="inlineStr">
        <is>
          <t>ROOP KISHOR</t>
        </is>
      </c>
      <c r="J135" s="106" t="inlineStr">
        <is>
          <t>HOUSEHOLD</t>
        </is>
      </c>
      <c r="K135" s="107" t="inlineStr">
        <is>
          <t>HH_CLEANING AIDS</t>
        </is>
      </c>
      <c r="L135" s="107" t="inlineStr">
        <is>
          <t>HH_CA_MOP</t>
        </is>
      </c>
      <c r="M135" s="107" t="inlineStr">
        <is>
          <t>ARTICLE</t>
        </is>
      </c>
      <c r="N135" s="108" t="n">
        <v>0.111476657266908</v>
      </c>
      <c r="O135" s="108" t="n">
        <v>0.106254451449524</v>
      </c>
      <c r="P135" s="109" t="n">
        <v>99</v>
      </c>
      <c r="Q135" s="110" t="n">
        <v>2671</v>
      </c>
      <c r="R135" s="110" t="n">
        <v>2169.80544025596</v>
      </c>
      <c r="S135" s="110" t="n">
        <v>1826.77653611487</v>
      </c>
      <c r="T135" s="110" t="n">
        <v>6667.58197637083</v>
      </c>
      <c r="U135" s="104" t="n">
        <v>2400</v>
      </c>
      <c r="V135" s="104" t="n">
        <v>0</v>
      </c>
      <c r="W135" s="104">
        <f>$U135+$V135</f>
        <v/>
      </c>
      <c r="X135" s="111">
        <f>IFERROR(A135/Q135,0)</f>
        <v/>
      </c>
      <c r="Y135" s="111">
        <f>IFERROR(B135/T135,0)</f>
        <v/>
      </c>
      <c r="Z135" s="111">
        <f>IFERROR(C135/Q135,0)</f>
        <v/>
      </c>
      <c r="AA135" s="111">
        <f>IFERROR(D135/T135,0)</f>
        <v/>
      </c>
      <c r="AC135" s="111">
        <f>IF(T135&gt;0,IFERROR(E135/T135,0),1)</f>
        <v/>
      </c>
      <c r="AD135" s="111">
        <f>IF(Q135&gt;0,IFERROR(F135/Q135,0),1)</f>
        <v/>
      </c>
      <c r="AE135" s="111">
        <f>IF(AK135&gt;0,IFERROR(G135/AK135,0),1)</f>
        <v/>
      </c>
      <c r="AF135" s="111">
        <f>IF(AL135&gt;0,IFERROR(H135/AL135,0),1)</f>
        <v/>
      </c>
      <c r="AG135" s="104">
        <f>T135-(U135+AM135+AQ135)</f>
        <v/>
      </c>
      <c r="AH135" s="104">
        <f>Q135-(U135+AN135+AQ135)</f>
        <v/>
      </c>
      <c r="AI135" s="104">
        <f>(AK135-AO135)</f>
        <v/>
      </c>
      <c r="AJ135" s="104">
        <f>(AL135-AP135)</f>
        <v/>
      </c>
      <c r="AK135" s="110">
        <f>R135+AH135</f>
        <v/>
      </c>
      <c r="AL135" s="110">
        <f>S135+AI135</f>
        <v/>
      </c>
      <c r="AM135" s="104" t="n">
        <v>4800</v>
      </c>
      <c r="AN135" s="104" t="n">
        <v>0</v>
      </c>
      <c r="AO135" s="104" t="n">
        <v>2400</v>
      </c>
      <c r="AP135" s="104" t="n">
        <v>2400</v>
      </c>
      <c r="AQ135" s="104" t="n">
        <v>0</v>
      </c>
      <c r="AR135" s="104" t="n"/>
      <c r="AS135" s="112" t="n"/>
    </row>
    <row r="136" ht="12.65" customHeight="1" s="79">
      <c r="A136" s="104">
        <f>MIN(U136,Q136)</f>
        <v/>
      </c>
      <c r="B136" s="104">
        <f>MIN(U136,T136)</f>
        <v/>
      </c>
      <c r="C136" s="104">
        <f>MIN(W136,Q136)</f>
        <v/>
      </c>
      <c r="D136" s="104">
        <f>MIN(W136,T136)</f>
        <v/>
      </c>
      <c r="E136" s="104">
        <f>MIN((U136+AM136+AQ136),T136)</f>
        <v/>
      </c>
      <c r="F136" s="104">
        <f>MAX(MIN((U136+AN136+AQ136),Q136),0)</f>
        <v/>
      </c>
      <c r="G136" s="104">
        <f>MAX(MIN(AO136,AK136),0)</f>
        <v/>
      </c>
      <c r="H136" s="104">
        <f>MAX(MIN(AP136,AL136),0)</f>
        <v/>
      </c>
      <c r="I136" s="105" t="inlineStr">
        <is>
          <t>ROOP KISHOR</t>
        </is>
      </c>
      <c r="J136" s="106" t="inlineStr">
        <is>
          <t>HOUSEHOLD</t>
        </is>
      </c>
      <c r="K136" s="107" t="inlineStr">
        <is>
          <t>HH_CROCKERY</t>
        </is>
      </c>
      <c r="L136" s="107" t="inlineStr">
        <is>
          <t>HH_C_BC_COFFEE SET</t>
        </is>
      </c>
      <c r="M136" s="107" t="inlineStr">
        <is>
          <t>ARTICLE</t>
        </is>
      </c>
      <c r="N136" s="108" t="n">
        <v>0.100399940145012</v>
      </c>
      <c r="O136" s="108" t="n">
        <v>0.0874925678551056</v>
      </c>
      <c r="P136" s="109" t="n">
        <v>16</v>
      </c>
      <c r="Q136" s="110" t="n">
        <v>48102</v>
      </c>
      <c r="R136" s="110" t="n">
        <v>37121.7597792378</v>
      </c>
      <c r="S136" s="110" t="n">
        <v>29535.1304043235</v>
      </c>
      <c r="T136" s="110" t="n">
        <v>114758.890183561</v>
      </c>
      <c r="U136" s="104" t="n">
        <v>15678</v>
      </c>
      <c r="V136" s="104" t="n">
        <v>15840</v>
      </c>
      <c r="W136" s="104">
        <f>$U136+$V136</f>
        <v/>
      </c>
      <c r="X136" s="111">
        <f>IFERROR(A136/Q136,0)</f>
        <v/>
      </c>
      <c r="Y136" s="111">
        <f>IFERROR(B136/T136,0)</f>
        <v/>
      </c>
      <c r="Z136" s="111">
        <f>IFERROR(C136/Q136,0)</f>
        <v/>
      </c>
      <c r="AA136" s="111">
        <f>IFERROR(D136/T136,0)</f>
        <v/>
      </c>
      <c r="AC136" s="111">
        <f>IF(T136&gt;0,IFERROR(E136/T136,0),1)</f>
        <v/>
      </c>
      <c r="AD136" s="111">
        <f>IF(Q136&gt;0,IFERROR(F136/Q136,0),1)</f>
        <v/>
      </c>
      <c r="AE136" s="111">
        <f>IF(AK136&gt;0,IFERROR(G136/AK136,0),1)</f>
        <v/>
      </c>
      <c r="AF136" s="111">
        <f>IF(AL136&gt;0,IFERROR(H136/AL136,0),1)</f>
        <v/>
      </c>
      <c r="AG136" s="104">
        <f>T136-(U136+AM136+AQ136)</f>
        <v/>
      </c>
      <c r="AH136" s="104">
        <f>Q136-(U136+AN136+AQ136)</f>
        <v/>
      </c>
      <c r="AI136" s="104">
        <f>(AK136-AO136)</f>
        <v/>
      </c>
      <c r="AJ136" s="104">
        <f>(AL136-AP136)</f>
        <v/>
      </c>
      <c r="AK136" s="110">
        <f>R136+AH136</f>
        <v/>
      </c>
      <c r="AL136" s="110">
        <f>S136+AI136</f>
        <v/>
      </c>
      <c r="AM136" s="104" t="n">
        <v>102000</v>
      </c>
      <c r="AN136" s="104" t="n">
        <v>51600</v>
      </c>
      <c r="AO136" s="104" t="n">
        <v>35400</v>
      </c>
      <c r="AP136" s="104" t="n">
        <v>15000</v>
      </c>
      <c r="AQ136" s="104" t="n">
        <v>0</v>
      </c>
      <c r="AR136" s="104" t="n"/>
      <c r="AS136" s="104" t="n"/>
    </row>
    <row r="137" ht="12.65" customHeight="1" s="79">
      <c r="A137" s="104">
        <f>MIN(U137,Q137)</f>
        <v/>
      </c>
      <c r="B137" s="104">
        <f>MIN(U137,T137)</f>
        <v/>
      </c>
      <c r="C137" s="104">
        <f>MIN(W137,Q137)</f>
        <v/>
      </c>
      <c r="D137" s="104">
        <f>MIN(W137,T137)</f>
        <v/>
      </c>
      <c r="E137" s="104">
        <f>MIN((U137+AM137+AQ137),T137)</f>
        <v/>
      </c>
      <c r="F137" s="104">
        <f>MAX(MIN((U137+AN137+AQ137),Q137),0)</f>
        <v/>
      </c>
      <c r="G137" s="104">
        <f>MAX(MIN(AO137,AK137),0)</f>
        <v/>
      </c>
      <c r="H137" s="104">
        <f>MAX(MIN(AP137,AL137),0)</f>
        <v/>
      </c>
      <c r="I137" s="105" t="inlineStr">
        <is>
          <t>ROOP KISHOR</t>
        </is>
      </c>
      <c r="J137" s="106" t="inlineStr">
        <is>
          <t>HOUSEHOLD</t>
        </is>
      </c>
      <c r="K137" s="107" t="inlineStr">
        <is>
          <t>HH_CROCKERY</t>
        </is>
      </c>
      <c r="L137" s="107" t="inlineStr">
        <is>
          <t>HH_C_BC_COFFEE MUG</t>
        </is>
      </c>
      <c r="M137" s="107" t="inlineStr">
        <is>
          <t>ARTICLE</t>
        </is>
      </c>
      <c r="N137" s="108" t="n">
        <v>0.118863343248322</v>
      </c>
      <c r="O137" s="108" t="n">
        <v>0.128261471701597</v>
      </c>
      <c r="P137" s="109" t="n">
        <v>71</v>
      </c>
      <c r="Q137" s="110" t="n">
        <v>50328</v>
      </c>
      <c r="R137" s="110" t="n">
        <v>36718.68153045</v>
      </c>
      <c r="S137" s="110" t="n">
        <v>23397.2161232672</v>
      </c>
      <c r="T137" s="110" t="n">
        <v>110443.897653717</v>
      </c>
      <c r="U137" s="104" t="n">
        <v>35081</v>
      </c>
      <c r="V137" s="104" t="n">
        <v>3100</v>
      </c>
      <c r="W137" s="104">
        <f>$U137+$V137</f>
        <v/>
      </c>
      <c r="X137" s="111">
        <f>IFERROR(A137/Q137,0)</f>
        <v/>
      </c>
      <c r="Y137" s="111">
        <f>IFERROR(B137/T137,0)</f>
        <v/>
      </c>
      <c r="Z137" s="111">
        <f>IFERROR(C137/Q137,0)</f>
        <v/>
      </c>
      <c r="AA137" s="111">
        <f>IFERROR(D137/T137,0)</f>
        <v/>
      </c>
      <c r="AC137" s="111">
        <f>IF(T137&gt;0,IFERROR(E137/T137,0),1)</f>
        <v/>
      </c>
      <c r="AD137" s="111">
        <f>IF(Q137&gt;0,IFERROR(F137/Q137,0),1)</f>
        <v/>
      </c>
      <c r="AE137" s="111">
        <f>IF(AK137&gt;0,IFERROR(G137/AK137,0),1)</f>
        <v/>
      </c>
      <c r="AF137" s="111">
        <f>IF(AL137&gt;0,IFERROR(H137/AL137,0),1)</f>
        <v/>
      </c>
      <c r="AG137" s="104">
        <f>T137-(U137+AM137+AQ137)</f>
        <v/>
      </c>
      <c r="AH137" s="104">
        <f>Q137-(U137+AN137+AQ137)</f>
        <v/>
      </c>
      <c r="AI137" s="104">
        <f>(AK137-AO137)</f>
        <v/>
      </c>
      <c r="AJ137" s="104">
        <f>(AL137-AP137)</f>
        <v/>
      </c>
      <c r="AK137" s="110">
        <f>R137+AH137</f>
        <v/>
      </c>
      <c r="AL137" s="110">
        <f>S137+AI137</f>
        <v/>
      </c>
      <c r="AM137" s="104" t="n">
        <v>101888</v>
      </c>
      <c r="AN137" s="104" t="n">
        <v>32840</v>
      </c>
      <c r="AO137" s="104" t="n">
        <v>43824</v>
      </c>
      <c r="AP137" s="104" t="n">
        <v>25224</v>
      </c>
      <c r="AQ137" s="104" t="n">
        <v>0</v>
      </c>
      <c r="AR137" s="104" t="n"/>
      <c r="AS137" s="104" t="n"/>
    </row>
    <row r="138" ht="12.65" customHeight="1" s="79">
      <c r="A138" s="104">
        <f>MIN(U138,Q138)</f>
        <v/>
      </c>
      <c r="B138" s="104">
        <f>MIN(U138,T138)</f>
        <v/>
      </c>
      <c r="C138" s="104">
        <f>MIN(W138,Q138)</f>
        <v/>
      </c>
      <c r="D138" s="104">
        <f>MIN(W138,T138)</f>
        <v/>
      </c>
      <c r="E138" s="104">
        <f>MIN((U138+AM138+AQ138),T138)</f>
        <v/>
      </c>
      <c r="F138" s="104">
        <f>MAX(MIN((U138+AN138+AQ138),Q138),0)</f>
        <v/>
      </c>
      <c r="G138" s="104">
        <f>MAX(MIN(AO138,AK138),0)</f>
        <v/>
      </c>
      <c r="H138" s="104">
        <f>MAX(MIN(AP138,AL138),0)</f>
        <v/>
      </c>
      <c r="I138" s="105" t="inlineStr">
        <is>
          <t>ROOP KISHOR</t>
        </is>
      </c>
      <c r="J138" s="106" t="inlineStr">
        <is>
          <t>HOUSEHOLD</t>
        </is>
      </c>
      <c r="K138" s="107" t="inlineStr">
        <is>
          <t>HH_CROCKERY</t>
        </is>
      </c>
      <c r="L138" s="107" t="inlineStr">
        <is>
          <t>HH_C_M_SERVING TRAY</t>
        </is>
      </c>
      <c r="M138" s="107" t="inlineStr">
        <is>
          <t>ARTICLE</t>
        </is>
      </c>
      <c r="N138" s="108" t="n">
        <v>0.102997386426458</v>
      </c>
      <c r="O138" s="108" t="n">
        <v>0.0974463115018694</v>
      </c>
      <c r="P138" s="109" t="n">
        <v>47</v>
      </c>
      <c r="Q138" s="110" t="n">
        <v>36179</v>
      </c>
      <c r="R138" s="110" t="n">
        <v>19734.8861556376</v>
      </c>
      <c r="S138" s="110" t="n">
        <v>13868.8858774758</v>
      </c>
      <c r="T138" s="110" t="n">
        <v>69782.7720331134</v>
      </c>
      <c r="U138" s="104" t="n">
        <v>13112</v>
      </c>
      <c r="V138" s="104" t="n">
        <v>15600</v>
      </c>
      <c r="W138" s="104">
        <f>$U138+$V138</f>
        <v/>
      </c>
      <c r="X138" s="111">
        <f>IFERROR(A138/Q138,0)</f>
        <v/>
      </c>
      <c r="Y138" s="111">
        <f>IFERROR(B138/T138,0)</f>
        <v/>
      </c>
      <c r="Z138" s="111">
        <f>IFERROR(C138/Q138,0)</f>
        <v/>
      </c>
      <c r="AA138" s="111">
        <f>IFERROR(D138/T138,0)</f>
        <v/>
      </c>
      <c r="AC138" s="111">
        <f>IF(T138&gt;0,IFERROR(E138/T138,0),1)</f>
        <v/>
      </c>
      <c r="AD138" s="111">
        <f>IF(Q138&gt;0,IFERROR(F138/Q138,0),1)</f>
        <v/>
      </c>
      <c r="AE138" s="111">
        <f>IF(AK138&gt;0,IFERROR(G138/AK138,0),1)</f>
        <v/>
      </c>
      <c r="AF138" s="111">
        <f>IF(AL138&gt;0,IFERROR(H138/AL138,0),1)</f>
        <v/>
      </c>
      <c r="AG138" s="104">
        <f>T138-(U138+AM138+AQ138)</f>
        <v/>
      </c>
      <c r="AH138" s="104">
        <f>Q138-(U138+AN138+AQ138)</f>
        <v/>
      </c>
      <c r="AI138" s="104">
        <f>(AK138-AO138)</f>
        <v/>
      </c>
      <c r="AJ138" s="104">
        <f>(AL138-AP138)</f>
        <v/>
      </c>
      <c r="AK138" s="110">
        <f>R138+AH138</f>
        <v/>
      </c>
      <c r="AL138" s="110">
        <f>S138+AI138</f>
        <v/>
      </c>
      <c r="AM138" s="104" t="n">
        <v>69084</v>
      </c>
      <c r="AN138" s="104" t="n">
        <v>48684</v>
      </c>
      <c r="AO138" s="104" t="n">
        <v>18000</v>
      </c>
      <c r="AP138" s="104" t="n">
        <v>2400</v>
      </c>
      <c r="AQ138" s="104" t="n">
        <v>0</v>
      </c>
      <c r="AR138" s="104" t="n"/>
      <c r="AS138" s="112" t="n"/>
    </row>
    <row r="139" ht="12.65" customHeight="1" s="79">
      <c r="A139" s="104">
        <f>MIN(U139,Q139)</f>
        <v/>
      </c>
      <c r="B139" s="104">
        <f>MIN(U139,T139)</f>
        <v/>
      </c>
      <c r="C139" s="104">
        <f>MIN(W139,Q139)</f>
        <v/>
      </c>
      <c r="D139" s="104">
        <f>MIN(W139,T139)</f>
        <v/>
      </c>
      <c r="E139" s="104">
        <f>MIN((U139+AM139+AQ139),T139)</f>
        <v/>
      </c>
      <c r="F139" s="104">
        <f>MAX(MIN((U139+AN139+AQ139),Q139),0)</f>
        <v/>
      </c>
      <c r="G139" s="104">
        <f>MAX(MIN(AO139,AK139),0)</f>
        <v/>
      </c>
      <c r="H139" s="104">
        <f>MAX(MIN(AP139,AL139),0)</f>
        <v/>
      </c>
      <c r="I139" s="105" t="inlineStr">
        <is>
          <t>ROOP KISHOR</t>
        </is>
      </c>
      <c r="J139" s="106" t="inlineStr">
        <is>
          <t>HOUSEHOLD</t>
        </is>
      </c>
      <c r="K139" s="107" t="inlineStr">
        <is>
          <t>HH_CROCKERY</t>
        </is>
      </c>
      <c r="L139" s="107" t="inlineStr">
        <is>
          <t>HH_C_M_SNACKS PLATE</t>
        </is>
      </c>
      <c r="M139" s="107" t="inlineStr">
        <is>
          <t>ARTICLE</t>
        </is>
      </c>
      <c r="N139" s="108" t="n">
        <v>0.133723232358012</v>
      </c>
      <c r="O139" s="108" t="n">
        <v>0.130840908573121</v>
      </c>
      <c r="P139" s="109" t="n">
        <v>86</v>
      </c>
      <c r="Q139" s="110" t="n">
        <v>23198</v>
      </c>
      <c r="R139" s="110" t="n">
        <v>15460.8315650493</v>
      </c>
      <c r="S139" s="110" t="n">
        <v>11641.6584725637</v>
      </c>
      <c r="T139" s="110" t="n">
        <v>50300.490037613</v>
      </c>
      <c r="U139" s="104" t="n">
        <v>8904</v>
      </c>
      <c r="V139" s="104" t="n">
        <v>25080</v>
      </c>
      <c r="W139" s="104">
        <f>$U139+$V139</f>
        <v/>
      </c>
      <c r="X139" s="111">
        <f>IFERROR(A139/Q139,0)</f>
        <v/>
      </c>
      <c r="Y139" s="111">
        <f>IFERROR(B139/T139,0)</f>
        <v/>
      </c>
      <c r="Z139" s="111">
        <f>IFERROR(C139/Q139,0)</f>
        <v/>
      </c>
      <c r="AA139" s="111">
        <f>IFERROR(D139/T139,0)</f>
        <v/>
      </c>
      <c r="AC139" s="111">
        <f>IF(T139&gt;0,IFERROR(E139/T139,0),1)</f>
        <v/>
      </c>
      <c r="AD139" s="111">
        <f>IF(Q139&gt;0,IFERROR(F139/Q139,0),1)</f>
        <v/>
      </c>
      <c r="AE139" s="111">
        <f>IF(AK139&gt;0,IFERROR(G139/AK139,0),1)</f>
        <v/>
      </c>
      <c r="AF139" s="111">
        <f>IF(AL139&gt;0,IFERROR(H139/AL139,0),1)</f>
        <v/>
      </c>
      <c r="AG139" s="104">
        <f>T139-(U139+AM139+AQ139)</f>
        <v/>
      </c>
      <c r="AH139" s="104">
        <f>Q139-(U139+AN139+AQ139)</f>
        <v/>
      </c>
      <c r="AI139" s="104">
        <f>(AK139-AO139)</f>
        <v/>
      </c>
      <c r="AJ139" s="104">
        <f>(AL139-AP139)</f>
        <v/>
      </c>
      <c r="AK139" s="110">
        <f>R139+AH139</f>
        <v/>
      </c>
      <c r="AL139" s="110">
        <f>S139+AI139</f>
        <v/>
      </c>
      <c r="AM139" s="104" t="n">
        <v>76296</v>
      </c>
      <c r="AN139" s="104" t="n">
        <v>54696</v>
      </c>
      <c r="AO139" s="104" t="n">
        <v>21600</v>
      </c>
      <c r="AP139" s="104" t="n">
        <v>0</v>
      </c>
      <c r="AQ139" s="104" t="n">
        <v>0</v>
      </c>
      <c r="AR139" s="104" t="n"/>
      <c r="AS139" s="104" t="n"/>
    </row>
    <row r="140" ht="12.65" customHeight="1" s="79">
      <c r="A140" s="104">
        <f>MIN(U140,Q140)</f>
        <v/>
      </c>
      <c r="B140" s="104">
        <f>MIN(U140,T140)</f>
        <v/>
      </c>
      <c r="C140" s="104">
        <f>MIN(W140,Q140)</f>
        <v/>
      </c>
      <c r="D140" s="104">
        <f>MIN(W140,T140)</f>
        <v/>
      </c>
      <c r="E140" s="104">
        <f>MIN((U140+AM140+AQ140),T140)</f>
        <v/>
      </c>
      <c r="F140" s="104">
        <f>MAX(MIN((U140+AN140+AQ140),Q140),0)</f>
        <v/>
      </c>
      <c r="G140" s="104">
        <f>MAX(MIN(AO140,AK140),0)</f>
        <v/>
      </c>
      <c r="H140" s="104">
        <f>MAX(MIN(AP140,AL140),0)</f>
        <v/>
      </c>
      <c r="I140" s="105" t="inlineStr">
        <is>
          <t>ROOP KISHOR</t>
        </is>
      </c>
      <c r="J140" s="106" t="inlineStr">
        <is>
          <t>HOUSEHOLD</t>
        </is>
      </c>
      <c r="K140" s="107" t="inlineStr">
        <is>
          <t>HH_CROCKERY</t>
        </is>
      </c>
      <c r="L140" s="107" t="inlineStr">
        <is>
          <t>HH_C_G_BOWL SET</t>
        </is>
      </c>
      <c r="M140" s="107" t="inlineStr">
        <is>
          <t>ARTICLE</t>
        </is>
      </c>
      <c r="N140" s="108" t="n">
        <v>0.110201798097815</v>
      </c>
      <c r="O140" s="108" t="n">
        <v>0.0512583198771218</v>
      </c>
      <c r="P140" s="109" t="n">
        <v>57</v>
      </c>
      <c r="Q140" s="110" t="n">
        <v>32998</v>
      </c>
      <c r="R140" s="110" t="n">
        <v>7554.90049179915</v>
      </c>
      <c r="S140" s="110" t="n">
        <v>4161.69123448626</v>
      </c>
      <c r="T140" s="110" t="n">
        <v>44714.5917262854</v>
      </c>
      <c r="U140" s="104" t="n">
        <v>16558</v>
      </c>
      <c r="V140" s="104" t="n">
        <v>16412</v>
      </c>
      <c r="W140" s="104">
        <f>$U140+$V140</f>
        <v/>
      </c>
      <c r="X140" s="111">
        <f>IFERROR(A140/Q140,0)</f>
        <v/>
      </c>
      <c r="Y140" s="111">
        <f>IFERROR(B140/T140,0)</f>
        <v/>
      </c>
      <c r="Z140" s="111">
        <f>IFERROR(C140/Q140,0)</f>
        <v/>
      </c>
      <c r="AA140" s="111">
        <f>IFERROR(D140/T140,0)</f>
        <v/>
      </c>
      <c r="AC140" s="111">
        <f>IF(T140&gt;0,IFERROR(E140/T140,0),1)</f>
        <v/>
      </c>
      <c r="AD140" s="111">
        <f>IF(Q140&gt;0,IFERROR(F140/Q140,0),1)</f>
        <v/>
      </c>
      <c r="AE140" s="111">
        <f>IF(AK140&gt;0,IFERROR(G140/AK140,0),1)</f>
        <v/>
      </c>
      <c r="AF140" s="111">
        <f>IF(AL140&gt;0,IFERROR(H140/AL140,0),1)</f>
        <v/>
      </c>
      <c r="AG140" s="104">
        <f>T140-(U140+AM140+AQ140)</f>
        <v/>
      </c>
      <c r="AH140" s="104">
        <f>Q140-(U140+AN140+AQ140)</f>
        <v/>
      </c>
      <c r="AI140" s="104">
        <f>(AK140-AO140)</f>
        <v/>
      </c>
      <c r="AJ140" s="104">
        <f>(AL140-AP140)</f>
        <v/>
      </c>
      <c r="AK140" s="110">
        <f>R140+AH140</f>
        <v/>
      </c>
      <c r="AL140" s="110">
        <f>S140+AI140</f>
        <v/>
      </c>
      <c r="AM140" s="104" t="n">
        <v>30252</v>
      </c>
      <c r="AN140" s="104" t="n">
        <v>25452</v>
      </c>
      <c r="AO140" s="104" t="n">
        <v>4800</v>
      </c>
      <c r="AP140" s="104" t="n">
        <v>0</v>
      </c>
      <c r="AQ140" s="104" t="n">
        <v>0</v>
      </c>
      <c r="AR140" s="104" t="n"/>
      <c r="AS140" s="112" t="n"/>
    </row>
    <row r="141" ht="12.65" customHeight="1" s="79">
      <c r="A141" s="104">
        <f>MIN(U141,Q141)</f>
        <v/>
      </c>
      <c r="B141" s="104">
        <f>MIN(U141,T141)</f>
        <v/>
      </c>
      <c r="C141" s="104">
        <f>MIN(W141,Q141)</f>
        <v/>
      </c>
      <c r="D141" s="104">
        <f>MIN(W141,T141)</f>
        <v/>
      </c>
      <c r="E141" s="104">
        <f>MIN((U141+AM141+AQ141),T141)</f>
        <v/>
      </c>
      <c r="F141" s="104">
        <f>MAX(MIN((U141+AN141+AQ141),Q141),0)</f>
        <v/>
      </c>
      <c r="G141" s="104">
        <f>MAX(MIN(AO141,AK141),0)</f>
        <v/>
      </c>
      <c r="H141" s="104">
        <f>MAX(MIN(AP141,AL141),0)</f>
        <v/>
      </c>
      <c r="I141" s="105" t="inlineStr">
        <is>
          <t>ROOP KISHOR</t>
        </is>
      </c>
      <c r="J141" s="106" t="inlineStr">
        <is>
          <t>HOUSEHOLD</t>
        </is>
      </c>
      <c r="K141" s="107" t="inlineStr">
        <is>
          <t>HH_CROCKERY</t>
        </is>
      </c>
      <c r="L141" s="107" t="inlineStr">
        <is>
          <t>HH_C_M_HALF PLATE</t>
        </is>
      </c>
      <c r="M141" s="107" t="inlineStr">
        <is>
          <t>ARTICLE</t>
        </is>
      </c>
      <c r="N141" s="108" t="n">
        <v>0.118516979025311</v>
      </c>
      <c r="O141" s="108" t="n">
        <v>0.11458742026971</v>
      </c>
      <c r="P141" s="109" t="n">
        <v>119</v>
      </c>
      <c r="Q141" s="110" t="n">
        <v>15640</v>
      </c>
      <c r="R141" s="110" t="n">
        <v>11947.7707289501</v>
      </c>
      <c r="S141" s="110" t="n">
        <v>12737.4234079065</v>
      </c>
      <c r="T141" s="110" t="n">
        <v>40325.1941368566</v>
      </c>
      <c r="U141" s="104" t="n">
        <v>10206</v>
      </c>
      <c r="V141" s="104" t="n">
        <v>4806</v>
      </c>
      <c r="W141" s="104">
        <f>$U141+$V141</f>
        <v/>
      </c>
      <c r="X141" s="111">
        <f>IFERROR(A141/Q141,0)</f>
        <v/>
      </c>
      <c r="Y141" s="111">
        <f>IFERROR(B141/T141,0)</f>
        <v/>
      </c>
      <c r="Z141" s="111">
        <f>IFERROR(C141/Q141,0)</f>
        <v/>
      </c>
      <c r="AA141" s="111">
        <f>IFERROR(D141/T141,0)</f>
        <v/>
      </c>
      <c r="AC141" s="111">
        <f>IF(T141&gt;0,IFERROR(E141/T141,0),1)</f>
        <v/>
      </c>
      <c r="AD141" s="111">
        <f>IF(Q141&gt;0,IFERROR(F141/Q141,0),1)</f>
        <v/>
      </c>
      <c r="AE141" s="111">
        <f>IF(AK141&gt;0,IFERROR(G141/AK141,0),1)</f>
        <v/>
      </c>
      <c r="AF141" s="111">
        <f>IF(AL141&gt;0,IFERROR(H141/AL141,0),1)</f>
        <v/>
      </c>
      <c r="AG141" s="104">
        <f>T141-(U141+AM141+AQ141)</f>
        <v/>
      </c>
      <c r="AH141" s="104">
        <f>Q141-(U141+AN141+AQ141)</f>
        <v/>
      </c>
      <c r="AI141" s="104">
        <f>(AK141-AO141)</f>
        <v/>
      </c>
      <c r="AJ141" s="104">
        <f>(AL141-AP141)</f>
        <v/>
      </c>
      <c r="AK141" s="110">
        <f>R141+AH141</f>
        <v/>
      </c>
      <c r="AL141" s="110">
        <f>S141+AI141</f>
        <v/>
      </c>
      <c r="AM141" s="104" t="n">
        <v>22806</v>
      </c>
      <c r="AN141" s="104" t="n">
        <v>13206</v>
      </c>
      <c r="AO141" s="104" t="n">
        <v>9600</v>
      </c>
      <c r="AP141" s="104" t="n">
        <v>0</v>
      </c>
      <c r="AQ141" s="104" t="n">
        <v>0</v>
      </c>
      <c r="AR141" s="104" t="n"/>
      <c r="AS141" s="104" t="n"/>
    </row>
    <row r="142" ht="12.65" customHeight="1" s="79">
      <c r="A142" s="104">
        <f>MIN(U142,Q142)</f>
        <v/>
      </c>
      <c r="B142" s="104">
        <f>MIN(U142,T142)</f>
        <v/>
      </c>
      <c r="C142" s="104">
        <f>MIN(W142,Q142)</f>
        <v/>
      </c>
      <c r="D142" s="104">
        <f>MIN(W142,T142)</f>
        <v/>
      </c>
      <c r="E142" s="104">
        <f>MIN((U142+AM142+AQ142),T142)</f>
        <v/>
      </c>
      <c r="F142" s="104">
        <f>MAX(MIN((U142+AN142+AQ142),Q142),0)</f>
        <v/>
      </c>
      <c r="G142" s="104">
        <f>MAX(MIN(AO142,AK142),0)</f>
        <v/>
      </c>
      <c r="H142" s="104">
        <f>MAX(MIN(AP142,AL142),0)</f>
        <v/>
      </c>
      <c r="I142" s="105" t="inlineStr">
        <is>
          <t>ROOP KISHOR</t>
        </is>
      </c>
      <c r="J142" s="106" t="inlineStr">
        <is>
          <t>HOUSEHOLD</t>
        </is>
      </c>
      <c r="K142" s="107" t="inlineStr">
        <is>
          <t>HH_CROCKERY</t>
        </is>
      </c>
      <c r="L142" s="107" t="inlineStr">
        <is>
          <t>HH_C_M_VEG BOWL</t>
        </is>
      </c>
      <c r="M142" s="107" t="inlineStr">
        <is>
          <t>ARTICLE</t>
        </is>
      </c>
      <c r="N142" s="108" t="n">
        <v>0.103987318619681</v>
      </c>
      <c r="O142" s="108" t="n">
        <v>0.091136432009627</v>
      </c>
      <c r="P142" s="109" t="n">
        <v>149</v>
      </c>
      <c r="Q142" s="110" t="n">
        <v>7237</v>
      </c>
      <c r="R142" s="110" t="n">
        <v>8052.77836389248</v>
      </c>
      <c r="S142" s="110" t="n">
        <v>9689.32747852439</v>
      </c>
      <c r="T142" s="110" t="n">
        <v>24979.1058424169</v>
      </c>
      <c r="U142" s="104" t="n">
        <v>8812</v>
      </c>
      <c r="V142" s="104" t="n">
        <v>3600</v>
      </c>
      <c r="W142" s="104">
        <f>$U142+$V142</f>
        <v/>
      </c>
      <c r="X142" s="111">
        <f>IFERROR(A142/Q142,0)</f>
        <v/>
      </c>
      <c r="Y142" s="111">
        <f>IFERROR(B142/T142,0)</f>
        <v/>
      </c>
      <c r="Z142" s="111">
        <f>IFERROR(C142/Q142,0)</f>
        <v/>
      </c>
      <c r="AA142" s="111">
        <f>IFERROR(D142/T142,0)</f>
        <v/>
      </c>
      <c r="AC142" s="111">
        <f>IF(T142&gt;0,IFERROR(E142/T142,0),1)</f>
        <v/>
      </c>
      <c r="AD142" s="111">
        <f>IF(Q142&gt;0,IFERROR(F142/Q142,0),1)</f>
        <v/>
      </c>
      <c r="AE142" s="111">
        <f>IF(AK142&gt;0,IFERROR(G142/AK142,0),1)</f>
        <v/>
      </c>
      <c r="AF142" s="111">
        <f>IF(AL142&gt;0,IFERROR(H142/AL142,0),1)</f>
        <v/>
      </c>
      <c r="AG142" s="104">
        <f>T142-(U142+AM142+AQ142)</f>
        <v/>
      </c>
      <c r="AH142" s="104">
        <f>Q142-(U142+AN142+AQ142)</f>
        <v/>
      </c>
      <c r="AI142" s="104">
        <f>(AK142-AO142)</f>
        <v/>
      </c>
      <c r="AJ142" s="104">
        <f>(AL142-AP142)</f>
        <v/>
      </c>
      <c r="AK142" s="110">
        <f>R142+AH142</f>
        <v/>
      </c>
      <c r="AL142" s="110">
        <f>S142+AI142</f>
        <v/>
      </c>
      <c r="AM142" s="104" t="n">
        <v>56708</v>
      </c>
      <c r="AN142" s="104" t="n">
        <v>37508</v>
      </c>
      <c r="AO142" s="104" t="n">
        <v>19200</v>
      </c>
      <c r="AP142" s="104" t="n">
        <v>0</v>
      </c>
      <c r="AQ142" s="104" t="n">
        <v>0</v>
      </c>
      <c r="AR142" s="104" t="n"/>
      <c r="AS142" s="112" t="n"/>
    </row>
    <row r="143" ht="12.65" customHeight="1" s="79">
      <c r="A143" s="104">
        <f>MIN(U143,Q143)</f>
        <v/>
      </c>
      <c r="B143" s="104">
        <f>MIN(U143,T143)</f>
        <v/>
      </c>
      <c r="C143" s="104">
        <f>MIN(W143,Q143)</f>
        <v/>
      </c>
      <c r="D143" s="104">
        <f>MIN(W143,T143)</f>
        <v/>
      </c>
      <c r="E143" s="104">
        <f>MIN((U143+AM143+AQ143),T143)</f>
        <v/>
      </c>
      <c r="F143" s="104">
        <f>MAX(MIN((U143+AN143+AQ143),Q143),0)</f>
        <v/>
      </c>
      <c r="G143" s="104">
        <f>MAX(MIN(AO143,AK143),0)</f>
        <v/>
      </c>
      <c r="H143" s="104">
        <f>MAX(MIN(AP143,AL143),0)</f>
        <v/>
      </c>
      <c r="I143" s="105" t="inlineStr">
        <is>
          <t>ROOP KISHOR</t>
        </is>
      </c>
      <c r="J143" s="106" t="inlineStr">
        <is>
          <t>HOUSEHOLD</t>
        </is>
      </c>
      <c r="K143" s="107" t="inlineStr">
        <is>
          <t>HH_CROCKERY</t>
        </is>
      </c>
      <c r="L143" s="107" t="inlineStr">
        <is>
          <t>HH_C_G_BEER MUG</t>
        </is>
      </c>
      <c r="M143" s="107" t="inlineStr">
        <is>
          <t>ARTICLE</t>
        </is>
      </c>
      <c r="N143" s="108" t="n">
        <v>0.134602942074101</v>
      </c>
      <c r="O143" s="108" t="n">
        <v>0.163427354976051</v>
      </c>
      <c r="P143" s="109" t="n">
        <v>140</v>
      </c>
      <c r="Q143" s="110" t="n">
        <v>7517</v>
      </c>
      <c r="R143" s="110" t="n">
        <v>6339.56135377909</v>
      </c>
      <c r="S143" s="110" t="n">
        <v>4941.43596943703</v>
      </c>
      <c r="T143" s="110" t="n">
        <v>18797.9973232161</v>
      </c>
      <c r="U143" s="104" t="n">
        <v>2412</v>
      </c>
      <c r="V143" s="104" t="n">
        <v>1200</v>
      </c>
      <c r="W143" s="104">
        <f>$U143+$V143</f>
        <v/>
      </c>
      <c r="X143" s="111">
        <f>IFERROR(A143/Q143,0)</f>
        <v/>
      </c>
      <c r="Y143" s="111">
        <f>IFERROR(B143/T143,0)</f>
        <v/>
      </c>
      <c r="Z143" s="111">
        <f>IFERROR(C143/Q143,0)</f>
        <v/>
      </c>
      <c r="AA143" s="111">
        <f>IFERROR(D143/T143,0)</f>
        <v/>
      </c>
      <c r="AC143" s="111">
        <f>IF(T143&gt;0,IFERROR(E143/T143,0),1)</f>
        <v/>
      </c>
      <c r="AD143" s="111">
        <f>IF(Q143&gt;0,IFERROR(F143/Q143,0),1)</f>
        <v/>
      </c>
      <c r="AE143" s="111">
        <f>IF(AK143&gt;0,IFERROR(G143/AK143,0),1)</f>
        <v/>
      </c>
      <c r="AF143" s="111">
        <f>IF(AL143&gt;0,IFERROR(H143/AL143,0),1)</f>
        <v/>
      </c>
      <c r="AG143" s="104">
        <f>T143-(U143+AM143+AQ143)</f>
        <v/>
      </c>
      <c r="AH143" s="104">
        <f>Q143-(U143+AN143+AQ143)</f>
        <v/>
      </c>
      <c r="AI143" s="104">
        <f>(AK143-AO143)</f>
        <v/>
      </c>
      <c r="AJ143" s="104">
        <f>(AL143-AP143)</f>
        <v/>
      </c>
      <c r="AK143" s="110">
        <f>R143+AH143</f>
        <v/>
      </c>
      <c r="AL143" s="110">
        <f>S143+AI143</f>
        <v/>
      </c>
      <c r="AM143" s="104" t="n">
        <v>20388</v>
      </c>
      <c r="AN143" s="104" t="n">
        <v>5988</v>
      </c>
      <c r="AO143" s="104" t="n">
        <v>7200</v>
      </c>
      <c r="AP143" s="104" t="n">
        <v>7200</v>
      </c>
      <c r="AQ143" s="104" t="n">
        <v>0</v>
      </c>
      <c r="AR143" s="104" t="n"/>
      <c r="AS143" s="104" t="n"/>
    </row>
    <row r="144" ht="12.65" customHeight="1" s="79">
      <c r="A144" s="104">
        <f>MIN(U144,Q144)</f>
        <v/>
      </c>
      <c r="B144" s="104">
        <f>MIN(U144,T144)</f>
        <v/>
      </c>
      <c r="C144" s="104">
        <f>MIN(W144,Q144)</f>
        <v/>
      </c>
      <c r="D144" s="104">
        <f>MIN(W144,T144)</f>
        <v/>
      </c>
      <c r="E144" s="104">
        <f>MIN((U144+AM144+AQ144),T144)</f>
        <v/>
      </c>
      <c r="F144" s="104">
        <f>MAX(MIN((U144+AN144+AQ144),Q144),0)</f>
        <v/>
      </c>
      <c r="G144" s="104">
        <f>MAX(MIN(AO144,AK144),0)</f>
        <v/>
      </c>
      <c r="H144" s="104">
        <f>MAX(MIN(AP144,AL144),0)</f>
        <v/>
      </c>
      <c r="I144" s="105" t="inlineStr">
        <is>
          <t>ROOP KISHOR</t>
        </is>
      </c>
      <c r="J144" s="106" t="inlineStr">
        <is>
          <t>HOUSEHOLD</t>
        </is>
      </c>
      <c r="K144" s="107" t="inlineStr">
        <is>
          <t>HH_CROCKERY</t>
        </is>
      </c>
      <c r="L144" s="107" t="inlineStr">
        <is>
          <t>HH_C_M_BABY PLATE</t>
        </is>
      </c>
      <c r="M144" s="107" t="inlineStr">
        <is>
          <t>ARTICLE</t>
        </is>
      </c>
      <c r="N144" s="108" t="n">
        <v>0.0973826417931488</v>
      </c>
      <c r="O144" s="108" t="n">
        <v>0.101917970875868</v>
      </c>
      <c r="P144" s="109" t="n">
        <v>138</v>
      </c>
      <c r="Q144" s="110" t="n">
        <v>6132</v>
      </c>
      <c r="R144" s="110" t="n">
        <v>6549.72544643896</v>
      </c>
      <c r="S144" s="110" t="n">
        <v>4325.86533210209</v>
      </c>
      <c r="T144" s="110" t="n">
        <v>17007.590778541</v>
      </c>
      <c r="U144" s="104" t="n">
        <v>4800</v>
      </c>
      <c r="V144" s="104" t="n">
        <v>0</v>
      </c>
      <c r="W144" s="104">
        <f>$U144+$V144</f>
        <v/>
      </c>
      <c r="X144" s="111">
        <f>IFERROR(A144/Q144,0)</f>
        <v/>
      </c>
      <c r="Y144" s="111">
        <f>IFERROR(B144/T144,0)</f>
        <v/>
      </c>
      <c r="Z144" s="111">
        <f>IFERROR(C144/Q144,0)</f>
        <v/>
      </c>
      <c r="AA144" s="111">
        <f>IFERROR(D144/T144,0)</f>
        <v/>
      </c>
      <c r="AC144" s="111">
        <f>IF(T144&gt;0,IFERROR(E144/T144,0),1)</f>
        <v/>
      </c>
      <c r="AD144" s="111">
        <f>IF(Q144&gt;0,IFERROR(F144/Q144,0),1)</f>
        <v/>
      </c>
      <c r="AE144" s="111">
        <f>IF(AK144&gt;0,IFERROR(G144/AK144,0),1)</f>
        <v/>
      </c>
      <c r="AF144" s="111">
        <f>IF(AL144&gt;0,IFERROR(H144/AL144,0),1)</f>
        <v/>
      </c>
      <c r="AG144" s="104">
        <f>T144-(U144+AM144+AQ144)</f>
        <v/>
      </c>
      <c r="AH144" s="104">
        <f>Q144-(U144+AN144+AQ144)</f>
        <v/>
      </c>
      <c r="AI144" s="104">
        <f>(AK144-AO144)</f>
        <v/>
      </c>
      <c r="AJ144" s="104">
        <f>(AL144-AP144)</f>
        <v/>
      </c>
      <c r="AK144" s="110">
        <f>R144+AH144</f>
        <v/>
      </c>
      <c r="AL144" s="110">
        <f>S144+AI144</f>
        <v/>
      </c>
      <c r="AM144" s="104" t="n">
        <v>12000</v>
      </c>
      <c r="AN144" s="104" t="n">
        <v>3600</v>
      </c>
      <c r="AO144" s="104" t="n">
        <v>8400</v>
      </c>
      <c r="AP144" s="104" t="n">
        <v>0</v>
      </c>
      <c r="AQ144" s="104" t="n">
        <v>0</v>
      </c>
      <c r="AR144" s="104" t="n"/>
      <c r="AS144" s="112" t="n"/>
    </row>
    <row r="145" ht="12.65" customHeight="1" s="79">
      <c r="A145" s="104">
        <f>MIN(U145,Q145)</f>
        <v/>
      </c>
      <c r="B145" s="104">
        <f>MIN(U145,T145)</f>
        <v/>
      </c>
      <c r="C145" s="104">
        <f>MIN(W145,Q145)</f>
        <v/>
      </c>
      <c r="D145" s="104">
        <f>MIN(W145,T145)</f>
        <v/>
      </c>
      <c r="E145" s="104">
        <f>MIN((U145+AM145+AQ145),T145)</f>
        <v/>
      </c>
      <c r="F145" s="104">
        <f>MAX(MIN((U145+AN145+AQ145),Q145),0)</f>
        <v/>
      </c>
      <c r="G145" s="104">
        <f>MAX(MIN(AO145,AK145),0)</f>
        <v/>
      </c>
      <c r="H145" s="104">
        <f>MAX(MIN(AP145,AL145),0)</f>
        <v/>
      </c>
      <c r="I145" s="105" t="inlineStr">
        <is>
          <t>ROOP KISHOR</t>
        </is>
      </c>
      <c r="J145" s="106" t="inlineStr">
        <is>
          <t>HOUSEHOLD</t>
        </is>
      </c>
      <c r="K145" s="107" t="inlineStr">
        <is>
          <t>HH_CROCKERY</t>
        </is>
      </c>
      <c r="L145" s="107" t="inlineStr">
        <is>
          <t>HH_C_M_FULL PLATE</t>
        </is>
      </c>
      <c r="M145" s="107" t="inlineStr">
        <is>
          <t>ARTICLE</t>
        </is>
      </c>
      <c r="N145" s="108" t="n">
        <v>0.08798256753351349</v>
      </c>
      <c r="O145" s="108" t="n">
        <v>0.0750026695141484</v>
      </c>
      <c r="P145" s="109" t="n">
        <v>130</v>
      </c>
      <c r="Q145" s="110" t="n">
        <v>3490</v>
      </c>
      <c r="R145" s="110" t="n">
        <v>3801.07728344115</v>
      </c>
      <c r="S145" s="110" t="n">
        <v>4269.95544882354</v>
      </c>
      <c r="T145" s="110" t="n">
        <v>11561.0327322647</v>
      </c>
      <c r="U145" s="104" t="n">
        <v>8112</v>
      </c>
      <c r="V145" s="104" t="n">
        <v>3888</v>
      </c>
      <c r="W145" s="104">
        <f>$U145+$V145</f>
        <v/>
      </c>
      <c r="X145" s="111">
        <f>IFERROR(A145/Q145,0)</f>
        <v/>
      </c>
      <c r="Y145" s="111">
        <f>IFERROR(B145/T145,0)</f>
        <v/>
      </c>
      <c r="Z145" s="111">
        <f>IFERROR(C145/Q145,0)</f>
        <v/>
      </c>
      <c r="AA145" s="111">
        <f>IFERROR(D145/T145,0)</f>
        <v/>
      </c>
      <c r="AC145" s="111">
        <f>IF(T145&gt;0,IFERROR(E145/T145,0),1)</f>
        <v/>
      </c>
      <c r="AD145" s="111">
        <f>IF(Q145&gt;0,IFERROR(F145/Q145,0),1)</f>
        <v/>
      </c>
      <c r="AE145" s="111">
        <f>IF(AK145&gt;0,IFERROR(G145/AK145,0),1)</f>
        <v/>
      </c>
      <c r="AF145" s="111">
        <f>IF(AL145&gt;0,IFERROR(H145/AL145,0),1)</f>
        <v/>
      </c>
      <c r="AG145" s="104">
        <f>T145-(U145+AM145+AQ145)</f>
        <v/>
      </c>
      <c r="AH145" s="104">
        <f>Q145-(U145+AN145+AQ145)</f>
        <v/>
      </c>
      <c r="AI145" s="104">
        <f>(AK145-AO145)</f>
        <v/>
      </c>
      <c r="AJ145" s="104">
        <f>(AL145-AP145)</f>
        <v/>
      </c>
      <c r="AK145" s="110">
        <f>R145+AH145</f>
        <v/>
      </c>
      <c r="AL145" s="110">
        <f>S145+AI145</f>
        <v/>
      </c>
      <c r="AM145" s="104" t="n">
        <v>18288</v>
      </c>
      <c r="AN145" s="104" t="n">
        <v>9888</v>
      </c>
      <c r="AO145" s="104" t="n">
        <v>8400</v>
      </c>
      <c r="AP145" s="104" t="n">
        <v>0</v>
      </c>
      <c r="AQ145" s="104" t="n">
        <v>0</v>
      </c>
      <c r="AR145" s="104" t="n"/>
      <c r="AS145" s="112" t="n"/>
    </row>
    <row r="146" ht="12.65" customHeight="1" s="79">
      <c r="A146" s="104">
        <f>MIN(U146,Q146)</f>
        <v/>
      </c>
      <c r="B146" s="104">
        <f>MIN(U146,T146)</f>
        <v/>
      </c>
      <c r="C146" s="104">
        <f>MIN(W146,Q146)</f>
        <v/>
      </c>
      <c r="D146" s="104">
        <f>MIN(W146,T146)</f>
        <v/>
      </c>
      <c r="E146" s="104">
        <f>MIN((U146+AM146+AQ146),T146)</f>
        <v/>
      </c>
      <c r="F146" s="104">
        <f>MAX(MIN((U146+AN146+AQ146),Q146),0)</f>
        <v/>
      </c>
      <c r="G146" s="104">
        <f>MAX(MIN(AO146,AK146),0)</f>
        <v/>
      </c>
      <c r="H146" s="104">
        <f>MAX(MIN(AP146,AL146),0)</f>
        <v/>
      </c>
      <c r="I146" s="105" t="inlineStr">
        <is>
          <t>ROOP KISHOR</t>
        </is>
      </c>
      <c r="J146" s="106" t="inlineStr">
        <is>
          <t>HOUSEHOLD</t>
        </is>
      </c>
      <c r="K146" s="107" t="inlineStr">
        <is>
          <t>HH_CROCKERY</t>
        </is>
      </c>
      <c r="L146" s="107" t="inlineStr">
        <is>
          <t>HH_C_G_TUMBLER</t>
        </is>
      </c>
      <c r="M146" s="107" t="inlineStr">
        <is>
          <t>ARTICLE</t>
        </is>
      </c>
      <c r="N146" s="108" t="n">
        <v>0.0967124671113828</v>
      </c>
      <c r="O146" s="108" t="n">
        <v>0.07301937722040309</v>
      </c>
      <c r="P146" s="109" t="n">
        <v>88</v>
      </c>
      <c r="Q146" s="110" t="n">
        <v>1162</v>
      </c>
      <c r="R146" s="110" t="n">
        <v>2412.32361247746</v>
      </c>
      <c r="S146" s="110" t="n">
        <v>2337.55893724601</v>
      </c>
      <c r="T146" s="110" t="n">
        <v>5911.88254972346</v>
      </c>
      <c r="U146" s="104" t="n">
        <v>2356</v>
      </c>
      <c r="V146" s="104" t="n">
        <v>1754</v>
      </c>
      <c r="W146" s="104">
        <f>$U146+$V146</f>
        <v/>
      </c>
      <c r="X146" s="111">
        <f>IFERROR(A146/Q146,0)</f>
        <v/>
      </c>
      <c r="Y146" s="111">
        <f>IFERROR(B146/T146,0)</f>
        <v/>
      </c>
      <c r="Z146" s="111">
        <f>IFERROR(C146/Q146,0)</f>
        <v/>
      </c>
      <c r="AA146" s="111">
        <f>IFERROR(D146/T146,0)</f>
        <v/>
      </c>
      <c r="AC146" s="111">
        <f>IF(T146&gt;0,IFERROR(E146/T146,0),1)</f>
        <v/>
      </c>
      <c r="AD146" s="111">
        <f>IF(Q146&gt;0,IFERROR(F146/Q146,0),1)</f>
        <v/>
      </c>
      <c r="AE146" s="111">
        <f>IF(AK146&gt;0,IFERROR(G146/AK146,0),1)</f>
        <v/>
      </c>
      <c r="AF146" s="111">
        <f>IF(AL146&gt;0,IFERROR(H146/AL146,0),1)</f>
        <v/>
      </c>
      <c r="AG146" s="104">
        <f>T146-(U146+AM146+AQ146)</f>
        <v/>
      </c>
      <c r="AH146" s="104">
        <f>Q146-(U146+AN146+AQ146)</f>
        <v/>
      </c>
      <c r="AI146" s="104">
        <f>(AK146-AO146)</f>
        <v/>
      </c>
      <c r="AJ146" s="104">
        <f>(AL146-AP146)</f>
        <v/>
      </c>
      <c r="AK146" s="110">
        <f>R146+AH146</f>
        <v/>
      </c>
      <c r="AL146" s="110">
        <f>S146+AI146</f>
        <v/>
      </c>
      <c r="AM146" s="104" t="n">
        <v>4392</v>
      </c>
      <c r="AN146" s="104" t="n">
        <v>4392</v>
      </c>
      <c r="AO146" s="104" t="n">
        <v>0</v>
      </c>
      <c r="AP146" s="104" t="n">
        <v>0</v>
      </c>
      <c r="AQ146" s="104" t="n">
        <v>0</v>
      </c>
      <c r="AR146" s="104" t="n"/>
      <c r="AS146" s="112" t="n"/>
    </row>
    <row r="147" ht="12.65" customHeight="1" s="79">
      <c r="A147" s="104">
        <f>MIN(U147,Q147)</f>
        <v/>
      </c>
      <c r="B147" s="104">
        <f>MIN(U147,T147)</f>
        <v/>
      </c>
      <c r="C147" s="104">
        <f>MIN(W147,Q147)</f>
        <v/>
      </c>
      <c r="D147" s="104">
        <f>MIN(W147,T147)</f>
        <v/>
      </c>
      <c r="E147" s="104">
        <f>MIN((U147+AM147+AQ147),T147)</f>
        <v/>
      </c>
      <c r="F147" s="104">
        <f>MAX(MIN((U147+AN147+AQ147),Q147),0)</f>
        <v/>
      </c>
      <c r="G147" s="104">
        <f>MAX(MIN(AO147,AK147),0)</f>
        <v/>
      </c>
      <c r="H147" s="104">
        <f>MAX(MIN(AP147,AL147),0)</f>
        <v/>
      </c>
      <c r="I147" s="105" t="inlineStr">
        <is>
          <t>ROOP KISHOR</t>
        </is>
      </c>
      <c r="J147" s="106" t="inlineStr">
        <is>
          <t>HOUSEHOLD</t>
        </is>
      </c>
      <c r="K147" s="107" t="inlineStr">
        <is>
          <t>HH_CROCKERY</t>
        </is>
      </c>
      <c r="L147" s="107" t="inlineStr">
        <is>
          <t>HH_C_M_DINNER SET</t>
        </is>
      </c>
      <c r="M147" s="107" t="inlineStr">
        <is>
          <t>ARTICLE</t>
        </is>
      </c>
      <c r="N147" s="108" t="n">
        <v>0</v>
      </c>
      <c r="O147" s="108" t="n">
        <v>0</v>
      </c>
      <c r="P147" s="109" t="n">
        <v>151</v>
      </c>
      <c r="Q147" s="110" t="n">
        <v>2700</v>
      </c>
      <c r="R147" s="110" t="n">
        <v>650.759642974248</v>
      </c>
      <c r="S147" s="110" t="n">
        <v>31.1973076116824</v>
      </c>
      <c r="T147" s="110" t="n">
        <v>3381.95695058593</v>
      </c>
      <c r="U147" s="104" t="n">
        <v>0</v>
      </c>
      <c r="V147" s="104" t="n">
        <v>0</v>
      </c>
      <c r="W147" s="104">
        <f>$U147+$V147</f>
        <v/>
      </c>
      <c r="X147" s="111">
        <f>IFERROR(A147/Q147,0)</f>
        <v/>
      </c>
      <c r="Y147" s="111">
        <f>IFERROR(B147/T147,0)</f>
        <v/>
      </c>
      <c r="Z147" s="111">
        <f>IFERROR(C147/Q147,0)</f>
        <v/>
      </c>
      <c r="AA147" s="111">
        <f>IFERROR(D147/T147,0)</f>
        <v/>
      </c>
      <c r="AC147" s="111">
        <f>IF(T147&gt;0,IFERROR(E147/T147,0),1)</f>
        <v/>
      </c>
      <c r="AD147" s="111">
        <f>IF(Q147&gt;0,IFERROR(F147/Q147,0),1)</f>
        <v/>
      </c>
      <c r="AE147" s="111">
        <f>IF(AK147&gt;0,IFERROR(G147/AK147,0),1)</f>
        <v/>
      </c>
      <c r="AF147" s="111">
        <f>IF(AL147&gt;0,IFERROR(H147/AL147,0),1)</f>
        <v/>
      </c>
      <c r="AG147" s="104">
        <f>T147-(U147+AM147+AQ147)</f>
        <v/>
      </c>
      <c r="AH147" s="104">
        <f>Q147-(U147+AN147+AQ147)</f>
        <v/>
      </c>
      <c r="AI147" s="104">
        <f>(AK147-AO147)</f>
        <v/>
      </c>
      <c r="AJ147" s="104">
        <f>(AL147-AP147)</f>
        <v/>
      </c>
      <c r="AK147" s="110">
        <f>R147+AH147</f>
        <v/>
      </c>
      <c r="AL147" s="110">
        <f>S147+AI147</f>
        <v/>
      </c>
      <c r="AM147" s="104" t="n">
        <v>0</v>
      </c>
      <c r="AN147" s="104" t="n">
        <v>0</v>
      </c>
      <c r="AO147" s="104" t="n">
        <v>0</v>
      </c>
      <c r="AP147" s="104" t="n">
        <v>0</v>
      </c>
      <c r="AQ147" s="104" t="n">
        <v>0</v>
      </c>
      <c r="AR147" s="104" t="n"/>
      <c r="AS147" s="112" t="n"/>
    </row>
    <row r="148" ht="12.65" customHeight="1" s="79">
      <c r="A148" s="104">
        <f>MIN(U148,Q148)</f>
        <v/>
      </c>
      <c r="B148" s="104">
        <f>MIN(U148,T148)</f>
        <v/>
      </c>
      <c r="C148" s="104">
        <f>MIN(W148,Q148)</f>
        <v/>
      </c>
      <c r="D148" s="104">
        <f>MIN(W148,T148)</f>
        <v/>
      </c>
      <c r="E148" s="104">
        <f>MIN((U148+AM148+AQ148),T148)</f>
        <v/>
      </c>
      <c r="F148" s="104">
        <f>MAX(MIN((U148+AN148+AQ148),Q148),0)</f>
        <v/>
      </c>
      <c r="G148" s="104">
        <f>MAX(MIN(AO148,AK148),0)</f>
        <v/>
      </c>
      <c r="H148" s="104">
        <f>MAX(MIN(AP148,AL148),0)</f>
        <v/>
      </c>
      <c r="I148" s="105" t="inlineStr">
        <is>
          <t>ROOP KISHOR</t>
        </is>
      </c>
      <c r="J148" s="106" t="inlineStr">
        <is>
          <t>HOUSEHOLD</t>
        </is>
      </c>
      <c r="K148" s="107" t="inlineStr">
        <is>
          <t>HH_CROCKERY</t>
        </is>
      </c>
      <c r="L148" s="107" t="inlineStr">
        <is>
          <t>HH_C_G_WATER BOTTLE</t>
        </is>
      </c>
      <c r="M148" s="107" t="inlineStr">
        <is>
          <t>ARTICLE</t>
        </is>
      </c>
      <c r="N148" s="108" t="n">
        <v>0.058532099761668</v>
      </c>
      <c r="O148" s="108" t="n">
        <v>0.0689047788798255</v>
      </c>
      <c r="P148" s="109" t="n">
        <v>167</v>
      </c>
      <c r="Q148" s="110" t="n">
        <v>0</v>
      </c>
      <c r="R148" s="110" t="n">
        <v>843.398033986727</v>
      </c>
      <c r="S148" s="110" t="n">
        <v>0</v>
      </c>
      <c r="T148" s="110" t="n">
        <v>843.398033986727</v>
      </c>
      <c r="U148" s="104" t="n">
        <v>0</v>
      </c>
      <c r="V148" s="104" t="n">
        <v>1440</v>
      </c>
      <c r="W148" s="104">
        <f>$U148+$V148</f>
        <v/>
      </c>
      <c r="X148" s="111">
        <f>IFERROR(A148/Q148,0)</f>
        <v/>
      </c>
      <c r="Y148" s="111">
        <f>IFERROR(B148/T148,0)</f>
        <v/>
      </c>
      <c r="Z148" s="111">
        <f>IFERROR(C148/Q148,0)</f>
        <v/>
      </c>
      <c r="AA148" s="111">
        <f>IFERROR(D148/T148,0)</f>
        <v/>
      </c>
      <c r="AC148" s="111">
        <f>IF(T148&gt;0,IFERROR(E148/T148,0),1)</f>
        <v/>
      </c>
      <c r="AD148" s="111">
        <f>IF(Q148&gt;0,IFERROR(F148/Q148,0),1)</f>
        <v/>
      </c>
      <c r="AE148" s="111">
        <f>IF(AK148&gt;0,IFERROR(G148/AK148,0),1)</f>
        <v/>
      </c>
      <c r="AF148" s="111">
        <f>IF(AL148&gt;0,IFERROR(H148/AL148,0),1)</f>
        <v/>
      </c>
      <c r="AG148" s="104">
        <f>T148-(U148+AM148+AQ148)</f>
        <v/>
      </c>
      <c r="AH148" s="104">
        <f>Q148-(U148+AN148+AQ148)</f>
        <v/>
      </c>
      <c r="AI148" s="104">
        <f>(AK148-AO148)</f>
        <v/>
      </c>
      <c r="AJ148" s="104">
        <f>(AL148-AP148)</f>
        <v/>
      </c>
      <c r="AK148" s="110">
        <f>R148+AH148</f>
        <v/>
      </c>
      <c r="AL148" s="110">
        <f>S148+AI148</f>
        <v/>
      </c>
      <c r="AM148" s="104" t="n">
        <v>1440</v>
      </c>
      <c r="AN148" s="104" t="n">
        <v>1440</v>
      </c>
      <c r="AO148" s="104" t="n">
        <v>0</v>
      </c>
      <c r="AP148" s="104" t="n">
        <v>0</v>
      </c>
      <c r="AQ148" s="104" t="n">
        <v>0</v>
      </c>
      <c r="AR148" s="104" t="n"/>
      <c r="AS148" s="112" t="n"/>
    </row>
    <row r="149" ht="12.65" customHeight="1" s="79">
      <c r="A149" s="104">
        <f>MIN(U149,Q149)</f>
        <v/>
      </c>
      <c r="B149" s="104">
        <f>MIN(U149,T149)</f>
        <v/>
      </c>
      <c r="C149" s="104">
        <f>MIN(W149,Q149)</f>
        <v/>
      </c>
      <c r="D149" s="104">
        <f>MIN(W149,T149)</f>
        <v/>
      </c>
      <c r="E149" s="104">
        <f>MIN((U149+AM149+AQ149),T149)</f>
        <v/>
      </c>
      <c r="F149" s="104">
        <f>MAX(MIN((U149+AN149+AQ149),Q149),0)</f>
        <v/>
      </c>
      <c r="G149" s="104">
        <f>MAX(MIN(AO149,AK149),0)</f>
        <v/>
      </c>
      <c r="H149" s="104">
        <f>MAX(MIN(AP149,AL149),0)</f>
        <v/>
      </c>
      <c r="I149" s="105" t="inlineStr">
        <is>
          <t>ROOP KISHOR</t>
        </is>
      </c>
      <c r="J149" s="106" t="inlineStr">
        <is>
          <t>HOUSEHOLD</t>
        </is>
      </c>
      <c r="K149" s="107" t="inlineStr">
        <is>
          <t>HH_KITCHEN AIDS</t>
        </is>
      </c>
      <c r="L149" s="107" t="inlineStr">
        <is>
          <t>HH_OTHER</t>
        </is>
      </c>
      <c r="M149" s="107" t="inlineStr">
        <is>
          <t>ARTICLE</t>
        </is>
      </c>
      <c r="N149" s="108" t="n">
        <v>0.117932132869423</v>
      </c>
      <c r="O149" s="108" t="n">
        <v>0.112152812211551</v>
      </c>
      <c r="P149" s="109" t="n">
        <v>36</v>
      </c>
      <c r="Q149" s="110" t="n">
        <v>24489</v>
      </c>
      <c r="R149" s="110" t="n">
        <v>18814.6596985939</v>
      </c>
      <c r="S149" s="110" t="n">
        <v>17318.3356791018</v>
      </c>
      <c r="T149" s="110" t="n">
        <v>60621.9953776957</v>
      </c>
      <c r="U149" s="104" t="n">
        <v>30281</v>
      </c>
      <c r="V149" s="104" t="n">
        <v>13428</v>
      </c>
      <c r="W149" s="104">
        <f>$U149+$V149</f>
        <v/>
      </c>
      <c r="X149" s="111">
        <f>IFERROR(A149/Q149,0)</f>
        <v/>
      </c>
      <c r="Y149" s="111">
        <f>IFERROR(B149/T149,0)</f>
        <v/>
      </c>
      <c r="Z149" s="111">
        <f>IFERROR(C149/Q149,0)</f>
        <v/>
      </c>
      <c r="AA149" s="111">
        <f>IFERROR(D149/T149,0)</f>
        <v/>
      </c>
      <c r="AC149" s="111">
        <f>IF(T149&gt;0,IFERROR(E149/T149,0),1)</f>
        <v/>
      </c>
      <c r="AD149" s="111">
        <f>IF(Q149&gt;0,IFERROR(F149/Q149,0),1)</f>
        <v/>
      </c>
      <c r="AE149" s="111">
        <f>IF(AK149&gt;0,IFERROR(G149/AK149,0),1)</f>
        <v/>
      </c>
      <c r="AF149" s="111">
        <f>IF(AL149&gt;0,IFERROR(H149/AL149,0),1)</f>
        <v/>
      </c>
      <c r="AG149" s="104">
        <f>T149-(U149+AM149+AQ149)</f>
        <v/>
      </c>
      <c r="AH149" s="104">
        <f>Q149-(U149+AN149+AQ149)</f>
        <v/>
      </c>
      <c r="AI149" s="104">
        <f>(AK149-AO149)</f>
        <v/>
      </c>
      <c r="AJ149" s="104">
        <f>(AL149-AP149)</f>
        <v/>
      </c>
      <c r="AK149" s="110">
        <f>R149+AH149</f>
        <v/>
      </c>
      <c r="AL149" s="110">
        <f>S149+AI149</f>
        <v/>
      </c>
      <c r="AM149" s="104" t="n">
        <v>123832</v>
      </c>
      <c r="AN149" s="104" t="n">
        <v>49432</v>
      </c>
      <c r="AO149" s="104" t="n">
        <v>45000</v>
      </c>
      <c r="AP149" s="104" t="n">
        <v>29400</v>
      </c>
      <c r="AQ149" s="104" t="n">
        <v>0</v>
      </c>
      <c r="AR149" s="104" t="n"/>
      <c r="AS149" s="112" t="n"/>
    </row>
    <row r="150" ht="12.65" customHeight="1" s="79">
      <c r="A150" s="104">
        <f>MIN(U150,Q150)</f>
        <v/>
      </c>
      <c r="B150" s="104">
        <f>MIN(U150,T150)</f>
        <v/>
      </c>
      <c r="C150" s="104">
        <f>MIN(W150,Q150)</f>
        <v/>
      </c>
      <c r="D150" s="104">
        <f>MIN(W150,T150)</f>
        <v/>
      </c>
      <c r="E150" s="104">
        <f>MIN((U150+AM150+AQ150),T150)</f>
        <v/>
      </c>
      <c r="F150" s="104">
        <f>MAX(MIN((U150+AN150+AQ150),Q150),0)</f>
        <v/>
      </c>
      <c r="G150" s="104">
        <f>MAX(MIN(AO150,AK150),0)</f>
        <v/>
      </c>
      <c r="H150" s="104">
        <f>MAX(MIN(AP150,AL150),0)</f>
        <v/>
      </c>
      <c r="I150" s="105" t="inlineStr">
        <is>
          <t>ROOP KISHOR</t>
        </is>
      </c>
      <c r="J150" s="106" t="inlineStr">
        <is>
          <t>HOUSEHOLD</t>
        </is>
      </c>
      <c r="K150" s="107" t="inlineStr">
        <is>
          <t>HH_KITCHEN AIDS</t>
        </is>
      </c>
      <c r="L150" s="107" t="inlineStr">
        <is>
          <t>HH_KA_GAS LIGHTER</t>
        </is>
      </c>
      <c r="M150" s="107" t="inlineStr">
        <is>
          <t>ARTICLE</t>
        </is>
      </c>
      <c r="N150" s="108" t="n">
        <v>0.114099056618455</v>
      </c>
      <c r="O150" s="108" t="n">
        <v>0.135305664610208</v>
      </c>
      <c r="P150" s="109" t="n">
        <v>60</v>
      </c>
      <c r="Q150" s="110" t="n">
        <v>18833</v>
      </c>
      <c r="R150" s="110" t="n">
        <v>16328.7573317007</v>
      </c>
      <c r="S150" s="110" t="n">
        <v>14894.6458472992</v>
      </c>
      <c r="T150" s="110" t="n">
        <v>50056.4031789999</v>
      </c>
      <c r="U150" s="104" t="n">
        <v>12000</v>
      </c>
      <c r="V150" s="104" t="n">
        <v>6000</v>
      </c>
      <c r="W150" s="104">
        <f>$U150+$V150</f>
        <v/>
      </c>
      <c r="X150" s="111">
        <f>IFERROR(A150/Q150,0)</f>
        <v/>
      </c>
      <c r="Y150" s="111">
        <f>IFERROR(B150/T150,0)</f>
        <v/>
      </c>
      <c r="Z150" s="111">
        <f>IFERROR(C150/Q150,0)</f>
        <v/>
      </c>
      <c r="AA150" s="111">
        <f>IFERROR(D150/T150,0)</f>
        <v/>
      </c>
      <c r="AC150" s="111">
        <f>IF(T150&gt;0,IFERROR(E150/T150,0),1)</f>
        <v/>
      </c>
      <c r="AD150" s="111">
        <f>IF(Q150&gt;0,IFERROR(F150/Q150,0),1)</f>
        <v/>
      </c>
      <c r="AE150" s="111">
        <f>IF(AK150&gt;0,IFERROR(G150/AK150,0),1)</f>
        <v/>
      </c>
      <c r="AF150" s="111">
        <f>IF(AL150&gt;0,IFERROR(H150/AL150,0),1)</f>
        <v/>
      </c>
      <c r="AG150" s="104">
        <f>T150-(U150+AM150+AQ150)</f>
        <v/>
      </c>
      <c r="AH150" s="104">
        <f>Q150-(U150+AN150+AQ150)</f>
        <v/>
      </c>
      <c r="AI150" s="104">
        <f>(AK150-AO150)</f>
        <v/>
      </c>
      <c r="AJ150" s="104">
        <f>(AL150-AP150)</f>
        <v/>
      </c>
      <c r="AK150" s="110">
        <f>R150+AH150</f>
        <v/>
      </c>
      <c r="AL150" s="110">
        <f>S150+AI150</f>
        <v/>
      </c>
      <c r="AM150" s="104" t="n">
        <v>49200</v>
      </c>
      <c r="AN150" s="104" t="n">
        <v>13200</v>
      </c>
      <c r="AO150" s="104" t="n">
        <v>19200</v>
      </c>
      <c r="AP150" s="104" t="n">
        <v>16800</v>
      </c>
      <c r="AQ150" s="104" t="n">
        <v>0</v>
      </c>
      <c r="AR150" s="104" t="n"/>
      <c r="AS150" s="104" t="n"/>
    </row>
    <row r="151" ht="12.65" customHeight="1" s="79">
      <c r="A151" s="104">
        <f>MIN(U151,Q151)</f>
        <v/>
      </c>
      <c r="B151" s="104">
        <f>MIN(U151,T151)</f>
        <v/>
      </c>
      <c r="C151" s="104">
        <f>MIN(W151,Q151)</f>
        <v/>
      </c>
      <c r="D151" s="104">
        <f>MIN(W151,T151)</f>
        <v/>
      </c>
      <c r="E151" s="104">
        <f>MIN((U151+AM151+AQ151),T151)</f>
        <v/>
      </c>
      <c r="F151" s="104">
        <f>MAX(MIN((U151+AN151+AQ151),Q151),0)</f>
        <v/>
      </c>
      <c r="G151" s="104">
        <f>MAX(MIN(AO151,AK151),0)</f>
        <v/>
      </c>
      <c r="H151" s="104">
        <f>MAX(MIN(AP151,AL151),0)</f>
        <v/>
      </c>
      <c r="I151" s="105" t="inlineStr">
        <is>
          <t>ROOP KISHOR</t>
        </is>
      </c>
      <c r="J151" s="106" t="inlineStr">
        <is>
          <t>HOUSEHOLD</t>
        </is>
      </c>
      <c r="K151" s="107" t="inlineStr">
        <is>
          <t>HH_KITCHEN AIDS</t>
        </is>
      </c>
      <c r="L151" s="107" t="inlineStr">
        <is>
          <t>HH_KA_STRAINER</t>
        </is>
      </c>
      <c r="M151" s="107" t="inlineStr">
        <is>
          <t>ARTICLE</t>
        </is>
      </c>
      <c r="N151" s="108" t="n">
        <v>0.120142290229166</v>
      </c>
      <c r="O151" s="108" t="n">
        <v>0.127785687523417</v>
      </c>
      <c r="P151" s="109" t="n">
        <v>54</v>
      </c>
      <c r="Q151" s="110" t="n">
        <v>14021</v>
      </c>
      <c r="R151" s="110" t="n">
        <v>17024.7362304374</v>
      </c>
      <c r="S151" s="110" t="n">
        <v>14545.6786785676</v>
      </c>
      <c r="T151" s="110" t="n">
        <v>45591.4149090051</v>
      </c>
      <c r="U151" s="104" t="n">
        <v>13800</v>
      </c>
      <c r="V151" s="104" t="n">
        <v>20400</v>
      </c>
      <c r="W151" s="104">
        <f>$U151+$V151</f>
        <v/>
      </c>
      <c r="X151" s="111">
        <f>IFERROR(A151/Q151,0)</f>
        <v/>
      </c>
      <c r="Y151" s="111">
        <f>IFERROR(B151/T151,0)</f>
        <v/>
      </c>
      <c r="Z151" s="111">
        <f>IFERROR(C151/Q151,0)</f>
        <v/>
      </c>
      <c r="AA151" s="111">
        <f>IFERROR(D151/T151,0)</f>
        <v/>
      </c>
      <c r="AC151" s="111">
        <f>IF(T151&gt;0,IFERROR(E151/T151,0),1)</f>
        <v/>
      </c>
      <c r="AD151" s="111">
        <f>IF(Q151&gt;0,IFERROR(F151/Q151,0),1)</f>
        <v/>
      </c>
      <c r="AE151" s="111">
        <f>IF(AK151&gt;0,IFERROR(G151/AK151,0),1)</f>
        <v/>
      </c>
      <c r="AF151" s="111">
        <f>IF(AL151&gt;0,IFERROR(H151/AL151,0),1)</f>
        <v/>
      </c>
      <c r="AG151" s="104">
        <f>T151-(U151+AM151+AQ151)</f>
        <v/>
      </c>
      <c r="AH151" s="104">
        <f>Q151-(U151+AN151+AQ151)</f>
        <v/>
      </c>
      <c r="AI151" s="104">
        <f>(AK151-AO151)</f>
        <v/>
      </c>
      <c r="AJ151" s="104">
        <f>(AL151-AP151)</f>
        <v/>
      </c>
      <c r="AK151" s="110">
        <f>R151+AH151</f>
        <v/>
      </c>
      <c r="AL151" s="110">
        <f>S151+AI151</f>
        <v/>
      </c>
      <c r="AM151" s="104" t="n">
        <v>71400</v>
      </c>
      <c r="AN151" s="104" t="n">
        <v>20400</v>
      </c>
      <c r="AO151" s="104" t="n">
        <v>24600</v>
      </c>
      <c r="AP151" s="104" t="n">
        <v>26400</v>
      </c>
      <c r="AQ151" s="104" t="n">
        <v>0</v>
      </c>
      <c r="AR151" s="104" t="n"/>
      <c r="AS151" s="112" t="n"/>
    </row>
    <row r="152" ht="12.65" customHeight="1" s="79">
      <c r="A152" s="104">
        <f>MIN(U152,Q152)</f>
        <v/>
      </c>
      <c r="B152" s="104">
        <f>MIN(U152,T152)</f>
        <v/>
      </c>
      <c r="C152" s="104">
        <f>MIN(W152,Q152)</f>
        <v/>
      </c>
      <c r="D152" s="104">
        <f>MIN(W152,T152)</f>
        <v/>
      </c>
      <c r="E152" s="104">
        <f>MIN((U152+AM152+AQ152),T152)</f>
        <v/>
      </c>
      <c r="F152" s="104">
        <f>MAX(MIN((U152+AN152+AQ152),Q152),0)</f>
        <v/>
      </c>
      <c r="G152" s="104">
        <f>MAX(MIN(AO152,AK152),0)</f>
        <v/>
      </c>
      <c r="H152" s="104">
        <f>MAX(MIN(AP152,AL152),0)</f>
        <v/>
      </c>
      <c r="I152" s="105" t="inlineStr">
        <is>
          <t>ROOP KISHOR</t>
        </is>
      </c>
      <c r="J152" s="106" t="inlineStr">
        <is>
          <t>HOUSEHOLD</t>
        </is>
      </c>
      <c r="K152" s="107" t="inlineStr">
        <is>
          <t>HH_KITCHEN AIDS</t>
        </is>
      </c>
      <c r="L152" s="107" t="inlineStr">
        <is>
          <t>HH_CUTLERY STAND</t>
        </is>
      </c>
      <c r="M152" s="107" t="inlineStr">
        <is>
          <t>ARTICLE</t>
        </is>
      </c>
      <c r="N152" s="108" t="n">
        <v>0.117734244756698</v>
      </c>
      <c r="O152" s="108" t="n">
        <v>0.119498558435146</v>
      </c>
      <c r="P152" s="109" t="n">
        <v>85</v>
      </c>
      <c r="Q152" s="110" t="n">
        <v>9371</v>
      </c>
      <c r="R152" s="110" t="n">
        <v>14792.1276861171</v>
      </c>
      <c r="S152" s="110" t="n">
        <v>13629.0179106317</v>
      </c>
      <c r="T152" s="110" t="n">
        <v>37792.1455967488</v>
      </c>
      <c r="U152" s="104" t="n">
        <v>17869</v>
      </c>
      <c r="V152" s="104" t="n">
        <v>1680</v>
      </c>
      <c r="W152" s="104">
        <f>$U152+$V152</f>
        <v/>
      </c>
      <c r="X152" s="111">
        <f>IFERROR(A152/Q152,0)</f>
        <v/>
      </c>
      <c r="Y152" s="111">
        <f>IFERROR(B152/T152,0)</f>
        <v/>
      </c>
      <c r="Z152" s="111">
        <f>IFERROR(C152/Q152,0)</f>
        <v/>
      </c>
      <c r="AA152" s="111">
        <f>IFERROR(D152/T152,0)</f>
        <v/>
      </c>
      <c r="AC152" s="111">
        <f>IF(T152&gt;0,IFERROR(E152/T152,0),1)</f>
        <v/>
      </c>
      <c r="AD152" s="111">
        <f>IF(Q152&gt;0,IFERROR(F152/Q152,0),1)</f>
        <v/>
      </c>
      <c r="AE152" s="111">
        <f>IF(AK152&gt;0,IFERROR(G152/AK152,0),1)</f>
        <v/>
      </c>
      <c r="AF152" s="111">
        <f>IF(AL152&gt;0,IFERROR(H152/AL152,0),1)</f>
        <v/>
      </c>
      <c r="AG152" s="104">
        <f>T152-(U152+AM152+AQ152)</f>
        <v/>
      </c>
      <c r="AH152" s="104">
        <f>Q152-(U152+AN152+AQ152)</f>
        <v/>
      </c>
      <c r="AI152" s="104">
        <f>(AK152-AO152)</f>
        <v/>
      </c>
      <c r="AJ152" s="104">
        <f>(AL152-AP152)</f>
        <v/>
      </c>
      <c r="AK152" s="110">
        <f>R152+AH152</f>
        <v/>
      </c>
      <c r="AL152" s="110">
        <f>S152+AI152</f>
        <v/>
      </c>
      <c r="AM152" s="104" t="n">
        <v>26520</v>
      </c>
      <c r="AN152" s="104" t="n">
        <v>6120</v>
      </c>
      <c r="AO152" s="104" t="n">
        <v>13200</v>
      </c>
      <c r="AP152" s="104" t="n">
        <v>7200</v>
      </c>
      <c r="AQ152" s="104" t="n">
        <v>0</v>
      </c>
      <c r="AR152" s="104" t="n"/>
      <c r="AS152" s="112" t="n"/>
    </row>
    <row r="153" ht="12.65" customHeight="1" s="79">
      <c r="A153" s="104">
        <f>MIN(U153,Q153)</f>
        <v/>
      </c>
      <c r="B153" s="104">
        <f>MIN(U153,T153)</f>
        <v/>
      </c>
      <c r="C153" s="104">
        <f>MIN(W153,Q153)</f>
        <v/>
      </c>
      <c r="D153" s="104">
        <f>MIN(W153,T153)</f>
        <v/>
      </c>
      <c r="E153" s="104">
        <f>MIN((U153+AM153+AQ153),T153)</f>
        <v/>
      </c>
      <c r="F153" s="104">
        <f>MAX(MIN((U153+AN153+AQ153),Q153),0)</f>
        <v/>
      </c>
      <c r="G153" s="104">
        <f>MAX(MIN(AO153,AK153),0)</f>
        <v/>
      </c>
      <c r="H153" s="104">
        <f>MAX(MIN(AP153,AL153),0)</f>
        <v/>
      </c>
      <c r="I153" s="105" t="inlineStr">
        <is>
          <t>ROOP KISHOR</t>
        </is>
      </c>
      <c r="J153" s="106" t="inlineStr">
        <is>
          <t>HOUSEHOLD</t>
        </is>
      </c>
      <c r="K153" s="107" t="inlineStr">
        <is>
          <t>HH_KITCHEN AIDS</t>
        </is>
      </c>
      <c r="L153" s="107" t="inlineStr">
        <is>
          <t>HH_KA_SKIMMER</t>
        </is>
      </c>
      <c r="M153" s="107" t="inlineStr">
        <is>
          <t>ARTICLE</t>
        </is>
      </c>
      <c r="N153" s="108" t="n">
        <v>0.0962047580224069</v>
      </c>
      <c r="O153" s="108" t="n">
        <v>0.0755442900466211</v>
      </c>
      <c r="P153" s="109" t="n">
        <v>102</v>
      </c>
      <c r="Q153" s="110" t="n">
        <v>9082</v>
      </c>
      <c r="R153" s="110" t="n">
        <v>8231.11020900382</v>
      </c>
      <c r="S153" s="110" t="n">
        <v>5556.14367534474</v>
      </c>
      <c r="T153" s="110" t="n">
        <v>22869.2538843486</v>
      </c>
      <c r="U153" s="104" t="n">
        <v>2400</v>
      </c>
      <c r="V153" s="104" t="n">
        <v>1800</v>
      </c>
      <c r="W153" s="104">
        <f>$U153+$V153</f>
        <v/>
      </c>
      <c r="X153" s="111">
        <f>IFERROR(A153/Q153,0)</f>
        <v/>
      </c>
      <c r="Y153" s="111">
        <f>IFERROR(B153/T153,0)</f>
        <v/>
      </c>
      <c r="Z153" s="111">
        <f>IFERROR(C153/Q153,0)</f>
        <v/>
      </c>
      <c r="AA153" s="111">
        <f>IFERROR(D153/T153,0)</f>
        <v/>
      </c>
      <c r="AC153" s="111">
        <f>IF(T153&gt;0,IFERROR(E153/T153,0),1)</f>
        <v/>
      </c>
      <c r="AD153" s="111">
        <f>IF(Q153&gt;0,IFERROR(F153/Q153,0),1)</f>
        <v/>
      </c>
      <c r="AE153" s="111">
        <f>IF(AK153&gt;0,IFERROR(G153/AK153,0),1)</f>
        <v/>
      </c>
      <c r="AF153" s="111">
        <f>IF(AL153&gt;0,IFERROR(H153/AL153,0),1)</f>
        <v/>
      </c>
      <c r="AG153" s="104">
        <f>T153-(U153+AM153+AQ153)</f>
        <v/>
      </c>
      <c r="AH153" s="104">
        <f>Q153-(U153+AN153+AQ153)</f>
        <v/>
      </c>
      <c r="AI153" s="104">
        <f>(AK153-AO153)</f>
        <v/>
      </c>
      <c r="AJ153" s="104">
        <f>(AL153-AP153)</f>
        <v/>
      </c>
      <c r="AK153" s="110">
        <f>R153+AH153</f>
        <v/>
      </c>
      <c r="AL153" s="110">
        <f>S153+AI153</f>
        <v/>
      </c>
      <c r="AM153" s="104" t="n">
        <v>15000</v>
      </c>
      <c r="AN153" s="104" t="n">
        <v>11400</v>
      </c>
      <c r="AO153" s="104" t="n">
        <v>3600</v>
      </c>
      <c r="AP153" s="104" t="n">
        <v>0</v>
      </c>
      <c r="AQ153" s="104" t="n">
        <v>0</v>
      </c>
      <c r="AR153" s="104" t="n"/>
      <c r="AS153" s="112" t="n"/>
    </row>
    <row r="154" ht="12.65" customHeight="1" s="79">
      <c r="A154" s="104">
        <f>MIN(U154,Q154)</f>
        <v/>
      </c>
      <c r="B154" s="104">
        <f>MIN(U154,T154)</f>
        <v/>
      </c>
      <c r="C154" s="104">
        <f>MIN(W154,Q154)</f>
        <v/>
      </c>
      <c r="D154" s="104">
        <f>MIN(W154,T154)</f>
        <v/>
      </c>
      <c r="E154" s="104">
        <f>MIN((U154+AM154+AQ154),T154)</f>
        <v/>
      </c>
      <c r="F154" s="104">
        <f>MAX(MIN((U154+AN154+AQ154),Q154),0)</f>
        <v/>
      </c>
      <c r="G154" s="104">
        <f>MAX(MIN(AO154,AK154),0)</f>
        <v/>
      </c>
      <c r="H154" s="104">
        <f>MAX(MIN(AP154,AL154),0)</f>
        <v/>
      </c>
      <c r="I154" s="105" t="inlineStr">
        <is>
          <t>ROOP KISHOR</t>
        </is>
      </c>
      <c r="J154" s="106" t="inlineStr">
        <is>
          <t>HOUSEHOLD</t>
        </is>
      </c>
      <c r="K154" s="107" t="inlineStr">
        <is>
          <t>HH_KITCHEN AIDS</t>
        </is>
      </c>
      <c r="L154" s="107" t="inlineStr">
        <is>
          <t>HH_KA_GRATER</t>
        </is>
      </c>
      <c r="M154" s="107" t="inlineStr">
        <is>
          <t>ARTICLE</t>
        </is>
      </c>
      <c r="N154" s="108" t="n">
        <v>0.105985631759939</v>
      </c>
      <c r="O154" s="108" t="n">
        <v>0.116195023292054</v>
      </c>
      <c r="P154" s="109" t="n">
        <v>103</v>
      </c>
      <c r="Q154" s="110" t="n">
        <v>6256</v>
      </c>
      <c r="R154" s="110" t="n">
        <v>8915.69778528033</v>
      </c>
      <c r="S154" s="110" t="n">
        <v>5692.26786735986</v>
      </c>
      <c r="T154" s="110" t="n">
        <v>20863.9656526402</v>
      </c>
      <c r="U154" s="104" t="n">
        <v>8753</v>
      </c>
      <c r="V154" s="104" t="n">
        <v>8900</v>
      </c>
      <c r="W154" s="104">
        <f>$U154+$V154</f>
        <v/>
      </c>
      <c r="X154" s="111">
        <f>IFERROR(A154/Q154,0)</f>
        <v/>
      </c>
      <c r="Y154" s="111">
        <f>IFERROR(B154/T154,0)</f>
        <v/>
      </c>
      <c r="Z154" s="111">
        <f>IFERROR(C154/Q154,0)</f>
        <v/>
      </c>
      <c r="AA154" s="111">
        <f>IFERROR(D154/T154,0)</f>
        <v/>
      </c>
      <c r="AC154" s="111">
        <f>IF(T154&gt;0,IFERROR(E154/T154,0),1)</f>
        <v/>
      </c>
      <c r="AD154" s="111">
        <f>IF(Q154&gt;0,IFERROR(F154/Q154,0),1)</f>
        <v/>
      </c>
      <c r="AE154" s="111">
        <f>IF(AK154&gt;0,IFERROR(G154/AK154,0),1)</f>
        <v/>
      </c>
      <c r="AF154" s="111">
        <f>IF(AL154&gt;0,IFERROR(H154/AL154,0),1)</f>
        <v/>
      </c>
      <c r="AG154" s="104">
        <f>T154-(U154+AM154+AQ154)</f>
        <v/>
      </c>
      <c r="AH154" s="104">
        <f>Q154-(U154+AN154+AQ154)</f>
        <v/>
      </c>
      <c r="AI154" s="104">
        <f>(AK154-AO154)</f>
        <v/>
      </c>
      <c r="AJ154" s="104">
        <f>(AL154-AP154)</f>
        <v/>
      </c>
      <c r="AK154" s="110">
        <f>R154+AH154</f>
        <v/>
      </c>
      <c r="AL154" s="110">
        <f>S154+AI154</f>
        <v/>
      </c>
      <c r="AM154" s="104" t="n">
        <v>14355</v>
      </c>
      <c r="AN154" s="104" t="n">
        <v>7755</v>
      </c>
      <c r="AO154" s="104" t="n">
        <v>4800</v>
      </c>
      <c r="AP154" s="104" t="n">
        <v>1800</v>
      </c>
      <c r="AQ154" s="104" t="n">
        <v>0</v>
      </c>
      <c r="AR154" s="104" t="n"/>
      <c r="AS154" s="112" t="n"/>
    </row>
    <row r="155" ht="12.65" customHeight="1" s="79">
      <c r="A155" s="104">
        <f>MIN(U155,Q155)</f>
        <v/>
      </c>
      <c r="B155" s="104">
        <f>MIN(U155,T155)</f>
        <v/>
      </c>
      <c r="C155" s="104">
        <f>MIN(W155,Q155)</f>
        <v/>
      </c>
      <c r="D155" s="104">
        <f>MIN(W155,T155)</f>
        <v/>
      </c>
      <c r="E155" s="104">
        <f>MIN((U155+AM155+AQ155),T155)</f>
        <v/>
      </c>
      <c r="F155" s="104">
        <f>MAX(MIN((U155+AN155+AQ155),Q155),0)</f>
        <v/>
      </c>
      <c r="G155" s="104">
        <f>MAX(MIN(AO155,AK155),0)</f>
        <v/>
      </c>
      <c r="H155" s="104">
        <f>MAX(MIN(AP155,AL155),0)</f>
        <v/>
      </c>
      <c r="I155" s="105" t="inlineStr">
        <is>
          <t>ROOP KISHOR</t>
        </is>
      </c>
      <c r="J155" s="106" t="inlineStr">
        <is>
          <t>HOUSEHOLD</t>
        </is>
      </c>
      <c r="K155" s="107" t="inlineStr">
        <is>
          <t>HH_KITCHEN AIDS</t>
        </is>
      </c>
      <c r="L155" s="107" t="inlineStr">
        <is>
          <t>HH_U_S_SPOON</t>
        </is>
      </c>
      <c r="M155" s="107" t="inlineStr">
        <is>
          <t>ARTICLE</t>
        </is>
      </c>
      <c r="N155" s="108" t="n">
        <v>0.105843871382261</v>
      </c>
      <c r="O155" s="108" t="n">
        <v>0.0691526040206412</v>
      </c>
      <c r="P155" s="109" t="n">
        <v>96</v>
      </c>
      <c r="Q155" s="110" t="n">
        <v>6247</v>
      </c>
      <c r="R155" s="110" t="n">
        <v>5620.39082324491</v>
      </c>
      <c r="S155" s="110" t="n">
        <v>5293.0266542433</v>
      </c>
      <c r="T155" s="110" t="n">
        <v>17160.4174774882</v>
      </c>
      <c r="U155" s="104" t="n">
        <v>3354</v>
      </c>
      <c r="V155" s="104" t="n">
        <v>6600</v>
      </c>
      <c r="W155" s="104">
        <f>$U155+$V155</f>
        <v/>
      </c>
      <c r="X155" s="111">
        <f>IFERROR(A155/Q155,0)</f>
        <v/>
      </c>
      <c r="Y155" s="111">
        <f>IFERROR(B155/T155,0)</f>
        <v/>
      </c>
      <c r="Z155" s="111">
        <f>IFERROR(C155/Q155,0)</f>
        <v/>
      </c>
      <c r="AA155" s="111">
        <f>IFERROR(D155/T155,0)</f>
        <v/>
      </c>
      <c r="AC155" s="111">
        <f>IF(T155&gt;0,IFERROR(E155/T155,0),1)</f>
        <v/>
      </c>
      <c r="AD155" s="111">
        <f>IF(Q155&gt;0,IFERROR(F155/Q155,0),1)</f>
        <v/>
      </c>
      <c r="AE155" s="111">
        <f>IF(AK155&gt;0,IFERROR(G155/AK155,0),1)</f>
        <v/>
      </c>
      <c r="AF155" s="111">
        <f>IF(AL155&gt;0,IFERROR(H155/AL155,0),1)</f>
        <v/>
      </c>
      <c r="AG155" s="104">
        <f>T155-(U155+AM155+AQ155)</f>
        <v/>
      </c>
      <c r="AH155" s="104">
        <f>Q155-(U155+AN155+AQ155)</f>
        <v/>
      </c>
      <c r="AI155" s="104">
        <f>(AK155-AO155)</f>
        <v/>
      </c>
      <c r="AJ155" s="104">
        <f>(AL155-AP155)</f>
        <v/>
      </c>
      <c r="AK155" s="110">
        <f>R155+AH155</f>
        <v/>
      </c>
      <c r="AL155" s="110">
        <f>S155+AI155</f>
        <v/>
      </c>
      <c r="AM155" s="104" t="n">
        <v>13806</v>
      </c>
      <c r="AN155" s="104" t="n">
        <v>10206</v>
      </c>
      <c r="AO155" s="104" t="n">
        <v>3600</v>
      </c>
      <c r="AP155" s="104" t="n">
        <v>0</v>
      </c>
      <c r="AQ155" s="104" t="n">
        <v>0</v>
      </c>
      <c r="AR155" s="104" t="n"/>
      <c r="AS155" s="104" t="n"/>
    </row>
    <row r="156" ht="12.65" customHeight="1" s="79">
      <c r="A156" s="104">
        <f>MIN(U156,Q156)</f>
        <v/>
      </c>
      <c r="B156" s="104">
        <f>MIN(U156,T156)</f>
        <v/>
      </c>
      <c r="C156" s="104">
        <f>MIN(W156,Q156)</f>
        <v/>
      </c>
      <c r="D156" s="104">
        <f>MIN(W156,T156)</f>
        <v/>
      </c>
      <c r="E156" s="104">
        <f>MIN((U156+AM156+AQ156),T156)</f>
        <v/>
      </c>
      <c r="F156" s="104">
        <f>MAX(MIN((U156+AN156+AQ156),Q156),0)</f>
        <v/>
      </c>
      <c r="G156" s="104">
        <f>MAX(MIN(AO156,AK156),0)</f>
        <v/>
      </c>
      <c r="H156" s="104">
        <f>MAX(MIN(AP156,AL156),0)</f>
        <v/>
      </c>
      <c r="I156" s="105" t="inlineStr">
        <is>
          <t>ROOP KISHOR</t>
        </is>
      </c>
      <c r="J156" s="106" t="inlineStr">
        <is>
          <t>HOUSEHOLD</t>
        </is>
      </c>
      <c r="K156" s="107" t="inlineStr">
        <is>
          <t>HH_KITCHEN AIDS</t>
        </is>
      </c>
      <c r="L156" s="107" t="inlineStr">
        <is>
          <t>HH_U_S_FORK</t>
        </is>
      </c>
      <c r="M156" s="107" t="inlineStr">
        <is>
          <t>ARTICLE</t>
        </is>
      </c>
      <c r="N156" s="108" t="n">
        <v>0.107022821691075</v>
      </c>
      <c r="O156" s="108" t="n">
        <v>0.0935685871447877</v>
      </c>
      <c r="P156" s="109" t="n">
        <v>134</v>
      </c>
      <c r="Q156" s="110" t="n">
        <v>5961</v>
      </c>
      <c r="R156" s="110" t="n">
        <v>6136.36585424066</v>
      </c>
      <c r="S156" s="110" t="n">
        <v>4060.13023393359</v>
      </c>
      <c r="T156" s="110" t="n">
        <v>16157.4960881743</v>
      </c>
      <c r="U156" s="104" t="n">
        <v>4547</v>
      </c>
      <c r="V156" s="104" t="n">
        <v>6400</v>
      </c>
      <c r="W156" s="104">
        <f>$U156+$V156</f>
        <v/>
      </c>
      <c r="X156" s="111">
        <f>IFERROR(A156/Q156,0)</f>
        <v/>
      </c>
      <c r="Y156" s="111">
        <f>IFERROR(B156/T156,0)</f>
        <v/>
      </c>
      <c r="Z156" s="111">
        <f>IFERROR(C156/Q156,0)</f>
        <v/>
      </c>
      <c r="AA156" s="111">
        <f>IFERROR(D156/T156,0)</f>
        <v/>
      </c>
      <c r="AC156" s="111">
        <f>IF(T156&gt;0,IFERROR(E156/T156,0),1)</f>
        <v/>
      </c>
      <c r="AD156" s="111">
        <f>IF(Q156&gt;0,IFERROR(F156/Q156,0),1)</f>
        <v/>
      </c>
      <c r="AE156" s="111">
        <f>IF(AK156&gt;0,IFERROR(G156/AK156,0),1)</f>
        <v/>
      </c>
      <c r="AF156" s="111">
        <f>IF(AL156&gt;0,IFERROR(H156/AL156,0),1)</f>
        <v/>
      </c>
      <c r="AG156" s="104">
        <f>T156-(U156+AM156+AQ156)</f>
        <v/>
      </c>
      <c r="AH156" s="104">
        <f>Q156-(U156+AN156+AQ156)</f>
        <v/>
      </c>
      <c r="AI156" s="104">
        <f>(AK156-AO156)</f>
        <v/>
      </c>
      <c r="AJ156" s="104">
        <f>(AL156-AP156)</f>
        <v/>
      </c>
      <c r="AK156" s="110">
        <f>R156+AH156</f>
        <v/>
      </c>
      <c r="AL156" s="110">
        <f>S156+AI156</f>
        <v/>
      </c>
      <c r="AM156" s="104" t="n">
        <v>6413</v>
      </c>
      <c r="AN156" s="104" t="n">
        <v>6413</v>
      </c>
      <c r="AO156" s="104" t="n">
        <v>0</v>
      </c>
      <c r="AP156" s="104" t="n">
        <v>0</v>
      </c>
      <c r="AQ156" s="104" t="n">
        <v>0</v>
      </c>
      <c r="AR156" s="104" t="n"/>
      <c r="AS156" s="112" t="n"/>
    </row>
    <row r="157" ht="12.65" customHeight="1" s="79">
      <c r="A157" s="104">
        <f>MIN(U157,Q157)</f>
        <v/>
      </c>
      <c r="B157" s="104">
        <f>MIN(U157,T157)</f>
        <v/>
      </c>
      <c r="C157" s="104">
        <f>MIN(W157,Q157)</f>
        <v/>
      </c>
      <c r="D157" s="104">
        <f>MIN(W157,T157)</f>
        <v/>
      </c>
      <c r="E157" s="104">
        <f>MIN((U157+AM157+AQ157),T157)</f>
        <v/>
      </c>
      <c r="F157" s="104">
        <f>MAX(MIN((U157+AN157+AQ157),Q157),0)</f>
        <v/>
      </c>
      <c r="G157" s="104">
        <f>MAX(MIN(AO157,AK157),0)</f>
        <v/>
      </c>
      <c r="H157" s="104">
        <f>MAX(MIN(AP157,AL157),0)</f>
        <v/>
      </c>
      <c r="I157" s="105" t="inlineStr">
        <is>
          <t>ROOP KISHOR</t>
        </is>
      </c>
      <c r="J157" s="106" t="inlineStr">
        <is>
          <t>HOUSEHOLD</t>
        </is>
      </c>
      <c r="K157" s="107" t="inlineStr">
        <is>
          <t>HH_KITCHEN AIDS</t>
        </is>
      </c>
      <c r="L157" s="107" t="inlineStr">
        <is>
          <t>HH_U_S_ROASTER</t>
        </is>
      </c>
      <c r="M157" s="107" t="inlineStr">
        <is>
          <t>ARTICLE</t>
        </is>
      </c>
      <c r="N157" s="108" t="n">
        <v>0.0843123072190491</v>
      </c>
      <c r="O157" s="108" t="n">
        <v>0.101975919992232</v>
      </c>
      <c r="P157" s="109" t="n">
        <v>141</v>
      </c>
      <c r="Q157" s="110" t="n">
        <v>7096</v>
      </c>
      <c r="R157" s="110" t="n">
        <v>4924.36585988236</v>
      </c>
      <c r="S157" s="110" t="n">
        <v>3603.33248094059</v>
      </c>
      <c r="T157" s="110" t="n">
        <v>15623.698340823</v>
      </c>
      <c r="U157" s="104" t="n">
        <v>4200</v>
      </c>
      <c r="V157" s="104" t="n">
        <v>0</v>
      </c>
      <c r="W157" s="104">
        <f>$U157+$V157</f>
        <v/>
      </c>
      <c r="X157" s="111">
        <f>IFERROR(A157/Q157,0)</f>
        <v/>
      </c>
      <c r="Y157" s="111">
        <f>IFERROR(B157/T157,0)</f>
        <v/>
      </c>
      <c r="Z157" s="111">
        <f>IFERROR(C157/Q157,0)</f>
        <v/>
      </c>
      <c r="AA157" s="111">
        <f>IFERROR(D157/T157,0)</f>
        <v/>
      </c>
      <c r="AC157" s="111">
        <f>IF(T157&gt;0,IFERROR(E157/T157,0),1)</f>
        <v/>
      </c>
      <c r="AD157" s="111">
        <f>IF(Q157&gt;0,IFERROR(F157/Q157,0),1)</f>
        <v/>
      </c>
      <c r="AE157" s="111">
        <f>IF(AK157&gt;0,IFERROR(G157/AK157,0),1)</f>
        <v/>
      </c>
      <c r="AF157" s="111">
        <f>IF(AL157&gt;0,IFERROR(H157/AL157,0),1)</f>
        <v/>
      </c>
      <c r="AG157" s="104">
        <f>T157-(U157+AM157+AQ157)</f>
        <v/>
      </c>
      <c r="AH157" s="104">
        <f>Q157-(U157+AN157+AQ157)</f>
        <v/>
      </c>
      <c r="AI157" s="104">
        <f>(AK157-AO157)</f>
        <v/>
      </c>
      <c r="AJ157" s="104">
        <f>(AL157-AP157)</f>
        <v/>
      </c>
      <c r="AK157" s="110">
        <f>R157+AH157</f>
        <v/>
      </c>
      <c r="AL157" s="110">
        <f>S157+AI157</f>
        <v/>
      </c>
      <c r="AM157" s="104" t="n">
        <v>9600</v>
      </c>
      <c r="AN157" s="104" t="n">
        <v>0</v>
      </c>
      <c r="AO157" s="104" t="n">
        <v>4800</v>
      </c>
      <c r="AP157" s="104" t="n">
        <v>4800</v>
      </c>
      <c r="AQ157" s="104" t="n">
        <v>0</v>
      </c>
      <c r="AR157" s="104" t="n"/>
      <c r="AS157" s="104" t="n"/>
    </row>
    <row r="158" ht="12.65" customHeight="1" s="79">
      <c r="A158" s="104">
        <f>MIN(U158,Q158)</f>
        <v/>
      </c>
      <c r="B158" s="104">
        <f>MIN(U158,T158)</f>
        <v/>
      </c>
      <c r="C158" s="104">
        <f>MIN(W158,Q158)</f>
        <v/>
      </c>
      <c r="D158" s="104">
        <f>MIN(W158,T158)</f>
        <v/>
      </c>
      <c r="E158" s="104">
        <f>MIN((U158+AM158+AQ158),T158)</f>
        <v/>
      </c>
      <c r="F158" s="104">
        <f>MAX(MIN((U158+AN158+AQ158),Q158),0)</f>
        <v/>
      </c>
      <c r="G158" s="104">
        <f>MAX(MIN(AO158,AK158),0)</f>
        <v/>
      </c>
      <c r="H158" s="104">
        <f>MAX(MIN(AP158,AL158),0)</f>
        <v/>
      </c>
      <c r="I158" s="105" t="inlineStr">
        <is>
          <t>ROOP KISHOR</t>
        </is>
      </c>
      <c r="J158" s="106" t="inlineStr">
        <is>
          <t>HOUSEHOLD</t>
        </is>
      </c>
      <c r="K158" s="107" t="inlineStr">
        <is>
          <t>HH_KITCHEN AIDS</t>
        </is>
      </c>
      <c r="L158" s="107" t="inlineStr">
        <is>
          <t>HH_KA_KNIFE</t>
        </is>
      </c>
      <c r="M158" s="107" t="inlineStr">
        <is>
          <t>ARTICLE</t>
        </is>
      </c>
      <c r="N158" s="108" t="n">
        <v>0.120446963302384</v>
      </c>
      <c r="O158" s="108" t="n">
        <v>0.115210287762201</v>
      </c>
      <c r="P158" s="109" t="n">
        <v>113</v>
      </c>
      <c r="Q158" s="110" t="n">
        <v>5261</v>
      </c>
      <c r="R158" s="110" t="n">
        <v>5007.21945861484</v>
      </c>
      <c r="S158" s="110" t="n">
        <v>4233.09501612687</v>
      </c>
      <c r="T158" s="110" t="n">
        <v>14501.3144747417</v>
      </c>
      <c r="U158" s="104" t="n">
        <v>7200</v>
      </c>
      <c r="V158" s="104" t="n">
        <v>7200</v>
      </c>
      <c r="W158" s="104">
        <f>$U158+$V158</f>
        <v/>
      </c>
      <c r="X158" s="111">
        <f>IFERROR(A158/Q158,0)</f>
        <v/>
      </c>
      <c r="Y158" s="111">
        <f>IFERROR(B158/T158,0)</f>
        <v/>
      </c>
      <c r="Z158" s="111">
        <f>IFERROR(C158/Q158,0)</f>
        <v/>
      </c>
      <c r="AA158" s="111">
        <f>IFERROR(D158/T158,0)</f>
        <v/>
      </c>
      <c r="AC158" s="111">
        <f>IF(T158&gt;0,IFERROR(E158/T158,0),1)</f>
        <v/>
      </c>
      <c r="AD158" s="111">
        <f>IF(Q158&gt;0,IFERROR(F158/Q158,0),1)</f>
        <v/>
      </c>
      <c r="AE158" s="111">
        <f>IF(AK158&gt;0,IFERROR(G158/AK158,0),1)</f>
        <v/>
      </c>
      <c r="AF158" s="111">
        <f>IF(AL158&gt;0,IFERROR(H158/AL158,0),1)</f>
        <v/>
      </c>
      <c r="AG158" s="104">
        <f>T158-(U158+AM158+AQ158)</f>
        <v/>
      </c>
      <c r="AH158" s="104">
        <f>Q158-(U158+AN158+AQ158)</f>
        <v/>
      </c>
      <c r="AI158" s="104">
        <f>(AK158-AO158)</f>
        <v/>
      </c>
      <c r="AJ158" s="104">
        <f>(AL158-AP158)</f>
        <v/>
      </c>
      <c r="AK158" s="110">
        <f>R158+AH158</f>
        <v/>
      </c>
      <c r="AL158" s="110">
        <f>S158+AI158</f>
        <v/>
      </c>
      <c r="AM158" s="104" t="n">
        <v>13200</v>
      </c>
      <c r="AN158" s="104" t="n">
        <v>7200</v>
      </c>
      <c r="AO158" s="104" t="n">
        <v>3600</v>
      </c>
      <c r="AP158" s="104" t="n">
        <v>2400</v>
      </c>
      <c r="AQ158" s="104" t="n">
        <v>0</v>
      </c>
      <c r="AR158" s="104" t="n"/>
      <c r="AS158" s="104" t="n"/>
    </row>
    <row r="159" ht="12.65" customHeight="1" s="79">
      <c r="A159" s="104">
        <f>MIN(U159,Q159)</f>
        <v/>
      </c>
      <c r="B159" s="104">
        <f>MIN(U159,T159)</f>
        <v/>
      </c>
      <c r="C159" s="104">
        <f>MIN(W159,Q159)</f>
        <v/>
      </c>
      <c r="D159" s="104">
        <f>MIN(W159,T159)</f>
        <v/>
      </c>
      <c r="E159" s="104">
        <f>MIN((U159+AM159+AQ159),T159)</f>
        <v/>
      </c>
      <c r="F159" s="104">
        <f>MAX(MIN((U159+AN159+AQ159),Q159),0)</f>
        <v/>
      </c>
      <c r="G159" s="104">
        <f>MAX(MIN(AO159,AK159),0)</f>
        <v/>
      </c>
      <c r="H159" s="104">
        <f>MAX(MIN(AP159,AL159),0)</f>
        <v/>
      </c>
      <c r="I159" s="105" t="inlineStr">
        <is>
          <t>ROOP KISHOR</t>
        </is>
      </c>
      <c r="J159" s="106" t="inlineStr">
        <is>
          <t>HOUSEHOLD</t>
        </is>
      </c>
      <c r="K159" s="107" t="inlineStr">
        <is>
          <t>HH_KITCHEN AIDS</t>
        </is>
      </c>
      <c r="L159" s="107" t="inlineStr">
        <is>
          <t>HH_C_S_BASKET</t>
        </is>
      </c>
      <c r="M159" s="107" t="inlineStr">
        <is>
          <t>ARTICLE</t>
        </is>
      </c>
      <c r="N159" s="108" t="n">
        <v>0.146512122153378</v>
      </c>
      <c r="O159" s="108" t="n">
        <v>0.112132352941176</v>
      </c>
      <c r="P159" s="109" t="n">
        <v>110</v>
      </c>
      <c r="Q159" s="110" t="n">
        <v>5066</v>
      </c>
      <c r="R159" s="110" t="n">
        <v>4618.34535339527</v>
      </c>
      <c r="S159" s="110" t="n">
        <v>2825.99551746728</v>
      </c>
      <c r="T159" s="110" t="n">
        <v>12510.3408708626</v>
      </c>
      <c r="U159" s="104" t="n">
        <v>3918</v>
      </c>
      <c r="V159" s="104" t="n">
        <v>1920</v>
      </c>
      <c r="W159" s="104">
        <f>$U159+$V159</f>
        <v/>
      </c>
      <c r="X159" s="111">
        <f>IFERROR(A159/Q159,0)</f>
        <v/>
      </c>
      <c r="Y159" s="111">
        <f>IFERROR(B159/T159,0)</f>
        <v/>
      </c>
      <c r="Z159" s="111">
        <f>IFERROR(C159/Q159,0)</f>
        <v/>
      </c>
      <c r="AA159" s="111">
        <f>IFERROR(D159/T159,0)</f>
        <v/>
      </c>
      <c r="AC159" s="111">
        <f>IF(T159&gt;0,IFERROR(E159/T159,0),1)</f>
        <v/>
      </c>
      <c r="AD159" s="111">
        <f>IF(Q159&gt;0,IFERROR(F159/Q159,0),1)</f>
        <v/>
      </c>
      <c r="AE159" s="111">
        <f>IF(AK159&gt;0,IFERROR(G159/AK159,0),1)</f>
        <v/>
      </c>
      <c r="AF159" s="111">
        <f>IF(AL159&gt;0,IFERROR(H159/AL159,0),1)</f>
        <v/>
      </c>
      <c r="AG159" s="104">
        <f>T159-(U159+AM159+AQ159)</f>
        <v/>
      </c>
      <c r="AH159" s="104">
        <f>Q159-(U159+AN159+AQ159)</f>
        <v/>
      </c>
      <c r="AI159" s="104">
        <f>(AK159-AO159)</f>
        <v/>
      </c>
      <c r="AJ159" s="104">
        <f>(AL159-AP159)</f>
        <v/>
      </c>
      <c r="AK159" s="110">
        <f>R159+AH159</f>
        <v/>
      </c>
      <c r="AL159" s="110">
        <f>S159+AI159</f>
        <v/>
      </c>
      <c r="AM159" s="104" t="n">
        <v>12600</v>
      </c>
      <c r="AN159" s="104" t="n">
        <v>3000</v>
      </c>
      <c r="AO159" s="104" t="n">
        <v>7200</v>
      </c>
      <c r="AP159" s="104" t="n">
        <v>2400</v>
      </c>
      <c r="AQ159" s="104" t="n">
        <v>0</v>
      </c>
      <c r="AR159" s="104" t="n"/>
      <c r="AS159" s="112" t="n"/>
    </row>
    <row r="160" ht="12.65" customHeight="1" s="79">
      <c r="A160" s="104">
        <f>MIN(U160,Q160)</f>
        <v/>
      </c>
      <c r="B160" s="104">
        <f>MIN(U160,T160)</f>
        <v/>
      </c>
      <c r="C160" s="104">
        <f>MIN(W160,Q160)</f>
        <v/>
      </c>
      <c r="D160" s="104">
        <f>MIN(W160,T160)</f>
        <v/>
      </c>
      <c r="E160" s="104">
        <f>MIN((U160+AM160+AQ160),T160)</f>
        <v/>
      </c>
      <c r="F160" s="104">
        <f>MAX(MIN((U160+AN160+AQ160),Q160),0)</f>
        <v/>
      </c>
      <c r="G160" s="104">
        <f>MAX(MIN(AO160,AK160),0)</f>
        <v/>
      </c>
      <c r="H160" s="104">
        <f>MAX(MIN(AP160,AL160),0)</f>
        <v/>
      </c>
      <c r="I160" s="105" t="inlineStr">
        <is>
          <t>ROOP KISHOR</t>
        </is>
      </c>
      <c r="J160" s="106" t="inlineStr">
        <is>
          <t>HOUSEHOLD</t>
        </is>
      </c>
      <c r="K160" s="107" t="inlineStr">
        <is>
          <t>HH_KITCHEN AIDS</t>
        </is>
      </c>
      <c r="L160" s="107" t="inlineStr">
        <is>
          <t>HH_KA_CHOPPING BOARD</t>
        </is>
      </c>
      <c r="M160" s="107" t="inlineStr">
        <is>
          <t>ARTICLE</t>
        </is>
      </c>
      <c r="N160" s="108" t="n">
        <v>0.123646189478328</v>
      </c>
      <c r="O160" s="108" t="n">
        <v>0.142163700273392</v>
      </c>
      <c r="P160" s="109" t="n">
        <v>114</v>
      </c>
      <c r="Q160" s="110" t="n">
        <v>4277</v>
      </c>
      <c r="R160" s="110" t="n">
        <v>3684.34283000181</v>
      </c>
      <c r="S160" s="110" t="n">
        <v>3155.78909199238</v>
      </c>
      <c r="T160" s="110" t="n">
        <v>11117.1319219942</v>
      </c>
      <c r="U160" s="104" t="n">
        <v>3600</v>
      </c>
      <c r="V160" s="104" t="n">
        <v>0</v>
      </c>
      <c r="W160" s="104">
        <f>$U160+$V160</f>
        <v/>
      </c>
      <c r="X160" s="111">
        <f>IFERROR(A160/Q160,0)</f>
        <v/>
      </c>
      <c r="Y160" s="111">
        <f>IFERROR(B160/T160,0)</f>
        <v/>
      </c>
      <c r="Z160" s="111">
        <f>IFERROR(C160/Q160,0)</f>
        <v/>
      </c>
      <c r="AA160" s="111">
        <f>IFERROR(D160/T160,0)</f>
        <v/>
      </c>
      <c r="AC160" s="111">
        <f>IF(T160&gt;0,IFERROR(E160/T160,0),1)</f>
        <v/>
      </c>
      <c r="AD160" s="111">
        <f>IF(Q160&gt;0,IFERROR(F160/Q160,0),1)</f>
        <v/>
      </c>
      <c r="AE160" s="111">
        <f>IF(AK160&gt;0,IFERROR(G160/AK160,0),1)</f>
        <v/>
      </c>
      <c r="AF160" s="111">
        <f>IF(AL160&gt;0,IFERROR(H160/AL160,0),1)</f>
        <v/>
      </c>
      <c r="AG160" s="104">
        <f>T160-(U160+AM160+AQ160)</f>
        <v/>
      </c>
      <c r="AH160" s="104">
        <f>Q160-(U160+AN160+AQ160)</f>
        <v/>
      </c>
      <c r="AI160" s="104">
        <f>(AK160-AO160)</f>
        <v/>
      </c>
      <c r="AJ160" s="104">
        <f>(AL160-AP160)</f>
        <v/>
      </c>
      <c r="AK160" s="110">
        <f>R160+AH160</f>
        <v/>
      </c>
      <c r="AL160" s="110">
        <f>S160+AI160</f>
        <v/>
      </c>
      <c r="AM160" s="104" t="n">
        <v>8400</v>
      </c>
      <c r="AN160" s="104" t="n">
        <v>0</v>
      </c>
      <c r="AO160" s="104" t="n">
        <v>4800</v>
      </c>
      <c r="AP160" s="104" t="n">
        <v>3600</v>
      </c>
      <c r="AQ160" s="104" t="n">
        <v>0</v>
      </c>
      <c r="AR160" s="104" t="n"/>
      <c r="AS160" s="104" t="n"/>
    </row>
    <row r="161" ht="12.65" customHeight="1" s="79">
      <c r="A161" s="104">
        <f>MIN(U161,Q161)</f>
        <v/>
      </c>
      <c r="B161" s="104">
        <f>MIN(U161,T161)</f>
        <v/>
      </c>
      <c r="C161" s="104">
        <f>MIN(W161,Q161)</f>
        <v/>
      </c>
      <c r="D161" s="104">
        <f>MIN(W161,T161)</f>
        <v/>
      </c>
      <c r="E161" s="104">
        <f>MIN((U161+AM161+AQ161),T161)</f>
        <v/>
      </c>
      <c r="F161" s="104">
        <f>MAX(MIN((U161+AN161+AQ161),Q161),0)</f>
        <v/>
      </c>
      <c r="G161" s="104">
        <f>MAX(MIN(AO161,AK161),0)</f>
        <v/>
      </c>
      <c r="H161" s="104">
        <f>MAX(MIN(AP161,AL161),0)</f>
        <v/>
      </c>
      <c r="I161" s="105" t="inlineStr">
        <is>
          <t>ROOP KISHOR</t>
        </is>
      </c>
      <c r="J161" s="106" t="inlineStr">
        <is>
          <t>HOUSEHOLD</t>
        </is>
      </c>
      <c r="K161" s="107" t="inlineStr">
        <is>
          <t>HH_KITCHEN AIDS</t>
        </is>
      </c>
      <c r="L161" s="107" t="inlineStr">
        <is>
          <t>HH_KA_CUTTER</t>
        </is>
      </c>
      <c r="M161" s="107" t="inlineStr">
        <is>
          <t>ARTICLE</t>
        </is>
      </c>
      <c r="N161" s="108" t="n">
        <v>0.121251747305767</v>
      </c>
      <c r="O161" s="108" t="n">
        <v>0.108413215901903</v>
      </c>
      <c r="P161" s="109" t="n">
        <v>139</v>
      </c>
      <c r="Q161" s="110" t="n">
        <v>3790</v>
      </c>
      <c r="R161" s="110" t="n">
        <v>2111.83238397434</v>
      </c>
      <c r="S161" s="110" t="n">
        <v>0</v>
      </c>
      <c r="T161" s="110" t="n">
        <v>5901.83238397434</v>
      </c>
      <c r="U161" s="104" t="n">
        <v>4594</v>
      </c>
      <c r="V161" s="104" t="n">
        <v>0</v>
      </c>
      <c r="W161" s="104">
        <f>$U161+$V161</f>
        <v/>
      </c>
      <c r="X161" s="111">
        <f>IFERROR(A161/Q161,0)</f>
        <v/>
      </c>
      <c r="Y161" s="111">
        <f>IFERROR(B161/T161,0)</f>
        <v/>
      </c>
      <c r="Z161" s="111">
        <f>IFERROR(C161/Q161,0)</f>
        <v/>
      </c>
      <c r="AA161" s="111">
        <f>IFERROR(D161/T161,0)</f>
        <v/>
      </c>
      <c r="AC161" s="111">
        <f>IF(T161&gt;0,IFERROR(E161/T161,0),1)</f>
        <v/>
      </c>
      <c r="AD161" s="111">
        <f>IF(Q161&gt;0,IFERROR(F161/Q161,0),1)</f>
        <v/>
      </c>
      <c r="AE161" s="111">
        <f>IF(AK161&gt;0,IFERROR(G161/AK161,0),1)</f>
        <v/>
      </c>
      <c r="AF161" s="111">
        <f>IF(AL161&gt;0,IFERROR(H161/AL161,0),1)</f>
        <v/>
      </c>
      <c r="AG161" s="104">
        <f>T161-(U161+AM161+AQ161)</f>
        <v/>
      </c>
      <c r="AH161" s="104">
        <f>Q161-(U161+AN161+AQ161)</f>
        <v/>
      </c>
      <c r="AI161" s="104">
        <f>(AK161-AO161)</f>
        <v/>
      </c>
      <c r="AJ161" s="104">
        <f>(AL161-AP161)</f>
        <v/>
      </c>
      <c r="AK161" s="110">
        <f>R161+AH161</f>
        <v/>
      </c>
      <c r="AL161" s="110">
        <f>S161+AI161</f>
        <v/>
      </c>
      <c r="AM161" s="104" t="n">
        <v>8604</v>
      </c>
      <c r="AN161" s="104" t="n">
        <v>1404</v>
      </c>
      <c r="AO161" s="104" t="n">
        <v>3600</v>
      </c>
      <c r="AP161" s="104" t="n">
        <v>3600</v>
      </c>
      <c r="AQ161" s="104" t="n">
        <v>0</v>
      </c>
      <c r="AR161" s="104" t="n"/>
      <c r="AS161" s="104" t="n"/>
    </row>
    <row r="162" ht="12.65" customHeight="1" s="79">
      <c r="A162" s="104">
        <f>MIN(U162,Q162)</f>
        <v/>
      </c>
      <c r="B162" s="104">
        <f>MIN(U162,T162)</f>
        <v/>
      </c>
      <c r="C162" s="104">
        <f>MIN(W162,Q162)</f>
        <v/>
      </c>
      <c r="D162" s="104">
        <f>MIN(W162,T162)</f>
        <v/>
      </c>
      <c r="E162" s="104">
        <f>MIN((U162+AM162+AQ162),T162)</f>
        <v/>
      </c>
      <c r="F162" s="104">
        <f>MAX(MIN((U162+AN162+AQ162),Q162),0)</f>
        <v/>
      </c>
      <c r="G162" s="104">
        <f>MAX(MIN(AO162,AK162),0)</f>
        <v/>
      </c>
      <c r="H162" s="104">
        <f>MAX(MIN(AP162,AL162),0)</f>
        <v/>
      </c>
      <c r="I162" s="105" t="inlineStr">
        <is>
          <t>ROOP KISHOR</t>
        </is>
      </c>
      <c r="J162" s="106" t="inlineStr">
        <is>
          <t>HOUSEHOLD</t>
        </is>
      </c>
      <c r="K162" s="107" t="inlineStr">
        <is>
          <t>HH_KITCHEN AIDS</t>
        </is>
      </c>
      <c r="L162" s="107" t="inlineStr">
        <is>
          <t>HH_KA_SQUEEZER</t>
        </is>
      </c>
      <c r="M162" s="107" t="inlineStr">
        <is>
          <t>ARTICLE</t>
        </is>
      </c>
      <c r="N162" s="108" t="n">
        <v>0.119944063236985</v>
      </c>
      <c r="O162" s="108" t="n">
        <v>0.119308869690825</v>
      </c>
      <c r="P162" s="109" t="n">
        <v>168</v>
      </c>
      <c r="Q162" s="110" t="n">
        <v>2768</v>
      </c>
      <c r="R162" s="110" t="n">
        <v>1528.74179369763</v>
      </c>
      <c r="S162" s="110" t="n">
        <v>1015.83325906608</v>
      </c>
      <c r="T162" s="110" t="n">
        <v>5312.57505276371</v>
      </c>
      <c r="U162" s="104" t="n">
        <v>3600</v>
      </c>
      <c r="V162" s="104" t="n">
        <v>2400</v>
      </c>
      <c r="W162" s="104">
        <f>$U162+$V162</f>
        <v/>
      </c>
      <c r="X162" s="111">
        <f>IFERROR(A162/Q162,0)</f>
        <v/>
      </c>
      <c r="Y162" s="111">
        <f>IFERROR(B162/T162,0)</f>
        <v/>
      </c>
      <c r="Z162" s="111">
        <f>IFERROR(C162/Q162,0)</f>
        <v/>
      </c>
      <c r="AA162" s="111">
        <f>IFERROR(D162/T162,0)</f>
        <v/>
      </c>
      <c r="AC162" s="111">
        <f>IF(T162&gt;0,IFERROR(E162/T162,0),1)</f>
        <v/>
      </c>
      <c r="AD162" s="111">
        <f>IF(Q162&gt;0,IFERROR(F162/Q162,0),1)</f>
        <v/>
      </c>
      <c r="AE162" s="111">
        <f>IF(AK162&gt;0,IFERROR(G162/AK162,0),1)</f>
        <v/>
      </c>
      <c r="AF162" s="111">
        <f>IF(AL162&gt;0,IFERROR(H162/AL162,0),1)</f>
        <v/>
      </c>
      <c r="AG162" s="104">
        <f>T162-(U162+AM162+AQ162)</f>
        <v/>
      </c>
      <c r="AH162" s="104">
        <f>Q162-(U162+AN162+AQ162)</f>
        <v/>
      </c>
      <c r="AI162" s="104">
        <f>(AK162-AO162)</f>
        <v/>
      </c>
      <c r="AJ162" s="104">
        <f>(AL162-AP162)</f>
        <v/>
      </c>
      <c r="AK162" s="110">
        <f>R162+AH162</f>
        <v/>
      </c>
      <c r="AL162" s="110">
        <f>S162+AI162</f>
        <v/>
      </c>
      <c r="AM162" s="104" t="n">
        <v>6000</v>
      </c>
      <c r="AN162" s="104" t="n">
        <v>1200</v>
      </c>
      <c r="AO162" s="104" t="n">
        <v>2400</v>
      </c>
      <c r="AP162" s="104" t="n">
        <v>2400</v>
      </c>
      <c r="AQ162" s="104" t="n">
        <v>0</v>
      </c>
      <c r="AR162" s="104" t="n"/>
      <c r="AS162" s="104" t="n"/>
    </row>
    <row r="163" ht="12.65" customHeight="1" s="79">
      <c r="A163" s="104">
        <f>MIN(U163,Q163)</f>
        <v/>
      </c>
      <c r="B163" s="104">
        <f>MIN(U163,T163)</f>
        <v/>
      </c>
      <c r="C163" s="104">
        <f>MIN(W163,Q163)</f>
        <v/>
      </c>
      <c r="D163" s="104">
        <f>MIN(W163,T163)</f>
        <v/>
      </c>
      <c r="E163" s="104">
        <f>MIN((U163+AM163+AQ163),T163)</f>
        <v/>
      </c>
      <c r="F163" s="104">
        <f>MAX(MIN((U163+AN163+AQ163),Q163),0)</f>
        <v/>
      </c>
      <c r="G163" s="104">
        <f>MAX(MIN(AO163,AK163),0)</f>
        <v/>
      </c>
      <c r="H163" s="104">
        <f>MAX(MIN(AP163,AL163),0)</f>
        <v/>
      </c>
      <c r="I163" s="105" t="inlineStr">
        <is>
          <t>ROOP KISHOR</t>
        </is>
      </c>
      <c r="J163" s="106" t="inlineStr">
        <is>
          <t>HOUSEHOLD</t>
        </is>
      </c>
      <c r="K163" s="107" t="inlineStr">
        <is>
          <t>HH_PLASTICS AIDS</t>
        </is>
      </c>
      <c r="L163" s="107" t="inlineStr">
        <is>
          <t>HH_P_CONTAINER</t>
        </is>
      </c>
      <c r="M163" s="107" t="inlineStr">
        <is>
          <t>ARTICLE</t>
        </is>
      </c>
      <c r="N163" s="108" t="n">
        <v>0.09735633979588219</v>
      </c>
      <c r="O163" s="108" t="n">
        <v>0.09010768905297779</v>
      </c>
      <c r="P163" s="109" t="n">
        <v>6</v>
      </c>
      <c r="Q163" s="110" t="n">
        <v>37906</v>
      </c>
      <c r="R163" s="110" t="n">
        <v>37301.5357161535</v>
      </c>
      <c r="S163" s="110" t="n">
        <v>29882.2821173071</v>
      </c>
      <c r="T163" s="110" t="n">
        <v>105089.817833461</v>
      </c>
      <c r="U163" s="104" t="n">
        <v>19284</v>
      </c>
      <c r="V163" s="104" t="n">
        <v>16800</v>
      </c>
      <c r="W163" s="104">
        <f>$U163+$V163</f>
        <v/>
      </c>
      <c r="X163" s="111">
        <f>IFERROR(A163/Q163,0)</f>
        <v/>
      </c>
      <c r="Y163" s="111">
        <f>IFERROR(B163/T163,0)</f>
        <v/>
      </c>
      <c r="Z163" s="111">
        <f>IFERROR(C163/Q163,0)</f>
        <v/>
      </c>
      <c r="AA163" s="111">
        <f>IFERROR(D163/T163,0)</f>
        <v/>
      </c>
      <c r="AC163" s="111">
        <f>IF(T163&gt;0,IFERROR(E163/T163,0),1)</f>
        <v/>
      </c>
      <c r="AD163" s="111">
        <f>IF(Q163&gt;0,IFERROR(F163/Q163,0),1)</f>
        <v/>
      </c>
      <c r="AE163" s="111">
        <f>IF(AK163&gt;0,IFERROR(G163/AK163,0),1)</f>
        <v/>
      </c>
      <c r="AF163" s="111">
        <f>IF(AL163&gt;0,IFERROR(H163/AL163,0),1)</f>
        <v/>
      </c>
      <c r="AG163" s="104">
        <f>T163-(U163+AM163+AQ163)</f>
        <v/>
      </c>
      <c r="AH163" s="104">
        <f>Q163-(U163+AN163+AQ163)</f>
        <v/>
      </c>
      <c r="AI163" s="104">
        <f>(AK163-AO163)</f>
        <v/>
      </c>
      <c r="AJ163" s="104">
        <f>(AL163-AP163)</f>
        <v/>
      </c>
      <c r="AK163" s="110">
        <f>R163+AH163</f>
        <v/>
      </c>
      <c r="AL163" s="110">
        <f>S163+AI163</f>
        <v/>
      </c>
      <c r="AM163" s="104" t="n">
        <v>96360</v>
      </c>
      <c r="AN163" s="104" t="n">
        <v>55560</v>
      </c>
      <c r="AO163" s="104" t="n">
        <v>33600</v>
      </c>
      <c r="AP163" s="104" t="n">
        <v>7200</v>
      </c>
      <c r="AQ163" s="104" t="n">
        <v>0</v>
      </c>
      <c r="AR163" s="104" t="n"/>
      <c r="AS163" s="112" t="n"/>
    </row>
    <row r="164" ht="12.65" customHeight="1" s="79">
      <c r="A164" s="104">
        <f>MIN(U164,Q164)</f>
        <v/>
      </c>
      <c r="B164" s="104">
        <f>MIN(U164,T164)</f>
        <v/>
      </c>
      <c r="C164" s="104">
        <f>MIN(W164,Q164)</f>
        <v/>
      </c>
      <c r="D164" s="104">
        <f>MIN(W164,T164)</f>
        <v/>
      </c>
      <c r="E164" s="104">
        <f>MIN((U164+AM164+AQ164),T164)</f>
        <v/>
      </c>
      <c r="F164" s="104">
        <f>MAX(MIN((U164+AN164+AQ164),Q164),0)</f>
        <v/>
      </c>
      <c r="G164" s="104">
        <f>MAX(MIN(AO164,AK164),0)</f>
        <v/>
      </c>
      <c r="H164" s="104">
        <f>MAX(MIN(AP164,AL164),0)</f>
        <v/>
      </c>
      <c r="I164" s="105" t="inlineStr">
        <is>
          <t>ROOP KISHOR</t>
        </is>
      </c>
      <c r="J164" s="106" t="inlineStr">
        <is>
          <t>HOUSEHOLD</t>
        </is>
      </c>
      <c r="K164" s="107" t="inlineStr">
        <is>
          <t>HH_PLASTICS AIDS</t>
        </is>
      </c>
      <c r="L164" s="107" t="inlineStr">
        <is>
          <t>HH_HOOK</t>
        </is>
      </c>
      <c r="M164" s="107" t="inlineStr">
        <is>
          <t>ARTICLE</t>
        </is>
      </c>
      <c r="N164" s="108" t="n">
        <v>0.122213154416703</v>
      </c>
      <c r="O164" s="108" t="n">
        <v>0.105926354416117</v>
      </c>
      <c r="P164" s="109" t="n">
        <v>77</v>
      </c>
      <c r="Q164" s="110" t="n">
        <v>12405.2</v>
      </c>
      <c r="R164" s="110" t="n">
        <v>24411.8177373904</v>
      </c>
      <c r="S164" s="110" t="n">
        <v>24067.8395072353</v>
      </c>
      <c r="T164" s="110" t="n">
        <v>60884.8572446257</v>
      </c>
      <c r="U164" s="104" t="n">
        <v>15960</v>
      </c>
      <c r="V164" s="104" t="n">
        <v>15176</v>
      </c>
      <c r="W164" s="104">
        <f>$U164+$V164</f>
        <v/>
      </c>
      <c r="X164" s="111">
        <f>IFERROR(A164/Q164,0)</f>
        <v/>
      </c>
      <c r="Y164" s="111">
        <f>IFERROR(B164/T164,0)</f>
        <v/>
      </c>
      <c r="Z164" s="111">
        <f>IFERROR(C164/Q164,0)</f>
        <v/>
      </c>
      <c r="AA164" s="111">
        <f>IFERROR(D164/T164,0)</f>
        <v/>
      </c>
      <c r="AC164" s="111">
        <f>IF(T164&gt;0,IFERROR(E164/T164,0),1)</f>
        <v/>
      </c>
      <c r="AD164" s="111">
        <f>IF(Q164&gt;0,IFERROR(F164/Q164,0),1)</f>
        <v/>
      </c>
      <c r="AE164" s="111">
        <f>IF(AK164&gt;0,IFERROR(G164/AK164,0),1)</f>
        <v/>
      </c>
      <c r="AF164" s="111">
        <f>IF(AL164&gt;0,IFERROR(H164/AL164,0),1)</f>
        <v/>
      </c>
      <c r="AG164" s="104">
        <f>T164-(U164+AM164+AQ164)</f>
        <v/>
      </c>
      <c r="AH164" s="104">
        <f>Q164-(U164+AN164+AQ164)</f>
        <v/>
      </c>
      <c r="AI164" s="104">
        <f>(AK164-AO164)</f>
        <v/>
      </c>
      <c r="AJ164" s="104">
        <f>(AL164-AP164)</f>
        <v/>
      </c>
      <c r="AK164" s="110">
        <f>R164+AH164</f>
        <v/>
      </c>
      <c r="AL164" s="110">
        <f>S164+AI164</f>
        <v/>
      </c>
      <c r="AM164" s="104" t="n">
        <v>49696</v>
      </c>
      <c r="AN164" s="104" t="n">
        <v>20896</v>
      </c>
      <c r="AO164" s="104" t="n">
        <v>21600</v>
      </c>
      <c r="AP164" s="104" t="n">
        <v>7200</v>
      </c>
      <c r="AQ164" s="104" t="n">
        <v>0</v>
      </c>
      <c r="AR164" s="104" t="n"/>
      <c r="AS164" s="112" t="n"/>
    </row>
    <row r="165" ht="12.65" customHeight="1" s="79">
      <c r="A165" s="104">
        <f>MIN(U165,Q165)</f>
        <v/>
      </c>
      <c r="B165" s="104">
        <f>MIN(U165,T165)</f>
        <v/>
      </c>
      <c r="C165" s="104">
        <f>MIN(W165,Q165)</f>
        <v/>
      </c>
      <c r="D165" s="104">
        <f>MIN(W165,T165)</f>
        <v/>
      </c>
      <c r="E165" s="104">
        <f>MIN((U165+AM165+AQ165),T165)</f>
        <v/>
      </c>
      <c r="F165" s="104">
        <f>MAX(MIN((U165+AN165+AQ165),Q165),0)</f>
        <v/>
      </c>
      <c r="G165" s="104">
        <f>MAX(MIN(AO165,AK165),0)</f>
        <v/>
      </c>
      <c r="H165" s="104">
        <f>MAX(MIN(AP165,AL165),0)</f>
        <v/>
      </c>
      <c r="I165" s="105" t="inlineStr">
        <is>
          <t>ROOP KISHOR</t>
        </is>
      </c>
      <c r="J165" s="106" t="inlineStr">
        <is>
          <t>HOUSEHOLD</t>
        </is>
      </c>
      <c r="K165" s="107" t="inlineStr">
        <is>
          <t>HH_PLASTICS AIDS</t>
        </is>
      </c>
      <c r="L165" s="107" t="inlineStr">
        <is>
          <t>HH_P_SIPPER</t>
        </is>
      </c>
      <c r="M165" s="107" t="inlineStr">
        <is>
          <t>ARTICLE</t>
        </is>
      </c>
      <c r="N165" s="108" t="n">
        <v>0.125641615238547</v>
      </c>
      <c r="O165" s="108" t="n">
        <v>0.133027877899281</v>
      </c>
      <c r="P165" s="109" t="n">
        <v>41</v>
      </c>
      <c r="Q165" s="110" t="n">
        <v>22510</v>
      </c>
      <c r="R165" s="110" t="n">
        <v>19607.1593000694</v>
      </c>
      <c r="S165" s="110" t="n">
        <v>17746.6844125304</v>
      </c>
      <c r="T165" s="110" t="n">
        <v>59863.8437125998</v>
      </c>
      <c r="U165" s="104" t="n">
        <v>20362</v>
      </c>
      <c r="V165" s="104" t="n">
        <v>3600</v>
      </c>
      <c r="W165" s="104">
        <f>$U165+$V165</f>
        <v/>
      </c>
      <c r="X165" s="111">
        <f>IFERROR(A165/Q165,0)</f>
        <v/>
      </c>
      <c r="Y165" s="111">
        <f>IFERROR(B165/T165,0)</f>
        <v/>
      </c>
      <c r="Z165" s="111">
        <f>IFERROR(C165/Q165,0)</f>
        <v/>
      </c>
      <c r="AA165" s="111">
        <f>IFERROR(D165/T165,0)</f>
        <v/>
      </c>
      <c r="AC165" s="111">
        <f>IF(T165&gt;0,IFERROR(E165/T165,0),1)</f>
        <v/>
      </c>
      <c r="AD165" s="111">
        <f>IF(Q165&gt;0,IFERROR(F165/Q165,0),1)</f>
        <v/>
      </c>
      <c r="AE165" s="111">
        <f>IF(AK165&gt;0,IFERROR(G165/AK165,0),1)</f>
        <v/>
      </c>
      <c r="AF165" s="111">
        <f>IF(AL165&gt;0,IFERROR(H165/AL165,0),1)</f>
        <v/>
      </c>
      <c r="AG165" s="104">
        <f>T165-(U165+AM165+AQ165)</f>
        <v/>
      </c>
      <c r="AH165" s="104">
        <f>Q165-(U165+AN165+AQ165)</f>
        <v/>
      </c>
      <c r="AI165" s="104">
        <f>(AK165-AO165)</f>
        <v/>
      </c>
      <c r="AJ165" s="104">
        <f>(AL165-AP165)</f>
        <v/>
      </c>
      <c r="AK165" s="110">
        <f>R165+AH165</f>
        <v/>
      </c>
      <c r="AL165" s="110">
        <f>S165+AI165</f>
        <v/>
      </c>
      <c r="AM165" s="104" t="n">
        <v>44402</v>
      </c>
      <c r="AN165" s="104" t="n">
        <v>22802</v>
      </c>
      <c r="AO165" s="104" t="n">
        <v>14400</v>
      </c>
      <c r="AP165" s="104" t="n">
        <v>7200</v>
      </c>
      <c r="AQ165" s="104" t="n">
        <v>0</v>
      </c>
      <c r="AR165" s="104" t="n"/>
      <c r="AS165" s="104" t="n"/>
    </row>
    <row r="166" ht="12.65" customHeight="1" s="79">
      <c r="A166" s="104">
        <f>MIN(U166,Q166)</f>
        <v/>
      </c>
      <c r="B166" s="104">
        <f>MIN(U166,T166)</f>
        <v/>
      </c>
      <c r="C166" s="104">
        <f>MIN(W166,Q166)</f>
        <v/>
      </c>
      <c r="D166" s="104">
        <f>MIN(W166,T166)</f>
        <v/>
      </c>
      <c r="E166" s="104">
        <f>MIN((U166+AM166+AQ166),T166)</f>
        <v/>
      </c>
      <c r="F166" s="104">
        <f>MAX(MIN((U166+AN166+AQ166),Q166),0)</f>
        <v/>
      </c>
      <c r="G166" s="104">
        <f>MAX(MIN(AO166,AK166),0)</f>
        <v/>
      </c>
      <c r="H166" s="104">
        <f>MAX(MIN(AP166,AL166),0)</f>
        <v/>
      </c>
      <c r="I166" s="105" t="inlineStr">
        <is>
          <t>ROOP KISHOR</t>
        </is>
      </c>
      <c r="J166" s="106" t="inlineStr">
        <is>
          <t>HOUSEHOLD</t>
        </is>
      </c>
      <c r="K166" s="107" t="inlineStr">
        <is>
          <t>HH_PLASTICS AIDS</t>
        </is>
      </c>
      <c r="L166" s="107" t="inlineStr">
        <is>
          <t>HH_P_LUNCH BOX</t>
        </is>
      </c>
      <c r="M166" s="107" t="inlineStr">
        <is>
          <t>ARTICLE</t>
        </is>
      </c>
      <c r="N166" s="108" t="n">
        <v>0.101965254704609</v>
      </c>
      <c r="O166" s="108" t="n">
        <v>0.138047804285746</v>
      </c>
      <c r="P166" s="109" t="n">
        <v>19</v>
      </c>
      <c r="Q166" s="110" t="n">
        <v>21600</v>
      </c>
      <c r="R166" s="110" t="n">
        <v>14244.6560069872</v>
      </c>
      <c r="S166" s="110" t="n">
        <v>9203.358150269691</v>
      </c>
      <c r="T166" s="110" t="n">
        <v>45048.0141572569</v>
      </c>
      <c r="U166" s="104" t="n">
        <v>17028</v>
      </c>
      <c r="V166" s="104" t="n">
        <v>12498</v>
      </c>
      <c r="W166" s="104">
        <f>$U166+$V166</f>
        <v/>
      </c>
      <c r="X166" s="111">
        <f>IFERROR(A166/Q166,0)</f>
        <v/>
      </c>
      <c r="Y166" s="111">
        <f>IFERROR(B166/T166,0)</f>
        <v/>
      </c>
      <c r="Z166" s="111">
        <f>IFERROR(C166/Q166,0)</f>
        <v/>
      </c>
      <c r="AA166" s="111">
        <f>IFERROR(D166/T166,0)</f>
        <v/>
      </c>
      <c r="AC166" s="111">
        <f>IF(T166&gt;0,IFERROR(E166/T166,0),1)</f>
        <v/>
      </c>
      <c r="AD166" s="111">
        <f>IF(Q166&gt;0,IFERROR(F166/Q166,0),1)</f>
        <v/>
      </c>
      <c r="AE166" s="111">
        <f>IF(AK166&gt;0,IFERROR(G166/AK166,0),1)</f>
        <v/>
      </c>
      <c r="AF166" s="111">
        <f>IF(AL166&gt;0,IFERROR(H166/AL166,0),1)</f>
        <v/>
      </c>
      <c r="AG166" s="104">
        <f>T166-(U166+AM166+AQ166)</f>
        <v/>
      </c>
      <c r="AH166" s="104">
        <f>Q166-(U166+AN166+AQ166)</f>
        <v/>
      </c>
      <c r="AI166" s="104">
        <f>(AK166-AO166)</f>
        <v/>
      </c>
      <c r="AJ166" s="104">
        <f>(AL166-AP166)</f>
        <v/>
      </c>
      <c r="AK166" s="110">
        <f>R166+AH166</f>
        <v/>
      </c>
      <c r="AL166" s="110">
        <f>S166+AI166</f>
        <v/>
      </c>
      <c r="AM166" s="104" t="n">
        <v>63642</v>
      </c>
      <c r="AN166" s="104" t="n">
        <v>17442</v>
      </c>
      <c r="AO166" s="104" t="n">
        <v>27000</v>
      </c>
      <c r="AP166" s="104" t="n">
        <v>19200</v>
      </c>
      <c r="AQ166" s="104" t="n">
        <v>0</v>
      </c>
      <c r="AR166" s="104" t="n"/>
      <c r="AS166" s="112" t="n"/>
    </row>
    <row r="167" ht="12.65" customHeight="1" s="79">
      <c r="A167" s="104">
        <f>MIN(U167,Q167)</f>
        <v/>
      </c>
      <c r="B167" s="104">
        <f>MIN(U167,T167)</f>
        <v/>
      </c>
      <c r="C167" s="104">
        <f>MIN(W167,Q167)</f>
        <v/>
      </c>
      <c r="D167" s="104">
        <f>MIN(W167,T167)</f>
        <v/>
      </c>
      <c r="E167" s="104">
        <f>MIN((U167+AM167+AQ167),T167)</f>
        <v/>
      </c>
      <c r="F167" s="104">
        <f>MAX(MIN((U167+AN167+AQ167),Q167),0)</f>
        <v/>
      </c>
      <c r="G167" s="104">
        <f>MAX(MIN(AO167,AK167),0)</f>
        <v/>
      </c>
      <c r="H167" s="104">
        <f>MAX(MIN(AP167,AL167),0)</f>
        <v/>
      </c>
      <c r="I167" s="105" t="inlineStr">
        <is>
          <t>ROOP KISHOR</t>
        </is>
      </c>
      <c r="J167" s="106" t="inlineStr">
        <is>
          <t>HOUSEHOLD</t>
        </is>
      </c>
      <c r="K167" s="107" t="inlineStr">
        <is>
          <t>HH_PLASTICS AIDS</t>
        </is>
      </c>
      <c r="L167" s="107" t="inlineStr">
        <is>
          <t>HH_P_KIDSLUNCH BOX</t>
        </is>
      </c>
      <c r="M167" s="107" t="inlineStr">
        <is>
          <t>ARTICLE</t>
        </is>
      </c>
      <c r="N167" s="108" t="n">
        <v>0.133462569395333</v>
      </c>
      <c r="O167" s="108" t="n">
        <v>0.155213583296118</v>
      </c>
      <c r="P167" s="109" t="n">
        <v>26</v>
      </c>
      <c r="Q167" s="110" t="n">
        <v>14857</v>
      </c>
      <c r="R167" s="110" t="n">
        <v>8284.423872794019</v>
      </c>
      <c r="S167" s="110" t="n">
        <v>8392.221096199621</v>
      </c>
      <c r="T167" s="110" t="n">
        <v>31533.6449689936</v>
      </c>
      <c r="U167" s="104" t="n">
        <v>14521</v>
      </c>
      <c r="V167" s="104" t="n">
        <v>12252</v>
      </c>
      <c r="W167" s="104">
        <f>$U167+$V167</f>
        <v/>
      </c>
      <c r="X167" s="111">
        <f>IFERROR(A167/Q167,0)</f>
        <v/>
      </c>
      <c r="Y167" s="111">
        <f>IFERROR(B167/T167,0)</f>
        <v/>
      </c>
      <c r="Z167" s="111">
        <f>IFERROR(C167/Q167,0)</f>
        <v/>
      </c>
      <c r="AA167" s="111">
        <f>IFERROR(D167/T167,0)</f>
        <v/>
      </c>
      <c r="AC167" s="111">
        <f>IF(T167&gt;0,IFERROR(E167/T167,0),1)</f>
        <v/>
      </c>
      <c r="AD167" s="111">
        <f>IF(Q167&gt;0,IFERROR(F167/Q167,0),1)</f>
        <v/>
      </c>
      <c r="AE167" s="111">
        <f>IF(AK167&gt;0,IFERROR(G167/AK167,0),1)</f>
        <v/>
      </c>
      <c r="AF167" s="111">
        <f>IF(AL167&gt;0,IFERROR(H167/AL167,0),1)</f>
        <v/>
      </c>
      <c r="AG167" s="104">
        <f>T167-(U167+AM167+AQ167)</f>
        <v/>
      </c>
      <c r="AH167" s="104">
        <f>Q167-(U167+AN167+AQ167)</f>
        <v/>
      </c>
      <c r="AI167" s="104">
        <f>(AK167-AO167)</f>
        <v/>
      </c>
      <c r="AJ167" s="104">
        <f>(AL167-AP167)</f>
        <v/>
      </c>
      <c r="AK167" s="110">
        <f>R167+AH167</f>
        <v/>
      </c>
      <c r="AL167" s="110">
        <f>S167+AI167</f>
        <v/>
      </c>
      <c r="AM167" s="104" t="n">
        <v>33375</v>
      </c>
      <c r="AN167" s="104" t="n">
        <v>13575</v>
      </c>
      <c r="AO167" s="104" t="n">
        <v>19800</v>
      </c>
      <c r="AP167" s="104" t="n">
        <v>0</v>
      </c>
      <c r="AQ167" s="104" t="n">
        <v>0</v>
      </c>
      <c r="AR167" s="104" t="n"/>
      <c r="AS167" s="112" t="n"/>
    </row>
    <row r="168" ht="12.65" customHeight="1" s="79">
      <c r="A168" s="104">
        <f>MIN(U168,Q168)</f>
        <v/>
      </c>
      <c r="B168" s="104">
        <f>MIN(U168,T168)</f>
        <v/>
      </c>
      <c r="C168" s="104">
        <f>MIN(W168,Q168)</f>
        <v/>
      </c>
      <c r="D168" s="104">
        <f>MIN(W168,T168)</f>
        <v/>
      </c>
      <c r="E168" s="104">
        <f>MIN((U168+AM168+AQ168),T168)</f>
        <v/>
      </c>
      <c r="F168" s="104">
        <f>MAX(MIN((U168+AN168+AQ168),Q168),0)</f>
        <v/>
      </c>
      <c r="G168" s="104">
        <f>MAX(MIN(AO168,AK168),0)</f>
        <v/>
      </c>
      <c r="H168" s="104">
        <f>MAX(MIN(AP168,AL168),0)</f>
        <v/>
      </c>
      <c r="I168" s="105" t="inlineStr">
        <is>
          <t>ROOP KISHOR</t>
        </is>
      </c>
      <c r="J168" s="106" t="inlineStr">
        <is>
          <t>HOUSEHOLD</t>
        </is>
      </c>
      <c r="K168" s="107" t="inlineStr">
        <is>
          <t>HH_PLASTICS AIDS</t>
        </is>
      </c>
      <c r="L168" s="107" t="inlineStr">
        <is>
          <t>HH_P_BASKET</t>
        </is>
      </c>
      <c r="M168" s="107" t="inlineStr">
        <is>
          <t>ARTICLE</t>
        </is>
      </c>
      <c r="N168" s="108" t="n">
        <v>0.101078401933635</v>
      </c>
      <c r="O168" s="108" t="n">
        <v>0.09308564432852511</v>
      </c>
      <c r="P168" s="109" t="n">
        <v>63</v>
      </c>
      <c r="Q168" s="110" t="n">
        <v>8456</v>
      </c>
      <c r="R168" s="110" t="n">
        <v>9271.47804426827</v>
      </c>
      <c r="S168" s="110" t="n">
        <v>8461.635220808261</v>
      </c>
      <c r="T168" s="110" t="n">
        <v>26189.1132650765</v>
      </c>
      <c r="U168" s="104" t="n">
        <v>4772</v>
      </c>
      <c r="V168" s="104" t="n">
        <v>0</v>
      </c>
      <c r="W168" s="104">
        <f>$U168+$V168</f>
        <v/>
      </c>
      <c r="X168" s="111">
        <f>IFERROR(A168/Q168,0)</f>
        <v/>
      </c>
      <c r="Y168" s="111">
        <f>IFERROR(B168/T168,0)</f>
        <v/>
      </c>
      <c r="Z168" s="111">
        <f>IFERROR(C168/Q168,0)</f>
        <v/>
      </c>
      <c r="AA168" s="111">
        <f>IFERROR(D168/T168,0)</f>
        <v/>
      </c>
      <c r="AC168" s="111">
        <f>IF(T168&gt;0,IFERROR(E168/T168,0),1)</f>
        <v/>
      </c>
      <c r="AD168" s="111">
        <f>IF(Q168&gt;0,IFERROR(F168/Q168,0),1)</f>
        <v/>
      </c>
      <c r="AE168" s="111">
        <f>IF(AK168&gt;0,IFERROR(G168/AK168,0),1)</f>
        <v/>
      </c>
      <c r="AF168" s="111">
        <f>IF(AL168&gt;0,IFERROR(H168/AL168,0),1)</f>
        <v/>
      </c>
      <c r="AG168" s="104">
        <f>T168-(U168+AM168+AQ168)</f>
        <v/>
      </c>
      <c r="AH168" s="104">
        <f>Q168-(U168+AN168+AQ168)</f>
        <v/>
      </c>
      <c r="AI168" s="104">
        <f>(AK168-AO168)</f>
        <v/>
      </c>
      <c r="AJ168" s="104">
        <f>(AL168-AP168)</f>
        <v/>
      </c>
      <c r="AK168" s="110">
        <f>R168+AH168</f>
        <v/>
      </c>
      <c r="AL168" s="110">
        <f>S168+AI168</f>
        <v/>
      </c>
      <c r="AM168" s="104" t="n">
        <v>10986</v>
      </c>
      <c r="AN168" s="104" t="n">
        <v>2586</v>
      </c>
      <c r="AO168" s="104" t="n">
        <v>4200</v>
      </c>
      <c r="AP168" s="104" t="n">
        <v>4200</v>
      </c>
      <c r="AQ168" s="104" t="n">
        <v>0</v>
      </c>
      <c r="AR168" s="104" t="n"/>
      <c r="AS168" s="112" t="n"/>
    </row>
    <row r="169" ht="12.65" customHeight="1" s="79">
      <c r="A169" s="104">
        <f>MIN(U169,Q169)</f>
        <v/>
      </c>
      <c r="B169" s="104">
        <f>MIN(U169,T169)</f>
        <v/>
      </c>
      <c r="C169" s="104">
        <f>MIN(W169,Q169)</f>
        <v/>
      </c>
      <c r="D169" s="104">
        <f>MIN(W169,T169)</f>
        <v/>
      </c>
      <c r="E169" s="104">
        <f>MIN((U169+AM169+AQ169),T169)</f>
        <v/>
      </c>
      <c r="F169" s="104">
        <f>MAX(MIN((U169+AN169+AQ169),Q169),0)</f>
        <v/>
      </c>
      <c r="G169" s="104">
        <f>MAX(MIN(AO169,AK169),0)</f>
        <v/>
      </c>
      <c r="H169" s="104">
        <f>MAX(MIN(AP169,AL169),0)</f>
        <v/>
      </c>
      <c r="I169" s="105" t="inlineStr">
        <is>
          <t>ROOP KISHOR</t>
        </is>
      </c>
      <c r="J169" s="106" t="inlineStr">
        <is>
          <t>HOUSEHOLD</t>
        </is>
      </c>
      <c r="K169" s="107" t="inlineStr">
        <is>
          <t>HH_PLASTICS AIDS</t>
        </is>
      </c>
      <c r="L169" s="107" t="inlineStr">
        <is>
          <t>HH_HANGER</t>
        </is>
      </c>
      <c r="M169" s="107" t="inlineStr">
        <is>
          <t>ARTICLE</t>
        </is>
      </c>
      <c r="N169" s="108" t="n">
        <v>0.132231986389859</v>
      </c>
      <c r="O169" s="108" t="n">
        <v>0.107574179110237</v>
      </c>
      <c r="P169" s="109" t="n">
        <v>83</v>
      </c>
      <c r="Q169" s="110" t="n">
        <v>6534</v>
      </c>
      <c r="R169" s="110" t="n">
        <v>10638.2540635533</v>
      </c>
      <c r="S169" s="110" t="n">
        <v>7760.21160822928</v>
      </c>
      <c r="T169" s="110" t="n">
        <v>24932.4656717826</v>
      </c>
      <c r="U169" s="104" t="n">
        <v>14988</v>
      </c>
      <c r="V169" s="104" t="n">
        <v>0</v>
      </c>
      <c r="W169" s="104">
        <f>$U169+$V169</f>
        <v/>
      </c>
      <c r="X169" s="111">
        <f>IFERROR(A169/Q169,0)</f>
        <v/>
      </c>
      <c r="Y169" s="111">
        <f>IFERROR(B169/T169,0)</f>
        <v/>
      </c>
      <c r="Z169" s="111">
        <f>IFERROR(C169/Q169,0)</f>
        <v/>
      </c>
      <c r="AA169" s="111">
        <f>IFERROR(D169/T169,0)</f>
        <v/>
      </c>
      <c r="AC169" s="111">
        <f>IF(T169&gt;0,IFERROR(E169/T169,0),1)</f>
        <v/>
      </c>
      <c r="AD169" s="111">
        <f>IF(Q169&gt;0,IFERROR(F169/Q169,0),1)</f>
        <v/>
      </c>
      <c r="AE169" s="111">
        <f>IF(AK169&gt;0,IFERROR(G169/AK169,0),1)</f>
        <v/>
      </c>
      <c r="AF169" s="111">
        <f>IF(AL169&gt;0,IFERROR(H169/AL169,0),1)</f>
        <v/>
      </c>
      <c r="AG169" s="104">
        <f>T169-(U169+AM169+AQ169)</f>
        <v/>
      </c>
      <c r="AH169" s="104">
        <f>Q169-(U169+AN169+AQ169)</f>
        <v/>
      </c>
      <c r="AI169" s="104">
        <f>(AK169-AO169)</f>
        <v/>
      </c>
      <c r="AJ169" s="104">
        <f>(AL169-AP169)</f>
        <v/>
      </c>
      <c r="AK169" s="110">
        <f>R169+AH169</f>
        <v/>
      </c>
      <c r="AL169" s="110">
        <f>S169+AI169</f>
        <v/>
      </c>
      <c r="AM169" s="104" t="n">
        <v>16801</v>
      </c>
      <c r="AN169" s="104" t="n">
        <v>1</v>
      </c>
      <c r="AO169" s="104" t="n">
        <v>9600</v>
      </c>
      <c r="AP169" s="104" t="n">
        <v>7200</v>
      </c>
      <c r="AQ169" s="104" t="n">
        <v>0</v>
      </c>
      <c r="AR169" s="104" t="n"/>
      <c r="AS169" s="112" t="n"/>
    </row>
    <row r="170" ht="12.65" customHeight="1" s="79">
      <c r="A170" s="104">
        <f>MIN(U170,Q170)</f>
        <v/>
      </c>
      <c r="B170" s="104">
        <f>MIN(U170,T170)</f>
        <v/>
      </c>
      <c r="C170" s="104">
        <f>MIN(W170,Q170)</f>
        <v/>
      </c>
      <c r="D170" s="104">
        <f>MIN(W170,T170)</f>
        <v/>
      </c>
      <c r="E170" s="104">
        <f>MIN((U170+AM170+AQ170),T170)</f>
        <v/>
      </c>
      <c r="F170" s="104">
        <f>MAX(MIN((U170+AN170+AQ170),Q170),0)</f>
        <v/>
      </c>
      <c r="G170" s="104">
        <f>MAX(MIN(AO170,AK170),0)</f>
        <v/>
      </c>
      <c r="H170" s="104">
        <f>MAX(MIN(AP170,AL170),0)</f>
        <v/>
      </c>
      <c r="I170" s="105" t="inlineStr">
        <is>
          <t>ROOP KISHOR</t>
        </is>
      </c>
      <c r="J170" s="106" t="inlineStr">
        <is>
          <t>HOUSEHOLD</t>
        </is>
      </c>
      <c r="K170" s="107" t="inlineStr">
        <is>
          <t>HH_PLASTICS AIDS</t>
        </is>
      </c>
      <c r="L170" s="107" t="inlineStr">
        <is>
          <t>HH_P_PLATE</t>
        </is>
      </c>
      <c r="M170" s="107" t="inlineStr">
        <is>
          <t>ARTICLE</t>
        </is>
      </c>
      <c r="N170" s="108" t="n">
        <v>0.168471119987386</v>
      </c>
      <c r="O170" s="108" t="n">
        <v>0.163298009040197</v>
      </c>
      <c r="P170" s="109" t="n">
        <v>111</v>
      </c>
      <c r="Q170" s="110" t="n">
        <v>10639</v>
      </c>
      <c r="R170" s="110" t="n">
        <v>6215.63867167924</v>
      </c>
      <c r="S170" s="110" t="n">
        <v>4206.07781283128</v>
      </c>
      <c r="T170" s="110" t="n">
        <v>21060.7164845105</v>
      </c>
      <c r="U170" s="104" t="n">
        <v>4800</v>
      </c>
      <c r="V170" s="104" t="n">
        <v>0</v>
      </c>
      <c r="W170" s="104">
        <f>$U170+$V170</f>
        <v/>
      </c>
      <c r="X170" s="111">
        <f>IFERROR(A170/Q170,0)</f>
        <v/>
      </c>
      <c r="Y170" s="111">
        <f>IFERROR(B170/T170,0)</f>
        <v/>
      </c>
      <c r="Z170" s="111">
        <f>IFERROR(C170/Q170,0)</f>
        <v/>
      </c>
      <c r="AA170" s="111">
        <f>IFERROR(D170/T170,0)</f>
        <v/>
      </c>
      <c r="AC170" s="111">
        <f>IF(T170&gt;0,IFERROR(E170/T170,0),1)</f>
        <v/>
      </c>
      <c r="AD170" s="111">
        <f>IF(Q170&gt;0,IFERROR(F170/Q170,0),1)</f>
        <v/>
      </c>
      <c r="AE170" s="111">
        <f>IF(AK170&gt;0,IFERROR(G170/AK170,0),1)</f>
        <v/>
      </c>
      <c r="AF170" s="111">
        <f>IF(AL170&gt;0,IFERROR(H170/AL170,0),1)</f>
        <v/>
      </c>
      <c r="AG170" s="104">
        <f>T170-(U170+AM170+AQ170)</f>
        <v/>
      </c>
      <c r="AH170" s="104">
        <f>Q170-(U170+AN170+AQ170)</f>
        <v/>
      </c>
      <c r="AI170" s="104">
        <f>(AK170-AO170)</f>
        <v/>
      </c>
      <c r="AJ170" s="104">
        <f>(AL170-AP170)</f>
        <v/>
      </c>
      <c r="AK170" s="110">
        <f>R170+AH170</f>
        <v/>
      </c>
      <c r="AL170" s="110">
        <f>S170+AI170</f>
        <v/>
      </c>
      <c r="AM170" s="104" t="n">
        <v>21600</v>
      </c>
      <c r="AN170" s="104" t="n">
        <v>4800</v>
      </c>
      <c r="AO170" s="104" t="n">
        <v>12000</v>
      </c>
      <c r="AP170" s="104" t="n">
        <v>4800</v>
      </c>
      <c r="AQ170" s="104" t="n">
        <v>0</v>
      </c>
      <c r="AR170" s="104" t="n"/>
      <c r="AS170" s="112" t="n"/>
    </row>
    <row r="171" ht="12.65" customHeight="1" s="79">
      <c r="A171" s="104">
        <f>MIN(U171,Q171)</f>
        <v/>
      </c>
      <c r="B171" s="104">
        <f>MIN(U171,T171)</f>
        <v/>
      </c>
      <c r="C171" s="104">
        <f>MIN(W171,Q171)</f>
        <v/>
      </c>
      <c r="D171" s="104">
        <f>MIN(W171,T171)</f>
        <v/>
      </c>
      <c r="E171" s="104">
        <f>MIN((U171+AM171+AQ171),T171)</f>
        <v/>
      </c>
      <c r="F171" s="104">
        <f>MAX(MIN((U171+AN171+AQ171),Q171),0)</f>
        <v/>
      </c>
      <c r="G171" s="104">
        <f>MAX(MIN(AO171,AK171),0)</f>
        <v/>
      </c>
      <c r="H171" s="104">
        <f>MAX(MIN(AP171,AL171),0)</f>
        <v/>
      </c>
      <c r="I171" s="105" t="inlineStr">
        <is>
          <t>ROOP KISHOR</t>
        </is>
      </c>
      <c r="J171" s="106" t="inlineStr">
        <is>
          <t>HOUSEHOLD</t>
        </is>
      </c>
      <c r="K171" s="107" t="inlineStr">
        <is>
          <t>HH_PLASTICS AIDS</t>
        </is>
      </c>
      <c r="L171" s="107" t="inlineStr">
        <is>
          <t>HH_P_KIDSWATER BOTTLE</t>
        </is>
      </c>
      <c r="M171" s="107" t="inlineStr">
        <is>
          <t>ARTICLE</t>
        </is>
      </c>
      <c r="N171" s="108" t="n">
        <v>0.146407262982702</v>
      </c>
      <c r="O171" s="108" t="n">
        <v>0.136310007763643</v>
      </c>
      <c r="P171" s="109" t="n">
        <v>59</v>
      </c>
      <c r="Q171" s="110" t="n">
        <v>4048</v>
      </c>
      <c r="R171" s="110" t="n">
        <v>6754.13713218751</v>
      </c>
      <c r="S171" s="110" t="n">
        <v>5049.46468917251</v>
      </c>
      <c r="T171" s="110" t="n">
        <v>15851.60182136</v>
      </c>
      <c r="U171" s="104" t="n">
        <v>3576</v>
      </c>
      <c r="V171" s="104" t="n">
        <v>15096</v>
      </c>
      <c r="W171" s="104">
        <f>$U171+$V171</f>
        <v/>
      </c>
      <c r="X171" s="111">
        <f>IFERROR(A171/Q171,0)</f>
        <v/>
      </c>
      <c r="Y171" s="111">
        <f>IFERROR(B171/T171,0)</f>
        <v/>
      </c>
      <c r="Z171" s="111">
        <f>IFERROR(C171/Q171,0)</f>
        <v/>
      </c>
      <c r="AA171" s="111">
        <f>IFERROR(D171/T171,0)</f>
        <v/>
      </c>
      <c r="AC171" s="111">
        <f>IF(T171&gt;0,IFERROR(E171/T171,0),1)</f>
        <v/>
      </c>
      <c r="AD171" s="111">
        <f>IF(Q171&gt;0,IFERROR(F171/Q171,0),1)</f>
        <v/>
      </c>
      <c r="AE171" s="111">
        <f>IF(AK171&gt;0,IFERROR(G171/AK171,0),1)</f>
        <v/>
      </c>
      <c r="AF171" s="111">
        <f>IF(AL171&gt;0,IFERROR(H171/AL171,0),1)</f>
        <v/>
      </c>
      <c r="AG171" s="104">
        <f>T171-(U171+AM171+AQ171)</f>
        <v/>
      </c>
      <c r="AH171" s="104">
        <f>Q171-(U171+AN171+AQ171)</f>
        <v/>
      </c>
      <c r="AI171" s="104">
        <f>(AK171-AO171)</f>
        <v/>
      </c>
      <c r="AJ171" s="104">
        <f>(AL171-AP171)</f>
        <v/>
      </c>
      <c r="AK171" s="110">
        <f>R171+AH171</f>
        <v/>
      </c>
      <c r="AL171" s="110">
        <f>S171+AI171</f>
        <v/>
      </c>
      <c r="AM171" s="104" t="n">
        <v>34300</v>
      </c>
      <c r="AN171" s="104" t="n">
        <v>19900</v>
      </c>
      <c r="AO171" s="104" t="n">
        <v>14400</v>
      </c>
      <c r="AP171" s="104" t="n">
        <v>0</v>
      </c>
      <c r="AQ171" s="104" t="n">
        <v>0</v>
      </c>
      <c r="AR171" s="104" t="n"/>
      <c r="AS171" s="104" t="n"/>
    </row>
    <row r="172" ht="12.65" customHeight="1" s="79">
      <c r="A172" s="104">
        <f>MIN(U172,Q172)</f>
        <v/>
      </c>
      <c r="B172" s="104">
        <f>MIN(U172,T172)</f>
        <v/>
      </c>
      <c r="C172" s="104">
        <f>MIN(W172,Q172)</f>
        <v/>
      </c>
      <c r="D172" s="104">
        <f>MIN(W172,T172)</f>
        <v/>
      </c>
      <c r="E172" s="104">
        <f>MIN((U172+AM172+AQ172),T172)</f>
        <v/>
      </c>
      <c r="F172" s="104">
        <f>MAX(MIN((U172+AN172+AQ172),Q172),0)</f>
        <v/>
      </c>
      <c r="G172" s="104">
        <f>MAX(MIN(AO172,AK172),0)</f>
        <v/>
      </c>
      <c r="H172" s="104">
        <f>MAX(MIN(AP172,AL172),0)</f>
        <v/>
      </c>
      <c r="I172" s="105" t="inlineStr">
        <is>
          <t>ROOP KISHOR</t>
        </is>
      </c>
      <c r="J172" s="106" t="inlineStr">
        <is>
          <t>HOUSEHOLD</t>
        </is>
      </c>
      <c r="K172" s="107" t="inlineStr">
        <is>
          <t>HH_PLASTICS AIDS</t>
        </is>
      </c>
      <c r="L172" s="107" t="inlineStr">
        <is>
          <t>HH_CYLINDER TROLEY</t>
        </is>
      </c>
      <c r="M172" s="107" t="inlineStr">
        <is>
          <t>ARTICLE</t>
        </is>
      </c>
      <c r="N172" s="108" t="n">
        <v>0.121131939131174</v>
      </c>
      <c r="O172" s="108" t="n">
        <v>0.103563585546017</v>
      </c>
      <c r="P172" s="109" t="n">
        <v>142</v>
      </c>
      <c r="Q172" s="110" t="n">
        <v>4938</v>
      </c>
      <c r="R172" s="110" t="n">
        <v>2497.19096506885</v>
      </c>
      <c r="S172" s="110" t="n">
        <v>2682.15862135708</v>
      </c>
      <c r="T172" s="110" t="n">
        <v>10117.3495864259</v>
      </c>
      <c r="U172" s="104" t="n">
        <v>5880</v>
      </c>
      <c r="V172" s="104" t="n">
        <v>0</v>
      </c>
      <c r="W172" s="104">
        <f>$U172+$V172</f>
        <v/>
      </c>
      <c r="X172" s="111">
        <f>IFERROR(A172/Q172,0)</f>
        <v/>
      </c>
      <c r="Y172" s="111">
        <f>IFERROR(B172/T172,0)</f>
        <v/>
      </c>
      <c r="Z172" s="111">
        <f>IFERROR(C172/Q172,0)</f>
        <v/>
      </c>
      <c r="AA172" s="111">
        <f>IFERROR(D172/T172,0)</f>
        <v/>
      </c>
      <c r="AC172" s="111">
        <f>IF(T172&gt;0,IFERROR(E172/T172,0),1)</f>
        <v/>
      </c>
      <c r="AD172" s="111">
        <f>IF(Q172&gt;0,IFERROR(F172/Q172,0),1)</f>
        <v/>
      </c>
      <c r="AE172" s="111">
        <f>IF(AK172&gt;0,IFERROR(G172/AK172,0),1)</f>
        <v/>
      </c>
      <c r="AF172" s="111">
        <f>IF(AL172&gt;0,IFERROR(H172/AL172,0),1)</f>
        <v/>
      </c>
      <c r="AG172" s="104">
        <f>T172-(U172+AM172+AQ172)</f>
        <v/>
      </c>
      <c r="AH172" s="104">
        <f>Q172-(U172+AN172+AQ172)</f>
        <v/>
      </c>
      <c r="AI172" s="104">
        <f>(AK172-AO172)</f>
        <v/>
      </c>
      <c r="AJ172" s="104">
        <f>(AL172-AP172)</f>
        <v/>
      </c>
      <c r="AK172" s="110">
        <f>R172+AH172</f>
        <v/>
      </c>
      <c r="AL172" s="110">
        <f>S172+AI172</f>
        <v/>
      </c>
      <c r="AM172" s="104" t="n">
        <v>10800</v>
      </c>
      <c r="AN172" s="104" t="n">
        <v>0</v>
      </c>
      <c r="AO172" s="104" t="n">
        <v>5400</v>
      </c>
      <c r="AP172" s="104" t="n">
        <v>5400</v>
      </c>
      <c r="AQ172" s="104" t="n">
        <v>0</v>
      </c>
      <c r="AR172" s="104" t="n"/>
      <c r="AS172" s="112" t="n"/>
    </row>
    <row r="173" ht="12.65" customHeight="1" s="79">
      <c r="A173" s="104">
        <f>MIN(U173,Q173)</f>
        <v/>
      </c>
      <c r="B173" s="104">
        <f>MIN(U173,T173)</f>
        <v/>
      </c>
      <c r="C173" s="104">
        <f>MIN(W173,Q173)</f>
        <v/>
      </c>
      <c r="D173" s="104">
        <f>MIN(W173,T173)</f>
        <v/>
      </c>
      <c r="E173" s="104">
        <f>MIN((U173+AM173+AQ173),T173)</f>
        <v/>
      </c>
      <c r="F173" s="104">
        <f>MAX(MIN((U173+AN173+AQ173),Q173),0)</f>
        <v/>
      </c>
      <c r="G173" s="104">
        <f>MAX(MIN(AO173,AK173),0)</f>
        <v/>
      </c>
      <c r="H173" s="104">
        <f>MAX(MIN(AP173,AL173),0)</f>
        <v/>
      </c>
      <c r="I173" s="105" t="inlineStr">
        <is>
          <t>ROOP KISHOR</t>
        </is>
      </c>
      <c r="J173" s="106" t="inlineStr">
        <is>
          <t>HOUSEHOLD</t>
        </is>
      </c>
      <c r="K173" s="107" t="inlineStr">
        <is>
          <t>HH_PLASTICS AIDS</t>
        </is>
      </c>
      <c r="L173" s="107" t="inlineStr">
        <is>
          <t>HH_P_WATER BOTTLE</t>
        </is>
      </c>
      <c r="M173" s="107" t="inlineStr">
        <is>
          <t>ARTICLE</t>
        </is>
      </c>
      <c r="N173" s="108" t="n">
        <v>0.103422677025396</v>
      </c>
      <c r="O173" s="108" t="n">
        <v>0.108623228951617</v>
      </c>
      <c r="P173" s="109" t="n">
        <v>74</v>
      </c>
      <c r="Q173" s="110" t="n">
        <v>1567</v>
      </c>
      <c r="R173" s="110" t="n">
        <v>3353.37190675548</v>
      </c>
      <c r="S173" s="110" t="n">
        <v>3074.56117752413</v>
      </c>
      <c r="T173" s="110" t="n">
        <v>7994.9330842796</v>
      </c>
      <c r="U173" s="104" t="n">
        <v>9800</v>
      </c>
      <c r="V173" s="104" t="n">
        <v>9624</v>
      </c>
      <c r="W173" s="104">
        <f>$U173+$V173</f>
        <v/>
      </c>
      <c r="X173" s="111">
        <f>IFERROR(A173/Q173,0)</f>
        <v/>
      </c>
      <c r="Y173" s="111">
        <f>IFERROR(B173/T173,0)</f>
        <v/>
      </c>
      <c r="Z173" s="111">
        <f>IFERROR(C173/Q173,0)</f>
        <v/>
      </c>
      <c r="AA173" s="111">
        <f>IFERROR(D173/T173,0)</f>
        <v/>
      </c>
      <c r="AC173" s="111">
        <f>IF(T173&gt;0,IFERROR(E173/T173,0),1)</f>
        <v/>
      </c>
      <c r="AD173" s="111">
        <f>IF(Q173&gt;0,IFERROR(F173/Q173,0),1)</f>
        <v/>
      </c>
      <c r="AE173" s="111">
        <f>IF(AK173&gt;0,IFERROR(G173/AK173,0),1)</f>
        <v/>
      </c>
      <c r="AF173" s="111">
        <f>IF(AL173&gt;0,IFERROR(H173/AL173,0),1)</f>
        <v/>
      </c>
      <c r="AG173" s="104">
        <f>T173-(U173+AM173+AQ173)</f>
        <v/>
      </c>
      <c r="AH173" s="104">
        <f>Q173-(U173+AN173+AQ173)</f>
        <v/>
      </c>
      <c r="AI173" s="104">
        <f>(AK173-AO173)</f>
        <v/>
      </c>
      <c r="AJ173" s="104">
        <f>(AL173-AP173)</f>
        <v/>
      </c>
      <c r="AK173" s="110">
        <f>R173+AH173</f>
        <v/>
      </c>
      <c r="AL173" s="110">
        <f>S173+AI173</f>
        <v/>
      </c>
      <c r="AM173" s="104" t="n">
        <v>20600</v>
      </c>
      <c r="AN173" s="104" t="n">
        <v>15800</v>
      </c>
      <c r="AO173" s="104" t="n">
        <v>4800</v>
      </c>
      <c r="AP173" s="104" t="n">
        <v>0</v>
      </c>
      <c r="AQ173" s="104" t="n">
        <v>0</v>
      </c>
      <c r="AR173" s="104" t="n"/>
      <c r="AS173" s="112" t="n"/>
    </row>
    <row r="174" ht="12.65" customHeight="1" s="79">
      <c r="A174" s="104">
        <f>MIN(U174,Q174)</f>
        <v/>
      </c>
      <c r="B174" s="104">
        <f>MIN(U174,T174)</f>
        <v/>
      </c>
      <c r="C174" s="104">
        <f>MIN(W174,Q174)</f>
        <v/>
      </c>
      <c r="D174" s="104">
        <f>MIN(W174,T174)</f>
        <v/>
      </c>
      <c r="E174" s="104">
        <f>MIN((U174+AM174+AQ174),T174)</f>
        <v/>
      </c>
      <c r="F174" s="104">
        <f>MAX(MIN((U174+AN174+AQ174),Q174),0)</f>
        <v/>
      </c>
      <c r="G174" s="104">
        <f>MAX(MIN(AO174,AK174),0)</f>
        <v/>
      </c>
      <c r="H174" s="104">
        <f>MAX(MIN(AP174,AL174),0)</f>
        <v/>
      </c>
      <c r="I174" s="105" t="inlineStr">
        <is>
          <t>ROOP KISHOR</t>
        </is>
      </c>
      <c r="J174" s="106" t="inlineStr">
        <is>
          <t>HOUSEHOLD</t>
        </is>
      </c>
      <c r="K174" s="107" t="inlineStr">
        <is>
          <t>HH_PLASTICS AIDS</t>
        </is>
      </c>
      <c r="L174" s="107" t="inlineStr">
        <is>
          <t>HH_P_JUG</t>
        </is>
      </c>
      <c r="M174" s="107" t="inlineStr">
        <is>
          <t>ARTICLE</t>
        </is>
      </c>
      <c r="N174" s="108" t="n">
        <v>0.159490324845631</v>
      </c>
      <c r="O174" s="108" t="n">
        <v>0.0995558023320378</v>
      </c>
      <c r="P174" s="109" t="n">
        <v>153</v>
      </c>
      <c r="Q174" s="110" t="n">
        <v>2056</v>
      </c>
      <c r="R174" s="110" t="n">
        <v>2048.37867472295</v>
      </c>
      <c r="S174" s="110" t="n">
        <v>1413.60932002549</v>
      </c>
      <c r="T174" s="110" t="n">
        <v>5517.98799474843</v>
      </c>
      <c r="U174" s="104" t="n">
        <v>4507</v>
      </c>
      <c r="V174" s="104" t="n">
        <v>0</v>
      </c>
      <c r="W174" s="104">
        <f>$U174+$V174</f>
        <v/>
      </c>
      <c r="X174" s="111">
        <f>IFERROR(A174/Q174,0)</f>
        <v/>
      </c>
      <c r="Y174" s="111">
        <f>IFERROR(B174/T174,0)</f>
        <v/>
      </c>
      <c r="Z174" s="111">
        <f>IFERROR(C174/Q174,0)</f>
        <v/>
      </c>
      <c r="AA174" s="111">
        <f>IFERROR(D174/T174,0)</f>
        <v/>
      </c>
      <c r="AC174" s="111">
        <f>IF(T174&gt;0,IFERROR(E174/T174,0),1)</f>
        <v/>
      </c>
      <c r="AD174" s="111">
        <f>IF(Q174&gt;0,IFERROR(F174/Q174,0),1)</f>
        <v/>
      </c>
      <c r="AE174" s="111">
        <f>IF(AK174&gt;0,IFERROR(G174/AK174,0),1)</f>
        <v/>
      </c>
      <c r="AF174" s="111">
        <f>IF(AL174&gt;0,IFERROR(H174/AL174,0),1)</f>
        <v/>
      </c>
      <c r="AG174" s="104">
        <f>T174-(U174+AM174+AQ174)</f>
        <v/>
      </c>
      <c r="AH174" s="104">
        <f>Q174-(U174+AN174+AQ174)</f>
        <v/>
      </c>
      <c r="AI174" s="104">
        <f>(AK174-AO174)</f>
        <v/>
      </c>
      <c r="AJ174" s="104">
        <f>(AL174-AP174)</f>
        <v/>
      </c>
      <c r="AK174" s="110">
        <f>R174+AH174</f>
        <v/>
      </c>
      <c r="AL174" s="110">
        <f>S174+AI174</f>
        <v/>
      </c>
      <c r="AM174" s="104" t="n">
        <v>517</v>
      </c>
      <c r="AN174" s="104" t="n">
        <v>517</v>
      </c>
      <c r="AO174" s="104" t="n">
        <v>0</v>
      </c>
      <c r="AP174" s="104" t="n">
        <v>0</v>
      </c>
      <c r="AQ174" s="104" t="n">
        <v>0</v>
      </c>
      <c r="AR174" s="104" t="n"/>
      <c r="AS174" s="112" t="n"/>
    </row>
    <row r="175" ht="12.65" customHeight="1" s="79">
      <c r="A175" s="104">
        <f>MIN(U175,Q175)</f>
        <v/>
      </c>
      <c r="B175" s="104">
        <f>MIN(U175,T175)</f>
        <v/>
      </c>
      <c r="C175" s="104">
        <f>MIN(W175,Q175)</f>
        <v/>
      </c>
      <c r="D175" s="104">
        <f>MIN(W175,T175)</f>
        <v/>
      </c>
      <c r="E175" s="104">
        <f>MIN((U175+AM175+AQ175),T175)</f>
        <v/>
      </c>
      <c r="F175" s="104">
        <f>MAX(MIN((U175+AN175+AQ175),Q175),0)</f>
        <v/>
      </c>
      <c r="G175" s="104">
        <f>MAX(MIN(AO175,AK175),0)</f>
        <v/>
      </c>
      <c r="H175" s="104">
        <f>MAX(MIN(AP175,AL175),0)</f>
        <v/>
      </c>
      <c r="I175" s="105" t="inlineStr">
        <is>
          <t>ROOP KISHOR</t>
        </is>
      </c>
      <c r="J175" s="106" t="inlineStr">
        <is>
          <t>HOUSEHOLD</t>
        </is>
      </c>
      <c r="K175" s="107" t="inlineStr">
        <is>
          <t>HH_PLASTICS AIDS</t>
        </is>
      </c>
      <c r="L175" s="107" t="inlineStr">
        <is>
          <t>HH_P_BOWL</t>
        </is>
      </c>
      <c r="M175" s="107" t="inlineStr">
        <is>
          <t>ARTICLE</t>
        </is>
      </c>
      <c r="N175" s="108" t="n">
        <v>0.149900163369033</v>
      </c>
      <c r="O175" s="108" t="n">
        <v>0.114638573513186</v>
      </c>
      <c r="P175" s="109" t="n">
        <v>144</v>
      </c>
      <c r="Q175" s="110" t="n">
        <v>736</v>
      </c>
      <c r="R175" s="110" t="n">
        <v>898.0876225277279</v>
      </c>
      <c r="S175" s="110" t="n">
        <v>610.209855057918</v>
      </c>
      <c r="T175" s="110" t="n">
        <v>2244.29747758565</v>
      </c>
      <c r="U175" s="104" t="n">
        <v>6600</v>
      </c>
      <c r="V175" s="104" t="n">
        <v>2400</v>
      </c>
      <c r="W175" s="104">
        <f>$U175+$V175</f>
        <v/>
      </c>
      <c r="X175" s="111">
        <f>IFERROR(A175/Q175,0)</f>
        <v/>
      </c>
      <c r="Y175" s="111">
        <f>IFERROR(B175/T175,0)</f>
        <v/>
      </c>
      <c r="Z175" s="111">
        <f>IFERROR(C175/Q175,0)</f>
        <v/>
      </c>
      <c r="AA175" s="111">
        <f>IFERROR(D175/T175,0)</f>
        <v/>
      </c>
      <c r="AC175" s="111">
        <f>IF(T175&gt;0,IFERROR(E175/T175,0),1)</f>
        <v/>
      </c>
      <c r="AD175" s="111">
        <f>IF(Q175&gt;0,IFERROR(F175/Q175,0),1)</f>
        <v/>
      </c>
      <c r="AE175" s="111">
        <f>IF(AK175&gt;0,IFERROR(G175/AK175,0),1)</f>
        <v/>
      </c>
      <c r="AF175" s="111">
        <f>IF(AL175&gt;0,IFERROR(H175/AL175,0),1)</f>
        <v/>
      </c>
      <c r="AG175" s="104">
        <f>T175-(U175+AM175+AQ175)</f>
        <v/>
      </c>
      <c r="AH175" s="104">
        <f>Q175-(U175+AN175+AQ175)</f>
        <v/>
      </c>
      <c r="AI175" s="104">
        <f>(AK175-AO175)</f>
        <v/>
      </c>
      <c r="AJ175" s="104">
        <f>(AL175-AP175)</f>
        <v/>
      </c>
      <c r="AK175" s="110">
        <f>R175+AH175</f>
        <v/>
      </c>
      <c r="AL175" s="110">
        <f>S175+AI175</f>
        <v/>
      </c>
      <c r="AM175" s="104" t="n">
        <v>4800</v>
      </c>
      <c r="AN175" s="104" t="n">
        <v>2400</v>
      </c>
      <c r="AO175" s="104" t="n">
        <v>2400</v>
      </c>
      <c r="AP175" s="104" t="n">
        <v>0</v>
      </c>
      <c r="AQ175" s="104" t="n">
        <v>0</v>
      </c>
      <c r="AR175" s="104" t="n"/>
      <c r="AS175" s="112" t="n"/>
    </row>
    <row r="176" ht="12.65" customHeight="1" s="79">
      <c r="A176" s="104">
        <f>MIN(U176,Q176)</f>
        <v/>
      </c>
      <c r="B176" s="104">
        <f>MIN(U176,T176)</f>
        <v/>
      </c>
      <c r="C176" s="104">
        <f>MIN(W176,Q176)</f>
        <v/>
      </c>
      <c r="D176" s="104">
        <f>MIN(W176,T176)</f>
        <v/>
      </c>
      <c r="E176" s="104">
        <f>MIN((U176+AM176+AQ176),T176)</f>
        <v/>
      </c>
      <c r="F176" s="104">
        <f>MAX(MIN((U176+AN176+AQ176),Q176),0)</f>
        <v/>
      </c>
      <c r="G176" s="104">
        <f>MAX(MIN(AO176,AK176),0)</f>
        <v/>
      </c>
      <c r="H176" s="104">
        <f>MAX(MIN(AP176,AL176),0)</f>
        <v/>
      </c>
      <c r="I176" s="105" t="inlineStr">
        <is>
          <t>ROOP KISHOR</t>
        </is>
      </c>
      <c r="J176" s="106" t="inlineStr">
        <is>
          <t>HOUSEHOLD</t>
        </is>
      </c>
      <c r="K176" s="107" t="inlineStr">
        <is>
          <t>HH_PLASTICS AIDS</t>
        </is>
      </c>
      <c r="L176" s="107" t="inlineStr">
        <is>
          <t>HH_P_SNACK TRAY</t>
        </is>
      </c>
      <c r="M176" s="107" t="inlineStr">
        <is>
          <t>ARTICLE</t>
        </is>
      </c>
      <c r="N176" s="108" t="n">
        <v>0</v>
      </c>
      <c r="O176" s="108" t="n">
        <v>0</v>
      </c>
      <c r="P176" s="109" t="n">
        <v>165</v>
      </c>
      <c r="Q176" s="110" t="n">
        <v>0</v>
      </c>
      <c r="R176" s="110" t="n">
        <v>0</v>
      </c>
      <c r="S176" s="110" t="n">
        <v>0</v>
      </c>
      <c r="T176" s="110" t="n">
        <v>0</v>
      </c>
      <c r="U176" s="104" t="n">
        <v>512</v>
      </c>
      <c r="V176" s="104" t="n">
        <v>4800</v>
      </c>
      <c r="W176" s="104">
        <f>$U176+$V176</f>
        <v/>
      </c>
      <c r="X176" s="111">
        <f>IFERROR(A176/Q176,0)</f>
        <v/>
      </c>
      <c r="Y176" s="111">
        <f>IFERROR(B176/T176,0)</f>
        <v/>
      </c>
      <c r="Z176" s="111">
        <f>IFERROR(C176/Q176,0)</f>
        <v/>
      </c>
      <c r="AA176" s="111">
        <f>IFERROR(D176/T176,0)</f>
        <v/>
      </c>
      <c r="AC176" s="111">
        <f>IF(T176&gt;0,IFERROR(E176/T176,0),1)</f>
        <v/>
      </c>
      <c r="AD176" s="111">
        <f>IF(Q176&gt;0,IFERROR(F176/Q176,0),1)</f>
        <v/>
      </c>
      <c r="AE176" s="111">
        <f>IF(AK176&gt;0,IFERROR(G176/AK176,0),1)</f>
        <v/>
      </c>
      <c r="AF176" s="111">
        <f>IF(AL176&gt;0,IFERROR(H176/AL176,0),1)</f>
        <v/>
      </c>
      <c r="AG176" s="104">
        <f>T176-(U176+AM176+AQ176)</f>
        <v/>
      </c>
      <c r="AH176" s="104">
        <f>Q176-(U176+AN176+AQ176)</f>
        <v/>
      </c>
      <c r="AI176" s="104">
        <f>(AK176-AO176)</f>
        <v/>
      </c>
      <c r="AJ176" s="104">
        <f>(AL176-AP176)</f>
        <v/>
      </c>
      <c r="AK176" s="110">
        <f>R176+AH176</f>
        <v/>
      </c>
      <c r="AL176" s="110">
        <f>S176+AI176</f>
        <v/>
      </c>
      <c r="AM176" s="104" t="n">
        <v>4800</v>
      </c>
      <c r="AN176" s="104" t="n">
        <v>4800</v>
      </c>
      <c r="AO176" s="104" t="n">
        <v>0</v>
      </c>
      <c r="AP176" s="104" t="n">
        <v>0</v>
      </c>
      <c r="AQ176" s="104" t="n">
        <v>0</v>
      </c>
      <c r="AR176" s="104" t="n"/>
      <c r="AS176" s="112" t="n"/>
    </row>
    <row r="177" ht="12.65" customHeight="1" s="79">
      <c r="A177" s="104">
        <f>MIN(U177,Q177)</f>
        <v/>
      </c>
      <c r="B177" s="104">
        <f>MIN(U177,T177)</f>
        <v/>
      </c>
      <c r="C177" s="104">
        <f>MIN(W177,Q177)</f>
        <v/>
      </c>
      <c r="D177" s="104">
        <f>MIN(W177,T177)</f>
        <v/>
      </c>
      <c r="E177" s="104">
        <f>MIN((U177+AM177+AQ177),T177)</f>
        <v/>
      </c>
      <c r="F177" s="104">
        <f>MAX(MIN((U177+AN177+AQ177),Q177),0)</f>
        <v/>
      </c>
      <c r="G177" s="104">
        <f>MAX(MIN(AO177,AK177),0)</f>
        <v/>
      </c>
      <c r="H177" s="104">
        <f>MAX(MIN(AP177,AL177),0)</f>
        <v/>
      </c>
      <c r="I177" s="105" t="inlineStr">
        <is>
          <t>ROOP KISHOR</t>
        </is>
      </c>
      <c r="J177" s="106" t="inlineStr">
        <is>
          <t>HOUSEHOLD</t>
        </is>
      </c>
      <c r="K177" s="107" t="inlineStr">
        <is>
          <t>HH_PLASTICS AIDS</t>
        </is>
      </c>
      <c r="L177" s="107" t="inlineStr">
        <is>
          <t>HH_TE_EXTENSION CORD</t>
        </is>
      </c>
      <c r="M177" s="107" t="inlineStr">
        <is>
          <t>ARTICLE</t>
        </is>
      </c>
      <c r="N177" s="108" t="n">
        <v>0</v>
      </c>
      <c r="O177" s="108" t="n">
        <v>0</v>
      </c>
      <c r="P177" s="109" t="n">
        <v>178</v>
      </c>
      <c r="Q177" s="110" t="n">
        <v>0</v>
      </c>
      <c r="R177" s="110" t="n">
        <v>0</v>
      </c>
      <c r="S177" s="110" t="n">
        <v>0</v>
      </c>
      <c r="T177" s="110" t="n">
        <v>0</v>
      </c>
      <c r="U177" s="104" t="n">
        <v>0</v>
      </c>
      <c r="V177" s="104" t="n">
        <v>0</v>
      </c>
      <c r="W177" s="104">
        <f>$U177+$V177</f>
        <v/>
      </c>
      <c r="X177" s="111">
        <f>IFERROR(A177/Q177,0)</f>
        <v/>
      </c>
      <c r="Y177" s="111">
        <f>IFERROR(B177/T177,0)</f>
        <v/>
      </c>
      <c r="Z177" s="111">
        <f>IFERROR(C177/Q177,0)</f>
        <v/>
      </c>
      <c r="AA177" s="111">
        <f>IFERROR(D177/T177,0)</f>
        <v/>
      </c>
      <c r="AC177" s="111">
        <f>IF(T177&gt;0,IFERROR(E177/T177,0),1)</f>
        <v/>
      </c>
      <c r="AD177" s="111">
        <f>IF(Q177&gt;0,IFERROR(F177/Q177,0),1)</f>
        <v/>
      </c>
      <c r="AE177" s="111">
        <f>IF(AK177&gt;0,IFERROR(G177/AK177,0),1)</f>
        <v/>
      </c>
      <c r="AF177" s="111">
        <f>IF(AL177&gt;0,IFERROR(H177/AL177,0),1)</f>
        <v/>
      </c>
      <c r="AG177" s="104">
        <f>T177-(U177+AM177+AQ177)</f>
        <v/>
      </c>
      <c r="AH177" s="104">
        <f>Q177-(U177+AN177+AQ177)</f>
        <v/>
      </c>
      <c r="AI177" s="104">
        <f>(AK177-AO177)</f>
        <v/>
      </c>
      <c r="AJ177" s="104">
        <f>(AL177-AP177)</f>
        <v/>
      </c>
      <c r="AK177" s="110">
        <f>R177+AH177</f>
        <v/>
      </c>
      <c r="AL177" s="110">
        <f>S177+AI177</f>
        <v/>
      </c>
      <c r="AM177" s="104" t="n">
        <v>0</v>
      </c>
      <c r="AN177" s="104" t="n">
        <v>0</v>
      </c>
      <c r="AO177" s="104" t="n">
        <v>0</v>
      </c>
      <c r="AP177" s="104" t="n">
        <v>0</v>
      </c>
      <c r="AQ177" s="104" t="n">
        <v>0</v>
      </c>
      <c r="AR177" s="104" t="n"/>
      <c r="AS177" s="112" t="n"/>
    </row>
    <row r="178" ht="12.65" customHeight="1" s="79">
      <c r="A178" s="104">
        <f>MIN(U178,Q178)</f>
        <v/>
      </c>
      <c r="B178" s="104">
        <f>MIN(U178,T178)</f>
        <v/>
      </c>
      <c r="C178" s="104">
        <f>MIN(W178,Q178)</f>
        <v/>
      </c>
      <c r="D178" s="104">
        <f>MIN(W178,T178)</f>
        <v/>
      </c>
      <c r="E178" s="104">
        <f>MIN((U178+AM178+AQ178),T178)</f>
        <v/>
      </c>
      <c r="F178" s="104">
        <f>MAX(MIN((U178+AN178+AQ178),Q178),0)</f>
        <v/>
      </c>
      <c r="G178" s="104">
        <f>MAX(MIN(AO178,AK178),0)</f>
        <v/>
      </c>
      <c r="H178" s="104">
        <f>MAX(MIN(AP178,AL178),0)</f>
        <v/>
      </c>
      <c r="I178" s="105" t="inlineStr">
        <is>
          <t>ROOP KISHOR</t>
        </is>
      </c>
      <c r="J178" s="106" t="inlineStr">
        <is>
          <t>HOUSEHOLD</t>
        </is>
      </c>
      <c r="K178" s="107" t="inlineStr">
        <is>
          <t>HH_PLASTICS AIDS</t>
        </is>
      </c>
      <c r="L178" s="107" t="inlineStr">
        <is>
          <t>HH_P_FRIDGE BOTTLE</t>
        </is>
      </c>
      <c r="M178" s="107" t="inlineStr">
        <is>
          <t>ARTICLE</t>
        </is>
      </c>
      <c r="N178" s="108" t="n">
        <v>0.124708175451101</v>
      </c>
      <c r="O178" s="108" t="n">
        <v>0.0817071569641947</v>
      </c>
      <c r="P178" s="109" t="n">
        <v>179</v>
      </c>
      <c r="Q178" s="110" t="n">
        <v>0</v>
      </c>
      <c r="R178" s="110" t="n">
        <v>0</v>
      </c>
      <c r="S178" s="110" t="n">
        <v>0</v>
      </c>
      <c r="T178" s="110" t="n">
        <v>0</v>
      </c>
      <c r="U178" s="104" t="n">
        <v>0</v>
      </c>
      <c r="V178" s="104" t="n">
        <v>0</v>
      </c>
      <c r="W178" s="104">
        <f>$U178+$V178</f>
        <v/>
      </c>
      <c r="X178" s="111">
        <f>IFERROR(A178/Q178,0)</f>
        <v/>
      </c>
      <c r="Y178" s="111">
        <f>IFERROR(B178/T178,0)</f>
        <v/>
      </c>
      <c r="Z178" s="111">
        <f>IFERROR(C178/Q178,0)</f>
        <v/>
      </c>
      <c r="AA178" s="111">
        <f>IFERROR(D178/T178,0)</f>
        <v/>
      </c>
      <c r="AC178" s="111">
        <f>IF(T178&gt;0,IFERROR(E178/T178,0),1)</f>
        <v/>
      </c>
      <c r="AD178" s="111">
        <f>IF(Q178&gt;0,IFERROR(F178/Q178,0),1)</f>
        <v/>
      </c>
      <c r="AE178" s="111">
        <f>IF(AK178&gt;0,IFERROR(G178/AK178,0),1)</f>
        <v/>
      </c>
      <c r="AF178" s="111">
        <f>IF(AL178&gt;0,IFERROR(H178/AL178,0),1)</f>
        <v/>
      </c>
      <c r="AG178" s="104">
        <f>T178-(U178+AM178+AQ178)</f>
        <v/>
      </c>
      <c r="AH178" s="104">
        <f>Q178-(U178+AN178+AQ178)</f>
        <v/>
      </c>
      <c r="AI178" s="104">
        <f>(AK178-AO178)</f>
        <v/>
      </c>
      <c r="AJ178" s="104">
        <f>(AL178-AP178)</f>
        <v/>
      </c>
      <c r="AK178" s="110">
        <f>R178+AH178</f>
        <v/>
      </c>
      <c r="AL178" s="110">
        <f>S178+AI178</f>
        <v/>
      </c>
      <c r="AM178" s="104" t="n">
        <v>0</v>
      </c>
      <c r="AN178" s="104" t="n">
        <v>0</v>
      </c>
      <c r="AO178" s="104" t="n">
        <v>0</v>
      </c>
      <c r="AP178" s="104" t="n">
        <v>0</v>
      </c>
      <c r="AQ178" s="104" t="n">
        <v>0</v>
      </c>
      <c r="AR178" s="104" t="n"/>
      <c r="AS178" s="104" t="n"/>
    </row>
    <row r="179" ht="12.65" customHeight="1" s="79">
      <c r="A179" s="104">
        <f>MIN(U179,Q179)</f>
        <v/>
      </c>
      <c r="B179" s="104">
        <f>MIN(U179,T179)</f>
        <v/>
      </c>
      <c r="C179" s="104">
        <f>MIN(W179,Q179)</f>
        <v/>
      </c>
      <c r="D179" s="104">
        <f>MIN(W179,T179)</f>
        <v/>
      </c>
      <c r="E179" s="104">
        <f>MIN((U179+AM179+AQ179),T179)</f>
        <v/>
      </c>
      <c r="F179" s="104">
        <f>MAX(MIN((U179+AN179+AQ179),Q179),0)</f>
        <v/>
      </c>
      <c r="G179" s="104">
        <f>MAX(MIN(AO179,AK179),0)</f>
        <v/>
      </c>
      <c r="H179" s="104">
        <f>MAX(MIN(AP179,AL179),0)</f>
        <v/>
      </c>
      <c r="I179" s="105" t="inlineStr">
        <is>
          <t>ROOP KISHOR</t>
        </is>
      </c>
      <c r="J179" s="106" t="inlineStr">
        <is>
          <t>HOUSEHOLD</t>
        </is>
      </c>
      <c r="K179" s="107" t="inlineStr">
        <is>
          <t>HH_UTENSILS AIDS</t>
        </is>
      </c>
      <c r="L179" s="107" t="inlineStr">
        <is>
          <t>HH_U_S_CONTANIER</t>
        </is>
      </c>
      <c r="M179" s="107" t="inlineStr">
        <is>
          <t>ARTICLE</t>
        </is>
      </c>
      <c r="N179" s="108" t="n">
        <v>0.121560983533329</v>
      </c>
      <c r="O179" s="108" t="n">
        <v>0.132073413510049</v>
      </c>
      <c r="P179" s="109" t="n">
        <v>66</v>
      </c>
      <c r="Q179" s="110" t="n">
        <v>24422</v>
      </c>
      <c r="R179" s="110" t="n">
        <v>12324.9536250971</v>
      </c>
      <c r="S179" s="110" t="n">
        <v>5673.6175585626</v>
      </c>
      <c r="T179" s="110" t="n">
        <v>42420.5711836597</v>
      </c>
      <c r="U179" s="104" t="n">
        <v>8256</v>
      </c>
      <c r="V179" s="104" t="n">
        <v>1800</v>
      </c>
      <c r="W179" s="104">
        <f>$U179+$V179</f>
        <v/>
      </c>
      <c r="X179" s="111">
        <f>IFERROR(A179/Q179,0)</f>
        <v/>
      </c>
      <c r="Y179" s="111">
        <f>IFERROR(B179/T179,0)</f>
        <v/>
      </c>
      <c r="Z179" s="111">
        <f>IFERROR(C179/Q179,0)</f>
        <v/>
      </c>
      <c r="AA179" s="111">
        <f>IFERROR(D179/T179,0)</f>
        <v/>
      </c>
      <c r="AC179" s="111">
        <f>IF(T179&gt;0,IFERROR(E179/T179,0),1)</f>
        <v/>
      </c>
      <c r="AD179" s="111">
        <f>IF(Q179&gt;0,IFERROR(F179/Q179,0),1)</f>
        <v/>
      </c>
      <c r="AE179" s="111">
        <f>IF(AK179&gt;0,IFERROR(G179/AK179,0),1)</f>
        <v/>
      </c>
      <c r="AF179" s="111">
        <f>IF(AL179&gt;0,IFERROR(H179/AL179,0),1)</f>
        <v/>
      </c>
      <c r="AG179" s="104">
        <f>T179-(U179+AM179+AQ179)</f>
        <v/>
      </c>
      <c r="AH179" s="104">
        <f>Q179-(U179+AN179+AQ179)</f>
        <v/>
      </c>
      <c r="AI179" s="104">
        <f>(AK179-AO179)</f>
        <v/>
      </c>
      <c r="AJ179" s="104">
        <f>(AL179-AP179)</f>
        <v/>
      </c>
      <c r="AK179" s="110">
        <f>R179+AH179</f>
        <v/>
      </c>
      <c r="AL179" s="110">
        <f>S179+AI179</f>
        <v/>
      </c>
      <c r="AM179" s="104" t="n">
        <v>44040</v>
      </c>
      <c r="AN179" s="104" t="n">
        <v>21240</v>
      </c>
      <c r="AO179" s="104" t="n">
        <v>19200</v>
      </c>
      <c r="AP179" s="104" t="n">
        <v>3600</v>
      </c>
      <c r="AQ179" s="104" t="n">
        <v>0</v>
      </c>
      <c r="AR179" s="104" t="n"/>
      <c r="AS179" s="112" t="n"/>
    </row>
    <row r="180" ht="12.65" customHeight="1" s="79">
      <c r="A180" s="104">
        <f>MIN(U180,Q180)</f>
        <v/>
      </c>
      <c r="B180" s="104">
        <f>MIN(U180,T180)</f>
        <v/>
      </c>
      <c r="C180" s="104">
        <f>MIN(W180,Q180)</f>
        <v/>
      </c>
      <c r="D180" s="104">
        <f>MIN(W180,T180)</f>
        <v/>
      </c>
      <c r="E180" s="104">
        <f>MIN((U180+AM180+AQ180),T180)</f>
        <v/>
      </c>
      <c r="F180" s="104">
        <f>MAX(MIN((U180+AN180+AQ180),Q180),0)</f>
        <v/>
      </c>
      <c r="G180" s="104">
        <f>MAX(MIN(AO180,AK180),0)</f>
        <v/>
      </c>
      <c r="H180" s="104">
        <f>MAX(MIN(AP180,AL180),0)</f>
        <v/>
      </c>
      <c r="I180" s="105" t="inlineStr">
        <is>
          <t>ROOP KISHOR</t>
        </is>
      </c>
      <c r="J180" s="106" t="inlineStr">
        <is>
          <t>HOUSEHOLD</t>
        </is>
      </c>
      <c r="K180" s="107" t="inlineStr">
        <is>
          <t>HH_UTENSILS AIDS</t>
        </is>
      </c>
      <c r="L180" s="107" t="inlineStr">
        <is>
          <t>HH_U_N_GIFT SET</t>
        </is>
      </c>
      <c r="M180" s="107" t="inlineStr">
        <is>
          <t>ARTICLE</t>
        </is>
      </c>
      <c r="N180" s="108" t="n">
        <v>0.110959476633601</v>
      </c>
      <c r="O180" s="108" t="n">
        <v>0.122022185851973</v>
      </c>
      <c r="P180" s="109" t="n">
        <v>62</v>
      </c>
      <c r="Q180" s="110" t="n">
        <v>11598</v>
      </c>
      <c r="R180" s="110" t="n">
        <v>8935.819014976119</v>
      </c>
      <c r="S180" s="110" t="n">
        <v>5918.14531816414</v>
      </c>
      <c r="T180" s="110" t="n">
        <v>26451.9643331403</v>
      </c>
      <c r="U180" s="104" t="n">
        <v>5832</v>
      </c>
      <c r="V180" s="104" t="n">
        <v>0</v>
      </c>
      <c r="W180" s="104">
        <f>$U180+$V180</f>
        <v/>
      </c>
      <c r="X180" s="111">
        <f>IFERROR(A180/Q180,0)</f>
        <v/>
      </c>
      <c r="Y180" s="111">
        <f>IFERROR(B180/T180,0)</f>
        <v/>
      </c>
      <c r="Z180" s="111">
        <f>IFERROR(C180/Q180,0)</f>
        <v/>
      </c>
      <c r="AA180" s="111">
        <f>IFERROR(D180/T180,0)</f>
        <v/>
      </c>
      <c r="AC180" s="111">
        <f>IF(T180&gt;0,IFERROR(E180/T180,0),1)</f>
        <v/>
      </c>
      <c r="AD180" s="111">
        <f>IF(Q180&gt;0,IFERROR(F180/Q180,0),1)</f>
        <v/>
      </c>
      <c r="AE180" s="111">
        <f>IF(AK180&gt;0,IFERROR(G180/AK180,0),1)</f>
        <v/>
      </c>
      <c r="AF180" s="111">
        <f>IF(AL180&gt;0,IFERROR(H180/AL180,0),1)</f>
        <v/>
      </c>
      <c r="AG180" s="104">
        <f>T180-(U180+AM180+AQ180)</f>
        <v/>
      </c>
      <c r="AH180" s="104">
        <f>Q180-(U180+AN180+AQ180)</f>
        <v/>
      </c>
      <c r="AI180" s="104">
        <f>(AK180-AO180)</f>
        <v/>
      </c>
      <c r="AJ180" s="104">
        <f>(AL180-AP180)</f>
        <v/>
      </c>
      <c r="AK180" s="110">
        <f>R180+AH180</f>
        <v/>
      </c>
      <c r="AL180" s="110">
        <f>S180+AI180</f>
        <v/>
      </c>
      <c r="AM180" s="104" t="n">
        <v>35640</v>
      </c>
      <c r="AN180" s="104" t="n">
        <v>7800</v>
      </c>
      <c r="AO180" s="104" t="n">
        <v>13920</v>
      </c>
      <c r="AP180" s="104" t="n">
        <v>13920</v>
      </c>
      <c r="AQ180" s="104" t="n">
        <v>0</v>
      </c>
      <c r="AR180" s="104" t="n"/>
      <c r="AS180" s="112" t="n"/>
    </row>
    <row r="181" ht="12.65" customHeight="1" s="79">
      <c r="A181" s="104">
        <f>MIN(U181,Q181)</f>
        <v/>
      </c>
      <c r="B181" s="104">
        <f>MIN(U181,T181)</f>
        <v/>
      </c>
      <c r="C181" s="104">
        <f>MIN(W181,Q181)</f>
        <v/>
      </c>
      <c r="D181" s="104">
        <f>MIN(W181,T181)</f>
        <v/>
      </c>
      <c r="E181" s="104">
        <f>MIN((U181+AM181+AQ181),T181)</f>
        <v/>
      </c>
      <c r="F181" s="104">
        <f>MAX(MIN((U181+AN181+AQ181),Q181),0)</f>
        <v/>
      </c>
      <c r="G181" s="104">
        <f>MAX(MIN(AO181,AK181),0)</f>
        <v/>
      </c>
      <c r="H181" s="104">
        <f>MAX(MIN(AP181,AL181),0)</f>
        <v/>
      </c>
      <c r="I181" s="105" t="inlineStr">
        <is>
          <t>ROOP KISHOR</t>
        </is>
      </c>
      <c r="J181" s="106" t="inlineStr">
        <is>
          <t>HOUSEHOLD</t>
        </is>
      </c>
      <c r="K181" s="107" t="inlineStr">
        <is>
          <t>HH_UTENSILS AIDS</t>
        </is>
      </c>
      <c r="L181" s="107" t="inlineStr">
        <is>
          <t>HH_KA_POTATO MASHER</t>
        </is>
      </c>
      <c r="M181" s="107" t="inlineStr">
        <is>
          <t>ARTICLE</t>
        </is>
      </c>
      <c r="N181" s="108" t="n">
        <v>0.103869960760669</v>
      </c>
      <c r="O181" s="108" t="n">
        <v>0.110260817373274</v>
      </c>
      <c r="P181" s="109" t="n">
        <v>124</v>
      </c>
      <c r="Q181" s="110" t="n">
        <v>6765</v>
      </c>
      <c r="R181" s="110" t="n">
        <v>7795.53990337192</v>
      </c>
      <c r="S181" s="110" t="n">
        <v>8717.887284348</v>
      </c>
      <c r="T181" s="110" t="n">
        <v>23278.4271877199</v>
      </c>
      <c r="U181" s="104" t="n">
        <v>3598</v>
      </c>
      <c r="V181" s="104" t="n">
        <v>0</v>
      </c>
      <c r="W181" s="104">
        <f>$U181+$V181</f>
        <v/>
      </c>
      <c r="X181" s="111">
        <f>IFERROR(A181/Q181,0)</f>
        <v/>
      </c>
      <c r="Y181" s="111">
        <f>IFERROR(B181/T181,0)</f>
        <v/>
      </c>
      <c r="Z181" s="111">
        <f>IFERROR(C181/Q181,0)</f>
        <v/>
      </c>
      <c r="AA181" s="111">
        <f>IFERROR(D181/T181,0)</f>
        <v/>
      </c>
      <c r="AC181" s="111">
        <f>IF(T181&gt;0,IFERROR(E181/T181,0),1)</f>
        <v/>
      </c>
      <c r="AD181" s="111">
        <f>IF(Q181&gt;0,IFERROR(F181/Q181,0),1)</f>
        <v/>
      </c>
      <c r="AE181" s="111">
        <f>IF(AK181&gt;0,IFERROR(G181/AK181,0),1)</f>
        <v/>
      </c>
      <c r="AF181" s="111">
        <f>IF(AL181&gt;0,IFERROR(H181/AL181,0),1)</f>
        <v/>
      </c>
      <c r="AG181" s="104">
        <f>T181-(U181+AM181+AQ181)</f>
        <v/>
      </c>
      <c r="AH181" s="104">
        <f>Q181-(U181+AN181+AQ181)</f>
        <v/>
      </c>
      <c r="AI181" s="104">
        <f>(AK181-AO181)</f>
        <v/>
      </c>
      <c r="AJ181" s="104">
        <f>(AL181-AP181)</f>
        <v/>
      </c>
      <c r="AK181" s="110">
        <f>R181+AH181</f>
        <v/>
      </c>
      <c r="AL181" s="110">
        <f>S181+AI181</f>
        <v/>
      </c>
      <c r="AM181" s="104" t="n">
        <v>20401</v>
      </c>
      <c r="AN181" s="104" t="n">
        <v>4801</v>
      </c>
      <c r="AO181" s="104" t="n">
        <v>13200</v>
      </c>
      <c r="AP181" s="104" t="n">
        <v>2400</v>
      </c>
      <c r="AQ181" s="104" t="n">
        <v>0</v>
      </c>
      <c r="AR181" s="104" t="n"/>
      <c r="AS181" s="112" t="n"/>
    </row>
    <row r="182" ht="12.65" customHeight="1" s="79">
      <c r="A182" s="104">
        <f>MIN(U182,Q182)</f>
        <v/>
      </c>
      <c r="B182" s="104">
        <f>MIN(U182,T182)</f>
        <v/>
      </c>
      <c r="C182" s="104">
        <f>MIN(W182,Q182)</f>
        <v/>
      </c>
      <c r="D182" s="104">
        <f>MIN(W182,T182)</f>
        <v/>
      </c>
      <c r="E182" s="104">
        <f>MIN((U182+AM182+AQ182),T182)</f>
        <v/>
      </c>
      <c r="F182" s="104">
        <f>MAX(MIN((U182+AN182+AQ182),Q182),0)</f>
        <v/>
      </c>
      <c r="G182" s="104">
        <f>MAX(MIN(AO182,AK182),0)</f>
        <v/>
      </c>
      <c r="H182" s="104">
        <f>MAX(MIN(AP182,AL182),0)</f>
        <v/>
      </c>
      <c r="I182" s="105" t="inlineStr">
        <is>
          <t>ROOP KISHOR</t>
        </is>
      </c>
      <c r="J182" s="106" t="inlineStr">
        <is>
          <t>HOUSEHOLD</t>
        </is>
      </c>
      <c r="K182" s="107" t="inlineStr">
        <is>
          <t>HH_UTENSILS AIDS</t>
        </is>
      </c>
      <c r="L182" s="107" t="inlineStr">
        <is>
          <t>HH_U_T_FLASK</t>
        </is>
      </c>
      <c r="M182" s="107" t="inlineStr">
        <is>
          <t>ARTICLE</t>
        </is>
      </c>
      <c r="N182" s="108" t="n">
        <v>0.0621440426986038</v>
      </c>
      <c r="O182" s="108" t="n">
        <v>0.0633018027775772</v>
      </c>
      <c r="P182" s="109" t="n">
        <v>12</v>
      </c>
      <c r="Q182" s="110" t="n">
        <v>11227</v>
      </c>
      <c r="R182" s="110" t="n">
        <v>5324.05461126966</v>
      </c>
      <c r="S182" s="110" t="n">
        <v>2926.82283341292</v>
      </c>
      <c r="T182" s="110" t="n">
        <v>19477.8774446826</v>
      </c>
      <c r="U182" s="104" t="n">
        <v>11669</v>
      </c>
      <c r="V182" s="104" t="n">
        <v>0</v>
      </c>
      <c r="W182" s="104">
        <f>$U182+$V182</f>
        <v/>
      </c>
      <c r="X182" s="111">
        <f>IFERROR(A182/Q182,0)</f>
        <v/>
      </c>
      <c r="Y182" s="111">
        <f>IFERROR(B182/T182,0)</f>
        <v/>
      </c>
      <c r="Z182" s="111">
        <f>IFERROR(C182/Q182,0)</f>
        <v/>
      </c>
      <c r="AA182" s="111">
        <f>IFERROR(D182/T182,0)</f>
        <v/>
      </c>
      <c r="AC182" s="111">
        <f>IF(T182&gt;0,IFERROR(E182/T182,0),1)</f>
        <v/>
      </c>
      <c r="AD182" s="111">
        <f>IF(Q182&gt;0,IFERROR(F182/Q182,0),1)</f>
        <v/>
      </c>
      <c r="AE182" s="111">
        <f>IF(AK182&gt;0,IFERROR(G182/AK182,0),1)</f>
        <v/>
      </c>
      <c r="AF182" s="111">
        <f>IF(AL182&gt;0,IFERROR(H182/AL182,0),1)</f>
        <v/>
      </c>
      <c r="AG182" s="104">
        <f>T182-(U182+AM182+AQ182)</f>
        <v/>
      </c>
      <c r="AH182" s="104">
        <f>Q182-(U182+AN182+AQ182)</f>
        <v/>
      </c>
      <c r="AI182" s="104">
        <f>(AK182-AO182)</f>
        <v/>
      </c>
      <c r="AJ182" s="104">
        <f>(AL182-AP182)</f>
        <v/>
      </c>
      <c r="AK182" s="110">
        <f>R182+AH182</f>
        <v/>
      </c>
      <c r="AL182" s="110">
        <f>S182+AI182</f>
        <v/>
      </c>
      <c r="AM182" s="104" t="n">
        <v>15900</v>
      </c>
      <c r="AN182" s="104" t="n">
        <v>300</v>
      </c>
      <c r="AO182" s="104" t="n">
        <v>7200</v>
      </c>
      <c r="AP182" s="104" t="n">
        <v>8400</v>
      </c>
      <c r="AQ182" s="104" t="n">
        <v>0</v>
      </c>
      <c r="AR182" s="104" t="n"/>
      <c r="AS182" s="112" t="n"/>
    </row>
    <row r="183" ht="12.65" customHeight="1" s="79">
      <c r="A183" s="104">
        <f>MIN(U183,Q183)</f>
        <v/>
      </c>
      <c r="B183" s="104">
        <f>MIN(U183,T183)</f>
        <v/>
      </c>
      <c r="C183" s="104">
        <f>MIN(W183,Q183)</f>
        <v/>
      </c>
      <c r="D183" s="104">
        <f>MIN(W183,T183)</f>
        <v/>
      </c>
      <c r="E183" s="104">
        <f>MIN((U183+AM183+AQ183),T183)</f>
        <v/>
      </c>
      <c r="F183" s="104">
        <f>MAX(MIN((U183+AN183+AQ183),Q183),0)</f>
        <v/>
      </c>
      <c r="G183" s="104">
        <f>MAX(MIN(AO183,AK183),0)</f>
        <v/>
      </c>
      <c r="H183" s="104">
        <f>MAX(MIN(AP183,AL183),0)</f>
        <v/>
      </c>
      <c r="I183" s="105" t="inlineStr">
        <is>
          <t>ROOP KISHOR</t>
        </is>
      </c>
      <c r="J183" s="106" t="inlineStr">
        <is>
          <t>HOUSEHOLD</t>
        </is>
      </c>
      <c r="K183" s="107" t="inlineStr">
        <is>
          <t>HH_UTENSILS AIDS</t>
        </is>
      </c>
      <c r="L183" s="107" t="inlineStr">
        <is>
          <t>HH_U_S_PLATE</t>
        </is>
      </c>
      <c r="M183" s="107" t="inlineStr">
        <is>
          <t>ARTICLE</t>
        </is>
      </c>
      <c r="N183" s="108" t="n">
        <v>0.111067539440741</v>
      </c>
      <c r="O183" s="108" t="n">
        <v>0.0978141311521309</v>
      </c>
      <c r="P183" s="109" t="n">
        <v>133</v>
      </c>
      <c r="Q183" s="110" t="n">
        <v>12810</v>
      </c>
      <c r="R183" s="110" t="n">
        <v>2761.37031013173</v>
      </c>
      <c r="S183" s="110" t="n">
        <v>3113.4906076013</v>
      </c>
      <c r="T183" s="110" t="n">
        <v>18684.860917733</v>
      </c>
      <c r="U183" s="104" t="n">
        <v>9600</v>
      </c>
      <c r="V183" s="104" t="n">
        <v>0</v>
      </c>
      <c r="W183" s="104">
        <f>$U183+$V183</f>
        <v/>
      </c>
      <c r="X183" s="111">
        <f>IFERROR(A183/Q183,0)</f>
        <v/>
      </c>
      <c r="Y183" s="111">
        <f>IFERROR(B183/T183,0)</f>
        <v/>
      </c>
      <c r="Z183" s="111">
        <f>IFERROR(C183/Q183,0)</f>
        <v/>
      </c>
      <c r="AA183" s="111">
        <f>IFERROR(D183/T183,0)</f>
        <v/>
      </c>
      <c r="AC183" s="111">
        <f>IF(T183&gt;0,IFERROR(E183/T183,0),1)</f>
        <v/>
      </c>
      <c r="AD183" s="111">
        <f>IF(Q183&gt;0,IFERROR(F183/Q183,0),1)</f>
        <v/>
      </c>
      <c r="AE183" s="111">
        <f>IF(AK183&gt;0,IFERROR(G183/AK183,0),1)</f>
        <v/>
      </c>
      <c r="AF183" s="111">
        <f>IF(AL183&gt;0,IFERROR(H183/AL183,0),1)</f>
        <v/>
      </c>
      <c r="AG183" s="104">
        <f>T183-(U183+AM183+AQ183)</f>
        <v/>
      </c>
      <c r="AH183" s="104">
        <f>Q183-(U183+AN183+AQ183)</f>
        <v/>
      </c>
      <c r="AI183" s="104">
        <f>(AK183-AO183)</f>
        <v/>
      </c>
      <c r="AJ183" s="104">
        <f>(AL183-AP183)</f>
        <v/>
      </c>
      <c r="AK183" s="110">
        <f>R183+AH183</f>
        <v/>
      </c>
      <c r="AL183" s="110">
        <f>S183+AI183</f>
        <v/>
      </c>
      <c r="AM183" s="104" t="n">
        <v>12000</v>
      </c>
      <c r="AN183" s="104" t="n">
        <v>2400</v>
      </c>
      <c r="AO183" s="104" t="n">
        <v>4800</v>
      </c>
      <c r="AP183" s="104" t="n">
        <v>4800</v>
      </c>
      <c r="AQ183" s="104" t="n">
        <v>0</v>
      </c>
      <c r="AR183" s="104" t="n"/>
      <c r="AS183" s="112" t="n"/>
    </row>
    <row r="184" ht="12.65" customHeight="1" s="79">
      <c r="A184" s="104">
        <f>MIN(U184,Q184)</f>
        <v/>
      </c>
      <c r="B184" s="104">
        <f>MIN(U184,T184)</f>
        <v/>
      </c>
      <c r="C184" s="104">
        <f>MIN(W184,Q184)</f>
        <v/>
      </c>
      <c r="D184" s="104">
        <f>MIN(W184,T184)</f>
        <v/>
      </c>
      <c r="E184" s="104">
        <f>MIN((U184+AM184+AQ184),T184)</f>
        <v/>
      </c>
      <c r="F184" s="104">
        <f>MAX(MIN((U184+AN184+AQ184),Q184),0)</f>
        <v/>
      </c>
      <c r="G184" s="104">
        <f>MAX(MIN(AO184,AK184),0)</f>
        <v/>
      </c>
      <c r="H184" s="104">
        <f>MAX(MIN(AP184,AL184),0)</f>
        <v/>
      </c>
      <c r="I184" s="105" t="inlineStr">
        <is>
          <t>ROOP KISHOR</t>
        </is>
      </c>
      <c r="J184" s="106" t="inlineStr">
        <is>
          <t>HOUSEHOLD</t>
        </is>
      </c>
      <c r="K184" s="107" t="inlineStr">
        <is>
          <t>HH_UTENSILS AIDS</t>
        </is>
      </c>
      <c r="L184" s="107" t="inlineStr">
        <is>
          <t>HH_U_T_CASSEROLE</t>
        </is>
      </c>
      <c r="M184" s="107" t="inlineStr">
        <is>
          <t>ARTICLE</t>
        </is>
      </c>
      <c r="N184" s="108" t="n">
        <v>0.100886307303272</v>
      </c>
      <c r="O184" s="108" t="n">
        <v>0.0985485454768627</v>
      </c>
      <c r="P184" s="109" t="n">
        <v>28</v>
      </c>
      <c r="Q184" s="110" t="n">
        <v>9741</v>
      </c>
      <c r="R184" s="110" t="n">
        <v>4489.98397930821</v>
      </c>
      <c r="S184" s="110" t="n">
        <v>3016.9775309516</v>
      </c>
      <c r="T184" s="110" t="n">
        <v>17247.9615102598</v>
      </c>
      <c r="U184" s="104" t="n">
        <v>2448</v>
      </c>
      <c r="V184" s="104" t="n">
        <v>1704</v>
      </c>
      <c r="W184" s="104">
        <f>$U184+$V184</f>
        <v/>
      </c>
      <c r="X184" s="111">
        <f>IFERROR(A184/Q184,0)</f>
        <v/>
      </c>
      <c r="Y184" s="111">
        <f>IFERROR(B184/T184,0)</f>
        <v/>
      </c>
      <c r="Z184" s="111">
        <f>IFERROR(C184/Q184,0)</f>
        <v/>
      </c>
      <c r="AA184" s="111">
        <f>IFERROR(D184/T184,0)</f>
        <v/>
      </c>
      <c r="AC184" s="111">
        <f>IF(T184&gt;0,IFERROR(E184/T184,0),1)</f>
        <v/>
      </c>
      <c r="AD184" s="111">
        <f>IF(Q184&gt;0,IFERROR(F184/Q184,0),1)</f>
        <v/>
      </c>
      <c r="AE184" s="111">
        <f>IF(AK184&gt;0,IFERROR(G184/AK184,0),1)</f>
        <v/>
      </c>
      <c r="AF184" s="111">
        <f>IF(AL184&gt;0,IFERROR(H184/AL184,0),1)</f>
        <v/>
      </c>
      <c r="AG184" s="104">
        <f>T184-(U184+AM184+AQ184)</f>
        <v/>
      </c>
      <c r="AH184" s="104">
        <f>Q184-(U184+AN184+AQ184)</f>
        <v/>
      </c>
      <c r="AI184" s="104">
        <f>(AK184-AO184)</f>
        <v/>
      </c>
      <c r="AJ184" s="104">
        <f>(AL184-AP184)</f>
        <v/>
      </c>
      <c r="AK184" s="110">
        <f>R184+AH184</f>
        <v/>
      </c>
      <c r="AL184" s="110">
        <f>S184+AI184</f>
        <v/>
      </c>
      <c r="AM184" s="104" t="n">
        <v>21924</v>
      </c>
      <c r="AN184" s="104" t="n">
        <v>13524</v>
      </c>
      <c r="AO184" s="104" t="n">
        <v>4800</v>
      </c>
      <c r="AP184" s="104" t="n">
        <v>3600</v>
      </c>
      <c r="AQ184" s="104" t="n">
        <v>0</v>
      </c>
      <c r="AR184" s="104" t="n"/>
      <c r="AS184" s="112" t="n"/>
    </row>
    <row r="185" ht="12.65" customHeight="1" s="79">
      <c r="A185" s="104">
        <f>MIN(U185,Q185)</f>
        <v/>
      </c>
      <c r="B185" s="104">
        <f>MIN(U185,T185)</f>
        <v/>
      </c>
      <c r="C185" s="104">
        <f>MIN(W185,Q185)</f>
        <v/>
      </c>
      <c r="D185" s="104">
        <f>MIN(W185,T185)</f>
        <v/>
      </c>
      <c r="E185" s="104">
        <f>MIN((U185+AM185+AQ185),T185)</f>
        <v/>
      </c>
      <c r="F185" s="104">
        <f>MAX(MIN((U185+AN185+AQ185),Q185),0)</f>
        <v/>
      </c>
      <c r="G185" s="104">
        <f>MAX(MIN(AO185,AK185),0)</f>
        <v/>
      </c>
      <c r="H185" s="104">
        <f>MAX(MIN(AP185,AL185),0)</f>
        <v/>
      </c>
      <c r="I185" s="105" t="inlineStr">
        <is>
          <t>ROOP KISHOR</t>
        </is>
      </c>
      <c r="J185" s="106" t="inlineStr">
        <is>
          <t>HOUSEHOLD</t>
        </is>
      </c>
      <c r="K185" s="107" t="inlineStr">
        <is>
          <t>HH_UTENSILS AIDS</t>
        </is>
      </c>
      <c r="L185" s="107" t="inlineStr">
        <is>
          <t>HH_U_S_MUG</t>
        </is>
      </c>
      <c r="M185" s="107" t="inlineStr">
        <is>
          <t>ARTICLE</t>
        </is>
      </c>
      <c r="N185" s="108" t="n">
        <v>0.100510532652623</v>
      </c>
      <c r="O185" s="108" t="n">
        <v>0.089833386394991</v>
      </c>
      <c r="P185" s="109" t="n">
        <v>76</v>
      </c>
      <c r="Q185" s="110" t="n">
        <v>4734</v>
      </c>
      <c r="R185" s="110" t="n">
        <v>5583.46513825448</v>
      </c>
      <c r="S185" s="110" t="n">
        <v>5661.54616269815</v>
      </c>
      <c r="T185" s="110" t="n">
        <v>15979.0113009526</v>
      </c>
      <c r="U185" s="104" t="n">
        <v>5999</v>
      </c>
      <c r="V185" s="104" t="n">
        <v>1200</v>
      </c>
      <c r="W185" s="104">
        <f>$U185+$V185</f>
        <v/>
      </c>
      <c r="X185" s="111">
        <f>IFERROR(A185/Q185,0)</f>
        <v/>
      </c>
      <c r="Y185" s="111">
        <f>IFERROR(B185/T185,0)</f>
        <v/>
      </c>
      <c r="Z185" s="111">
        <f>IFERROR(C185/Q185,0)</f>
        <v/>
      </c>
      <c r="AA185" s="111">
        <f>IFERROR(D185/T185,0)</f>
        <v/>
      </c>
      <c r="AC185" s="111">
        <f>IF(T185&gt;0,IFERROR(E185/T185,0),1)</f>
        <v/>
      </c>
      <c r="AD185" s="111">
        <f>IF(Q185&gt;0,IFERROR(F185/Q185,0),1)</f>
        <v/>
      </c>
      <c r="AE185" s="111">
        <f>IF(AK185&gt;0,IFERROR(G185/AK185,0),1)</f>
        <v/>
      </c>
      <c r="AF185" s="111">
        <f>IF(AL185&gt;0,IFERROR(H185/AL185,0),1)</f>
        <v/>
      </c>
      <c r="AG185" s="104">
        <f>T185-(U185+AM185+AQ185)</f>
        <v/>
      </c>
      <c r="AH185" s="104">
        <f>Q185-(U185+AN185+AQ185)</f>
        <v/>
      </c>
      <c r="AI185" s="104">
        <f>(AK185-AO185)</f>
        <v/>
      </c>
      <c r="AJ185" s="104">
        <f>(AL185-AP185)</f>
        <v/>
      </c>
      <c r="AK185" s="110">
        <f>R185+AH185</f>
        <v/>
      </c>
      <c r="AL185" s="110">
        <f>S185+AI185</f>
        <v/>
      </c>
      <c r="AM185" s="104" t="n">
        <v>26160</v>
      </c>
      <c r="AN185" s="104" t="n">
        <v>8160</v>
      </c>
      <c r="AO185" s="104" t="n">
        <v>7200</v>
      </c>
      <c r="AP185" s="104" t="n">
        <v>10800</v>
      </c>
      <c r="AQ185" s="104" t="n">
        <v>0</v>
      </c>
      <c r="AR185" s="104" t="n"/>
      <c r="AS185" s="104" t="n"/>
    </row>
    <row r="186" ht="12.65" customHeight="1" s="79">
      <c r="A186" s="104">
        <f>MIN(U186,Q186)</f>
        <v/>
      </c>
      <c r="B186" s="104">
        <f>MIN(U186,T186)</f>
        <v/>
      </c>
      <c r="C186" s="104">
        <f>MIN(W186,Q186)</f>
        <v/>
      </c>
      <c r="D186" s="104">
        <f>MIN(W186,T186)</f>
        <v/>
      </c>
      <c r="E186" s="104">
        <f>MIN((U186+AM186+AQ186),T186)</f>
        <v/>
      </c>
      <c r="F186" s="104">
        <f>MAX(MIN((U186+AN186+AQ186),Q186),0)</f>
        <v/>
      </c>
      <c r="G186" s="104">
        <f>MAX(MIN(AO186,AK186),0)</f>
        <v/>
      </c>
      <c r="H186" s="104">
        <f>MAX(MIN(AP186,AL186),0)</f>
        <v/>
      </c>
      <c r="I186" s="105" t="inlineStr">
        <is>
          <t>ROOP KISHOR</t>
        </is>
      </c>
      <c r="J186" s="106" t="inlineStr">
        <is>
          <t>HOUSEHOLD</t>
        </is>
      </c>
      <c r="K186" s="107" t="inlineStr">
        <is>
          <t>HH_UTENSILS AIDS</t>
        </is>
      </c>
      <c r="L186" s="107" t="inlineStr">
        <is>
          <t>HH_U_N_FRY PAN</t>
        </is>
      </c>
      <c r="M186" s="107" t="inlineStr">
        <is>
          <t>ARTICLE</t>
        </is>
      </c>
      <c r="N186" s="108" t="n">
        <v>0.103960615602963</v>
      </c>
      <c r="O186" s="108" t="n">
        <v>0.106343322652929</v>
      </c>
      <c r="P186" s="109" t="n">
        <v>91</v>
      </c>
      <c r="Q186" s="110" t="n">
        <v>8656</v>
      </c>
      <c r="R186" s="110" t="n">
        <v>4338.36925647053</v>
      </c>
      <c r="S186" s="110" t="n">
        <v>2511.80764617639</v>
      </c>
      <c r="T186" s="110" t="n">
        <v>15506.1769026469</v>
      </c>
      <c r="U186" s="104" t="n">
        <v>4679</v>
      </c>
      <c r="V186" s="104" t="n">
        <v>720</v>
      </c>
      <c r="W186" s="104">
        <f>$U186+$V186</f>
        <v/>
      </c>
      <c r="X186" s="111">
        <f>IFERROR(A186/Q186,0)</f>
        <v/>
      </c>
      <c r="Y186" s="111">
        <f>IFERROR(B186/T186,0)</f>
        <v/>
      </c>
      <c r="Z186" s="111">
        <f>IFERROR(C186/Q186,0)</f>
        <v/>
      </c>
      <c r="AA186" s="111">
        <f>IFERROR(D186/T186,0)</f>
        <v/>
      </c>
      <c r="AC186" s="111">
        <f>IF(T186&gt;0,IFERROR(E186/T186,0),1)</f>
        <v/>
      </c>
      <c r="AD186" s="111">
        <f>IF(Q186&gt;0,IFERROR(F186/Q186,0),1)</f>
        <v/>
      </c>
      <c r="AE186" s="111">
        <f>IF(AK186&gt;0,IFERROR(G186/AK186,0),1)</f>
        <v/>
      </c>
      <c r="AF186" s="111">
        <f>IF(AL186&gt;0,IFERROR(H186/AL186,0),1)</f>
        <v/>
      </c>
      <c r="AG186" s="104">
        <f>T186-(U186+AM186+AQ186)</f>
        <v/>
      </c>
      <c r="AH186" s="104">
        <f>Q186-(U186+AN186+AQ186)</f>
        <v/>
      </c>
      <c r="AI186" s="104">
        <f>(AK186-AO186)</f>
        <v/>
      </c>
      <c r="AJ186" s="104">
        <f>(AL186-AP186)</f>
        <v/>
      </c>
      <c r="AK186" s="110">
        <f>R186+AH186</f>
        <v/>
      </c>
      <c r="AL186" s="110">
        <f>S186+AI186</f>
        <v/>
      </c>
      <c r="AM186" s="104" t="n">
        <v>11040</v>
      </c>
      <c r="AN186" s="104" t="n">
        <v>3120</v>
      </c>
      <c r="AO186" s="104" t="n">
        <v>5520</v>
      </c>
      <c r="AP186" s="104" t="n">
        <v>2400</v>
      </c>
      <c r="AQ186" s="104" t="n">
        <v>0</v>
      </c>
      <c r="AR186" s="104" t="n"/>
      <c r="AS186" s="104" t="n"/>
    </row>
    <row r="187" ht="12.65" customHeight="1" s="79">
      <c r="A187" s="104">
        <f>MIN(U187,Q187)</f>
        <v/>
      </c>
      <c r="B187" s="104">
        <f>MIN(U187,T187)</f>
        <v/>
      </c>
      <c r="C187" s="104">
        <f>MIN(W187,Q187)</f>
        <v/>
      </c>
      <c r="D187" s="104">
        <f>MIN(W187,T187)</f>
        <v/>
      </c>
      <c r="E187" s="104">
        <f>MIN((U187+AM187+AQ187),T187)</f>
        <v/>
      </c>
      <c r="F187" s="104">
        <f>MAX(MIN((U187+AN187+AQ187),Q187),0)</f>
        <v/>
      </c>
      <c r="G187" s="104">
        <f>MAX(MIN(AO187,AK187),0)</f>
        <v/>
      </c>
      <c r="H187" s="104">
        <f>MAX(MIN(AP187,AL187),0)</f>
        <v/>
      </c>
      <c r="I187" s="105" t="inlineStr">
        <is>
          <t>ROOP KISHOR</t>
        </is>
      </c>
      <c r="J187" s="106" t="inlineStr">
        <is>
          <t>HOUSEHOLD</t>
        </is>
      </c>
      <c r="K187" s="107" t="inlineStr">
        <is>
          <t>HH_UTENSILS AIDS</t>
        </is>
      </c>
      <c r="L187" s="107" t="inlineStr">
        <is>
          <t>HH_U_S_WATER BOTTLE</t>
        </is>
      </c>
      <c r="M187" s="107" t="inlineStr">
        <is>
          <t>ARTICLE</t>
        </is>
      </c>
      <c r="N187" s="108" t="n">
        <v>0.115701698381334</v>
      </c>
      <c r="O187" s="108" t="n">
        <v>0.137720965529726</v>
      </c>
      <c r="P187" s="109" t="n">
        <v>38</v>
      </c>
      <c r="Q187" s="110" t="n">
        <v>1244</v>
      </c>
      <c r="R187" s="110" t="n">
        <v>3919.17571759729</v>
      </c>
      <c r="S187" s="110" t="n">
        <v>8502.96139109089</v>
      </c>
      <c r="T187" s="110" t="n">
        <v>13666.1371086882</v>
      </c>
      <c r="U187" s="104" t="n">
        <v>16872</v>
      </c>
      <c r="V187" s="104" t="n">
        <v>2400</v>
      </c>
      <c r="W187" s="104">
        <f>$U187+$V187</f>
        <v/>
      </c>
      <c r="X187" s="111">
        <f>IFERROR(A187/Q187,0)</f>
        <v/>
      </c>
      <c r="Y187" s="111">
        <f>IFERROR(B187/T187,0)</f>
        <v/>
      </c>
      <c r="Z187" s="111">
        <f>IFERROR(C187/Q187,0)</f>
        <v/>
      </c>
      <c r="AA187" s="111">
        <f>IFERROR(D187/T187,0)</f>
        <v/>
      </c>
      <c r="AC187" s="111">
        <f>IF(T187&gt;0,IFERROR(E187/T187,0),1)</f>
        <v/>
      </c>
      <c r="AD187" s="111">
        <f>IF(Q187&gt;0,IFERROR(F187/Q187,0),1)</f>
        <v/>
      </c>
      <c r="AE187" s="111">
        <f>IF(AK187&gt;0,IFERROR(G187/AK187,0),1)</f>
        <v/>
      </c>
      <c r="AF187" s="111">
        <f>IF(AL187&gt;0,IFERROR(H187/AL187,0),1)</f>
        <v/>
      </c>
      <c r="AG187" s="104">
        <f>T187-(U187+AM187+AQ187)</f>
        <v/>
      </c>
      <c r="AH187" s="104">
        <f>Q187-(U187+AN187+AQ187)</f>
        <v/>
      </c>
      <c r="AI187" s="104">
        <f>(AK187-AO187)</f>
        <v/>
      </c>
      <c r="AJ187" s="104">
        <f>(AL187-AP187)</f>
        <v/>
      </c>
      <c r="AK187" s="110">
        <f>R187+AH187</f>
        <v/>
      </c>
      <c r="AL187" s="110">
        <f>S187+AI187</f>
        <v/>
      </c>
      <c r="AM187" s="104" t="n">
        <v>27504</v>
      </c>
      <c r="AN187" s="104" t="n">
        <v>15504</v>
      </c>
      <c r="AO187" s="104" t="n">
        <v>6000</v>
      </c>
      <c r="AP187" s="104" t="n">
        <v>6000</v>
      </c>
      <c r="AQ187" s="104" t="n">
        <v>0</v>
      </c>
      <c r="AR187" s="104" t="n"/>
      <c r="AS187" s="112" t="n"/>
    </row>
    <row r="188" ht="12.65" customHeight="1" s="79">
      <c r="A188" s="104">
        <f>MIN(U188,Q188)</f>
        <v/>
      </c>
      <c r="B188" s="104">
        <f>MIN(U188,T188)</f>
        <v/>
      </c>
      <c r="C188" s="104">
        <f>MIN(W188,Q188)</f>
        <v/>
      </c>
      <c r="D188" s="104">
        <f>MIN(W188,T188)</f>
        <v/>
      </c>
      <c r="E188" s="104">
        <f>MIN((U188+AM188+AQ188),T188)</f>
        <v/>
      </c>
      <c r="F188" s="104">
        <f>MAX(MIN((U188+AN188+AQ188),Q188),0)</f>
        <v/>
      </c>
      <c r="G188" s="104">
        <f>MAX(MIN(AO188,AK188),0)</f>
        <v/>
      </c>
      <c r="H188" s="104">
        <f>MAX(MIN(AP188,AL188),0)</f>
        <v/>
      </c>
      <c r="I188" s="105" t="inlineStr">
        <is>
          <t>ROOP KISHOR</t>
        </is>
      </c>
      <c r="J188" s="106" t="inlineStr">
        <is>
          <t>HOUSEHOLD</t>
        </is>
      </c>
      <c r="K188" s="107" t="inlineStr">
        <is>
          <t>HH_UTENSILS AIDS</t>
        </is>
      </c>
      <c r="L188" s="107" t="inlineStr">
        <is>
          <t>HH_U_S_BOWL</t>
        </is>
      </c>
      <c r="M188" s="107" t="inlineStr">
        <is>
          <t>ARTICLE</t>
        </is>
      </c>
      <c r="N188" s="108" t="n">
        <v>0.107942674156124</v>
      </c>
      <c r="O188" s="108" t="n">
        <v>0.0950617283950617</v>
      </c>
      <c r="P188" s="109" t="n">
        <v>135</v>
      </c>
      <c r="Q188" s="110" t="n">
        <v>7813</v>
      </c>
      <c r="R188" s="110" t="n">
        <v>2144.46772851681</v>
      </c>
      <c r="S188" s="110" t="n">
        <v>1026.91425352573</v>
      </c>
      <c r="T188" s="110" t="n">
        <v>10984.3819820425</v>
      </c>
      <c r="U188" s="104" t="n">
        <v>4200</v>
      </c>
      <c r="V188" s="104" t="n">
        <v>0</v>
      </c>
      <c r="W188" s="104">
        <f>$U188+$V188</f>
        <v/>
      </c>
      <c r="X188" s="111">
        <f>IFERROR(A188/Q188,0)</f>
        <v/>
      </c>
      <c r="Y188" s="111">
        <f>IFERROR(B188/T188,0)</f>
        <v/>
      </c>
      <c r="Z188" s="111">
        <f>IFERROR(C188/Q188,0)</f>
        <v/>
      </c>
      <c r="AA188" s="111">
        <f>IFERROR(D188/T188,0)</f>
        <v/>
      </c>
      <c r="AC188" s="111">
        <f>IF(T188&gt;0,IFERROR(E188/T188,0),1)</f>
        <v/>
      </c>
      <c r="AD188" s="111">
        <f>IF(Q188&gt;0,IFERROR(F188/Q188,0),1)</f>
        <v/>
      </c>
      <c r="AE188" s="111">
        <f>IF(AK188&gt;0,IFERROR(G188/AK188,0),1)</f>
        <v/>
      </c>
      <c r="AF188" s="111">
        <f>IF(AL188&gt;0,IFERROR(H188/AL188,0),1)</f>
        <v/>
      </c>
      <c r="AG188" s="104">
        <f>T188-(U188+AM188+AQ188)</f>
        <v/>
      </c>
      <c r="AH188" s="104">
        <f>Q188-(U188+AN188+AQ188)</f>
        <v/>
      </c>
      <c r="AI188" s="104">
        <f>(AK188-AO188)</f>
        <v/>
      </c>
      <c r="AJ188" s="104">
        <f>(AL188-AP188)</f>
        <v/>
      </c>
      <c r="AK188" s="110">
        <f>R188+AH188</f>
        <v/>
      </c>
      <c r="AL188" s="110">
        <f>S188+AI188</f>
        <v/>
      </c>
      <c r="AM188" s="104" t="n">
        <v>16800</v>
      </c>
      <c r="AN188" s="104" t="n">
        <v>7200</v>
      </c>
      <c r="AO188" s="104" t="n">
        <v>4800</v>
      </c>
      <c r="AP188" s="104" t="n">
        <v>4800</v>
      </c>
      <c r="AQ188" s="104" t="n">
        <v>0</v>
      </c>
      <c r="AR188" s="104" t="n"/>
      <c r="AS188" s="104" t="n"/>
    </row>
    <row r="189" ht="12.65" customHeight="1" s="79">
      <c r="A189" s="104">
        <f>MIN(U189,Q189)</f>
        <v/>
      </c>
      <c r="B189" s="104">
        <f>MIN(U189,T189)</f>
        <v/>
      </c>
      <c r="C189" s="104">
        <f>MIN(W189,Q189)</f>
        <v/>
      </c>
      <c r="D189" s="104">
        <f>MIN(W189,T189)</f>
        <v/>
      </c>
      <c r="E189" s="104">
        <f>MIN((U189+AM189+AQ189),T189)</f>
        <v/>
      </c>
      <c r="F189" s="104">
        <f>MAX(MIN((U189+AN189+AQ189),Q189),0)</f>
        <v/>
      </c>
      <c r="G189" s="104">
        <f>MAX(MIN(AO189,AK189),0)</f>
        <v/>
      </c>
      <c r="H189" s="104">
        <f>MAX(MIN(AP189,AL189),0)</f>
        <v/>
      </c>
      <c r="I189" s="105" t="inlineStr">
        <is>
          <t>ROOP KISHOR</t>
        </is>
      </c>
      <c r="J189" s="106" t="inlineStr">
        <is>
          <t>HOUSEHOLD</t>
        </is>
      </c>
      <c r="K189" s="107" t="inlineStr">
        <is>
          <t>HH_UTENSILS AIDS</t>
        </is>
      </c>
      <c r="L189" s="107" t="inlineStr">
        <is>
          <t>HH_U_S_PATILA</t>
        </is>
      </c>
      <c r="M189" s="107" t="inlineStr">
        <is>
          <t>ARTICLE</t>
        </is>
      </c>
      <c r="N189" s="108" t="n">
        <v>0.0835576106786121</v>
      </c>
      <c r="O189" s="108" t="n">
        <v>0.07804731955675349</v>
      </c>
      <c r="P189" s="109" t="n">
        <v>137</v>
      </c>
      <c r="Q189" s="110" t="n">
        <v>6677</v>
      </c>
      <c r="R189" s="110" t="n">
        <v>2449.30057643722</v>
      </c>
      <c r="S189" s="110" t="n">
        <v>1004.60720431167</v>
      </c>
      <c r="T189" s="110" t="n">
        <v>10130.9077807489</v>
      </c>
      <c r="U189" s="104" t="n">
        <v>0</v>
      </c>
      <c r="V189" s="104" t="n">
        <v>0</v>
      </c>
      <c r="W189" s="104">
        <f>$U189+$V189</f>
        <v/>
      </c>
      <c r="X189" s="111">
        <f>IFERROR(A189/Q189,0)</f>
        <v/>
      </c>
      <c r="Y189" s="111">
        <f>IFERROR(B189/T189,0)</f>
        <v/>
      </c>
      <c r="Z189" s="111">
        <f>IFERROR(C189/Q189,0)</f>
        <v/>
      </c>
      <c r="AA189" s="111">
        <f>IFERROR(D189/T189,0)</f>
        <v/>
      </c>
      <c r="AC189" s="111">
        <f>IF(T189&gt;0,IFERROR(E189/T189,0),1)</f>
        <v/>
      </c>
      <c r="AD189" s="111">
        <f>IF(Q189&gt;0,IFERROR(F189/Q189,0),1)</f>
        <v/>
      </c>
      <c r="AE189" s="111">
        <f>IF(AK189&gt;0,IFERROR(G189/AK189,0),1)</f>
        <v/>
      </c>
      <c r="AF189" s="111">
        <f>IF(AL189&gt;0,IFERROR(H189/AL189,0),1)</f>
        <v/>
      </c>
      <c r="AG189" s="104">
        <f>T189-(U189+AM189+AQ189)</f>
        <v/>
      </c>
      <c r="AH189" s="104">
        <f>Q189-(U189+AN189+AQ189)</f>
        <v/>
      </c>
      <c r="AI189" s="104">
        <f>(AK189-AO189)</f>
        <v/>
      </c>
      <c r="AJ189" s="104">
        <f>(AL189-AP189)</f>
        <v/>
      </c>
      <c r="AK189" s="110">
        <f>R189+AH189</f>
        <v/>
      </c>
      <c r="AL189" s="110">
        <f>S189+AI189</f>
        <v/>
      </c>
      <c r="AM189" s="104" t="n">
        <v>9600</v>
      </c>
      <c r="AN189" s="104" t="n">
        <v>7200</v>
      </c>
      <c r="AO189" s="104" t="n">
        <v>2400</v>
      </c>
      <c r="AP189" s="104" t="n">
        <v>0</v>
      </c>
      <c r="AQ189" s="104" t="n">
        <v>0</v>
      </c>
      <c r="AR189" s="104" t="n"/>
      <c r="AS189" s="112" t="n"/>
    </row>
    <row r="190" ht="12.65" customHeight="1" s="79">
      <c r="A190" s="104">
        <f>MIN(U190,Q190)</f>
        <v/>
      </c>
      <c r="B190" s="104">
        <f>MIN(U190,T190)</f>
        <v/>
      </c>
      <c r="C190" s="104">
        <f>MIN(W190,Q190)</f>
        <v/>
      </c>
      <c r="D190" s="104">
        <f>MIN(W190,T190)</f>
        <v/>
      </c>
      <c r="E190" s="104">
        <f>MIN((U190+AM190+AQ190),T190)</f>
        <v/>
      </c>
      <c r="F190" s="104">
        <f>MAX(MIN((U190+AN190+AQ190),Q190),0)</f>
        <v/>
      </c>
      <c r="G190" s="104">
        <f>MAX(MIN(AO190,AK190),0)</f>
        <v/>
      </c>
      <c r="H190" s="104">
        <f>MAX(MIN(AP190,AL190),0)</f>
        <v/>
      </c>
      <c r="I190" s="105" t="inlineStr">
        <is>
          <t>ROOP KISHOR</t>
        </is>
      </c>
      <c r="J190" s="106" t="inlineStr">
        <is>
          <t>HOUSEHOLD</t>
        </is>
      </c>
      <c r="K190" s="107" t="inlineStr">
        <is>
          <t>HH_UTENSILS AIDS</t>
        </is>
      </c>
      <c r="L190" s="107" t="inlineStr">
        <is>
          <t>HH_U_S_SAUCE PAN</t>
        </is>
      </c>
      <c r="M190" s="107" t="inlineStr">
        <is>
          <t>ARTICLE</t>
        </is>
      </c>
      <c r="N190" s="108" t="n">
        <v>0.10411680229775</v>
      </c>
      <c r="O190" s="108" t="n">
        <v>0.0895691958117112</v>
      </c>
      <c r="P190" s="109" t="n">
        <v>117</v>
      </c>
      <c r="Q190" s="110" t="n">
        <v>3534</v>
      </c>
      <c r="R190" s="110" t="n">
        <v>3310.95362766935</v>
      </c>
      <c r="S190" s="110" t="n">
        <v>1625.44722772942</v>
      </c>
      <c r="T190" s="110" t="n">
        <v>8470.40085539877</v>
      </c>
      <c r="U190" s="104" t="n">
        <v>2676</v>
      </c>
      <c r="V190" s="104" t="n">
        <v>0</v>
      </c>
      <c r="W190" s="104">
        <f>$U190+$V190</f>
        <v/>
      </c>
      <c r="X190" s="111">
        <f>IFERROR(A190/Q190,0)</f>
        <v/>
      </c>
      <c r="Y190" s="111">
        <f>IFERROR(B190/T190,0)</f>
        <v/>
      </c>
      <c r="Z190" s="111">
        <f>IFERROR(C190/Q190,0)</f>
        <v/>
      </c>
      <c r="AA190" s="111">
        <f>IFERROR(D190/T190,0)</f>
        <v/>
      </c>
      <c r="AC190" s="111">
        <f>IF(T190&gt;0,IFERROR(E190/T190,0),1)</f>
        <v/>
      </c>
      <c r="AD190" s="111">
        <f>IF(Q190&gt;0,IFERROR(F190/Q190,0),1)</f>
        <v/>
      </c>
      <c r="AE190" s="111">
        <f>IF(AK190&gt;0,IFERROR(G190/AK190,0),1)</f>
        <v/>
      </c>
      <c r="AF190" s="111">
        <f>IF(AL190&gt;0,IFERROR(H190/AL190,0),1)</f>
        <v/>
      </c>
      <c r="AG190" s="104">
        <f>T190-(U190+AM190+AQ190)</f>
        <v/>
      </c>
      <c r="AH190" s="104">
        <f>Q190-(U190+AN190+AQ190)</f>
        <v/>
      </c>
      <c r="AI190" s="104">
        <f>(AK190-AO190)</f>
        <v/>
      </c>
      <c r="AJ190" s="104">
        <f>(AL190-AP190)</f>
        <v/>
      </c>
      <c r="AK190" s="110">
        <f>R190+AH190</f>
        <v/>
      </c>
      <c r="AL190" s="110">
        <f>S190+AI190</f>
        <v/>
      </c>
      <c r="AM190" s="104" t="n">
        <v>12000</v>
      </c>
      <c r="AN190" s="104" t="n">
        <v>4800</v>
      </c>
      <c r="AO190" s="104" t="n">
        <v>4800</v>
      </c>
      <c r="AP190" s="104" t="n">
        <v>2400</v>
      </c>
      <c r="AQ190" s="104" t="n">
        <v>0</v>
      </c>
      <c r="AR190" s="104" t="n"/>
      <c r="AS190" s="112" t="n"/>
    </row>
    <row r="191" ht="12.65" customHeight="1" s="79">
      <c r="A191" s="104">
        <f>MIN(U191,Q191)</f>
        <v/>
      </c>
      <c r="B191" s="104">
        <f>MIN(U191,T191)</f>
        <v/>
      </c>
      <c r="C191" s="104">
        <f>MIN(W191,Q191)</f>
        <v/>
      </c>
      <c r="D191" s="104">
        <f>MIN(W191,T191)</f>
        <v/>
      </c>
      <c r="E191" s="104">
        <f>MIN((U191+AM191+AQ191),T191)</f>
        <v/>
      </c>
      <c r="F191" s="104">
        <f>MAX(MIN((U191+AN191+AQ191),Q191),0)</f>
        <v/>
      </c>
      <c r="G191" s="104">
        <f>MAX(MIN(AO191,AK191),0)</f>
        <v/>
      </c>
      <c r="H191" s="104">
        <f>MAX(MIN(AP191,AL191),0)</f>
        <v/>
      </c>
      <c r="I191" s="105" t="inlineStr">
        <is>
          <t>ROOP KISHOR</t>
        </is>
      </c>
      <c r="J191" s="106" t="inlineStr">
        <is>
          <t>HOUSEHOLD</t>
        </is>
      </c>
      <c r="K191" s="107" t="inlineStr">
        <is>
          <t>HH_UTENSILS AIDS</t>
        </is>
      </c>
      <c r="L191" s="107" t="inlineStr">
        <is>
          <t>HH_U_N_TAWA</t>
        </is>
      </c>
      <c r="M191" s="107" t="inlineStr">
        <is>
          <t>ARTICLE</t>
        </is>
      </c>
      <c r="N191" s="108" t="n">
        <v>0.0995279657997863</v>
      </c>
      <c r="O191" s="108" t="n">
        <v>0.110766847405112</v>
      </c>
      <c r="P191" s="109" t="n">
        <v>105</v>
      </c>
      <c r="Q191" s="110" t="n">
        <v>3249</v>
      </c>
      <c r="R191" s="110" t="n">
        <v>2819.18808257917</v>
      </c>
      <c r="S191" s="110" t="n">
        <v>1976.49964182875</v>
      </c>
      <c r="T191" s="110" t="n">
        <v>8044.68772440792</v>
      </c>
      <c r="U191" s="104" t="n">
        <v>0</v>
      </c>
      <c r="V191" s="104" t="n">
        <v>3600</v>
      </c>
      <c r="W191" s="104">
        <f>$U191+$V191</f>
        <v/>
      </c>
      <c r="X191" s="111">
        <f>IFERROR(A191/Q191,0)</f>
        <v/>
      </c>
      <c r="Y191" s="111">
        <f>IFERROR(B191/T191,0)</f>
        <v/>
      </c>
      <c r="Z191" s="111">
        <f>IFERROR(C191/Q191,0)</f>
        <v/>
      </c>
      <c r="AA191" s="111">
        <f>IFERROR(D191/T191,0)</f>
        <v/>
      </c>
      <c r="AC191" s="111">
        <f>IF(T191&gt;0,IFERROR(E191/T191,0),1)</f>
        <v/>
      </c>
      <c r="AD191" s="111">
        <f>IF(Q191&gt;0,IFERROR(F191/Q191,0),1)</f>
        <v/>
      </c>
      <c r="AE191" s="111">
        <f>IF(AK191&gt;0,IFERROR(G191/AK191,0),1)</f>
        <v/>
      </c>
      <c r="AF191" s="111">
        <f>IF(AL191&gt;0,IFERROR(H191/AL191,0),1)</f>
        <v/>
      </c>
      <c r="AG191" s="104">
        <f>T191-(U191+AM191+AQ191)</f>
        <v/>
      </c>
      <c r="AH191" s="104">
        <f>Q191-(U191+AN191+AQ191)</f>
        <v/>
      </c>
      <c r="AI191" s="104">
        <f>(AK191-AO191)</f>
        <v/>
      </c>
      <c r="AJ191" s="104">
        <f>(AL191-AP191)</f>
        <v/>
      </c>
      <c r="AK191" s="110">
        <f>R191+AH191</f>
        <v/>
      </c>
      <c r="AL191" s="110">
        <f>S191+AI191</f>
        <v/>
      </c>
      <c r="AM191" s="104" t="n">
        <v>7920</v>
      </c>
      <c r="AN191" s="104" t="n">
        <v>4560</v>
      </c>
      <c r="AO191" s="104" t="n">
        <v>2160</v>
      </c>
      <c r="AP191" s="104" t="n">
        <v>1200</v>
      </c>
      <c r="AQ191" s="104" t="n">
        <v>0</v>
      </c>
      <c r="AR191" s="104" t="n"/>
      <c r="AS191" s="104" t="n"/>
    </row>
    <row r="192" ht="12.65" customHeight="1" s="79">
      <c r="A192" s="104">
        <f>MIN(U192,Q192)</f>
        <v/>
      </c>
      <c r="B192" s="104">
        <f>MIN(U192,T192)</f>
        <v/>
      </c>
      <c r="C192" s="104">
        <f>MIN(W192,Q192)</f>
        <v/>
      </c>
      <c r="D192" s="104">
        <f>MIN(W192,T192)</f>
        <v/>
      </c>
      <c r="E192" s="104">
        <f>MIN((U192+AM192+AQ192),T192)</f>
        <v/>
      </c>
      <c r="F192" s="104">
        <f>MAX(MIN((U192+AN192+AQ192),Q192),0)</f>
        <v/>
      </c>
      <c r="G192" s="104">
        <f>MAX(MIN(AO192,AK192),0)</f>
        <v/>
      </c>
      <c r="H192" s="104">
        <f>MAX(MIN(AP192,AL192),0)</f>
        <v/>
      </c>
      <c r="I192" s="105" t="inlineStr">
        <is>
          <t>ROOP KISHOR</t>
        </is>
      </c>
      <c r="J192" s="106" t="inlineStr">
        <is>
          <t>HOUSEHOLD</t>
        </is>
      </c>
      <c r="K192" s="107" t="inlineStr">
        <is>
          <t>HH_UTENSILS AIDS</t>
        </is>
      </c>
      <c r="L192" s="107" t="inlineStr">
        <is>
          <t>HH_U_N_KADAHI</t>
        </is>
      </c>
      <c r="M192" s="107" t="inlineStr">
        <is>
          <t>ARTICLE</t>
        </is>
      </c>
      <c r="N192" s="108" t="n">
        <v>0.105286243420625</v>
      </c>
      <c r="O192" s="108" t="n">
        <v>0.09376794460395201</v>
      </c>
      <c r="P192" s="109" t="n">
        <v>106</v>
      </c>
      <c r="Q192" s="110" t="n">
        <v>2997</v>
      </c>
      <c r="R192" s="110" t="n">
        <v>1440.86304820668</v>
      </c>
      <c r="S192" s="110" t="n">
        <v>939.895007747982</v>
      </c>
      <c r="T192" s="110" t="n">
        <v>5377.75805595466</v>
      </c>
      <c r="U192" s="104" t="n">
        <v>1680</v>
      </c>
      <c r="V192" s="104" t="n">
        <v>960</v>
      </c>
      <c r="W192" s="104">
        <f>$U192+$V192</f>
        <v/>
      </c>
      <c r="X192" s="111">
        <f>IFERROR(A192/Q192,0)</f>
        <v/>
      </c>
      <c r="Y192" s="111">
        <f>IFERROR(B192/T192,0)</f>
        <v/>
      </c>
      <c r="Z192" s="111">
        <f>IFERROR(C192/Q192,0)</f>
        <v/>
      </c>
      <c r="AA192" s="111">
        <f>IFERROR(D192/T192,0)</f>
        <v/>
      </c>
      <c r="AC192" s="111">
        <f>IF(T192&gt;0,IFERROR(E192/T192,0),1)</f>
        <v/>
      </c>
      <c r="AD192" s="111">
        <f>IF(Q192&gt;0,IFERROR(F192/Q192,0),1)</f>
        <v/>
      </c>
      <c r="AE192" s="111">
        <f>IF(AK192&gt;0,IFERROR(G192/AK192,0),1)</f>
        <v/>
      </c>
      <c r="AF192" s="111">
        <f>IF(AL192&gt;0,IFERROR(H192/AL192,0),1)</f>
        <v/>
      </c>
      <c r="AG192" s="104">
        <f>T192-(U192+AM192+AQ192)</f>
        <v/>
      </c>
      <c r="AH192" s="104">
        <f>Q192-(U192+AN192+AQ192)</f>
        <v/>
      </c>
      <c r="AI192" s="104">
        <f>(AK192-AO192)</f>
        <v/>
      </c>
      <c r="AJ192" s="104">
        <f>(AL192-AP192)</f>
        <v/>
      </c>
      <c r="AK192" s="110">
        <f>R192+AH192</f>
        <v/>
      </c>
      <c r="AL192" s="110">
        <f>S192+AI192</f>
        <v/>
      </c>
      <c r="AM192" s="104" t="n">
        <v>6720</v>
      </c>
      <c r="AN192" s="104" t="n">
        <v>3360</v>
      </c>
      <c r="AO192" s="104" t="n">
        <v>1440</v>
      </c>
      <c r="AP192" s="104" t="n">
        <v>1920</v>
      </c>
      <c r="AQ192" s="104" t="n">
        <v>0</v>
      </c>
      <c r="AR192" s="104" t="n"/>
      <c r="AS192" s="104" t="n"/>
    </row>
    <row r="193" ht="12.65" customHeight="1" s="79">
      <c r="A193" s="117">
        <f>SUBTOTAL(9,A5:A192)</f>
        <v/>
      </c>
      <c r="B193" s="117">
        <f>SUBTOTAL(9,B5:B192)</f>
        <v/>
      </c>
      <c r="C193" s="117">
        <f>SUBTOTAL(9,C5:C192)</f>
        <v/>
      </c>
      <c r="D193" s="117">
        <f>SUBTOTAL(9,D5:D192)</f>
        <v/>
      </c>
      <c r="E193" s="117">
        <f>SUBTOTAL(9,E5:E192)</f>
        <v/>
      </c>
      <c r="F193" s="117">
        <f>SUBTOTAL(9,F5:F192)</f>
        <v/>
      </c>
      <c r="G193" s="117">
        <f>SUBTOTAL(9,G5:G192)</f>
        <v/>
      </c>
      <c r="H193" s="117">
        <f>SUBTOTAL(9,H5:H192)</f>
        <v/>
      </c>
      <c r="I193" s="90" t="n"/>
      <c r="J193" s="91" t="n"/>
      <c r="K193" s="92" t="n"/>
      <c r="L193" s="92" t="n"/>
      <c r="M193" s="92" t="n"/>
      <c r="N193" s="90" t="n"/>
      <c r="O193" s="90" t="n"/>
      <c r="P193" s="90" t="n"/>
      <c r="Q193" s="117">
        <f>SUBTOTAL(9,Q5:Q192)</f>
        <v/>
      </c>
      <c r="R193" s="117">
        <f>SUBTOTAL(9,R5:R192)</f>
        <v/>
      </c>
      <c r="S193" s="117">
        <f>SUBTOTAL(9,S5:S192)</f>
        <v/>
      </c>
      <c r="T193" s="117">
        <f>SUBTOTAL(9,T5:T192)</f>
        <v/>
      </c>
      <c r="U193" s="117">
        <f>SUBTOTAL(9,U5:U192)</f>
        <v/>
      </c>
      <c r="V193" s="117">
        <f>SUBTOTAL(9,V5:V192)</f>
        <v/>
      </c>
      <c r="W193" s="117">
        <f>SUBTOTAL(9,W5:W192)</f>
        <v/>
      </c>
      <c r="X193" s="111">
        <f>IFERROR(A193/Q193,0)</f>
        <v/>
      </c>
      <c r="Y193" s="111">
        <f>IFERROR(B193/T193,0)</f>
        <v/>
      </c>
      <c r="Z193" s="111">
        <f>IFERROR(C193/Q193,0)</f>
        <v/>
      </c>
      <c r="AA193" s="111">
        <f>IFERROR(D193/T193,0)</f>
        <v/>
      </c>
      <c r="AC193" s="118">
        <f>IF(T193&gt;0,IFERROR(E193/T193,0),1)</f>
        <v/>
      </c>
      <c r="AD193" s="118">
        <f>IF(Q193&gt;0,IFERROR(F193/Q193,0),1)</f>
        <v/>
      </c>
      <c r="AE193" s="118">
        <f>IF(AK193&gt;0,IFERROR(G193/AK193,0),1)</f>
        <v/>
      </c>
      <c r="AF193" s="118">
        <f>IF(AL193&gt;0,IFERROR(H193/AL193,0),1)</f>
        <v/>
      </c>
      <c r="AG193" s="117">
        <f>T193-(U193+AM193+AQ193)</f>
        <v/>
      </c>
      <c r="AH193" s="117">
        <f>Q193-(U193+AN193+AQ193)</f>
        <v/>
      </c>
      <c r="AI193" s="117">
        <f>(AK193-AO193)</f>
        <v/>
      </c>
      <c r="AJ193" s="117">
        <f>(AL193-AP193)</f>
        <v/>
      </c>
      <c r="AK193" s="117">
        <f>SUBTOTAL(9,AK5:AK192)</f>
        <v/>
      </c>
      <c r="AL193" s="117">
        <f>SUBTOTAL(9,AL5:AL192)</f>
        <v/>
      </c>
      <c r="AM193" s="117">
        <f>SUBTOTAL(9,AM5:AM192)</f>
        <v/>
      </c>
      <c r="AN193" s="117">
        <f>SUBTOTAL(9,AN5:AN192)</f>
        <v/>
      </c>
      <c r="AO193" s="117">
        <f>SUBTOTAL(9,AO5:AO192)</f>
        <v/>
      </c>
      <c r="AP193" s="117">
        <f>SUBTOTAL(9,AP5:AP192)</f>
        <v/>
      </c>
      <c r="AQ193" s="117">
        <f>SUBTOTAL(9,AQ5:AQ192)</f>
        <v/>
      </c>
      <c r="AR193" s="119" t="n"/>
      <c r="AS193" s="119" t="n"/>
    </row>
  </sheetData>
  <autoFilter ref="A4:AS192"/>
  <mergeCells count="3">
    <mergeCell ref="X1:Y1"/>
    <mergeCell ref="AC1:AG1"/>
    <mergeCell ref="Z1:AA1"/>
  </mergeCells>
  <conditionalFormatting sqref="AR5:AR192">
    <cfRule type="containsText" rank="0" priority="2" equalAverage="0" operator="containsText" aboveAverage="0" dxfId="10" text="ASN HOLD" percent="0" bottom="0">
      <formula>NOT(ISERROR(SEARCH("ASN HOLD",AR5)))</formula>
    </cfRule>
    <cfRule type="containsText" rank="0" priority="3" equalAverage="0" operator="containsText" aboveAverage="0" dxfId="11" text="ASN TILL 60% VISIBILITY" percent="0" bottom="0">
      <formula>NOT(ISERROR(SEARCH("ASN TILL 60% VISIBILITY",AR5)))</formula>
    </cfRule>
  </conditionalFormatting>
  <conditionalFormatting sqref="AR6:AR192">
    <cfRule type="containsText" rank="0" priority="4" equalAverage="0" operator="containsText" aboveAverage="0" dxfId="10" text="NO ASN" percent="0" bottom="0">
      <formula>NOT(ISERROR(SEARCH("NO ASN",AR6)))</formula>
    </cfRule>
  </conditionalFormatting>
  <conditionalFormatting sqref="AG5:AJ193">
    <cfRule type="cellIs" rank="0" priority="5" equalAverage="0" operator="lessThan" aboveAverage="0" dxfId="13" text="" percent="0" bottom="0">
      <formula>0</formula>
    </cfRule>
    <cfRule type="cellIs" rank="0" priority="6" equalAverage="0" operator="greaterThan" aboveAverage="0" dxfId="14" text="" percent="0" bottom="0">
      <formula>0</formula>
    </cfRule>
  </conditionalFormatting>
  <conditionalFormatting sqref="X5:AA193 AC5:AF193">
    <cfRule type="cellIs" rank="0" priority="7" equalAverage="0" operator="greaterThan" aboveAverage="0" dxfId="15" text="" percent="0" bottom="0">
      <formula>1</formula>
    </cfRule>
    <cfRule type="cellIs" rank="0" priority="8" equalAverage="0" operator="between" aboveAverage="0" dxfId="16" text="" percent="0" bottom="0">
      <formula>0.8</formula>
      <formula>1</formula>
    </cfRule>
    <cfRule type="cellIs" rank="0" priority="9" equalAverage="0" operator="lessThanOrEqual" aboveAverage="0" dxfId="10" text="" percent="0" bottom="0">
      <formula>0.79</formula>
    </cfRule>
  </conditionalFormatting>
  <conditionalFormatting sqref="Q5:T192">
    <cfRule type="cellIs" rank="0" priority="10" equalAverage="0" operator="lessThan" aboveAverage="0" dxfId="10" text="" percent="0" bottom="0">
      <formula>0</formula>
    </cfRule>
  </conditionalFormatting>
  <conditionalFormatting sqref="L5:L192">
    <cfRule type="duplicateValues" rank="0" priority="11" equalAverage="0" aboveAverage="0" dxfId="10" text="" percent="0" bottom="0"/>
    <cfRule type="duplicateValues" rank="0" priority="12" equalAverage="0" aboveAverage="0" dxfId="1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D966"/>
    <outlinePr summaryBelow="1" summaryRight="1"/>
    <pageSetUpPr fitToPage="0"/>
  </sheetPr>
  <dimension ref="A1:AT410"/>
  <sheetViews>
    <sheetView showFormulas="0" showGridLines="0" showRowColHeaders="1" showZeros="1" rightToLeft="0" tabSelected="0" showOutlineSymbols="1" defaultGridColor="1" view="normal" topLeftCell="I1" colorId="64" zoomScale="100" zoomScaleNormal="100" zoomScalePageLayoutView="100" workbookViewId="0">
      <pane xSplit="0" ySplit="4" topLeftCell="A5" activePane="bottomLeft" state="frozen"/>
      <selection pane="topLeft" activeCell="I1" activeCellId="0" sqref="I1"/>
      <selection pane="bottomLeft" activeCell="I3" activeCellId="0" sqref="I3"/>
    </sheetView>
  </sheetViews>
  <sheetFormatPr baseColWidth="8" defaultColWidth="9.19921875" defaultRowHeight="10.75" customHeight="0" zeroHeight="0" outlineLevelRow="0"/>
  <cols>
    <col hidden="1" outlineLevel="1" width="9.51" customWidth="1" style="77" min="1" max="1"/>
    <col hidden="1" outlineLevel="1" width="8.300000000000001" customWidth="1" style="77" min="2" max="2"/>
    <col hidden="1" outlineLevel="1" width="10.79" customWidth="1" style="77" min="3" max="3"/>
    <col hidden="1" outlineLevel="1" width="15.3" customWidth="1" style="77" min="4" max="4"/>
    <col hidden="1" outlineLevel="1" width="9.789999999999999" customWidth="1" style="77" min="5" max="5"/>
    <col hidden="1" outlineLevel="1" width="9" customWidth="1" style="77" min="6" max="8"/>
    <col width="10.71" customWidth="1" style="77" min="9" max="9"/>
    <col width="8.199999999999999" customWidth="1" style="77" min="10" max="10"/>
    <col width="8.699999999999999" customWidth="1" style="77" min="11" max="11"/>
    <col width="10.51" customWidth="1" style="77" min="12" max="12"/>
    <col width="11" customWidth="1" style="77" min="13" max="13"/>
    <col width="9.51" customWidth="1" style="77" min="14" max="14"/>
    <col width="6.51" customWidth="1" style="77" min="15" max="16"/>
    <col width="4.5" customWidth="1" style="77" min="17" max="17"/>
    <col width="7.79" customWidth="1" style="77" min="18" max="18"/>
    <col hidden="1" outlineLevel="1" width="7.79" customWidth="1" style="77" min="19" max="20"/>
    <col width="8.199999999999999" customWidth="1" style="77" min="21" max="21"/>
    <col width="8.5" customWidth="1" style="77" min="22" max="22"/>
    <col width="9.199999999999999" customWidth="1" style="77" min="23" max="23"/>
    <col width="11.2" customWidth="1" style="77" min="24" max="24"/>
    <col width="9" customWidth="1" style="77" min="25" max="26"/>
    <col width="9.199999999999999" customWidth="1" style="77" min="27" max="28"/>
    <col width="0.79" customWidth="1" style="78" min="29" max="29"/>
    <col width="9.789999999999999" customWidth="1" style="77" min="30" max="30"/>
    <col hidden="1" outlineLevel="1" width="9.199999999999999" customWidth="1" style="77" min="31" max="33"/>
    <col width="8.5" customWidth="1" style="77" min="34" max="34"/>
    <col hidden="1" outlineLevel="1" width="11.5" customWidth="1" style="77" min="35" max="35"/>
    <col hidden="1" outlineLevel="1" width="11.7" customWidth="1" style="77" min="36" max="37"/>
    <col hidden="1" outlineLevel="1" width="7.79" customWidth="1" style="77" min="38" max="39"/>
    <col width="8" customWidth="1" style="77" min="40" max="40"/>
    <col hidden="1" outlineLevel="1" width="8" customWidth="1" style="77" min="41" max="43"/>
    <col width="8.800000000000001" customWidth="1" style="77" min="44" max="44"/>
    <col width="10.51" customWidth="1" style="77" min="45" max="45"/>
    <col width="12.2" customWidth="1" style="77" min="46" max="46"/>
    <col width="9.199999999999999" customWidth="1" style="77" min="47" max="16384"/>
  </cols>
  <sheetData>
    <row r="1" ht="10.75" customHeight="1" s="79">
      <c r="A1" s="80" t="inlineStr">
        <is>
          <t>MIN VALUE</t>
        </is>
      </c>
      <c r="B1" s="80" t="inlineStr">
        <is>
          <t>MIN VALUE</t>
        </is>
      </c>
      <c r="C1" s="80" t="inlineStr">
        <is>
          <t>MIN VALUE</t>
        </is>
      </c>
      <c r="D1" s="80" t="inlineStr">
        <is>
          <t>MIN VALUE</t>
        </is>
      </c>
      <c r="E1" s="80" t="inlineStr">
        <is>
          <t>MIN VALUE</t>
        </is>
      </c>
      <c r="F1" s="80" t="inlineStr">
        <is>
          <t>MIN VALUE</t>
        </is>
      </c>
      <c r="G1" s="80" t="inlineStr">
        <is>
          <t>MIN VALUE</t>
        </is>
      </c>
      <c r="H1" s="80" t="inlineStr">
        <is>
          <t>MIN VALUE</t>
        </is>
      </c>
      <c r="V1" s="81" t="n"/>
      <c r="Y1" s="82" t="inlineStr">
        <is>
          <t>GRC</t>
        </is>
      </c>
      <c r="Z1" s="83" t="n"/>
      <c r="AA1" s="82" t="inlineStr">
        <is>
          <t>GRC &amp; ASN</t>
        </is>
      </c>
      <c r="AB1" s="83" t="n"/>
      <c r="AD1" s="80" t="inlineStr">
        <is>
          <t>GRC &amp; PPO</t>
        </is>
      </c>
      <c r="AE1" s="84" t="n"/>
      <c r="AF1" s="84" t="n"/>
      <c r="AG1" s="84" t="n"/>
      <c r="AH1" s="85" t="n"/>
      <c r="AI1" s="86" t="n"/>
      <c r="AJ1" s="86" t="n"/>
      <c r="AK1" s="86" t="n"/>
      <c r="AL1" s="86" t="n"/>
      <c r="AM1" s="86" t="n"/>
    </row>
    <row r="2" ht="10.75" customHeight="1" s="79">
      <c r="A2" s="87">
        <f>SUBTOTAL(9,A5:A409)</f>
        <v/>
      </c>
      <c r="B2" s="87">
        <f>SUBTOTAL(9,B5:B409)</f>
        <v/>
      </c>
      <c r="C2" s="87">
        <f>SUBTOTAL(9,C5:C409)</f>
        <v/>
      </c>
      <c r="D2" s="87">
        <f>SUBTOTAL(9,D5:D409)</f>
        <v/>
      </c>
      <c r="E2" s="87">
        <f>SUBTOTAL(9,E5:E409)</f>
        <v/>
      </c>
      <c r="F2" s="87">
        <f>SUBTOTAL(9,F5:F409)</f>
        <v/>
      </c>
      <c r="G2" s="87">
        <f>SUBTOTAL(9,G5:G409)</f>
        <v/>
      </c>
      <c r="H2" s="87">
        <f>SUBTOTAL(9,H5:H409)</f>
        <v/>
      </c>
      <c r="R2" s="87">
        <f>SUBTOTAL(9,R5:R409)</f>
        <v/>
      </c>
      <c r="S2" s="87">
        <f>SUBTOTAL(9,S5:S409)</f>
        <v/>
      </c>
      <c r="T2" s="87">
        <f>SUBTOTAL(9,T5:T409)</f>
        <v/>
      </c>
      <c r="U2" s="87">
        <f>SUBTOTAL(9,U5:U409)</f>
        <v/>
      </c>
      <c r="V2" s="87">
        <f>SUBTOTAL(9,V5:V409)</f>
        <v/>
      </c>
      <c r="W2" s="87">
        <f>SUBTOTAL(9,W5:W409)</f>
        <v/>
      </c>
      <c r="X2" s="87">
        <f>SUBTOTAL(9,X5:X409)</f>
        <v/>
      </c>
      <c r="Y2" s="88">
        <f>IFERROR(A2/R2,0)</f>
        <v/>
      </c>
      <c r="Z2" s="88">
        <f>IFERROR(B2/U2,0)</f>
        <v/>
      </c>
      <c r="AA2" s="88">
        <f>IFERROR(C2/R2,0)</f>
        <v/>
      </c>
      <c r="AB2" s="88">
        <f>IFERROR(D2/U2,0)</f>
        <v/>
      </c>
      <c r="AD2" s="88">
        <f>IF(U2&gt;0,IFERROR(E2/U2,0),1)</f>
        <v/>
      </c>
      <c r="AE2" s="88">
        <f>IF(R2&gt;0,IFERROR(F2/R2,0),1)</f>
        <v/>
      </c>
      <c r="AF2" s="88">
        <f>IF(AL2&gt;0,IFERROR(G2/AL2,0),1)</f>
        <v/>
      </c>
      <c r="AG2" s="88">
        <f>IF(AM2&gt;0,IFERROR(H2/AM2,0),1)</f>
        <v/>
      </c>
      <c r="AH2" s="87">
        <f>U2-(V2+AN2+AR2)</f>
        <v/>
      </c>
      <c r="AI2" s="87">
        <f>R2-(V2+AO2+AR2)</f>
        <v/>
      </c>
      <c r="AJ2" s="87">
        <f>(AL2-AP2)</f>
        <v/>
      </c>
      <c r="AK2" s="87">
        <f>(AM2-AQ2)</f>
        <v/>
      </c>
      <c r="AL2" s="87">
        <f>SUBTOTAL(9,AL5:AL409)</f>
        <v/>
      </c>
      <c r="AM2" s="87">
        <f>SUBTOTAL(9,AM5:AM409)</f>
        <v/>
      </c>
      <c r="AN2" s="87">
        <f>SUBTOTAL(9,AN5:AN409)</f>
        <v/>
      </c>
      <c r="AO2" s="87">
        <f>SUBTOTAL(9,AO5:AO409)</f>
        <v/>
      </c>
      <c r="AP2" s="87">
        <f>SUBTOTAL(9,AP5:AP409)</f>
        <v/>
      </c>
      <c r="AQ2" s="87">
        <f>SUBTOTAL(9,AQ5:AQ409)</f>
        <v/>
      </c>
      <c r="AR2" s="87">
        <f>SUBTOTAL(9,AR5:AR409)</f>
        <v/>
      </c>
      <c r="AS2" s="81" t="n"/>
    </row>
    <row r="3" ht="25" customHeight="1" s="79">
      <c r="A3" s="89" t="inlineStr">
        <is>
          <t>(SEP BP) vs (GRC)</t>
        </is>
      </c>
      <c r="B3" s="89" t="inlineStr">
        <is>
          <t>(S &amp; ON BP) vs (GRC)</t>
        </is>
      </c>
      <c r="C3" s="89" t="inlineStr">
        <is>
          <t>(SEP BP) vs (GRC + FLOOR + IN_TRANSIT)</t>
        </is>
      </c>
      <c r="D3" s="89" t="inlineStr">
        <is>
          <t>(S &amp; ON BP) vs (GRC + FLOOR + IN_TRANSIT)</t>
        </is>
      </c>
      <c r="E3" s="89" t="inlineStr">
        <is>
          <t>(S &amp; ON BP) vs (GRC + PPO)</t>
        </is>
      </c>
      <c r="F3" s="89" t="inlineStr">
        <is>
          <t>(SEP BP) vs (GRC + PPO)</t>
        </is>
      </c>
      <c r="G3" s="89" t="inlineStr">
        <is>
          <t>(OCT BP) vs (GRC + PPO)</t>
        </is>
      </c>
      <c r="H3" s="89" t="inlineStr">
        <is>
          <t>(NOV BP) vs (GRC + PPO)</t>
        </is>
      </c>
      <c r="I3" s="90" t="inlineStr">
        <is>
          <t>MERCHANT</t>
        </is>
      </c>
      <c r="J3" s="91" t="inlineStr">
        <is>
          <t>DIVISION</t>
        </is>
      </c>
      <c r="K3" s="92" t="inlineStr">
        <is>
          <t>SECTION</t>
        </is>
      </c>
      <c r="L3" s="92" t="inlineStr">
        <is>
          <t>DEPARTMENT</t>
        </is>
      </c>
      <c r="M3" s="92" t="inlineStr">
        <is>
          <t>ARTICLE NAME</t>
        </is>
      </c>
      <c r="N3" s="92" t="inlineStr">
        <is>
          <t>ART_STATUS</t>
        </is>
      </c>
      <c r="O3" s="93" t="inlineStr">
        <is>
          <t>STH% MAMJ'26</t>
        </is>
      </c>
      <c r="P3" s="93" t="inlineStr">
        <is>
          <t>STH% JA'26</t>
        </is>
      </c>
      <c r="Q3" s="93" t="inlineStr">
        <is>
          <t>SALE 
RANK</t>
        </is>
      </c>
      <c r="R3" s="93" t="inlineStr">
        <is>
          <t>SEP
BUY_PLAN</t>
        </is>
      </c>
      <c r="S3" s="93" t="inlineStr">
        <is>
          <t>OCT
BUY_PLAN</t>
        </is>
      </c>
      <c r="T3" s="93" t="inlineStr">
        <is>
          <t>NOV
BUY_PLAN</t>
        </is>
      </c>
      <c r="U3" s="93" t="inlineStr">
        <is>
          <t>S &amp; ON
 BUY_PLAN</t>
        </is>
      </c>
      <c r="V3" s="94" t="inlineStr">
        <is>
          <t>SEP
GRC QTY</t>
        </is>
      </c>
      <c r="W3" s="95" t="inlineStr">
        <is>
          <t>FLOOR + 
IN_TRANSIT</t>
        </is>
      </c>
      <c r="X3" s="95" t="inlineStr">
        <is>
          <t>GRC + FLOOR + 
IN_TRANSIT</t>
        </is>
      </c>
      <c r="Y3" s="96" t="inlineStr">
        <is>
          <t>SEP
FILL RATE %</t>
        </is>
      </c>
      <c r="Z3" s="96" t="inlineStr">
        <is>
          <t>S &amp; ON
FILL RATE %</t>
        </is>
      </c>
      <c r="AA3" s="96" t="inlineStr">
        <is>
          <t>SEP
VISIBILITY %</t>
        </is>
      </c>
      <c r="AB3" s="96" t="inlineStr">
        <is>
          <t>S &amp; ON VISIBILITY %</t>
        </is>
      </c>
      <c r="AC3" s="97" t="n"/>
      <c r="AD3" s="93" t="inlineStr">
        <is>
          <t>PO VISIBILITY %</t>
        </is>
      </c>
      <c r="AE3" s="93" t="inlineStr">
        <is>
          <t>SEP PO VISIBILITY %</t>
        </is>
      </c>
      <c r="AF3" s="93" t="inlineStr">
        <is>
          <t>OCT PO VISIBILITY %</t>
        </is>
      </c>
      <c r="AG3" s="93" t="inlineStr">
        <is>
          <t>NOV PO VISIBILITY %</t>
        </is>
      </c>
      <c r="AH3" s="93" t="inlineStr">
        <is>
          <t>COVERAGE QTY</t>
        </is>
      </c>
      <c r="AI3" s="93" t="inlineStr">
        <is>
          <t>SEP COVERAGE QTY</t>
        </is>
      </c>
      <c r="AJ3" s="94" t="inlineStr">
        <is>
          <t>OCT COVERAGE QTY</t>
        </is>
      </c>
      <c r="AK3" s="93" t="inlineStr">
        <is>
          <t>NOV COVERAGE QTY</t>
        </is>
      </c>
      <c r="AL3" s="98" t="inlineStr">
        <is>
          <t>OCT AJD
BUY_PLAN</t>
        </is>
      </c>
      <c r="AM3" s="98" t="inlineStr">
        <is>
          <t>NOV AJD
BUY_PLAN</t>
        </is>
      </c>
      <c r="AN3" s="93" t="inlineStr">
        <is>
          <t>TTL PPO QTY (SYS)</t>
        </is>
      </c>
      <c r="AO3" s="93" t="inlineStr">
        <is>
          <t>SEP PPO QTY (SYS)</t>
        </is>
      </c>
      <c r="AP3" s="93" t="inlineStr">
        <is>
          <t>OCT PPO QTY (SYS)</t>
        </is>
      </c>
      <c r="AQ3" s="93" t="inlineStr">
        <is>
          <t>NOV PPO QTY (SYS)</t>
        </is>
      </c>
      <c r="AR3" s="93" t="inlineStr">
        <is>
          <t>PPO QTY (MANUAL)</t>
        </is>
      </c>
      <c r="AS3" s="93" t="inlineStr">
        <is>
          <t>RESEPKS  (BY_PO_TEAM)</t>
        </is>
      </c>
      <c r="AT3" s="93" t="inlineStr">
        <is>
          <t>RESEPKS  (BY_MERCHANT)</t>
        </is>
      </c>
    </row>
    <row r="4" ht="11.15" customHeight="1" s="79">
      <c r="A4" s="99" t="n"/>
      <c r="B4" s="99" t="n"/>
      <c r="C4" s="99" t="n"/>
      <c r="D4" s="99" t="n"/>
      <c r="E4" s="99" t="n"/>
      <c r="F4" s="99" t="n"/>
      <c r="G4" s="99" t="n"/>
      <c r="H4" s="99" t="n"/>
      <c r="I4" s="100" t="n"/>
      <c r="J4" s="101" t="n"/>
      <c r="K4" s="102" t="n"/>
      <c r="L4" s="102" t="n"/>
      <c r="M4" s="102" t="n"/>
      <c r="N4" s="102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  <c r="AB4" s="100" t="n"/>
      <c r="AD4" s="100" t="n"/>
      <c r="AE4" s="100" t="n"/>
      <c r="AF4" s="100" t="n"/>
      <c r="AG4" s="100" t="n"/>
      <c r="AH4" s="100" t="n"/>
      <c r="AI4" s="100" t="n"/>
      <c r="AJ4" s="100" t="n"/>
      <c r="AK4" s="100" t="n"/>
      <c r="AL4" s="103" t="n"/>
      <c r="AM4" s="103" t="n"/>
      <c r="AN4" s="100" t="n"/>
      <c r="AO4" s="100" t="n"/>
      <c r="AP4" s="100" t="n"/>
      <c r="AQ4" s="100" t="n"/>
      <c r="AR4" s="100" t="n"/>
      <c r="AS4" s="100" t="n"/>
      <c r="AT4" s="100" t="n"/>
    </row>
    <row r="5" ht="12.65" customHeight="1" s="79">
      <c r="A5" s="104">
        <f>MIN(V5,R5)</f>
        <v/>
      </c>
      <c r="B5" s="104">
        <f>MIN(V5,U5)</f>
        <v/>
      </c>
      <c r="C5" s="104">
        <f>MIN(X5,R5)</f>
        <v/>
      </c>
      <c r="D5" s="104">
        <f>MIN(X5,U5)</f>
        <v/>
      </c>
      <c r="E5" s="104">
        <f>MIN((V5+AN5+AR5),U5)</f>
        <v/>
      </c>
      <c r="F5" s="104">
        <f>MAX(MIN((V5+AO5+AR5),R5),0)</f>
        <v/>
      </c>
      <c r="G5" s="104">
        <f>MAX(MIN(AP5,AL5),0)</f>
        <v/>
      </c>
      <c r="H5" s="104">
        <f>MAX(MIN(AQ5,AM5),0)</f>
        <v/>
      </c>
      <c r="I5" s="105" t="inlineStr">
        <is>
          <t>CHANDRAPAL NEGI</t>
        </is>
      </c>
      <c r="J5" s="106" t="inlineStr">
        <is>
          <t>LIFESTYLE</t>
        </is>
      </c>
      <c r="K5" s="107" t="inlineStr">
        <is>
          <t>LS_INFANT ACCESSORIES</t>
        </is>
      </c>
      <c r="L5" s="107" t="inlineStr">
        <is>
          <t>LS_IA_BABY BEDING</t>
        </is>
      </c>
      <c r="M5" s="107" t="inlineStr">
        <is>
          <t>BBY SHET 199-[LSIA020]</t>
        </is>
      </c>
      <c r="N5" s="107" t="inlineStr">
        <is>
          <t>ACTIVE</t>
        </is>
      </c>
      <c r="O5" s="108" t="n">
        <v>0.133396362991742</v>
      </c>
      <c r="P5" s="108" t="n">
        <v>0.12698292907491</v>
      </c>
      <c r="Q5" s="109" t="n">
        <v>53</v>
      </c>
      <c r="R5" s="110" t="n">
        <v>0</v>
      </c>
      <c r="S5" s="110" t="n">
        <v>0</v>
      </c>
      <c r="T5" s="110" t="n">
        <v>0</v>
      </c>
      <c r="U5" s="110" t="n">
        <v>0</v>
      </c>
      <c r="V5" s="104" t="n">
        <v>2400</v>
      </c>
      <c r="W5" s="104" t="n">
        <v>2388</v>
      </c>
      <c r="X5" s="104">
        <f>$V5+W5</f>
        <v/>
      </c>
      <c r="Y5" s="111">
        <f>IFERROR(A5/R5,0)</f>
        <v/>
      </c>
      <c r="Z5" s="111">
        <f>IFERROR(B5/U5,0)</f>
        <v/>
      </c>
      <c r="AA5" s="111">
        <f>IFERROR(C5/R5,0)</f>
        <v/>
      </c>
      <c r="AB5" s="111">
        <f>IFERROR(D5/U5,0)</f>
        <v/>
      </c>
      <c r="AD5" s="111">
        <f>IF(U5&gt;0,IFERROR(E5/U5,0),1)</f>
        <v/>
      </c>
      <c r="AE5" s="111">
        <f>IF(R5&gt;0,IFERROR(F5/R5,0),1)</f>
        <v/>
      </c>
      <c r="AF5" s="111">
        <f>IF(AL5&gt;0,IFERROR(G5/AL5,0),1)</f>
        <v/>
      </c>
      <c r="AG5" s="111">
        <f>IF(AM5&gt;0,IFERROR(H5/AM5,0),1)</f>
        <v/>
      </c>
      <c r="AH5" s="104">
        <f>U5-(V5+AN5+AR5)</f>
        <v/>
      </c>
      <c r="AI5" s="104">
        <f>R5-(V5+AO5+AR5)</f>
        <v/>
      </c>
      <c r="AJ5" s="104">
        <f>(AL5-AP5)</f>
        <v/>
      </c>
      <c r="AK5" s="104">
        <f>(AM5-AQ5)</f>
        <v/>
      </c>
      <c r="AL5" s="110">
        <f>S5+AI5</f>
        <v/>
      </c>
      <c r="AM5" s="110">
        <f>T5+AJ5</f>
        <v/>
      </c>
      <c r="AN5" s="104" t="n">
        <v>12000</v>
      </c>
      <c r="AO5" s="104" t="n">
        <v>2400</v>
      </c>
      <c r="AP5" s="104" t="n">
        <v>4800</v>
      </c>
      <c r="AQ5" s="104" t="n">
        <v>4800</v>
      </c>
      <c r="AR5" s="104" t="n">
        <v>0</v>
      </c>
      <c r="AS5" s="104" t="n"/>
      <c r="AT5" s="104" t="n"/>
    </row>
    <row r="6" ht="12.65" customHeight="1" s="79">
      <c r="A6" s="104">
        <f>MIN(V6,R6)</f>
        <v/>
      </c>
      <c r="B6" s="104">
        <f>MIN(V6,U6)</f>
        <v/>
      </c>
      <c r="C6" s="104">
        <f>MIN(X6,R6)</f>
        <v/>
      </c>
      <c r="D6" s="104">
        <f>MIN(X6,U6)</f>
        <v/>
      </c>
      <c r="E6" s="104">
        <f>MIN((V6+AN6+AR6),U6)</f>
        <v/>
      </c>
      <c r="F6" s="104">
        <f>MAX(MIN((V6+AO6+AR6),R6),0)</f>
        <v/>
      </c>
      <c r="G6" s="104">
        <f>MAX(MIN(AP6,AL6),0)</f>
        <v/>
      </c>
      <c r="H6" s="104">
        <f>MAX(MIN(AQ6,AM6),0)</f>
        <v/>
      </c>
      <c r="I6" s="105" t="inlineStr">
        <is>
          <t>CHANDRAPAL NEGI</t>
        </is>
      </c>
      <c r="J6" s="106" t="inlineStr">
        <is>
          <t>LIFESTYLE</t>
        </is>
      </c>
      <c r="K6" s="107" t="inlineStr">
        <is>
          <t>LS_INFANT ACCESSORIES</t>
        </is>
      </c>
      <c r="L6" s="107" t="inlineStr">
        <is>
          <t>LS_IA_BABY BEDING</t>
        </is>
      </c>
      <c r="M6" s="107" t="inlineStr">
        <is>
          <t>LTL NT 349-[LSIA020]</t>
        </is>
      </c>
      <c r="N6" s="107" t="inlineStr">
        <is>
          <t>ACTIVE</t>
        </is>
      </c>
      <c r="O6" s="108" t="n">
        <v>0.130306546755633</v>
      </c>
      <c r="P6" s="108" t="n">
        <v>0.155026990553306</v>
      </c>
      <c r="Q6" s="109" t="n">
        <v>53</v>
      </c>
      <c r="R6" s="110" t="n">
        <v>0</v>
      </c>
      <c r="S6" s="110" t="n">
        <v>0</v>
      </c>
      <c r="T6" s="110" t="n">
        <v>0</v>
      </c>
      <c r="U6" s="110" t="n">
        <v>0</v>
      </c>
      <c r="V6" s="104" t="n">
        <v>0</v>
      </c>
      <c r="W6" s="104" t="n">
        <v>2400</v>
      </c>
      <c r="X6" s="104">
        <f>$V6+W6</f>
        <v/>
      </c>
      <c r="Y6" s="111">
        <f>IFERROR(A6/R6,0)</f>
        <v/>
      </c>
      <c r="Z6" s="111">
        <f>IFERROR(B6/U6,0)</f>
        <v/>
      </c>
      <c r="AA6" s="111">
        <f>IFERROR(C6/R6,0)</f>
        <v/>
      </c>
      <c r="AB6" s="111">
        <f>IFERROR(D6/U6,0)</f>
        <v/>
      </c>
      <c r="AD6" s="111">
        <f>IF(U6&gt;0,IFERROR(E6/U6,0),1)</f>
        <v/>
      </c>
      <c r="AE6" s="111">
        <f>IF(R6&gt;0,IFERROR(F6/R6,0),1)</f>
        <v/>
      </c>
      <c r="AF6" s="111">
        <f>IF(AL6&gt;0,IFERROR(G6/AL6,0),1)</f>
        <v/>
      </c>
      <c r="AG6" s="111">
        <f>IF(AM6&gt;0,IFERROR(H6/AM6,0),1)</f>
        <v/>
      </c>
      <c r="AH6" s="104">
        <f>U6-(V6+AN6+AR6)</f>
        <v/>
      </c>
      <c r="AI6" s="104">
        <f>R6-(V6+AO6+AR6)</f>
        <v/>
      </c>
      <c r="AJ6" s="104">
        <f>(AL6-AP6)</f>
        <v/>
      </c>
      <c r="AK6" s="104">
        <f>(AM6-AQ6)</f>
        <v/>
      </c>
      <c r="AL6" s="110">
        <f>S6+AI6</f>
        <v/>
      </c>
      <c r="AM6" s="110">
        <f>T6+AJ6</f>
        <v/>
      </c>
      <c r="AN6" s="104" t="n">
        <v>11520</v>
      </c>
      <c r="AO6" s="104" t="n">
        <v>4800</v>
      </c>
      <c r="AP6" s="104" t="n">
        <v>3840</v>
      </c>
      <c r="AQ6" s="104" t="n">
        <v>2880</v>
      </c>
      <c r="AR6" s="104" t="n">
        <v>0</v>
      </c>
      <c r="AS6" s="104" t="n"/>
      <c r="AT6" s="104" t="n"/>
    </row>
    <row r="7" ht="12.65" customHeight="1" s="79">
      <c r="A7" s="104">
        <f>MIN(V7,R7)</f>
        <v/>
      </c>
      <c r="B7" s="104">
        <f>MIN(V7,U7)</f>
        <v/>
      </c>
      <c r="C7" s="104">
        <f>MIN(X7,R7)</f>
        <v/>
      </c>
      <c r="D7" s="104">
        <f>MIN(X7,U7)</f>
        <v/>
      </c>
      <c r="E7" s="104">
        <f>MIN((V7+AN7+AR7),U7)</f>
        <v/>
      </c>
      <c r="F7" s="104">
        <f>MAX(MIN((V7+AO7+AR7),R7),0)</f>
        <v/>
      </c>
      <c r="G7" s="104">
        <f>MAX(MIN(AP7,AL7),0)</f>
        <v/>
      </c>
      <c r="H7" s="104">
        <f>MAX(MIN(AQ7,AM7),0)</f>
        <v/>
      </c>
      <c r="I7" s="105" t="inlineStr">
        <is>
          <t>CHANDRAPAL NEGI</t>
        </is>
      </c>
      <c r="J7" s="106" t="inlineStr">
        <is>
          <t>LIFESTYLE</t>
        </is>
      </c>
      <c r="K7" s="107" t="inlineStr">
        <is>
          <t>LS_INFANT ACCESSORIES</t>
        </is>
      </c>
      <c r="L7" s="107" t="inlineStr">
        <is>
          <t>LS_IA_BIB</t>
        </is>
      </c>
      <c r="M7" s="107" t="inlineStr">
        <is>
          <t>BIB 79-[LSIA03]</t>
        </is>
      </c>
      <c r="N7" s="107" t="inlineStr">
        <is>
          <t>ACTIVE</t>
        </is>
      </c>
      <c r="O7" s="108" t="n">
        <v>0.110730339578975</v>
      </c>
      <c r="P7" s="108" t="n">
        <v>0.118025898884144</v>
      </c>
      <c r="Q7" s="109" t="n">
        <v>160</v>
      </c>
      <c r="R7" s="110" t="n">
        <v>2842</v>
      </c>
      <c r="S7" s="110" t="n">
        <v>0</v>
      </c>
      <c r="T7" s="110" t="n">
        <v>216.056072577888</v>
      </c>
      <c r="U7" s="110" t="n">
        <v>3058.05607257789</v>
      </c>
      <c r="V7" s="104" t="n">
        <v>0</v>
      </c>
      <c r="W7" s="104" t="n">
        <v>3720</v>
      </c>
      <c r="X7" s="104">
        <f>$V7+W7</f>
        <v/>
      </c>
      <c r="Y7" s="111">
        <f>IFERROR(A7/R7,0)</f>
        <v/>
      </c>
      <c r="Z7" s="111">
        <f>IFERROR(B7/U7,0)</f>
        <v/>
      </c>
      <c r="AA7" s="111">
        <f>IFERROR(C7/R7,0)</f>
        <v/>
      </c>
      <c r="AB7" s="111">
        <f>IFERROR(D7/U7,0)</f>
        <v/>
      </c>
      <c r="AD7" s="111">
        <f>IF(U7&gt;0,IFERROR(E7/U7,0),1)</f>
        <v/>
      </c>
      <c r="AE7" s="111">
        <f>IF(R7&gt;0,IFERROR(F7/R7,0),1)</f>
        <v/>
      </c>
      <c r="AF7" s="111">
        <f>IF(AL7&gt;0,IFERROR(G7/AL7,0),1)</f>
        <v/>
      </c>
      <c r="AG7" s="111">
        <f>IF(AM7&gt;0,IFERROR(H7/AM7,0),1)</f>
        <v/>
      </c>
      <c r="AH7" s="104">
        <f>U7-(V7+AN7+AR7)</f>
        <v/>
      </c>
      <c r="AI7" s="104">
        <f>R7-(V7+AO7+AR7)</f>
        <v/>
      </c>
      <c r="AJ7" s="104">
        <f>(AL7-AP7)</f>
        <v/>
      </c>
      <c r="AK7" s="104">
        <f>(AM7-AQ7)</f>
        <v/>
      </c>
      <c r="AL7" s="110">
        <f>S7+AI7</f>
        <v/>
      </c>
      <c r="AM7" s="110">
        <f>T7+AJ7</f>
        <v/>
      </c>
      <c r="AN7" s="104" t="n">
        <v>11520</v>
      </c>
      <c r="AO7" s="104" t="n">
        <v>5760</v>
      </c>
      <c r="AP7" s="104" t="n">
        <v>2880</v>
      </c>
      <c r="AQ7" s="104" t="n">
        <v>2880</v>
      </c>
      <c r="AR7" s="104" t="n">
        <v>0</v>
      </c>
      <c r="AS7" s="104" t="n"/>
      <c r="AT7" s="104" t="n"/>
    </row>
    <row r="8" ht="12.65" customHeight="1" s="79">
      <c r="A8" s="104">
        <f>MIN(V8,R8)</f>
        <v/>
      </c>
      <c r="B8" s="104">
        <f>MIN(V8,U8)</f>
        <v/>
      </c>
      <c r="C8" s="104">
        <f>MIN(X8,R8)</f>
        <v/>
      </c>
      <c r="D8" s="104">
        <f>MIN(X8,U8)</f>
        <v/>
      </c>
      <c r="E8" s="104">
        <f>MIN((V8+AN8+AR8),U8)</f>
        <v/>
      </c>
      <c r="F8" s="104">
        <f>MAX(MIN((V8+AO8+AR8),R8),0)</f>
        <v/>
      </c>
      <c r="G8" s="104">
        <f>MAX(MIN(AP8,AL8),0)</f>
        <v/>
      </c>
      <c r="H8" s="104">
        <f>MAX(MIN(AQ8,AM8),0)</f>
        <v/>
      </c>
      <c r="I8" s="105" t="inlineStr">
        <is>
          <t>CHANDRAPAL NEGI</t>
        </is>
      </c>
      <c r="J8" s="106" t="inlineStr">
        <is>
          <t>LIFESTYLE</t>
        </is>
      </c>
      <c r="K8" s="107" t="inlineStr">
        <is>
          <t>LS_INFANT ACCESSORIES</t>
        </is>
      </c>
      <c r="L8" s="107" t="inlineStr">
        <is>
          <t>LS_IA_BOOTY</t>
        </is>
      </c>
      <c r="M8" s="107" t="inlineStr">
        <is>
          <t>BOOTY 99-[LSIA01]</t>
        </is>
      </c>
      <c r="N8" s="107" t="inlineStr">
        <is>
          <t>ACTIVE</t>
        </is>
      </c>
      <c r="O8" s="108" t="n">
        <v>0.168294070246955</v>
      </c>
      <c r="P8" s="108" t="n">
        <v>0.153766001786246</v>
      </c>
      <c r="Q8" s="109" t="n">
        <v>129</v>
      </c>
      <c r="R8" s="110" t="n">
        <v>3373</v>
      </c>
      <c r="S8" s="110" t="n">
        <v>0</v>
      </c>
      <c r="T8" s="110" t="n">
        <v>0</v>
      </c>
      <c r="U8" s="110" t="n">
        <v>3373</v>
      </c>
      <c r="V8" s="104" t="n">
        <v>2400</v>
      </c>
      <c r="W8" s="104" t="n">
        <v>2346</v>
      </c>
      <c r="X8" s="104">
        <f>$V8+W8</f>
        <v/>
      </c>
      <c r="Y8" s="111">
        <f>IFERROR(A8/R8,0)</f>
        <v/>
      </c>
      <c r="Z8" s="111">
        <f>IFERROR(B8/U8,0)</f>
        <v/>
      </c>
      <c r="AA8" s="111">
        <f>IFERROR(C8/R8,0)</f>
        <v/>
      </c>
      <c r="AB8" s="111">
        <f>IFERROR(D8/U8,0)</f>
        <v/>
      </c>
      <c r="AD8" s="111">
        <f>IF(U8&gt;0,IFERROR(E8/U8,0),1)</f>
        <v/>
      </c>
      <c r="AE8" s="111">
        <f>IF(R8&gt;0,IFERROR(F8/R8,0),1)</f>
        <v/>
      </c>
      <c r="AF8" s="111">
        <f>IF(AL8&gt;0,IFERROR(G8/AL8,0),1)</f>
        <v/>
      </c>
      <c r="AG8" s="111">
        <f>IF(AM8&gt;0,IFERROR(H8/AM8,0),1)</f>
        <v/>
      </c>
      <c r="AH8" s="104">
        <f>U8-(V8+AN8+AR8)</f>
        <v/>
      </c>
      <c r="AI8" s="104">
        <f>R8-(V8+AO8+AR8)</f>
        <v/>
      </c>
      <c r="AJ8" s="104">
        <f>(AL8-AP8)</f>
        <v/>
      </c>
      <c r="AK8" s="104">
        <f>(AM8-AQ8)</f>
        <v/>
      </c>
      <c r="AL8" s="110">
        <f>S8+AI8</f>
        <v/>
      </c>
      <c r="AM8" s="110">
        <f>T8+AJ8</f>
        <v/>
      </c>
      <c r="AN8" s="104" t="n">
        <v>7200</v>
      </c>
      <c r="AO8" s="104" t="n">
        <v>2400</v>
      </c>
      <c r="AP8" s="104" t="n">
        <v>4800</v>
      </c>
      <c r="AQ8" s="104" t="n">
        <v>0</v>
      </c>
      <c r="AR8" s="104" t="n">
        <v>0</v>
      </c>
      <c r="AS8" s="104" t="n"/>
      <c r="AT8" s="104" t="n"/>
    </row>
    <row r="9" ht="12.65" customHeight="1" s="79">
      <c r="A9" s="104">
        <f>MIN(V9,R9)</f>
        <v/>
      </c>
      <c r="B9" s="104">
        <f>MIN(V9,U9)</f>
        <v/>
      </c>
      <c r="C9" s="104">
        <f>MIN(X9,R9)</f>
        <v/>
      </c>
      <c r="D9" s="104">
        <f>MIN(X9,U9)</f>
        <v/>
      </c>
      <c r="E9" s="104">
        <f>MIN((V9+AN9+AR9),U9)</f>
        <v/>
      </c>
      <c r="F9" s="104">
        <f>MAX(MIN((V9+AO9+AR9),R9),0)</f>
        <v/>
      </c>
      <c r="G9" s="104">
        <f>MAX(MIN(AP9,AL9),0)</f>
        <v/>
      </c>
      <c r="H9" s="104">
        <f>MAX(MIN(AQ9,AM9),0)</f>
        <v/>
      </c>
      <c r="I9" s="105" t="inlineStr">
        <is>
          <t>CHANDRAPAL NEGI</t>
        </is>
      </c>
      <c r="J9" s="106" t="inlineStr">
        <is>
          <t>LIFESTYLE</t>
        </is>
      </c>
      <c r="K9" s="107" t="inlineStr">
        <is>
          <t>LS_INFANT ACCESSORIES</t>
        </is>
      </c>
      <c r="L9" s="107" t="inlineStr">
        <is>
          <t>LS_IA_BOTTLE COVER</t>
        </is>
      </c>
      <c r="M9" s="107" t="inlineStr">
        <is>
          <t>COVER 99-[LSIA016]</t>
        </is>
      </c>
      <c r="N9" s="107" t="inlineStr">
        <is>
          <t>ACTIVE</t>
        </is>
      </c>
      <c r="O9" s="108" t="n">
        <v>0.112083027485523</v>
      </c>
      <c r="P9" s="108" t="n">
        <v>0.0900471988508106</v>
      </c>
      <c r="Q9" s="109" t="n">
        <v>163</v>
      </c>
      <c r="R9" s="110" t="n">
        <v>8104</v>
      </c>
      <c r="S9" s="110" t="n">
        <v>0</v>
      </c>
      <c r="T9" s="110" t="n">
        <v>0</v>
      </c>
      <c r="U9" s="110" t="n">
        <v>8104</v>
      </c>
      <c r="V9" s="104" t="n">
        <v>2100</v>
      </c>
      <c r="W9" s="104" t="n">
        <v>2400</v>
      </c>
      <c r="X9" s="104">
        <f>$V9+W9</f>
        <v/>
      </c>
      <c r="Y9" s="111">
        <f>IFERROR(A9/R9,0)</f>
        <v/>
      </c>
      <c r="Z9" s="111">
        <f>IFERROR(B9/U9,0)</f>
        <v/>
      </c>
      <c r="AA9" s="111">
        <f>IFERROR(C9/R9,0)</f>
        <v/>
      </c>
      <c r="AB9" s="111">
        <f>IFERROR(D9/U9,0)</f>
        <v/>
      </c>
      <c r="AD9" s="111">
        <f>IF(U9&gt;0,IFERROR(E9/U9,0),1)</f>
        <v/>
      </c>
      <c r="AE9" s="111">
        <f>IF(R9&gt;0,IFERROR(F9/R9,0),1)</f>
        <v/>
      </c>
      <c r="AF9" s="111">
        <f>IF(AL9&gt;0,IFERROR(G9/AL9,0),1)</f>
        <v/>
      </c>
      <c r="AG9" s="111">
        <f>IF(AM9&gt;0,IFERROR(H9/AM9,0),1)</f>
        <v/>
      </c>
      <c r="AH9" s="104">
        <f>U9-(V9+AN9+AR9)</f>
        <v/>
      </c>
      <c r="AI9" s="104">
        <f>R9-(V9+AO9+AR9)</f>
        <v/>
      </c>
      <c r="AJ9" s="104">
        <f>(AL9-AP9)</f>
        <v/>
      </c>
      <c r="AK9" s="104">
        <f>(AM9-AQ9)</f>
        <v/>
      </c>
      <c r="AL9" s="110">
        <f>S9+AI9</f>
        <v/>
      </c>
      <c r="AM9" s="110">
        <f>T9+AJ9</f>
        <v/>
      </c>
      <c r="AN9" s="104" t="n">
        <v>24400</v>
      </c>
      <c r="AO9" s="104" t="n">
        <v>11240</v>
      </c>
      <c r="AP9" s="104" t="n">
        <v>10280</v>
      </c>
      <c r="AQ9" s="104" t="n">
        <v>2880</v>
      </c>
      <c r="AR9" s="104" t="n">
        <v>0</v>
      </c>
      <c r="AS9" s="104" t="n"/>
      <c r="AT9" s="104" t="n"/>
    </row>
    <row r="10" ht="12.65" customHeight="1" s="79">
      <c r="A10" s="104">
        <f>MIN(V10,R10)</f>
        <v/>
      </c>
      <c r="B10" s="104">
        <f>MIN(V10,U10)</f>
        <v/>
      </c>
      <c r="C10" s="104">
        <f>MIN(X10,R10)</f>
        <v/>
      </c>
      <c r="D10" s="104">
        <f>MIN(X10,U10)</f>
        <v/>
      </c>
      <c r="E10" s="104">
        <f>MIN((V10+AN10+AR10),U10)</f>
        <v/>
      </c>
      <c r="F10" s="104">
        <f>MAX(MIN((V10+AO10+AR10),R10),0)</f>
        <v/>
      </c>
      <c r="G10" s="104">
        <f>MAX(MIN(AP10,AL10),0)</f>
        <v/>
      </c>
      <c r="H10" s="104">
        <f>MAX(MIN(AQ10,AM10),0)</f>
        <v/>
      </c>
      <c r="I10" s="105" t="inlineStr">
        <is>
          <t>CHANDRAPAL NEGI</t>
        </is>
      </c>
      <c r="J10" s="106" t="inlineStr">
        <is>
          <t>LIFESTYLE</t>
        </is>
      </c>
      <c r="K10" s="107" t="inlineStr">
        <is>
          <t>LS_INFANT ACCESSORIES</t>
        </is>
      </c>
      <c r="L10" s="107" t="inlineStr">
        <is>
          <t>LS_IA_BRUSH</t>
        </is>
      </c>
      <c r="M10" s="107" t="inlineStr">
        <is>
          <t>BRUSH 79-[LSIA032]</t>
        </is>
      </c>
      <c r="N10" s="107" t="inlineStr">
        <is>
          <t>ACTIVE</t>
        </is>
      </c>
      <c r="O10" s="108" t="n">
        <v>0</v>
      </c>
      <c r="P10" s="108" t="n">
        <v>0</v>
      </c>
      <c r="Q10" s="109" t="n">
        <v>174</v>
      </c>
      <c r="R10" s="110" t="n">
        <v>1998</v>
      </c>
      <c r="S10" s="110" t="n">
        <v>698.710175950546</v>
      </c>
      <c r="T10" s="110" t="n">
        <v>714.1542051377201</v>
      </c>
      <c r="U10" s="110" t="n">
        <v>3410.86438108827</v>
      </c>
      <c r="V10" s="104" t="n">
        <v>0</v>
      </c>
      <c r="W10" s="104" t="n">
        <v>0</v>
      </c>
      <c r="X10" s="104">
        <f>$V10+W10</f>
        <v/>
      </c>
      <c r="Y10" s="111">
        <f>IFERROR(A10/R10,0)</f>
        <v/>
      </c>
      <c r="Z10" s="111">
        <f>IFERROR(B10/U10,0)</f>
        <v/>
      </c>
      <c r="AA10" s="111">
        <f>IFERROR(C10/R10,0)</f>
        <v/>
      </c>
      <c r="AB10" s="111">
        <f>IFERROR(D10/U10,0)</f>
        <v/>
      </c>
      <c r="AD10" s="111">
        <f>IF(U10&gt;0,IFERROR(E10/U10,0),1)</f>
        <v/>
      </c>
      <c r="AE10" s="111">
        <f>IF(R10&gt;0,IFERROR(F10/R10,0),1)</f>
        <v/>
      </c>
      <c r="AF10" s="111">
        <f>IF(AL10&gt;0,IFERROR(G10/AL10,0),1)</f>
        <v/>
      </c>
      <c r="AG10" s="111">
        <f>IF(AM10&gt;0,IFERROR(H10/AM10,0),1)</f>
        <v/>
      </c>
      <c r="AH10" s="104">
        <f>U10-(V10+AN10+AR10)</f>
        <v/>
      </c>
      <c r="AI10" s="104">
        <f>R10-(V10+AO10+AR10)</f>
        <v/>
      </c>
      <c r="AJ10" s="104">
        <f>(AL10-AP10)</f>
        <v/>
      </c>
      <c r="AK10" s="104">
        <f>(AM10-AQ10)</f>
        <v/>
      </c>
      <c r="AL10" s="110">
        <f>S10+AI10</f>
        <v/>
      </c>
      <c r="AM10" s="110">
        <f>T10+AJ10</f>
        <v/>
      </c>
      <c r="AN10" s="104" t="n">
        <v>0</v>
      </c>
      <c r="AO10" s="104" t="n">
        <v>0</v>
      </c>
      <c r="AP10" s="104" t="n">
        <v>0</v>
      </c>
      <c r="AQ10" s="104" t="n">
        <v>0</v>
      </c>
      <c r="AR10" s="104" t="n">
        <v>0</v>
      </c>
      <c r="AS10" s="104" t="n"/>
      <c r="AT10" s="104" t="n"/>
    </row>
    <row r="11" ht="12.65" customHeight="1" s="79">
      <c r="A11" s="104">
        <f>MIN(V11,R11)</f>
        <v/>
      </c>
      <c r="B11" s="104">
        <f>MIN(V11,U11)</f>
        <v/>
      </c>
      <c r="C11" s="104">
        <f>MIN(X11,R11)</f>
        <v/>
      </c>
      <c r="D11" s="104">
        <f>MIN(X11,U11)</f>
        <v/>
      </c>
      <c r="E11" s="104">
        <f>MIN((V11+AN11+AR11),U11)</f>
        <v/>
      </c>
      <c r="F11" s="104">
        <f>MAX(MIN((V11+AO11+AR11),R11),0)</f>
        <v/>
      </c>
      <c r="G11" s="104">
        <f>MAX(MIN(AP11,AL11),0)</f>
        <v/>
      </c>
      <c r="H11" s="104">
        <f>MAX(MIN(AQ11,AM11),0)</f>
        <v/>
      </c>
      <c r="I11" s="105" t="inlineStr">
        <is>
          <t>CHANDRAPAL NEGI</t>
        </is>
      </c>
      <c r="J11" s="106" t="inlineStr">
        <is>
          <t>LIFESTYLE</t>
        </is>
      </c>
      <c r="K11" s="107" t="inlineStr">
        <is>
          <t>LS_INFANT ACCESSORIES</t>
        </is>
      </c>
      <c r="L11" s="107" t="inlineStr">
        <is>
          <t>LS_IA_CAP</t>
        </is>
      </c>
      <c r="M11" s="107" t="inlineStr">
        <is>
          <t>CTN 99-[LSIA019]</t>
        </is>
      </c>
      <c r="N11" s="107" t="inlineStr">
        <is>
          <t>ACTIVE</t>
        </is>
      </c>
      <c r="O11" s="108" t="n">
        <v>0.0868277366929632</v>
      </c>
      <c r="P11" s="108" t="n">
        <v>0.0820503279222289</v>
      </c>
      <c r="Q11" s="109" t="n">
        <v>170</v>
      </c>
      <c r="R11" s="110" t="n">
        <v>738</v>
      </c>
      <c r="S11" s="110" t="n">
        <v>143.915032971116</v>
      </c>
      <c r="T11" s="110" t="n">
        <v>205.626476224508</v>
      </c>
      <c r="U11" s="110" t="n">
        <v>1087.54150919562</v>
      </c>
      <c r="V11" s="104" t="n">
        <v>0</v>
      </c>
      <c r="W11" s="104" t="n">
        <v>0</v>
      </c>
      <c r="X11" s="104">
        <f>$V11+W11</f>
        <v/>
      </c>
      <c r="Y11" s="111">
        <f>IFERROR(A11/R11,0)</f>
        <v/>
      </c>
      <c r="Z11" s="111">
        <f>IFERROR(B11/U11,0)</f>
        <v/>
      </c>
      <c r="AA11" s="111">
        <f>IFERROR(C11/R11,0)</f>
        <v/>
      </c>
      <c r="AB11" s="111">
        <f>IFERROR(D11/U11,0)</f>
        <v/>
      </c>
      <c r="AD11" s="111">
        <f>IF(U11&gt;0,IFERROR(E11/U11,0),1)</f>
        <v/>
      </c>
      <c r="AE11" s="111">
        <f>IF(R11&gt;0,IFERROR(F11/R11,0),1)</f>
        <v/>
      </c>
      <c r="AF11" s="111">
        <f>IF(AL11&gt;0,IFERROR(G11/AL11,0),1)</f>
        <v/>
      </c>
      <c r="AG11" s="111">
        <f>IF(AM11&gt;0,IFERROR(H11/AM11,0),1)</f>
        <v/>
      </c>
      <c r="AH11" s="104">
        <f>U11-(V11+AN11+AR11)</f>
        <v/>
      </c>
      <c r="AI11" s="104">
        <f>R11-(V11+AO11+AR11)</f>
        <v/>
      </c>
      <c r="AJ11" s="104">
        <f>(AL11-AP11)</f>
        <v/>
      </c>
      <c r="AK11" s="104">
        <f>(AM11-AQ11)</f>
        <v/>
      </c>
      <c r="AL11" s="110">
        <f>S11+AI11</f>
        <v/>
      </c>
      <c r="AM11" s="110">
        <f>T11+AJ11</f>
        <v/>
      </c>
      <c r="AN11" s="104" t="n">
        <v>0</v>
      </c>
      <c r="AO11" s="104" t="n">
        <v>0</v>
      </c>
      <c r="AP11" s="104" t="n">
        <v>0</v>
      </c>
      <c r="AQ11" s="104" t="n">
        <v>0</v>
      </c>
      <c r="AR11" s="104" t="n">
        <v>0</v>
      </c>
      <c r="AS11" s="104" t="n"/>
      <c r="AT11" s="104" t="n"/>
    </row>
    <row r="12" ht="12.65" customHeight="1" s="79">
      <c r="A12" s="104">
        <f>MIN(V12,R12)</f>
        <v/>
      </c>
      <c r="B12" s="104">
        <f>MIN(V12,U12)</f>
        <v/>
      </c>
      <c r="C12" s="104">
        <f>MIN(X12,R12)</f>
        <v/>
      </c>
      <c r="D12" s="104">
        <f>MIN(X12,U12)</f>
        <v/>
      </c>
      <c r="E12" s="104">
        <f>MIN((V12+AN12+AR12),U12)</f>
        <v/>
      </c>
      <c r="F12" s="104">
        <f>MAX(MIN((V12+AO12+AR12),R12),0)</f>
        <v/>
      </c>
      <c r="G12" s="104">
        <f>MAX(MIN(AP12,AL12),0)</f>
        <v/>
      </c>
      <c r="H12" s="104">
        <f>MAX(MIN(AQ12,AM12),0)</f>
        <v/>
      </c>
      <c r="I12" s="105" t="inlineStr">
        <is>
          <t>CHANDRAPAL NEGI</t>
        </is>
      </c>
      <c r="J12" s="106" t="inlineStr">
        <is>
          <t>LIFESTYLE</t>
        </is>
      </c>
      <c r="K12" s="107" t="inlineStr">
        <is>
          <t>LS_INFANT ACCESSORIES</t>
        </is>
      </c>
      <c r="L12" s="107" t="inlineStr">
        <is>
          <t>LS_IA_DIAPER</t>
        </is>
      </c>
      <c r="M12" s="107" t="inlineStr">
        <is>
          <t>MED 1299-[LSIA014]</t>
        </is>
      </c>
      <c r="N12" s="107" t="inlineStr">
        <is>
          <t>ACTIVE</t>
        </is>
      </c>
      <c r="O12" s="108" t="n">
        <v>0.16338644665575</v>
      </c>
      <c r="P12" s="108" t="n">
        <v>0.163266925946504</v>
      </c>
      <c r="Q12" s="109" t="n">
        <v>8</v>
      </c>
      <c r="R12" s="110" t="n">
        <v>5196</v>
      </c>
      <c r="S12" s="110" t="n">
        <v>6840.40149686509</v>
      </c>
      <c r="T12" s="110" t="n">
        <v>7339.94971917647</v>
      </c>
      <c r="U12" s="110" t="n">
        <v>19376.3512160416</v>
      </c>
      <c r="V12" s="104" t="n">
        <v>2400</v>
      </c>
      <c r="W12" s="104" t="n">
        <v>1818</v>
      </c>
      <c r="X12" s="104">
        <f>$V12+W12</f>
        <v/>
      </c>
      <c r="Y12" s="111">
        <f>IFERROR(A12/R12,0)</f>
        <v/>
      </c>
      <c r="Z12" s="111">
        <f>IFERROR(B12/U12,0)</f>
        <v/>
      </c>
      <c r="AA12" s="111">
        <f>IFERROR(C12/R12,0)</f>
        <v/>
      </c>
      <c r="AB12" s="111">
        <f>IFERROR(D12/U12,0)</f>
        <v/>
      </c>
      <c r="AD12" s="111">
        <f>IF(U12&gt;0,IFERROR(E12/U12,0),1)</f>
        <v/>
      </c>
      <c r="AE12" s="111">
        <f>IF(R12&gt;0,IFERROR(F12/R12,0),1)</f>
        <v/>
      </c>
      <c r="AF12" s="111">
        <f>IF(AL12&gt;0,IFERROR(G12/AL12,0),1)</f>
        <v/>
      </c>
      <c r="AG12" s="111">
        <f>IF(AM12&gt;0,IFERROR(H12/AM12,0),1)</f>
        <v/>
      </c>
      <c r="AH12" s="104">
        <f>U12-(V12+AN12+AR12)</f>
        <v/>
      </c>
      <c r="AI12" s="104">
        <f>R12-(V12+AO12+AR12)</f>
        <v/>
      </c>
      <c r="AJ12" s="104">
        <f>(AL12-AP12)</f>
        <v/>
      </c>
      <c r="AK12" s="104">
        <f>(AM12-AQ12)</f>
        <v/>
      </c>
      <c r="AL12" s="110">
        <f>S12+AI12</f>
        <v/>
      </c>
      <c r="AM12" s="110">
        <f>T12+AJ12</f>
        <v/>
      </c>
      <c r="AN12" s="104" t="n">
        <v>7720</v>
      </c>
      <c r="AO12" s="104" t="n">
        <v>1820</v>
      </c>
      <c r="AP12" s="104" t="n">
        <v>3500</v>
      </c>
      <c r="AQ12" s="104" t="n">
        <v>2400</v>
      </c>
      <c r="AR12" s="104" t="n">
        <v>0</v>
      </c>
      <c r="AS12" s="104" t="n"/>
      <c r="AT12" s="104" t="n"/>
    </row>
    <row r="13" ht="12.65" customHeight="1" s="79">
      <c r="A13" s="104">
        <f>MIN(V13,R13)</f>
        <v/>
      </c>
      <c r="B13" s="104">
        <f>MIN(V13,U13)</f>
        <v/>
      </c>
      <c r="C13" s="104">
        <f>MIN(X13,R13)</f>
        <v/>
      </c>
      <c r="D13" s="104">
        <f>MIN(X13,U13)</f>
        <v/>
      </c>
      <c r="E13" s="104">
        <f>MIN((V13+AN13+AR13),U13)</f>
        <v/>
      </c>
      <c r="F13" s="104">
        <f>MAX(MIN((V13+AO13+AR13),R13),0)</f>
        <v/>
      </c>
      <c r="G13" s="104">
        <f>MAX(MIN(AP13,AL13),0)</f>
        <v/>
      </c>
      <c r="H13" s="104">
        <f>MAX(MIN(AQ13,AM13),0)</f>
        <v/>
      </c>
      <c r="I13" s="105" t="inlineStr">
        <is>
          <t>CHANDRAPAL NEGI</t>
        </is>
      </c>
      <c r="J13" s="106" t="inlineStr">
        <is>
          <t>LIFESTYLE</t>
        </is>
      </c>
      <c r="K13" s="107" t="inlineStr">
        <is>
          <t>LS_INFANT ACCESSORIES</t>
        </is>
      </c>
      <c r="L13" s="107" t="inlineStr">
        <is>
          <t>LS_IA_DIAPER</t>
        </is>
      </c>
      <c r="M13" s="107" t="inlineStr">
        <is>
          <t>SML 1299-[LSIA014]</t>
        </is>
      </c>
      <c r="N13" s="107" t="inlineStr">
        <is>
          <t>ACTIVE</t>
        </is>
      </c>
      <c r="O13" s="108" t="n">
        <v>0.133981322660568</v>
      </c>
      <c r="P13" s="108" t="n">
        <v>0.0932072983073203</v>
      </c>
      <c r="Q13" s="109" t="n">
        <v>8</v>
      </c>
      <c r="R13" s="110" t="n">
        <v>2229</v>
      </c>
      <c r="S13" s="110" t="n">
        <v>4098.2043454166</v>
      </c>
      <c r="T13" s="110" t="n">
        <v>5163.80313992209</v>
      </c>
      <c r="U13" s="110" t="n">
        <v>11491.0074853387</v>
      </c>
      <c r="V13" s="104" t="n">
        <v>870</v>
      </c>
      <c r="W13" s="104" t="n">
        <v>300</v>
      </c>
      <c r="X13" s="104">
        <f>$V13+W13</f>
        <v/>
      </c>
      <c r="Y13" s="111">
        <f>IFERROR(A13/R13,0)</f>
        <v/>
      </c>
      <c r="Z13" s="111">
        <f>IFERROR(B13/U13,0)</f>
        <v/>
      </c>
      <c r="AA13" s="111">
        <f>IFERROR(C13/R13,0)</f>
        <v/>
      </c>
      <c r="AB13" s="111">
        <f>IFERROR(D13/U13,0)</f>
        <v/>
      </c>
      <c r="AD13" s="111">
        <f>IF(U13&gt;0,IFERROR(E13/U13,0),1)</f>
        <v/>
      </c>
      <c r="AE13" s="111">
        <f>IF(R13&gt;0,IFERROR(F13/R13,0),1)</f>
        <v/>
      </c>
      <c r="AF13" s="111">
        <f>IF(AL13&gt;0,IFERROR(G13/AL13,0),1)</f>
        <v/>
      </c>
      <c r="AG13" s="111">
        <f>IF(AM13&gt;0,IFERROR(H13/AM13,0),1)</f>
        <v/>
      </c>
      <c r="AH13" s="104">
        <f>U13-(V13+AN13+AR13)</f>
        <v/>
      </c>
      <c r="AI13" s="104">
        <f>R13-(V13+AO13+AR13)</f>
        <v/>
      </c>
      <c r="AJ13" s="104">
        <f>(AL13-AP13)</f>
        <v/>
      </c>
      <c r="AK13" s="104">
        <f>(AM13-AQ13)</f>
        <v/>
      </c>
      <c r="AL13" s="110">
        <f>S13+AI13</f>
        <v/>
      </c>
      <c r="AM13" s="110">
        <f>T13+AJ13</f>
        <v/>
      </c>
      <c r="AN13" s="104" t="n">
        <v>4700</v>
      </c>
      <c r="AO13" s="104" t="n">
        <v>300</v>
      </c>
      <c r="AP13" s="104" t="n">
        <v>2000</v>
      </c>
      <c r="AQ13" s="104" t="n">
        <v>2400</v>
      </c>
      <c r="AR13" s="104" t="n">
        <v>0</v>
      </c>
      <c r="AS13" s="104" t="n"/>
      <c r="AT13" s="104" t="n"/>
    </row>
    <row r="14" ht="12.65" customHeight="1" s="79">
      <c r="A14" s="104">
        <f>MIN(V14,R14)</f>
        <v/>
      </c>
      <c r="B14" s="104">
        <f>MIN(V14,U14)</f>
        <v/>
      </c>
      <c r="C14" s="104">
        <f>MIN(X14,R14)</f>
        <v/>
      </c>
      <c r="D14" s="104">
        <f>MIN(X14,U14)</f>
        <v/>
      </c>
      <c r="E14" s="104">
        <f>MIN((V14+AN14+AR14),U14)</f>
        <v/>
      </c>
      <c r="F14" s="104">
        <f>MAX(MIN((V14+AO14+AR14),R14),0)</f>
        <v/>
      </c>
      <c r="G14" s="104">
        <f>MAX(MIN(AP14,AL14),0)</f>
        <v/>
      </c>
      <c r="H14" s="104">
        <f>MAX(MIN(AQ14,AM14),0)</f>
        <v/>
      </c>
      <c r="I14" s="105" t="inlineStr">
        <is>
          <t>CHANDRAPAL NEGI</t>
        </is>
      </c>
      <c r="J14" s="106" t="inlineStr">
        <is>
          <t>LIFESTYLE</t>
        </is>
      </c>
      <c r="K14" s="107" t="inlineStr">
        <is>
          <t>LS_INFANT ACCESSORIES</t>
        </is>
      </c>
      <c r="L14" s="107" t="inlineStr">
        <is>
          <t>LS_IA_DIAPER</t>
        </is>
      </c>
      <c r="M14" s="107" t="inlineStr">
        <is>
          <t>LRG 1299-[LSIA014]</t>
        </is>
      </c>
      <c r="N14" s="107" t="inlineStr">
        <is>
          <t>ACTIVE</t>
        </is>
      </c>
      <c r="O14" s="108" t="n">
        <v>0.144849028172507</v>
      </c>
      <c r="P14" s="108" t="n">
        <v>0.119671003047482</v>
      </c>
      <c r="Q14" s="109" t="n">
        <v>8</v>
      </c>
      <c r="R14" s="110" t="n">
        <v>1813</v>
      </c>
      <c r="S14" s="110" t="n">
        <v>4105.73303251072</v>
      </c>
      <c r="T14" s="110" t="n">
        <v>4730.98371794695</v>
      </c>
      <c r="U14" s="110" t="n">
        <v>10649.7167504577</v>
      </c>
      <c r="V14" s="104" t="n">
        <v>1020</v>
      </c>
      <c r="W14" s="104" t="n">
        <v>3420</v>
      </c>
      <c r="X14" s="104">
        <f>$V14+W14</f>
        <v/>
      </c>
      <c r="Y14" s="111">
        <f>IFERROR(A14/R14,0)</f>
        <v/>
      </c>
      <c r="Z14" s="111">
        <f>IFERROR(B14/U14,0)</f>
        <v/>
      </c>
      <c r="AA14" s="111">
        <f>IFERROR(C14/R14,0)</f>
        <v/>
      </c>
      <c r="AB14" s="111">
        <f>IFERROR(D14/U14,0)</f>
        <v/>
      </c>
      <c r="AD14" s="111">
        <f>IF(U14&gt;0,IFERROR(E14/U14,0),1)</f>
        <v/>
      </c>
      <c r="AE14" s="111">
        <f>IF(R14&gt;0,IFERROR(F14/R14,0),1)</f>
        <v/>
      </c>
      <c r="AF14" s="111">
        <f>IF(AL14&gt;0,IFERROR(G14/AL14,0),1)</f>
        <v/>
      </c>
      <c r="AG14" s="111">
        <f>IF(AM14&gt;0,IFERROR(H14/AM14,0),1)</f>
        <v/>
      </c>
      <c r="AH14" s="104">
        <f>U14-(V14+AN14+AR14)</f>
        <v/>
      </c>
      <c r="AI14" s="104">
        <f>R14-(V14+AO14+AR14)</f>
        <v/>
      </c>
      <c r="AJ14" s="104">
        <f>(AL14-AP14)</f>
        <v/>
      </c>
      <c r="AK14" s="104">
        <f>(AM14-AQ14)</f>
        <v/>
      </c>
      <c r="AL14" s="110">
        <f>S14+AI14</f>
        <v/>
      </c>
      <c r="AM14" s="110">
        <f>T14+AJ14</f>
        <v/>
      </c>
      <c r="AN14" s="104" t="n">
        <v>7820</v>
      </c>
      <c r="AO14" s="104" t="n">
        <v>3420</v>
      </c>
      <c r="AP14" s="104" t="n">
        <v>2000</v>
      </c>
      <c r="AQ14" s="104" t="n">
        <v>2400</v>
      </c>
      <c r="AR14" s="104" t="n">
        <v>0</v>
      </c>
      <c r="AS14" s="104" t="n"/>
      <c r="AT14" s="104" t="n"/>
    </row>
    <row r="15" ht="12.65" customHeight="1" s="79">
      <c r="A15" s="104">
        <f>MIN(V15,R15)</f>
        <v/>
      </c>
      <c r="B15" s="104">
        <f>MIN(V15,U15)</f>
        <v/>
      </c>
      <c r="C15" s="104">
        <f>MIN(X15,R15)</f>
        <v/>
      </c>
      <c r="D15" s="104">
        <f>MIN(X15,U15)</f>
        <v/>
      </c>
      <c r="E15" s="104">
        <f>MIN((V15+AN15+AR15),U15)</f>
        <v/>
      </c>
      <c r="F15" s="104">
        <f>MAX(MIN((V15+AO15+AR15),R15),0)</f>
        <v/>
      </c>
      <c r="G15" s="104">
        <f>MAX(MIN(AP15,AL15),0)</f>
        <v/>
      </c>
      <c r="H15" s="104">
        <f>MAX(MIN(AQ15,AM15),0)</f>
        <v/>
      </c>
      <c r="I15" s="105" t="inlineStr">
        <is>
          <t>CHANDRAPAL NEGI</t>
        </is>
      </c>
      <c r="J15" s="106" t="inlineStr">
        <is>
          <t>LIFESTYLE</t>
        </is>
      </c>
      <c r="K15" s="107" t="inlineStr">
        <is>
          <t>LS_INFANT ACCESSORIES</t>
        </is>
      </c>
      <c r="L15" s="107" t="inlineStr">
        <is>
          <t>LS_IA_DIAPER</t>
        </is>
      </c>
      <c r="M15" s="107" t="inlineStr">
        <is>
          <t>DPR 999-[LSIA014]</t>
        </is>
      </c>
      <c r="N15" s="107" t="inlineStr">
        <is>
          <t>ACTIVE</t>
        </is>
      </c>
      <c r="O15" s="108" t="n">
        <v>0</v>
      </c>
      <c r="P15" s="108" t="n">
        <v>0</v>
      </c>
      <c r="Q15" s="109" t="n">
        <v>8</v>
      </c>
      <c r="R15" s="110" t="n">
        <v>0</v>
      </c>
      <c r="S15" s="110" t="n">
        <v>0</v>
      </c>
      <c r="T15" s="110" t="n">
        <v>0</v>
      </c>
      <c r="U15" s="110" t="n">
        <v>0</v>
      </c>
      <c r="V15" s="104" t="n">
        <v>0</v>
      </c>
      <c r="W15" s="104" t="n">
        <v>0</v>
      </c>
      <c r="X15" s="104">
        <f>$V15+W15</f>
        <v/>
      </c>
      <c r="Y15" s="111">
        <f>IFERROR(A15/R15,0)</f>
        <v/>
      </c>
      <c r="Z15" s="111">
        <f>IFERROR(B15/U15,0)</f>
        <v/>
      </c>
      <c r="AA15" s="111">
        <f>IFERROR(C15/R15,0)</f>
        <v/>
      </c>
      <c r="AB15" s="111">
        <f>IFERROR(D15/U15,0)</f>
        <v/>
      </c>
      <c r="AD15" s="111">
        <f>IF(U15&gt;0,IFERROR(E15/U15,0),1)</f>
        <v/>
      </c>
      <c r="AE15" s="111">
        <f>IF(R15&gt;0,IFERROR(F15/R15,0),1)</f>
        <v/>
      </c>
      <c r="AF15" s="111">
        <f>IF(AL15&gt;0,IFERROR(G15/AL15,0),1)</f>
        <v/>
      </c>
      <c r="AG15" s="111">
        <f>IF(AM15&gt;0,IFERROR(H15/AM15,0),1)</f>
        <v/>
      </c>
      <c r="AH15" s="104">
        <f>U15-(V15+AN15+AR15)</f>
        <v/>
      </c>
      <c r="AI15" s="104">
        <f>R15-(V15+AO15+AR15)</f>
        <v/>
      </c>
      <c r="AJ15" s="104">
        <f>(AL15-AP15)</f>
        <v/>
      </c>
      <c r="AK15" s="104">
        <f>(AM15-AQ15)</f>
        <v/>
      </c>
      <c r="AL15" s="110">
        <f>S15+AI15</f>
        <v/>
      </c>
      <c r="AM15" s="110">
        <f>T15+AJ15</f>
        <v/>
      </c>
      <c r="AN15" s="104" t="n">
        <v>0</v>
      </c>
      <c r="AO15" s="104" t="n">
        <v>0</v>
      </c>
      <c r="AP15" s="104" t="n">
        <v>0</v>
      </c>
      <c r="AQ15" s="104" t="n">
        <v>0</v>
      </c>
      <c r="AR15" s="104" t="n">
        <v>0</v>
      </c>
      <c r="AS15" s="104" t="n"/>
      <c r="AT15" s="104" t="n"/>
    </row>
    <row r="16" ht="12.65" customHeight="1" s="79">
      <c r="A16" s="104">
        <f>MIN(V16,R16)</f>
        <v/>
      </c>
      <c r="B16" s="104">
        <f>MIN(V16,U16)</f>
        <v/>
      </c>
      <c r="C16" s="104">
        <f>MIN(X16,R16)</f>
        <v/>
      </c>
      <c r="D16" s="104">
        <f>MIN(X16,U16)</f>
        <v/>
      </c>
      <c r="E16" s="104">
        <f>MIN((V16+AN16+AR16),U16)</f>
        <v/>
      </c>
      <c r="F16" s="104">
        <f>MAX(MIN((V16+AO16+AR16),R16),0)</f>
        <v/>
      </c>
      <c r="G16" s="104">
        <f>MAX(MIN(AP16,AL16),0)</f>
        <v/>
      </c>
      <c r="H16" s="104">
        <f>MAX(MIN(AQ16,AM16),0)</f>
        <v/>
      </c>
      <c r="I16" s="105" t="inlineStr">
        <is>
          <t>CHANDRAPAL NEGI</t>
        </is>
      </c>
      <c r="J16" s="106" t="inlineStr">
        <is>
          <t>LIFESTYLE</t>
        </is>
      </c>
      <c r="K16" s="107" t="inlineStr">
        <is>
          <t>LS_INFANT ACCESSORIES</t>
        </is>
      </c>
      <c r="L16" s="107" t="inlineStr">
        <is>
          <t>LS_IA_LANGOT</t>
        </is>
      </c>
      <c r="M16" s="107" t="inlineStr">
        <is>
          <t>LANGOT 79-[LSIA07]</t>
        </is>
      </c>
      <c r="N16" s="107" t="inlineStr">
        <is>
          <t>ACTIVE</t>
        </is>
      </c>
      <c r="O16" s="108" t="n">
        <v>0.117235917917642</v>
      </c>
      <c r="P16" s="108" t="n">
        <v>0.139004149377593</v>
      </c>
      <c r="Q16" s="109" t="n">
        <v>159</v>
      </c>
      <c r="R16" s="110" t="n">
        <v>4247</v>
      </c>
      <c r="S16" s="110" t="n">
        <v>1495.46979623515</v>
      </c>
      <c r="T16" s="110" t="n">
        <v>1626.75912114025</v>
      </c>
      <c r="U16" s="110" t="n">
        <v>7369.2289173754</v>
      </c>
      <c r="V16" s="104" t="n">
        <v>0</v>
      </c>
      <c r="W16" s="104" t="n">
        <v>1350</v>
      </c>
      <c r="X16" s="104">
        <f>$V16+W16</f>
        <v/>
      </c>
      <c r="Y16" s="111">
        <f>IFERROR(A16/R16,0)</f>
        <v/>
      </c>
      <c r="Z16" s="111">
        <f>IFERROR(B16/U16,0)</f>
        <v/>
      </c>
      <c r="AA16" s="111">
        <f>IFERROR(C16/R16,0)</f>
        <v/>
      </c>
      <c r="AB16" s="111">
        <f>IFERROR(D16/U16,0)</f>
        <v/>
      </c>
      <c r="AD16" s="111">
        <f>IF(U16&gt;0,IFERROR(E16/U16,0),1)</f>
        <v/>
      </c>
      <c r="AE16" s="111">
        <f>IF(R16&gt;0,IFERROR(F16/R16,0),1)</f>
        <v/>
      </c>
      <c r="AF16" s="111">
        <f>IF(AL16&gt;0,IFERROR(G16/AL16,0),1)</f>
        <v/>
      </c>
      <c r="AG16" s="111">
        <f>IF(AM16&gt;0,IFERROR(H16/AM16,0),1)</f>
        <v/>
      </c>
      <c r="AH16" s="104">
        <f>U16-(V16+AN16+AR16)</f>
        <v/>
      </c>
      <c r="AI16" s="104">
        <f>R16-(V16+AO16+AR16)</f>
        <v/>
      </c>
      <c r="AJ16" s="104">
        <f>(AL16-AP16)</f>
        <v/>
      </c>
      <c r="AK16" s="104">
        <f>(AM16-AQ16)</f>
        <v/>
      </c>
      <c r="AL16" s="110">
        <f>S16+AI16</f>
        <v/>
      </c>
      <c r="AM16" s="110">
        <f>T16+AJ16</f>
        <v/>
      </c>
      <c r="AN16" s="104" t="n">
        <v>8880</v>
      </c>
      <c r="AO16" s="104" t="n">
        <v>4800</v>
      </c>
      <c r="AP16" s="104" t="n">
        <v>4080</v>
      </c>
      <c r="AQ16" s="104" t="n">
        <v>0</v>
      </c>
      <c r="AR16" s="104" t="n">
        <v>0</v>
      </c>
      <c r="AS16" s="104" t="n"/>
      <c r="AT16" s="104" t="n"/>
    </row>
    <row r="17" ht="12.65" customHeight="1" s="79">
      <c r="A17" s="104">
        <f>MIN(V17,R17)</f>
        <v/>
      </c>
      <c r="B17" s="104">
        <f>MIN(V17,U17)</f>
        <v/>
      </c>
      <c r="C17" s="104">
        <f>MIN(X17,R17)</f>
        <v/>
      </c>
      <c r="D17" s="104">
        <f>MIN(X17,U17)</f>
        <v/>
      </c>
      <c r="E17" s="104">
        <f>MIN((V17+AN17+AR17),U17)</f>
        <v/>
      </c>
      <c r="F17" s="104">
        <f>MAX(MIN((V17+AO17+AR17),R17),0)</f>
        <v/>
      </c>
      <c r="G17" s="104">
        <f>MAX(MIN(AP17,AL17),0)</f>
        <v/>
      </c>
      <c r="H17" s="104">
        <f>MAX(MIN(AQ17,AM17),0)</f>
        <v/>
      </c>
      <c r="I17" s="105" t="inlineStr">
        <is>
          <t>CHANDRAPAL NEGI</t>
        </is>
      </c>
      <c r="J17" s="106" t="inlineStr">
        <is>
          <t>LIFESTYLE</t>
        </is>
      </c>
      <c r="K17" s="107" t="inlineStr">
        <is>
          <t>LS_INFANT ACCESSORIES</t>
        </is>
      </c>
      <c r="L17" s="107" t="inlineStr">
        <is>
          <t>LS_IA_PILLOW</t>
        </is>
      </c>
      <c r="M17" s="107" t="inlineStr">
        <is>
          <t>PILLOW 129-[LSIA05]</t>
        </is>
      </c>
      <c r="N17" s="107" t="inlineStr">
        <is>
          <t>ACTIVE</t>
        </is>
      </c>
      <c r="O17" s="108" t="n">
        <v>0.146421816850711</v>
      </c>
      <c r="P17" s="108" t="n">
        <v>0.173245001396815</v>
      </c>
      <c r="Q17" s="109" t="n">
        <v>131</v>
      </c>
      <c r="R17" s="110" t="n">
        <v>5416</v>
      </c>
      <c r="S17" s="110" t="n">
        <v>515.719909089366</v>
      </c>
      <c r="T17" s="110" t="n">
        <v>1115.93694133623</v>
      </c>
      <c r="U17" s="110" t="n">
        <v>7047.6568504256</v>
      </c>
      <c r="V17" s="104" t="n">
        <v>0</v>
      </c>
      <c r="W17" s="104" t="n">
        <v>0</v>
      </c>
      <c r="X17" s="104">
        <f>$V17+W17</f>
        <v/>
      </c>
      <c r="Y17" s="111">
        <f>IFERROR(A17/R17,0)</f>
        <v/>
      </c>
      <c r="Z17" s="111">
        <f>IFERROR(B17/U17,0)</f>
        <v/>
      </c>
      <c r="AA17" s="111">
        <f>IFERROR(C17/R17,0)</f>
        <v/>
      </c>
      <c r="AB17" s="111">
        <f>IFERROR(D17/U17,0)</f>
        <v/>
      </c>
      <c r="AD17" s="111">
        <f>IF(U17&gt;0,IFERROR(E17/U17,0),1)</f>
        <v/>
      </c>
      <c r="AE17" s="111">
        <f>IF(R17&gt;0,IFERROR(F17/R17,0),1)</f>
        <v/>
      </c>
      <c r="AF17" s="111">
        <f>IF(AL17&gt;0,IFERROR(G17/AL17,0),1)</f>
        <v/>
      </c>
      <c r="AG17" s="111">
        <f>IF(AM17&gt;0,IFERROR(H17/AM17,0),1)</f>
        <v/>
      </c>
      <c r="AH17" s="104">
        <f>U17-(V17+AN17+AR17)</f>
        <v/>
      </c>
      <c r="AI17" s="104">
        <f>R17-(V17+AO17+AR17)</f>
        <v/>
      </c>
      <c r="AJ17" s="104">
        <f>(AL17-AP17)</f>
        <v/>
      </c>
      <c r="AK17" s="104">
        <f>(AM17-AQ17)</f>
        <v/>
      </c>
      <c r="AL17" s="110">
        <f>S17+AI17</f>
        <v/>
      </c>
      <c r="AM17" s="110">
        <f>T17+AJ17</f>
        <v/>
      </c>
      <c r="AN17" s="104" t="n">
        <v>14400</v>
      </c>
      <c r="AO17" s="104" t="n">
        <v>6000</v>
      </c>
      <c r="AP17" s="104" t="n">
        <v>8400</v>
      </c>
      <c r="AQ17" s="104" t="n">
        <v>0</v>
      </c>
      <c r="AR17" s="104" t="n">
        <v>0</v>
      </c>
      <c r="AS17" s="104" t="n"/>
      <c r="AT17" s="104" t="n"/>
    </row>
    <row r="18" ht="12.65" customHeight="1" s="79">
      <c r="A18" s="104">
        <f>MIN(V18,R18)</f>
        <v/>
      </c>
      <c r="B18" s="104">
        <f>MIN(V18,U18)</f>
        <v/>
      </c>
      <c r="C18" s="104">
        <f>MIN(X18,R18)</f>
        <v/>
      </c>
      <c r="D18" s="104">
        <f>MIN(X18,U18)</f>
        <v/>
      </c>
      <c r="E18" s="104">
        <f>MIN((V18+AN18+AR18),U18)</f>
        <v/>
      </c>
      <c r="F18" s="104">
        <f>MAX(MIN((V18+AO18+AR18),R18),0)</f>
        <v/>
      </c>
      <c r="G18" s="104">
        <f>MAX(MIN(AP18,AL18),0)</f>
        <v/>
      </c>
      <c r="H18" s="104">
        <f>MAX(MIN(AQ18,AM18),0)</f>
        <v/>
      </c>
      <c r="I18" s="105" t="inlineStr">
        <is>
          <t>CHANDRAPAL NEGI</t>
        </is>
      </c>
      <c r="J18" s="106" t="inlineStr">
        <is>
          <t>LIFESTYLE</t>
        </is>
      </c>
      <c r="K18" s="107" t="inlineStr">
        <is>
          <t>LS_INFANT ACCESSORIES</t>
        </is>
      </c>
      <c r="L18" s="107" t="inlineStr">
        <is>
          <t>LS_IA_RATTLE</t>
        </is>
      </c>
      <c r="M18" s="107" t="inlineStr">
        <is>
          <t>RTL 149-[LSIA04]</t>
        </is>
      </c>
      <c r="N18" s="107" t="inlineStr">
        <is>
          <t>ACTIVE</t>
        </is>
      </c>
      <c r="O18" s="108" t="n">
        <v>0.130690904999558</v>
      </c>
      <c r="P18" s="108" t="n">
        <v>0.127328672499686</v>
      </c>
      <c r="Q18" s="109" t="n">
        <v>58</v>
      </c>
      <c r="R18" s="110" t="n">
        <v>6475</v>
      </c>
      <c r="S18" s="110" t="n">
        <v>5571.5860446567</v>
      </c>
      <c r="T18" s="110" t="n">
        <v>6270.72668027386</v>
      </c>
      <c r="U18" s="110" t="n">
        <v>18317.3127249306</v>
      </c>
      <c r="V18" s="104" t="n">
        <v>5994</v>
      </c>
      <c r="W18" s="104" t="n">
        <v>0</v>
      </c>
      <c r="X18" s="104">
        <f>$V18+W18</f>
        <v/>
      </c>
      <c r="Y18" s="111">
        <f>IFERROR(A18/R18,0)</f>
        <v/>
      </c>
      <c r="Z18" s="111">
        <f>IFERROR(B18/U18,0)</f>
        <v/>
      </c>
      <c r="AA18" s="111">
        <f>IFERROR(C18/R18,0)</f>
        <v/>
      </c>
      <c r="AB18" s="111">
        <f>IFERROR(D18/U18,0)</f>
        <v/>
      </c>
      <c r="AD18" s="111">
        <f>IF(U18&gt;0,IFERROR(E18/U18,0),1)</f>
        <v/>
      </c>
      <c r="AE18" s="111">
        <f>IF(R18&gt;0,IFERROR(F18/R18,0),1)</f>
        <v/>
      </c>
      <c r="AF18" s="111">
        <f>IF(AL18&gt;0,IFERROR(G18/AL18,0),1)</f>
        <v/>
      </c>
      <c r="AG18" s="111">
        <f>IF(AM18&gt;0,IFERROR(H18/AM18,0),1)</f>
        <v/>
      </c>
      <c r="AH18" s="104">
        <f>U18-(V18+AN18+AR18)</f>
        <v/>
      </c>
      <c r="AI18" s="104">
        <f>R18-(V18+AO18+AR18)</f>
        <v/>
      </c>
      <c r="AJ18" s="104">
        <f>(AL18-AP18)</f>
        <v/>
      </c>
      <c r="AK18" s="104">
        <f>(AM18-AQ18)</f>
        <v/>
      </c>
      <c r="AL18" s="110">
        <f>S18+AI18</f>
        <v/>
      </c>
      <c r="AM18" s="110">
        <f>T18+AJ18</f>
        <v/>
      </c>
      <c r="AN18" s="104" t="n">
        <v>13200</v>
      </c>
      <c r="AO18" s="104" t="n">
        <v>2400</v>
      </c>
      <c r="AP18" s="104" t="n">
        <v>7200</v>
      </c>
      <c r="AQ18" s="104" t="n">
        <v>3600</v>
      </c>
      <c r="AR18" s="104" t="n">
        <v>0</v>
      </c>
      <c r="AS18" s="104" t="n"/>
      <c r="AT18" s="104" t="n"/>
    </row>
    <row r="19" ht="12.65" customHeight="1" s="79">
      <c r="A19" s="104">
        <f>MIN(V19,R19)</f>
        <v/>
      </c>
      <c r="B19" s="104">
        <f>MIN(V19,U19)</f>
        <v/>
      </c>
      <c r="C19" s="104">
        <f>MIN(X19,R19)</f>
        <v/>
      </c>
      <c r="D19" s="104">
        <f>MIN(X19,U19)</f>
        <v/>
      </c>
      <c r="E19" s="104">
        <f>MIN((V19+AN19+AR19),U19)</f>
        <v/>
      </c>
      <c r="F19" s="104">
        <f>MAX(MIN((V19+AO19+AR19),R19),0)</f>
        <v/>
      </c>
      <c r="G19" s="104">
        <f>MAX(MIN(AP19,AL19),0)</f>
        <v/>
      </c>
      <c r="H19" s="104">
        <f>MAX(MIN(AQ19,AM19),0)</f>
        <v/>
      </c>
      <c r="I19" s="105" t="inlineStr">
        <is>
          <t>CHANDRAPAL NEGI</t>
        </is>
      </c>
      <c r="J19" s="106" t="inlineStr">
        <is>
          <t>LIFESTYLE</t>
        </is>
      </c>
      <c r="K19" s="107" t="inlineStr">
        <is>
          <t>LS_INFANT ACCESSORIES</t>
        </is>
      </c>
      <c r="L19" s="107" t="inlineStr">
        <is>
          <t>LS_IA_RATTLE</t>
        </is>
      </c>
      <c r="M19" s="107" t="inlineStr">
        <is>
          <t>RTL 99-[LSIA04]</t>
        </is>
      </c>
      <c r="N19" s="107" t="inlineStr">
        <is>
          <t>ACTIVE</t>
        </is>
      </c>
      <c r="O19" s="108" t="n">
        <v>0.160493313645155</v>
      </c>
      <c r="P19" s="108" t="n">
        <v>0.139833653230966</v>
      </c>
      <c r="Q19" s="109" t="n">
        <v>58</v>
      </c>
      <c r="R19" s="110" t="n">
        <v>4362</v>
      </c>
      <c r="S19" s="110" t="n">
        <v>2644.00949438528</v>
      </c>
      <c r="T19" s="110" t="n">
        <v>3664.47847392494</v>
      </c>
      <c r="U19" s="110" t="n">
        <v>10670.4879683102</v>
      </c>
      <c r="V19" s="104" t="n">
        <v>3696</v>
      </c>
      <c r="W19" s="104" t="n">
        <v>2400</v>
      </c>
      <c r="X19" s="104">
        <f>$V19+W19</f>
        <v/>
      </c>
      <c r="Y19" s="111">
        <f>IFERROR(A19/R19,0)</f>
        <v/>
      </c>
      <c r="Z19" s="111">
        <f>IFERROR(B19/U19,0)</f>
        <v/>
      </c>
      <c r="AA19" s="111">
        <f>IFERROR(C19/R19,0)</f>
        <v/>
      </c>
      <c r="AB19" s="111">
        <f>IFERROR(D19/U19,0)</f>
        <v/>
      </c>
      <c r="AD19" s="111">
        <f>IF(U19&gt;0,IFERROR(E19/U19,0),1)</f>
        <v/>
      </c>
      <c r="AE19" s="111">
        <f>IF(R19&gt;0,IFERROR(F19/R19,0),1)</f>
        <v/>
      </c>
      <c r="AF19" s="111">
        <f>IF(AL19&gt;0,IFERROR(G19/AL19,0),1)</f>
        <v/>
      </c>
      <c r="AG19" s="111">
        <f>IF(AM19&gt;0,IFERROR(H19/AM19,0),1)</f>
        <v/>
      </c>
      <c r="AH19" s="104">
        <f>U19-(V19+AN19+AR19)</f>
        <v/>
      </c>
      <c r="AI19" s="104">
        <f>R19-(V19+AO19+AR19)</f>
        <v/>
      </c>
      <c r="AJ19" s="104">
        <f>(AL19-AP19)</f>
        <v/>
      </c>
      <c r="AK19" s="104">
        <f>(AM19-AQ19)</f>
        <v/>
      </c>
      <c r="AL19" s="110">
        <f>S19+AI19</f>
        <v/>
      </c>
      <c r="AM19" s="110">
        <f>T19+AJ19</f>
        <v/>
      </c>
      <c r="AN19" s="104" t="n">
        <v>9600</v>
      </c>
      <c r="AO19" s="104" t="n">
        <v>2400</v>
      </c>
      <c r="AP19" s="104" t="n">
        <v>3600</v>
      </c>
      <c r="AQ19" s="104" t="n">
        <v>3600</v>
      </c>
      <c r="AR19" s="104" t="n">
        <v>0</v>
      </c>
      <c r="AS19" s="104" t="n"/>
      <c r="AT19" s="104" t="n"/>
    </row>
    <row r="20" ht="12.65" customHeight="1" s="79">
      <c r="A20" s="104">
        <f>MIN(V20,R20)</f>
        <v/>
      </c>
      <c r="B20" s="104">
        <f>MIN(V20,U20)</f>
        <v/>
      </c>
      <c r="C20" s="104">
        <f>MIN(X20,R20)</f>
        <v/>
      </c>
      <c r="D20" s="104">
        <f>MIN(X20,U20)</f>
        <v/>
      </c>
      <c r="E20" s="104">
        <f>MIN((V20+AN20+AR20),U20)</f>
        <v/>
      </c>
      <c r="F20" s="104">
        <f>MAX(MIN((V20+AO20+AR20),R20),0)</f>
        <v/>
      </c>
      <c r="G20" s="104">
        <f>MAX(MIN(AP20,AL20),0)</f>
        <v/>
      </c>
      <c r="H20" s="104">
        <f>MAX(MIN(AQ20,AM20),0)</f>
        <v/>
      </c>
      <c r="I20" s="105" t="inlineStr">
        <is>
          <t>CHANDRAPAL NEGI</t>
        </is>
      </c>
      <c r="J20" s="106" t="inlineStr">
        <is>
          <t>LIFESTYLE</t>
        </is>
      </c>
      <c r="K20" s="107" t="inlineStr">
        <is>
          <t>LS_INFANT ACCESSORIES</t>
        </is>
      </c>
      <c r="L20" s="107" t="inlineStr">
        <is>
          <t>LS_IA_SOCKS</t>
        </is>
      </c>
      <c r="M20" s="107" t="inlineStr">
        <is>
          <t>ANKL CTN 79-[LSIA02]</t>
        </is>
      </c>
      <c r="N20" s="107" t="inlineStr">
        <is>
          <t>ACTIVE</t>
        </is>
      </c>
      <c r="O20" s="108" t="n">
        <v>0</v>
      </c>
      <c r="P20" s="108" t="n">
        <v>0</v>
      </c>
      <c r="Q20" s="109" t="n">
        <v>75</v>
      </c>
      <c r="R20" s="110" t="n">
        <v>36393</v>
      </c>
      <c r="S20" s="110" t="n">
        <v>14583.7991192145</v>
      </c>
      <c r="T20" s="110" t="n">
        <v>4162.93198998741</v>
      </c>
      <c r="U20" s="110" t="n">
        <v>55139.7311092019</v>
      </c>
      <c r="V20" s="104" t="n">
        <v>28800</v>
      </c>
      <c r="W20" s="104" t="n">
        <v>0</v>
      </c>
      <c r="X20" s="104">
        <f>$V20+W20</f>
        <v/>
      </c>
      <c r="Y20" s="111">
        <f>IFERROR(A20/R20,0)</f>
        <v/>
      </c>
      <c r="Z20" s="111">
        <f>IFERROR(B20/U20,0)</f>
        <v/>
      </c>
      <c r="AA20" s="111">
        <f>IFERROR(C20/R20,0)</f>
        <v/>
      </c>
      <c r="AB20" s="111">
        <f>IFERROR(D20/U20,0)</f>
        <v/>
      </c>
      <c r="AD20" s="111">
        <f>IF(U20&gt;0,IFERROR(E20/U20,0),1)</f>
        <v/>
      </c>
      <c r="AE20" s="111">
        <f>IF(R20&gt;0,IFERROR(F20/R20,0),1)</f>
        <v/>
      </c>
      <c r="AF20" s="111">
        <f>IF(AL20&gt;0,IFERROR(G20/AL20,0),1)</f>
        <v/>
      </c>
      <c r="AG20" s="111">
        <f>IF(AM20&gt;0,IFERROR(H20/AM20,0),1)</f>
        <v/>
      </c>
      <c r="AH20" s="104">
        <f>U20-(V20+AN20+AR20)</f>
        <v/>
      </c>
      <c r="AI20" s="104">
        <f>R20-(V20+AO20+AR20)</f>
        <v/>
      </c>
      <c r="AJ20" s="104">
        <f>(AL20-AP20)</f>
        <v/>
      </c>
      <c r="AK20" s="104">
        <f>(AM20-AQ20)</f>
        <v/>
      </c>
      <c r="AL20" s="110">
        <f>S20+AI20</f>
        <v/>
      </c>
      <c r="AM20" s="110">
        <f>T20+AJ20</f>
        <v/>
      </c>
      <c r="AN20" s="104" t="n">
        <v>21600</v>
      </c>
      <c r="AO20" s="104" t="n">
        <v>14400</v>
      </c>
      <c r="AP20" s="104" t="n">
        <v>0</v>
      </c>
      <c r="AQ20" s="104" t="n">
        <v>7200</v>
      </c>
      <c r="AR20" s="104" t="n">
        <v>0</v>
      </c>
      <c r="AS20" s="104" t="n"/>
      <c r="AT20" s="104" t="n"/>
    </row>
    <row r="21" ht="12.65" customHeight="1" s="79">
      <c r="A21" s="104">
        <f>MIN(V21,R21)</f>
        <v/>
      </c>
      <c r="B21" s="104">
        <f>MIN(V21,U21)</f>
        <v/>
      </c>
      <c r="C21" s="104">
        <f>MIN(X21,R21)</f>
        <v/>
      </c>
      <c r="D21" s="104">
        <f>MIN(X21,U21)</f>
        <v/>
      </c>
      <c r="E21" s="104">
        <f>MIN((V21+AN21+AR21),U21)</f>
        <v/>
      </c>
      <c r="F21" s="104">
        <f>MAX(MIN((V21+AO21+AR21),R21),0)</f>
        <v/>
      </c>
      <c r="G21" s="104">
        <f>MAX(MIN(AP21,AL21),0)</f>
        <v/>
      </c>
      <c r="H21" s="104">
        <f>MAX(MIN(AQ21,AM21),0)</f>
        <v/>
      </c>
      <c r="I21" s="105" t="inlineStr">
        <is>
          <t>CHANDRAPAL NEGI</t>
        </is>
      </c>
      <c r="J21" s="106" t="inlineStr">
        <is>
          <t>LIFESTYLE</t>
        </is>
      </c>
      <c r="K21" s="107" t="inlineStr">
        <is>
          <t>LS_INFANT ACCESSORIES</t>
        </is>
      </c>
      <c r="L21" s="107" t="inlineStr">
        <is>
          <t>LS_IA_SOCKS</t>
        </is>
      </c>
      <c r="M21" s="107" t="inlineStr">
        <is>
          <t>ANKL TRRY 79-[LSIA02]</t>
        </is>
      </c>
      <c r="N21" s="107" t="inlineStr">
        <is>
          <t>ACTIVE</t>
        </is>
      </c>
      <c r="O21" s="108" t="n">
        <v>0</v>
      </c>
      <c r="P21" s="108" t="n">
        <v>0</v>
      </c>
      <c r="Q21" s="109" t="n">
        <v>75</v>
      </c>
      <c r="R21" s="110" t="n">
        <v>21030</v>
      </c>
      <c r="S21" s="110" t="n">
        <v>9402.19339120947</v>
      </c>
      <c r="T21" s="110" t="n">
        <v>2363.84847808535</v>
      </c>
      <c r="U21" s="110" t="n">
        <v>32796.0418692948</v>
      </c>
      <c r="V21" s="104" t="n">
        <v>4800</v>
      </c>
      <c r="W21" s="104" t="n">
        <v>21600</v>
      </c>
      <c r="X21" s="104">
        <f>$V21+W21</f>
        <v/>
      </c>
      <c r="Y21" s="111">
        <f>IFERROR(A21/R21,0)</f>
        <v/>
      </c>
      <c r="Z21" s="111">
        <f>IFERROR(B21/U21,0)</f>
        <v/>
      </c>
      <c r="AA21" s="111">
        <f>IFERROR(C21/R21,0)</f>
        <v/>
      </c>
      <c r="AB21" s="111">
        <f>IFERROR(D21/U21,0)</f>
        <v/>
      </c>
      <c r="AD21" s="111">
        <f>IF(U21&gt;0,IFERROR(E21/U21,0),1)</f>
        <v/>
      </c>
      <c r="AE21" s="111">
        <f>IF(R21&gt;0,IFERROR(F21/R21,0),1)</f>
        <v/>
      </c>
      <c r="AF21" s="111">
        <f>IF(AL21&gt;0,IFERROR(G21/AL21,0),1)</f>
        <v/>
      </c>
      <c r="AG21" s="111">
        <f>IF(AM21&gt;0,IFERROR(H21/AM21,0),1)</f>
        <v/>
      </c>
      <c r="AH21" s="104">
        <f>U21-(V21+AN21+AR21)</f>
        <v/>
      </c>
      <c r="AI21" s="104">
        <f>R21-(V21+AO21+AR21)</f>
        <v/>
      </c>
      <c r="AJ21" s="104">
        <f>(AL21-AP21)</f>
        <v/>
      </c>
      <c r="AK21" s="104">
        <f>(AM21-AQ21)</f>
        <v/>
      </c>
      <c r="AL21" s="110">
        <f>S21+AI21</f>
        <v/>
      </c>
      <c r="AM21" s="110">
        <f>T21+AJ21</f>
        <v/>
      </c>
      <c r="AN21" s="104" t="n">
        <v>21600</v>
      </c>
      <c r="AO21" s="104" t="n">
        <v>0</v>
      </c>
      <c r="AP21" s="104" t="n">
        <v>21600</v>
      </c>
      <c r="AQ21" s="104" t="n">
        <v>0</v>
      </c>
      <c r="AR21" s="104" t="n">
        <v>0</v>
      </c>
      <c r="AS21" s="104" t="n"/>
      <c r="AT21" s="104" t="n"/>
    </row>
    <row r="22" ht="12.65" customHeight="1" s="79">
      <c r="A22" s="104">
        <f>MIN(V22,R22)</f>
        <v/>
      </c>
      <c r="B22" s="104">
        <f>MIN(V22,U22)</f>
        <v/>
      </c>
      <c r="C22" s="104">
        <f>MIN(X22,R22)</f>
        <v/>
      </c>
      <c r="D22" s="104">
        <f>MIN(X22,U22)</f>
        <v/>
      </c>
      <c r="E22" s="104">
        <f>MIN((V22+AN22+AR22),U22)</f>
        <v/>
      </c>
      <c r="F22" s="104">
        <f>MAX(MIN((V22+AO22+AR22),R22),0)</f>
        <v/>
      </c>
      <c r="G22" s="104">
        <f>MAX(MIN(AP22,AL22),0)</f>
        <v/>
      </c>
      <c r="H22" s="104">
        <f>MAX(MIN(AQ22,AM22),0)</f>
        <v/>
      </c>
      <c r="I22" s="105" t="inlineStr">
        <is>
          <t>CHANDRAPAL NEGI</t>
        </is>
      </c>
      <c r="J22" s="106" t="inlineStr">
        <is>
          <t>LIFESTYLE</t>
        </is>
      </c>
      <c r="K22" s="107" t="inlineStr">
        <is>
          <t>LS_INFANT ACCESSORIES</t>
        </is>
      </c>
      <c r="L22" s="107" t="inlineStr">
        <is>
          <t>LS_IA_TOWEL</t>
        </is>
      </c>
      <c r="M22" s="107" t="inlineStr">
        <is>
          <t>CTN PRT 199-[LSIA018]</t>
        </is>
      </c>
      <c r="N22" s="107" t="inlineStr">
        <is>
          <t>ACTIVE</t>
        </is>
      </c>
      <c r="O22" s="108" t="n">
        <v>0.107197716305308</v>
      </c>
      <c r="P22" s="108" t="n">
        <v>0.086711469617804</v>
      </c>
      <c r="Q22" s="109" t="n">
        <v>112</v>
      </c>
      <c r="R22" s="110" t="n">
        <v>1132</v>
      </c>
      <c r="S22" s="110" t="n">
        <v>0</v>
      </c>
      <c r="T22" s="110" t="n">
        <v>304.29874117525</v>
      </c>
      <c r="U22" s="110" t="n">
        <v>1436.29874117525</v>
      </c>
      <c r="V22" s="104" t="n">
        <v>3000</v>
      </c>
      <c r="W22" s="104" t="n">
        <v>0</v>
      </c>
      <c r="X22" s="104">
        <f>$V22+W22</f>
        <v/>
      </c>
      <c r="Y22" s="111">
        <f>IFERROR(A22/R22,0)</f>
        <v/>
      </c>
      <c r="Z22" s="111">
        <f>IFERROR(B22/U22,0)</f>
        <v/>
      </c>
      <c r="AA22" s="111">
        <f>IFERROR(C22/R22,0)</f>
        <v/>
      </c>
      <c r="AB22" s="111">
        <f>IFERROR(D22/U22,0)</f>
        <v/>
      </c>
      <c r="AD22" s="111">
        <f>IF(U22&gt;0,IFERROR(E22/U22,0),1)</f>
        <v/>
      </c>
      <c r="AE22" s="111">
        <f>IF(R22&gt;0,IFERROR(F22/R22,0),1)</f>
        <v/>
      </c>
      <c r="AF22" s="111">
        <f>IF(AL22&gt;0,IFERROR(G22/AL22,0),1)</f>
        <v/>
      </c>
      <c r="AG22" s="111">
        <f>IF(AM22&gt;0,IFERROR(H22/AM22,0),1)</f>
        <v/>
      </c>
      <c r="AH22" s="104">
        <f>U22-(V22+AN22+AR22)</f>
        <v/>
      </c>
      <c r="AI22" s="104">
        <f>R22-(V22+AO22+AR22)</f>
        <v/>
      </c>
      <c r="AJ22" s="104">
        <f>(AL22-AP22)</f>
        <v/>
      </c>
      <c r="AK22" s="104">
        <f>(AM22-AQ22)</f>
        <v/>
      </c>
      <c r="AL22" s="110">
        <f>S22+AI22</f>
        <v/>
      </c>
      <c r="AM22" s="110">
        <f>T22+AJ22</f>
        <v/>
      </c>
      <c r="AN22" s="104" t="n">
        <v>0</v>
      </c>
      <c r="AO22" s="104" t="n">
        <v>0</v>
      </c>
      <c r="AP22" s="104" t="n">
        <v>0</v>
      </c>
      <c r="AQ22" s="104" t="n">
        <v>0</v>
      </c>
      <c r="AR22" s="104" t="n">
        <v>0</v>
      </c>
      <c r="AS22" s="104" t="n"/>
      <c r="AT22" s="104" t="n"/>
    </row>
    <row r="23" ht="12.65" customHeight="1" s="79">
      <c r="A23" s="104">
        <f>MIN(V23,R23)</f>
        <v/>
      </c>
      <c r="B23" s="104">
        <f>MIN(V23,U23)</f>
        <v/>
      </c>
      <c r="C23" s="104">
        <f>MIN(X23,R23)</f>
        <v/>
      </c>
      <c r="D23" s="104">
        <f>MIN(X23,U23)</f>
        <v/>
      </c>
      <c r="E23" s="104">
        <f>MIN((V23+AN23+AR23),U23)</f>
        <v/>
      </c>
      <c r="F23" s="104">
        <f>MAX(MIN((V23+AO23+AR23),R23),0)</f>
        <v/>
      </c>
      <c r="G23" s="104">
        <f>MAX(MIN(AP23,AL23),0)</f>
        <v/>
      </c>
      <c r="H23" s="104">
        <f>MAX(MIN(AQ23,AM23),0)</f>
        <v/>
      </c>
      <c r="I23" s="105" t="inlineStr">
        <is>
          <t>CHANDRAPAL NEGI</t>
        </is>
      </c>
      <c r="J23" s="106" t="inlineStr">
        <is>
          <t>LIFESTYLE</t>
        </is>
      </c>
      <c r="K23" s="107" t="inlineStr">
        <is>
          <t>LS_INFANT ACCESSORIES</t>
        </is>
      </c>
      <c r="L23" s="107" t="inlineStr">
        <is>
          <t>LS_IA_WIPES</t>
        </is>
      </c>
      <c r="M23" s="107" t="inlineStr">
        <is>
          <t>WIPES 99-[LSIA08]</t>
        </is>
      </c>
      <c r="N23" s="107" t="inlineStr">
        <is>
          <t>ACTIVE</t>
        </is>
      </c>
      <c r="O23" s="108" t="n">
        <v>0.127559123570184</v>
      </c>
      <c r="P23" s="108" t="n">
        <v>0.119515067789556</v>
      </c>
      <c r="Q23" s="109" t="n">
        <v>98</v>
      </c>
      <c r="R23" s="110" t="n">
        <v>6429</v>
      </c>
      <c r="S23" s="110" t="n">
        <v>7375.00186789103</v>
      </c>
      <c r="T23" s="110" t="n">
        <v>6244.03076190096</v>
      </c>
      <c r="U23" s="110" t="n">
        <v>20048.032629792</v>
      </c>
      <c r="V23" s="104" t="n">
        <v>14772</v>
      </c>
      <c r="W23" s="104" t="n">
        <v>0</v>
      </c>
      <c r="X23" s="104">
        <f>$V23+W23</f>
        <v/>
      </c>
      <c r="Y23" s="111">
        <f>IFERROR(A23/R23,0)</f>
        <v/>
      </c>
      <c r="Z23" s="111">
        <f>IFERROR(B23/U23,0)</f>
        <v/>
      </c>
      <c r="AA23" s="111">
        <f>IFERROR(C23/R23,0)</f>
        <v/>
      </c>
      <c r="AB23" s="111">
        <f>IFERROR(D23/U23,0)</f>
        <v/>
      </c>
      <c r="AD23" s="111">
        <f>IF(U23&gt;0,IFERROR(E23/U23,0),1)</f>
        <v/>
      </c>
      <c r="AE23" s="111">
        <f>IF(R23&gt;0,IFERROR(F23/R23,0),1)</f>
        <v/>
      </c>
      <c r="AF23" s="111">
        <f>IF(AL23&gt;0,IFERROR(G23/AL23,0),1)</f>
        <v/>
      </c>
      <c r="AG23" s="111">
        <f>IF(AM23&gt;0,IFERROR(H23/AM23,0),1)</f>
        <v/>
      </c>
      <c r="AH23" s="104">
        <f>U23-(V23+AN23+AR23)</f>
        <v/>
      </c>
      <c r="AI23" s="104">
        <f>R23-(V23+AO23+AR23)</f>
        <v/>
      </c>
      <c r="AJ23" s="104">
        <f>(AL23-AP23)</f>
        <v/>
      </c>
      <c r="AK23" s="104">
        <f>(AM23-AQ23)</f>
        <v/>
      </c>
      <c r="AL23" s="110">
        <f>S23+AI23</f>
        <v/>
      </c>
      <c r="AM23" s="110">
        <f>T23+AJ23</f>
        <v/>
      </c>
      <c r="AN23" s="104" t="n">
        <v>14432</v>
      </c>
      <c r="AO23" s="104" t="n">
        <v>0</v>
      </c>
      <c r="AP23" s="104" t="n">
        <v>7216</v>
      </c>
      <c r="AQ23" s="104" t="n">
        <v>7216</v>
      </c>
      <c r="AR23" s="104" t="n">
        <v>0</v>
      </c>
      <c r="AS23" s="104" t="n"/>
      <c r="AT23" s="104" t="n"/>
    </row>
    <row r="24" ht="12.65" customHeight="1" s="79">
      <c r="A24" s="104">
        <f>MIN(V24,R24)</f>
        <v/>
      </c>
      <c r="B24" s="104">
        <f>MIN(V24,U24)</f>
        <v/>
      </c>
      <c r="C24" s="104">
        <f>MIN(X24,R24)</f>
        <v/>
      </c>
      <c r="D24" s="104">
        <f>MIN(X24,U24)</f>
        <v/>
      </c>
      <c r="E24" s="104">
        <f>MIN((V24+AN24+AR24),U24)</f>
        <v/>
      </c>
      <c r="F24" s="104">
        <f>MAX(MIN((V24+AO24+AR24),R24),0)</f>
        <v/>
      </c>
      <c r="G24" s="104">
        <f>MAX(MIN(AP24,AL24),0)</f>
        <v/>
      </c>
      <c r="H24" s="104">
        <f>MAX(MIN(AQ24,AM24),0)</f>
        <v/>
      </c>
      <c r="I24" s="105" t="inlineStr">
        <is>
          <t>CHANDRAPAL NEGI</t>
        </is>
      </c>
      <c r="J24" s="106" t="inlineStr">
        <is>
          <t>LIFESTYLE</t>
        </is>
      </c>
      <c r="K24" s="107" t="inlineStr">
        <is>
          <t>LS_KIDS ACCESSORIES</t>
        </is>
      </c>
      <c r="L24" s="107" t="inlineStr">
        <is>
          <t>LS_KB_CAP</t>
        </is>
      </c>
      <c r="M24" s="107" t="inlineStr">
        <is>
          <t>CTN 99-[LSKB03]</t>
        </is>
      </c>
      <c r="N24" s="107" t="inlineStr">
        <is>
          <t>ACTIVE</t>
        </is>
      </c>
      <c r="O24" s="108" t="n">
        <v>0.145816709735511</v>
      </c>
      <c r="P24" s="108" t="n">
        <v>0.099875241903003</v>
      </c>
      <c r="Q24" s="109" t="n">
        <v>143</v>
      </c>
      <c r="R24" s="110" t="n">
        <v>0</v>
      </c>
      <c r="S24" s="110" t="n">
        <v>0</v>
      </c>
      <c r="T24" s="110" t="n">
        <v>0</v>
      </c>
      <c r="U24" s="110" t="n">
        <v>0</v>
      </c>
      <c r="V24" s="104" t="n">
        <v>0</v>
      </c>
      <c r="W24" s="104" t="n">
        <v>0</v>
      </c>
      <c r="X24" s="104">
        <f>$V24+W24</f>
        <v/>
      </c>
      <c r="Y24" s="111">
        <f>IFERROR(A24/R24,0)</f>
        <v/>
      </c>
      <c r="Z24" s="111">
        <f>IFERROR(B24/U24,0)</f>
        <v/>
      </c>
      <c r="AA24" s="111">
        <f>IFERROR(C24/R24,0)</f>
        <v/>
      </c>
      <c r="AB24" s="111">
        <f>IFERROR(D24/U24,0)</f>
        <v/>
      </c>
      <c r="AD24" s="111">
        <f>IF(U24&gt;0,IFERROR(E24/U24,0),1)</f>
        <v/>
      </c>
      <c r="AE24" s="111">
        <f>IF(R24&gt;0,IFERROR(F24/R24,0),1)</f>
        <v/>
      </c>
      <c r="AF24" s="111">
        <f>IF(AL24&gt;0,IFERROR(G24/AL24,0),1)</f>
        <v/>
      </c>
      <c r="AG24" s="111">
        <f>IF(AM24&gt;0,IFERROR(H24/AM24,0),1)</f>
        <v/>
      </c>
      <c r="AH24" s="104">
        <f>U24-(V24+AN24+AR24)</f>
        <v/>
      </c>
      <c r="AI24" s="104">
        <f>R24-(V24+AO24+AR24)</f>
        <v/>
      </c>
      <c r="AJ24" s="104">
        <f>(AL24-AP24)</f>
        <v/>
      </c>
      <c r="AK24" s="104">
        <f>(AM24-AQ24)</f>
        <v/>
      </c>
      <c r="AL24" s="110">
        <f>S24+AI24</f>
        <v/>
      </c>
      <c r="AM24" s="110">
        <f>T24+AJ24</f>
        <v/>
      </c>
      <c r="AN24" s="104" t="n">
        <v>0</v>
      </c>
      <c r="AO24" s="104" t="n">
        <v>0</v>
      </c>
      <c r="AP24" s="104" t="n">
        <v>0</v>
      </c>
      <c r="AQ24" s="104" t="n">
        <v>0</v>
      </c>
      <c r="AR24" s="104" t="n">
        <v>0</v>
      </c>
      <c r="AS24" s="104" t="n"/>
      <c r="AT24" s="104" t="n"/>
    </row>
    <row r="25" ht="12.65" customHeight="1" s="79">
      <c r="A25" s="104">
        <f>MIN(V25,R25)</f>
        <v/>
      </c>
      <c r="B25" s="104">
        <f>MIN(V25,U25)</f>
        <v/>
      </c>
      <c r="C25" s="104">
        <f>MIN(X25,R25)</f>
        <v/>
      </c>
      <c r="D25" s="104">
        <f>MIN(X25,U25)</f>
        <v/>
      </c>
      <c r="E25" s="104">
        <f>MIN((V25+AN25+AR25),U25)</f>
        <v/>
      </c>
      <c r="F25" s="104">
        <f>MAX(MIN((V25+AO25+AR25),R25),0)</f>
        <v/>
      </c>
      <c r="G25" s="104">
        <f>MAX(MIN(AP25,AL25),0)</f>
        <v/>
      </c>
      <c r="H25" s="104">
        <f>MAX(MIN(AQ25,AM25),0)</f>
        <v/>
      </c>
      <c r="I25" s="105" t="inlineStr">
        <is>
          <t>CHANDRAPAL NEGI</t>
        </is>
      </c>
      <c r="J25" s="106" t="inlineStr">
        <is>
          <t>LIFESTYLE</t>
        </is>
      </c>
      <c r="K25" s="107" t="inlineStr">
        <is>
          <t>LS_KIDS ACCESSORIES</t>
        </is>
      </c>
      <c r="L25" s="107" t="inlineStr">
        <is>
          <t>LS_KB_SOCKS</t>
        </is>
      </c>
      <c r="M25" s="107" t="inlineStr">
        <is>
          <t>SPRT FULL 79-[LSKB02]</t>
        </is>
      </c>
      <c r="N25" s="107" t="inlineStr">
        <is>
          <t>ACTIVE</t>
        </is>
      </c>
      <c r="O25" s="108" t="n">
        <v>0</v>
      </c>
      <c r="P25" s="108" t="n">
        <v>0</v>
      </c>
      <c r="Q25" s="109" t="n">
        <v>73</v>
      </c>
      <c r="R25" s="110" t="n">
        <v>31627</v>
      </c>
      <c r="S25" s="110" t="n">
        <v>21303.6945449896</v>
      </c>
      <c r="T25" s="110" t="n">
        <v>4502.02491154554</v>
      </c>
      <c r="U25" s="110" t="n">
        <v>57432.7194565352</v>
      </c>
      <c r="V25" s="104" t="n">
        <v>19164</v>
      </c>
      <c r="W25" s="104" t="n">
        <v>4800</v>
      </c>
      <c r="X25" s="104">
        <f>$V25+W25</f>
        <v/>
      </c>
      <c r="Y25" s="111">
        <f>IFERROR(A25/R25,0)</f>
        <v/>
      </c>
      <c r="Z25" s="111">
        <f>IFERROR(B25/U25,0)</f>
        <v/>
      </c>
      <c r="AA25" s="111">
        <f>IFERROR(C25/R25,0)</f>
        <v/>
      </c>
      <c r="AB25" s="111">
        <f>IFERROR(D25/U25,0)</f>
        <v/>
      </c>
      <c r="AD25" s="111">
        <f>IF(U25&gt;0,IFERROR(E25/U25,0),1)</f>
        <v/>
      </c>
      <c r="AE25" s="111">
        <f>IF(R25&gt;0,IFERROR(F25/R25,0),1)</f>
        <v/>
      </c>
      <c r="AF25" s="111">
        <f>IF(AL25&gt;0,IFERROR(G25/AL25,0),1)</f>
        <v/>
      </c>
      <c r="AG25" s="111">
        <f>IF(AM25&gt;0,IFERROR(H25/AM25,0),1)</f>
        <v/>
      </c>
      <c r="AH25" s="104">
        <f>U25-(V25+AN25+AR25)</f>
        <v/>
      </c>
      <c r="AI25" s="104">
        <f>R25-(V25+AO25+AR25)</f>
        <v/>
      </c>
      <c r="AJ25" s="104">
        <f>(AL25-AP25)</f>
        <v/>
      </c>
      <c r="AK25" s="104">
        <f>(AM25-AQ25)</f>
        <v/>
      </c>
      <c r="AL25" s="110">
        <f>S25+AI25</f>
        <v/>
      </c>
      <c r="AM25" s="110">
        <f>T25+AJ25</f>
        <v/>
      </c>
      <c r="AN25" s="104" t="n">
        <v>62436</v>
      </c>
      <c r="AO25" s="104" t="n">
        <v>9636</v>
      </c>
      <c r="AP25" s="104" t="n">
        <v>48000</v>
      </c>
      <c r="AQ25" s="104" t="n">
        <v>4800</v>
      </c>
      <c r="AR25" s="104" t="n">
        <v>0</v>
      </c>
      <c r="AS25" s="104" t="n"/>
      <c r="AT25" s="104" t="n"/>
    </row>
    <row r="26" ht="12.65" customHeight="1" s="79">
      <c r="A26" s="104">
        <f>MIN(V26,R26)</f>
        <v/>
      </c>
      <c r="B26" s="104">
        <f>MIN(V26,U26)</f>
        <v/>
      </c>
      <c r="C26" s="104">
        <f>MIN(X26,R26)</f>
        <v/>
      </c>
      <c r="D26" s="104">
        <f>MIN(X26,U26)</f>
        <v/>
      </c>
      <c r="E26" s="104">
        <f>MIN((V26+AN26+AR26),U26)</f>
        <v/>
      </c>
      <c r="F26" s="104">
        <f>MAX(MIN((V26+AO26+AR26),R26),0)</f>
        <v/>
      </c>
      <c r="G26" s="104">
        <f>MAX(MIN(AP26,AL26),0)</f>
        <v/>
      </c>
      <c r="H26" s="104">
        <f>MAX(MIN(AQ26,AM26),0)</f>
        <v/>
      </c>
      <c r="I26" s="105" t="inlineStr">
        <is>
          <t>CHANDRAPAL NEGI</t>
        </is>
      </c>
      <c r="J26" s="106" t="inlineStr">
        <is>
          <t>LIFESTYLE</t>
        </is>
      </c>
      <c r="K26" s="107" t="inlineStr">
        <is>
          <t>LS_KIDS ACCESSORIES</t>
        </is>
      </c>
      <c r="L26" s="107" t="inlineStr">
        <is>
          <t>LS_KB_SOCKS</t>
        </is>
      </c>
      <c r="M26" s="107" t="inlineStr">
        <is>
          <t>SPRT ANKL 79-[LSKB02]</t>
        </is>
      </c>
      <c r="N26" s="107" t="inlineStr">
        <is>
          <t>ACTIVE</t>
        </is>
      </c>
      <c r="O26" s="108" t="n">
        <v>0</v>
      </c>
      <c r="P26" s="108" t="n">
        <v>0</v>
      </c>
      <c r="Q26" s="109" t="n">
        <v>73</v>
      </c>
      <c r="R26" s="110" t="n">
        <v>27075</v>
      </c>
      <c r="S26" s="110" t="n">
        <v>18629.6430444381</v>
      </c>
      <c r="T26" s="110" t="n">
        <v>2673.53451584433</v>
      </c>
      <c r="U26" s="110" t="n">
        <v>48378.1775602825</v>
      </c>
      <c r="V26" s="104" t="n">
        <v>12000</v>
      </c>
      <c r="W26" s="104" t="n">
        <v>4800</v>
      </c>
      <c r="X26" s="104">
        <f>$V26+W26</f>
        <v/>
      </c>
      <c r="Y26" s="111">
        <f>IFERROR(A26/R26,0)</f>
        <v/>
      </c>
      <c r="Z26" s="111">
        <f>IFERROR(B26/U26,0)</f>
        <v/>
      </c>
      <c r="AA26" s="111">
        <f>IFERROR(C26/R26,0)</f>
        <v/>
      </c>
      <c r="AB26" s="111">
        <f>IFERROR(D26/U26,0)</f>
        <v/>
      </c>
      <c r="AD26" s="111">
        <f>IF(U26&gt;0,IFERROR(E26/U26,0),1)</f>
        <v/>
      </c>
      <c r="AE26" s="111">
        <f>IF(R26&gt;0,IFERROR(F26/R26,0),1)</f>
        <v/>
      </c>
      <c r="AF26" s="111">
        <f>IF(AL26&gt;0,IFERROR(G26/AL26,0),1)</f>
        <v/>
      </c>
      <c r="AG26" s="111">
        <f>IF(AM26&gt;0,IFERROR(H26/AM26,0),1)</f>
        <v/>
      </c>
      <c r="AH26" s="104">
        <f>U26-(V26+AN26+AR26)</f>
        <v/>
      </c>
      <c r="AI26" s="104">
        <f>R26-(V26+AO26+AR26)</f>
        <v/>
      </c>
      <c r="AJ26" s="104">
        <f>(AL26-AP26)</f>
        <v/>
      </c>
      <c r="AK26" s="104">
        <f>(AM26-AQ26)</f>
        <v/>
      </c>
      <c r="AL26" s="110">
        <f>S26+AI26</f>
        <v/>
      </c>
      <c r="AM26" s="110">
        <f>T26+AJ26</f>
        <v/>
      </c>
      <c r="AN26" s="104" t="n">
        <v>19200</v>
      </c>
      <c r="AO26" s="104" t="n">
        <v>9600</v>
      </c>
      <c r="AP26" s="104" t="n">
        <v>4800</v>
      </c>
      <c r="AQ26" s="104" t="n">
        <v>4800</v>
      </c>
      <c r="AR26" s="104" t="n">
        <v>0</v>
      </c>
      <c r="AS26" s="104" t="n"/>
      <c r="AT26" s="104" t="n"/>
    </row>
    <row r="27" ht="12.65" customHeight="1" s="79">
      <c r="A27" s="104">
        <f>MIN(V27,R27)</f>
        <v/>
      </c>
      <c r="B27" s="104">
        <f>MIN(V27,U27)</f>
        <v/>
      </c>
      <c r="C27" s="104">
        <f>MIN(X27,R27)</f>
        <v/>
      </c>
      <c r="D27" s="104">
        <f>MIN(X27,U27)</f>
        <v/>
      </c>
      <c r="E27" s="104">
        <f>MIN((V27+AN27+AR27),U27)</f>
        <v/>
      </c>
      <c r="F27" s="104">
        <f>MAX(MIN((V27+AO27+AR27),R27),0)</f>
        <v/>
      </c>
      <c r="G27" s="104">
        <f>MAX(MIN(AP27,AL27),0)</f>
        <v/>
      </c>
      <c r="H27" s="104">
        <f>MAX(MIN(AQ27,AM27),0)</f>
        <v/>
      </c>
      <c r="I27" s="105" t="inlineStr">
        <is>
          <t>CHANDRAPAL NEGI</t>
        </is>
      </c>
      <c r="J27" s="106" t="inlineStr">
        <is>
          <t>LIFESTYLE</t>
        </is>
      </c>
      <c r="K27" s="107" t="inlineStr">
        <is>
          <t>LS_KIDS ACCESSORIES</t>
        </is>
      </c>
      <c r="L27" s="107" t="inlineStr">
        <is>
          <t>LS_KG_HAIR ACCESSORIES</t>
        </is>
      </c>
      <c r="M27" s="107" t="inlineStr">
        <is>
          <t>HAIRBAND GIFT SET 99-[LSWA23]</t>
        </is>
      </c>
      <c r="N27" s="107" t="inlineStr">
        <is>
          <t>ACTIVE</t>
        </is>
      </c>
      <c r="O27" s="108" t="n">
        <v>0.103994556556668</v>
      </c>
      <c r="P27" s="108" t="n">
        <v>0.07543023613544041</v>
      </c>
      <c r="Q27" s="109" t="n">
        <v>52</v>
      </c>
      <c r="R27" s="110" t="n">
        <v>15426</v>
      </c>
      <c r="S27" s="110" t="n">
        <v>4178.07076025546</v>
      </c>
      <c r="T27" s="110" t="n">
        <v>6671.92475520941</v>
      </c>
      <c r="U27" s="110" t="n">
        <v>26275.9955154649</v>
      </c>
      <c r="V27" s="104" t="n">
        <v>6600</v>
      </c>
      <c r="W27" s="104" t="n">
        <v>7200</v>
      </c>
      <c r="X27" s="104">
        <f>$V27+W27</f>
        <v/>
      </c>
      <c r="Y27" s="111">
        <f>IFERROR(A27/R27,0)</f>
        <v/>
      </c>
      <c r="Z27" s="111">
        <f>IFERROR(B27/U27,0)</f>
        <v/>
      </c>
      <c r="AA27" s="111">
        <f>IFERROR(C27/R27,0)</f>
        <v/>
      </c>
      <c r="AB27" s="111">
        <f>IFERROR(D27/U27,0)</f>
        <v/>
      </c>
      <c r="AD27" s="111">
        <f>IF(U27&gt;0,IFERROR(E27/U27,0),1)</f>
        <v/>
      </c>
      <c r="AE27" s="111">
        <f>IF(R27&gt;0,IFERROR(F27/R27,0),1)</f>
        <v/>
      </c>
      <c r="AF27" s="111">
        <f>IF(AL27&gt;0,IFERROR(G27/AL27,0),1)</f>
        <v/>
      </c>
      <c r="AG27" s="111">
        <f>IF(AM27&gt;0,IFERROR(H27/AM27,0),1)</f>
        <v/>
      </c>
      <c r="AH27" s="104">
        <f>U27-(V27+AN27+AR27)</f>
        <v/>
      </c>
      <c r="AI27" s="104">
        <f>R27-(V27+AO27+AR27)</f>
        <v/>
      </c>
      <c r="AJ27" s="104">
        <f>(AL27-AP27)</f>
        <v/>
      </c>
      <c r="AK27" s="104">
        <f>(AM27-AQ27)</f>
        <v/>
      </c>
      <c r="AL27" s="110">
        <f>S27+AI27</f>
        <v/>
      </c>
      <c r="AM27" s="110">
        <f>T27+AJ27</f>
        <v/>
      </c>
      <c r="AN27" s="104" t="n">
        <v>37200</v>
      </c>
      <c r="AO27" s="104" t="n">
        <v>37200</v>
      </c>
      <c r="AP27" s="104" t="n">
        <v>0</v>
      </c>
      <c r="AQ27" s="104" t="n">
        <v>0</v>
      </c>
      <c r="AR27" s="104" t="n">
        <v>0</v>
      </c>
      <c r="AS27" s="104" t="n"/>
      <c r="AT27" s="104" t="n"/>
    </row>
    <row r="28" ht="12.65" customHeight="1" s="79">
      <c r="A28" s="104">
        <f>MIN(V28,R28)</f>
        <v/>
      </c>
      <c r="B28" s="104">
        <f>MIN(V28,U28)</f>
        <v/>
      </c>
      <c r="C28" s="104">
        <f>MIN(X28,R28)</f>
        <v/>
      </c>
      <c r="D28" s="104">
        <f>MIN(X28,U28)</f>
        <v/>
      </c>
      <c r="E28" s="104">
        <f>MIN((V28+AN28+AR28),U28)</f>
        <v/>
      </c>
      <c r="F28" s="104">
        <f>MAX(MIN((V28+AO28+AR28),R28),0)</f>
        <v/>
      </c>
      <c r="G28" s="104">
        <f>MAX(MIN(AP28,AL28),0)</f>
        <v/>
      </c>
      <c r="H28" s="104">
        <f>MAX(MIN(AQ28,AM28),0)</f>
        <v/>
      </c>
      <c r="I28" s="105" t="inlineStr">
        <is>
          <t>CHANDRAPAL NEGI</t>
        </is>
      </c>
      <c r="J28" s="106" t="inlineStr">
        <is>
          <t>LIFESTYLE</t>
        </is>
      </c>
      <c r="K28" s="107" t="inlineStr">
        <is>
          <t>LS_KIDS ACCESSORIES</t>
        </is>
      </c>
      <c r="L28" s="107" t="inlineStr">
        <is>
          <t>LS_KG_HAIR ACCESSORIES</t>
        </is>
      </c>
      <c r="M28" s="107" t="inlineStr">
        <is>
          <t>BABY CLIP 49-[LSWA23]</t>
        </is>
      </c>
      <c r="N28" s="107" t="inlineStr">
        <is>
          <t>ACTIVE</t>
        </is>
      </c>
      <c r="O28" s="108" t="n">
        <v>0.106423584706638</v>
      </c>
      <c r="P28" s="108" t="n">
        <v>0.07169032377771591</v>
      </c>
      <c r="Q28" s="109" t="n">
        <v>52</v>
      </c>
      <c r="R28" s="110" t="n">
        <v>9329</v>
      </c>
      <c r="S28" s="110" t="n">
        <v>2263.42218934691</v>
      </c>
      <c r="T28" s="110" t="n">
        <v>3317.02520717153</v>
      </c>
      <c r="U28" s="110" t="n">
        <v>14909.4473965184</v>
      </c>
      <c r="V28" s="104" t="n">
        <v>5400</v>
      </c>
      <c r="W28" s="104" t="n">
        <v>0</v>
      </c>
      <c r="X28" s="104">
        <f>$V28+W28</f>
        <v/>
      </c>
      <c r="Y28" s="111">
        <f>IFERROR(A28/R28,0)</f>
        <v/>
      </c>
      <c r="Z28" s="111">
        <f>IFERROR(B28/U28,0)</f>
        <v/>
      </c>
      <c r="AA28" s="111">
        <f>IFERROR(C28/R28,0)</f>
        <v/>
      </c>
      <c r="AB28" s="111">
        <f>IFERROR(D28/U28,0)</f>
        <v/>
      </c>
      <c r="AD28" s="111">
        <f>IF(U28&gt;0,IFERROR(E28/U28,0),1)</f>
        <v/>
      </c>
      <c r="AE28" s="111">
        <f>IF(R28&gt;0,IFERROR(F28/R28,0),1)</f>
        <v/>
      </c>
      <c r="AF28" s="111">
        <f>IF(AL28&gt;0,IFERROR(G28/AL28,0),1)</f>
        <v/>
      </c>
      <c r="AG28" s="111">
        <f>IF(AM28&gt;0,IFERROR(H28/AM28,0),1)</f>
        <v/>
      </c>
      <c r="AH28" s="104">
        <f>U28-(V28+AN28+AR28)</f>
        <v/>
      </c>
      <c r="AI28" s="104">
        <f>R28-(V28+AO28+AR28)</f>
        <v/>
      </c>
      <c r="AJ28" s="104">
        <f>(AL28-AP28)</f>
        <v/>
      </c>
      <c r="AK28" s="104">
        <f>(AM28-AQ28)</f>
        <v/>
      </c>
      <c r="AL28" s="110">
        <f>S28+AI28</f>
        <v/>
      </c>
      <c r="AM28" s="110">
        <f>T28+AJ28</f>
        <v/>
      </c>
      <c r="AN28" s="104" t="n">
        <v>0</v>
      </c>
      <c r="AO28" s="104" t="n">
        <v>0</v>
      </c>
      <c r="AP28" s="104" t="n">
        <v>0</v>
      </c>
      <c r="AQ28" s="104" t="n">
        <v>0</v>
      </c>
      <c r="AR28" s="104" t="n">
        <v>0</v>
      </c>
      <c r="AS28" s="104" t="n"/>
      <c r="AT28" s="104" t="n"/>
    </row>
    <row r="29" ht="12.65" customHeight="1" s="79">
      <c r="A29" s="104">
        <f>MIN(V29,R29)</f>
        <v/>
      </c>
      <c r="B29" s="104">
        <f>MIN(V29,U29)</f>
        <v/>
      </c>
      <c r="C29" s="104">
        <f>MIN(X29,R29)</f>
        <v/>
      </c>
      <c r="D29" s="104">
        <f>MIN(X29,U29)</f>
        <v/>
      </c>
      <c r="E29" s="104">
        <f>MIN((V29+AN29+AR29),U29)</f>
        <v/>
      </c>
      <c r="F29" s="104">
        <f>MAX(MIN((V29+AO29+AR29),R29),0)</f>
        <v/>
      </c>
      <c r="G29" s="104">
        <f>MAX(MIN(AP29,AL29),0)</f>
        <v/>
      </c>
      <c r="H29" s="104">
        <f>MAX(MIN(AQ29,AM29),0)</f>
        <v/>
      </c>
      <c r="I29" s="105" t="inlineStr">
        <is>
          <t>CHANDRAPAL NEGI</t>
        </is>
      </c>
      <c r="J29" s="106" t="inlineStr">
        <is>
          <t>LIFESTYLE</t>
        </is>
      </c>
      <c r="K29" s="107" t="inlineStr">
        <is>
          <t>LS_KIDS ACCESSORIES</t>
        </is>
      </c>
      <c r="L29" s="107" t="inlineStr">
        <is>
          <t>LS_KG_HAIR ACCESSORIES</t>
        </is>
      </c>
      <c r="M29" s="107" t="inlineStr">
        <is>
          <t>RUBBER BAND 49-[LSWA23]</t>
        </is>
      </c>
      <c r="N29" s="107" t="inlineStr">
        <is>
          <t>ACTIVE</t>
        </is>
      </c>
      <c r="O29" s="108" t="n">
        <v>0.100690671504321</v>
      </c>
      <c r="P29" s="108" t="n">
        <v>0.0605247079298661</v>
      </c>
      <c r="Q29" s="109" t="n">
        <v>52</v>
      </c>
      <c r="R29" s="110" t="n">
        <v>3197</v>
      </c>
      <c r="S29" s="110" t="n">
        <v>1021.30003279921</v>
      </c>
      <c r="T29" s="110" t="n">
        <v>1719.22495487108</v>
      </c>
      <c r="U29" s="110" t="n">
        <v>5937.52498767029</v>
      </c>
      <c r="V29" s="104" t="n">
        <v>6600</v>
      </c>
      <c r="W29" s="104" t="n">
        <v>4800</v>
      </c>
      <c r="X29" s="104">
        <f>$V29+W29</f>
        <v/>
      </c>
      <c r="Y29" s="111">
        <f>IFERROR(A29/R29,0)</f>
        <v/>
      </c>
      <c r="Z29" s="111">
        <f>IFERROR(B29/U29,0)</f>
        <v/>
      </c>
      <c r="AA29" s="111">
        <f>IFERROR(C29/R29,0)</f>
        <v/>
      </c>
      <c r="AB29" s="111">
        <f>IFERROR(D29/U29,0)</f>
        <v/>
      </c>
      <c r="AD29" s="111">
        <f>IF(U29&gt;0,IFERROR(E29/U29,0),1)</f>
        <v/>
      </c>
      <c r="AE29" s="111">
        <f>IF(R29&gt;0,IFERROR(F29/R29,0),1)</f>
        <v/>
      </c>
      <c r="AF29" s="111">
        <f>IF(AL29&gt;0,IFERROR(G29/AL29,0),1)</f>
        <v/>
      </c>
      <c r="AG29" s="111">
        <f>IF(AM29&gt;0,IFERROR(H29/AM29,0),1)</f>
        <v/>
      </c>
      <c r="AH29" s="104">
        <f>U29-(V29+AN29+AR29)</f>
        <v/>
      </c>
      <c r="AI29" s="104">
        <f>R29-(V29+AO29+AR29)</f>
        <v/>
      </c>
      <c r="AJ29" s="104">
        <f>(AL29-AP29)</f>
        <v/>
      </c>
      <c r="AK29" s="104">
        <f>(AM29-AQ29)</f>
        <v/>
      </c>
      <c r="AL29" s="110">
        <f>S29+AI29</f>
        <v/>
      </c>
      <c r="AM29" s="110">
        <f>T29+AJ29</f>
        <v/>
      </c>
      <c r="AN29" s="104" t="n">
        <v>4800</v>
      </c>
      <c r="AO29" s="104" t="n">
        <v>4800</v>
      </c>
      <c r="AP29" s="104" t="n">
        <v>0</v>
      </c>
      <c r="AQ29" s="104" t="n">
        <v>0</v>
      </c>
      <c r="AR29" s="104" t="n">
        <v>0</v>
      </c>
      <c r="AS29" s="104" t="n"/>
      <c r="AT29" s="104" t="n"/>
    </row>
    <row r="30" ht="12.65" customHeight="1" s="79">
      <c r="A30" s="104">
        <f>MIN(V30,R30)</f>
        <v/>
      </c>
      <c r="B30" s="104">
        <f>MIN(V30,U30)</f>
        <v/>
      </c>
      <c r="C30" s="104">
        <f>MIN(X30,R30)</f>
        <v/>
      </c>
      <c r="D30" s="104">
        <f>MIN(X30,U30)</f>
        <v/>
      </c>
      <c r="E30" s="104">
        <f>MIN((V30+AN30+AR30),U30)</f>
        <v/>
      </c>
      <c r="F30" s="104">
        <f>MAX(MIN((V30+AO30+AR30),R30),0)</f>
        <v/>
      </c>
      <c r="G30" s="104">
        <f>MAX(MIN(AP30,AL30),0)</f>
        <v/>
      </c>
      <c r="H30" s="104">
        <f>MAX(MIN(AQ30,AM30),0)</f>
        <v/>
      </c>
      <c r="I30" s="105" t="inlineStr">
        <is>
          <t>CHANDRAPAL NEGI</t>
        </is>
      </c>
      <c r="J30" s="106" t="inlineStr">
        <is>
          <t>LIFESTYLE</t>
        </is>
      </c>
      <c r="K30" s="107" t="inlineStr">
        <is>
          <t>LS_KIDS ACCESSORIES</t>
        </is>
      </c>
      <c r="L30" s="107" t="inlineStr">
        <is>
          <t>LS_KG_SOCKS</t>
        </is>
      </c>
      <c r="M30" s="107" t="inlineStr">
        <is>
          <t>SPRT FULL 79-[LSKG03]</t>
        </is>
      </c>
      <c r="N30" s="107" t="inlineStr">
        <is>
          <t>ACTIVE</t>
        </is>
      </c>
      <c r="O30" s="108" t="n">
        <v>0</v>
      </c>
      <c r="P30" s="108" t="n">
        <v>0</v>
      </c>
      <c r="Q30" s="109" t="n">
        <v>109</v>
      </c>
      <c r="R30" s="110" t="n">
        <v>32668</v>
      </c>
      <c r="S30" s="110" t="n">
        <v>19719.1633157731</v>
      </c>
      <c r="T30" s="110" t="n">
        <v>4581.68724236397</v>
      </c>
      <c r="U30" s="110" t="n">
        <v>56968.8505581371</v>
      </c>
      <c r="V30" s="104" t="n">
        <v>14400</v>
      </c>
      <c r="W30" s="104" t="n">
        <v>0</v>
      </c>
      <c r="X30" s="104">
        <f>$V30+W30</f>
        <v/>
      </c>
      <c r="Y30" s="111">
        <f>IFERROR(A30/R30,0)</f>
        <v/>
      </c>
      <c r="Z30" s="111">
        <f>IFERROR(B30/U30,0)</f>
        <v/>
      </c>
      <c r="AA30" s="111">
        <f>IFERROR(C30/R30,0)</f>
        <v/>
      </c>
      <c r="AB30" s="111">
        <f>IFERROR(D30/U30,0)</f>
        <v/>
      </c>
      <c r="AD30" s="111">
        <f>IF(U30&gt;0,IFERROR(E30/U30,0),1)</f>
        <v/>
      </c>
      <c r="AE30" s="111">
        <f>IF(R30&gt;0,IFERROR(F30/R30,0),1)</f>
        <v/>
      </c>
      <c r="AF30" s="111">
        <f>IF(AL30&gt;0,IFERROR(G30/AL30,0),1)</f>
        <v/>
      </c>
      <c r="AG30" s="111">
        <f>IF(AM30&gt;0,IFERROR(H30/AM30,0),1)</f>
        <v/>
      </c>
      <c r="AH30" s="104">
        <f>U30-(V30+AN30+AR30)</f>
        <v/>
      </c>
      <c r="AI30" s="104">
        <f>R30-(V30+AO30+AR30)</f>
        <v/>
      </c>
      <c r="AJ30" s="104">
        <f>(AL30-AP30)</f>
        <v/>
      </c>
      <c r="AK30" s="104">
        <f>(AM30-AQ30)</f>
        <v/>
      </c>
      <c r="AL30" s="110">
        <f>S30+AI30</f>
        <v/>
      </c>
      <c r="AM30" s="110">
        <f>T30+AJ30</f>
        <v/>
      </c>
      <c r="AN30" s="104" t="n">
        <v>44400</v>
      </c>
      <c r="AO30" s="104" t="n">
        <v>0</v>
      </c>
      <c r="AP30" s="104" t="n">
        <v>39600</v>
      </c>
      <c r="AQ30" s="104" t="n">
        <v>4800</v>
      </c>
      <c r="AR30" s="104" t="n">
        <v>0</v>
      </c>
      <c r="AS30" s="104" t="n"/>
      <c r="AT30" s="104" t="n"/>
    </row>
    <row r="31" ht="12.65" customHeight="1" s="79">
      <c r="A31" s="104">
        <f>MIN(V31,R31)</f>
        <v/>
      </c>
      <c r="B31" s="104">
        <f>MIN(V31,U31)</f>
        <v/>
      </c>
      <c r="C31" s="104">
        <f>MIN(X31,R31)</f>
        <v/>
      </c>
      <c r="D31" s="104">
        <f>MIN(X31,U31)</f>
        <v/>
      </c>
      <c r="E31" s="104">
        <f>MIN((V31+AN31+AR31),U31)</f>
        <v/>
      </c>
      <c r="F31" s="104">
        <f>MAX(MIN((V31+AO31+AR31),R31),0)</f>
        <v/>
      </c>
      <c r="G31" s="104">
        <f>MAX(MIN(AP31,AL31),0)</f>
        <v/>
      </c>
      <c r="H31" s="104">
        <f>MAX(MIN(AQ31,AM31),0)</f>
        <v/>
      </c>
      <c r="I31" s="105" t="inlineStr">
        <is>
          <t>CHANDRAPAL NEGI</t>
        </is>
      </c>
      <c r="J31" s="106" t="inlineStr">
        <is>
          <t>LIFESTYLE</t>
        </is>
      </c>
      <c r="K31" s="107" t="inlineStr">
        <is>
          <t>LS_MENS ACCESSORIES</t>
        </is>
      </c>
      <c r="L31" s="107" t="inlineStr">
        <is>
          <t>LS_MA_BELT</t>
        </is>
      </c>
      <c r="M31" s="107" t="inlineStr">
        <is>
          <t>FRML PU 199-[LSMA01]</t>
        </is>
      </c>
      <c r="N31" s="107" t="inlineStr">
        <is>
          <t>ACTIVE</t>
        </is>
      </c>
      <c r="O31" s="108" t="n">
        <v>0.105592414527534</v>
      </c>
      <c r="P31" s="108" t="n">
        <v>0.0778570224078244</v>
      </c>
      <c r="Q31" s="109" t="n">
        <v>32</v>
      </c>
      <c r="R31" s="110" t="n">
        <v>11077</v>
      </c>
      <c r="S31" s="110" t="n">
        <v>4724.45063794478</v>
      </c>
      <c r="T31" s="110" t="n">
        <v>3107.25199039136</v>
      </c>
      <c r="U31" s="110" t="n">
        <v>18908.7026283361</v>
      </c>
      <c r="V31" s="104" t="n">
        <v>15315</v>
      </c>
      <c r="W31" s="104" t="n">
        <v>0</v>
      </c>
      <c r="X31" s="104">
        <f>$V31+W31</f>
        <v/>
      </c>
      <c r="Y31" s="111">
        <f>IFERROR(A31/R31,0)</f>
        <v/>
      </c>
      <c r="Z31" s="111">
        <f>IFERROR(B31/U31,0)</f>
        <v/>
      </c>
      <c r="AA31" s="111">
        <f>IFERROR(C31/R31,0)</f>
        <v/>
      </c>
      <c r="AB31" s="111">
        <f>IFERROR(D31/U31,0)</f>
        <v/>
      </c>
      <c r="AD31" s="111">
        <f>IF(U31&gt;0,IFERROR(E31/U31,0),1)</f>
        <v/>
      </c>
      <c r="AE31" s="111">
        <f>IF(R31&gt;0,IFERROR(F31/R31,0),1)</f>
        <v/>
      </c>
      <c r="AF31" s="111">
        <f>IF(AL31&gt;0,IFERROR(G31/AL31,0),1)</f>
        <v/>
      </c>
      <c r="AG31" s="111">
        <f>IF(AM31&gt;0,IFERROR(H31/AM31,0),1)</f>
        <v/>
      </c>
      <c r="AH31" s="104">
        <f>U31-(V31+AN31+AR31)</f>
        <v/>
      </c>
      <c r="AI31" s="104">
        <f>R31-(V31+AO31+AR31)</f>
        <v/>
      </c>
      <c r="AJ31" s="104">
        <f>(AL31-AP31)</f>
        <v/>
      </c>
      <c r="AK31" s="104">
        <f>(AM31-AQ31)</f>
        <v/>
      </c>
      <c r="AL31" s="110">
        <f>S31+AI31</f>
        <v/>
      </c>
      <c r="AM31" s="110">
        <f>T31+AJ31</f>
        <v/>
      </c>
      <c r="AN31" s="104" t="n">
        <v>7200</v>
      </c>
      <c r="AO31" s="104" t="n">
        <v>2400</v>
      </c>
      <c r="AP31" s="104" t="n">
        <v>4800</v>
      </c>
      <c r="AQ31" s="104" t="n">
        <v>0</v>
      </c>
      <c r="AR31" s="104" t="n">
        <v>0</v>
      </c>
      <c r="AS31" s="104" t="n"/>
      <c r="AT31" s="104" t="n"/>
    </row>
    <row r="32" ht="12.65" customHeight="1" s="79">
      <c r="A32" s="104">
        <f>MIN(V32,R32)</f>
        <v/>
      </c>
      <c r="B32" s="104">
        <f>MIN(V32,U32)</f>
        <v/>
      </c>
      <c r="C32" s="104">
        <f>MIN(X32,R32)</f>
        <v/>
      </c>
      <c r="D32" s="104">
        <f>MIN(X32,U32)</f>
        <v/>
      </c>
      <c r="E32" s="104">
        <f>MIN((V32+AN32+AR32),U32)</f>
        <v/>
      </c>
      <c r="F32" s="104">
        <f>MAX(MIN((V32+AO32+AR32),R32),0)</f>
        <v/>
      </c>
      <c r="G32" s="104">
        <f>MAX(MIN(AP32,AL32),0)</f>
        <v/>
      </c>
      <c r="H32" s="104">
        <f>MAX(MIN(AQ32,AM32),0)</f>
        <v/>
      </c>
      <c r="I32" s="105" t="inlineStr">
        <is>
          <t>CHANDRAPAL NEGI</t>
        </is>
      </c>
      <c r="J32" s="106" t="inlineStr">
        <is>
          <t>LIFESTYLE</t>
        </is>
      </c>
      <c r="K32" s="107" t="inlineStr">
        <is>
          <t>LS_MENS ACCESSORIES</t>
        </is>
      </c>
      <c r="L32" s="107" t="inlineStr">
        <is>
          <t>LS_MA_BELT</t>
        </is>
      </c>
      <c r="M32" s="107" t="inlineStr">
        <is>
          <t>CSL PU 149-[LSMA01]</t>
        </is>
      </c>
      <c r="N32" s="107" t="inlineStr">
        <is>
          <t>ACTIVE</t>
        </is>
      </c>
      <c r="O32" s="108" t="n">
        <v>0.121128389276042</v>
      </c>
      <c r="P32" s="108" t="n">
        <v>0.0929949081931801</v>
      </c>
      <c r="Q32" s="109" t="n">
        <v>32</v>
      </c>
      <c r="R32" s="110" t="n">
        <v>4168</v>
      </c>
      <c r="S32" s="110" t="n">
        <v>199.056985675668</v>
      </c>
      <c r="T32" s="110" t="n">
        <v>0</v>
      </c>
      <c r="U32" s="110" t="n">
        <v>4367.05698567567</v>
      </c>
      <c r="V32" s="104" t="n">
        <v>2400</v>
      </c>
      <c r="W32" s="104" t="n">
        <v>0</v>
      </c>
      <c r="X32" s="104">
        <f>$V32+W32</f>
        <v/>
      </c>
      <c r="Y32" s="111">
        <f>IFERROR(A32/R32,0)</f>
        <v/>
      </c>
      <c r="Z32" s="111">
        <f>IFERROR(B32/U32,0)</f>
        <v/>
      </c>
      <c r="AA32" s="111">
        <f>IFERROR(C32/R32,0)</f>
        <v/>
      </c>
      <c r="AB32" s="111">
        <f>IFERROR(D32/U32,0)</f>
        <v/>
      </c>
      <c r="AD32" s="111">
        <f>IF(U32&gt;0,IFERROR(E32/U32,0),1)</f>
        <v/>
      </c>
      <c r="AE32" s="111">
        <f>IF(R32&gt;0,IFERROR(F32/R32,0),1)</f>
        <v/>
      </c>
      <c r="AF32" s="111">
        <f>IF(AL32&gt;0,IFERROR(G32/AL32,0),1)</f>
        <v/>
      </c>
      <c r="AG32" s="111">
        <f>IF(AM32&gt;0,IFERROR(H32/AM32,0),1)</f>
        <v/>
      </c>
      <c r="AH32" s="104">
        <f>U32-(V32+AN32+AR32)</f>
        <v/>
      </c>
      <c r="AI32" s="104">
        <f>R32-(V32+AO32+AR32)</f>
        <v/>
      </c>
      <c r="AJ32" s="104">
        <f>(AL32-AP32)</f>
        <v/>
      </c>
      <c r="AK32" s="104">
        <f>(AM32-AQ32)</f>
        <v/>
      </c>
      <c r="AL32" s="110">
        <f>S32+AI32</f>
        <v/>
      </c>
      <c r="AM32" s="110">
        <f>T32+AJ32</f>
        <v/>
      </c>
      <c r="AN32" s="104" t="n">
        <v>16000</v>
      </c>
      <c r="AO32" s="104" t="n">
        <v>8200</v>
      </c>
      <c r="AP32" s="104" t="n">
        <v>7800</v>
      </c>
      <c r="AQ32" s="104" t="n">
        <v>0</v>
      </c>
      <c r="AR32" s="104" t="n">
        <v>0</v>
      </c>
      <c r="AS32" s="104" t="n"/>
      <c r="AT32" s="104" t="n"/>
    </row>
    <row r="33" ht="12.65" customHeight="1" s="79">
      <c r="A33" s="104">
        <f>MIN(V33,R33)</f>
        <v/>
      </c>
      <c r="B33" s="104">
        <f>MIN(V33,U33)</f>
        <v/>
      </c>
      <c r="C33" s="104">
        <f>MIN(X33,R33)</f>
        <v/>
      </c>
      <c r="D33" s="104">
        <f>MIN(X33,U33)</f>
        <v/>
      </c>
      <c r="E33" s="104">
        <f>MIN((V33+AN33+AR33),U33)</f>
        <v/>
      </c>
      <c r="F33" s="104">
        <f>MAX(MIN((V33+AO33+AR33),R33),0)</f>
        <v/>
      </c>
      <c r="G33" s="104">
        <f>MAX(MIN(AP33,AL33),0)</f>
        <v/>
      </c>
      <c r="H33" s="104">
        <f>MAX(MIN(AQ33,AM33),0)</f>
        <v/>
      </c>
      <c r="I33" s="105" t="inlineStr">
        <is>
          <t>CHANDRAPAL NEGI</t>
        </is>
      </c>
      <c r="J33" s="106" t="inlineStr">
        <is>
          <t>LIFESTYLE</t>
        </is>
      </c>
      <c r="K33" s="107" t="inlineStr">
        <is>
          <t>LS_MENS ACCESSORIES</t>
        </is>
      </c>
      <c r="L33" s="107" t="inlineStr">
        <is>
          <t>LS_MA_CAP</t>
        </is>
      </c>
      <c r="M33" s="107" t="inlineStr">
        <is>
          <t>SPRT CTN 199-[LSMA02]</t>
        </is>
      </c>
      <c r="N33" s="107" t="inlineStr">
        <is>
          <t>ACTIVE</t>
        </is>
      </c>
      <c r="O33" s="108" t="n">
        <v>0.144842608367541</v>
      </c>
      <c r="P33" s="108" t="n">
        <v>0.111811065130868</v>
      </c>
      <c r="Q33" s="109" t="n">
        <v>128</v>
      </c>
      <c r="R33" s="110" t="n">
        <v>0</v>
      </c>
      <c r="S33" s="110" t="n">
        <v>0</v>
      </c>
      <c r="T33" s="110" t="n">
        <v>0</v>
      </c>
      <c r="U33" s="110" t="n">
        <v>0</v>
      </c>
      <c r="V33" s="104" t="n">
        <v>0</v>
      </c>
      <c r="W33" s="104" t="n">
        <v>0</v>
      </c>
      <c r="X33" s="104">
        <f>$V33+W33</f>
        <v/>
      </c>
      <c r="Y33" s="111">
        <f>IFERROR(A33/R33,0)</f>
        <v/>
      </c>
      <c r="Z33" s="111">
        <f>IFERROR(B33/U33,0)</f>
        <v/>
      </c>
      <c r="AA33" s="111">
        <f>IFERROR(C33/R33,0)</f>
        <v/>
      </c>
      <c r="AB33" s="111">
        <f>IFERROR(D33/U33,0)</f>
        <v/>
      </c>
      <c r="AD33" s="111">
        <f>IF(U33&gt;0,IFERROR(E33/U33,0),1)</f>
        <v/>
      </c>
      <c r="AE33" s="111">
        <f>IF(R33&gt;0,IFERROR(F33/R33,0),1)</f>
        <v/>
      </c>
      <c r="AF33" s="111">
        <f>IF(AL33&gt;0,IFERROR(G33/AL33,0),1)</f>
        <v/>
      </c>
      <c r="AG33" s="111">
        <f>IF(AM33&gt;0,IFERROR(H33/AM33,0),1)</f>
        <v/>
      </c>
      <c r="AH33" s="104">
        <f>U33-(V33+AN33+AR33)</f>
        <v/>
      </c>
      <c r="AI33" s="104">
        <f>R33-(V33+AO33+AR33)</f>
        <v/>
      </c>
      <c r="AJ33" s="104">
        <f>(AL33-AP33)</f>
        <v/>
      </c>
      <c r="AK33" s="104">
        <f>(AM33-AQ33)</f>
        <v/>
      </c>
      <c r="AL33" s="110">
        <f>S33+AI33</f>
        <v/>
      </c>
      <c r="AM33" s="110">
        <f>T33+AJ33</f>
        <v/>
      </c>
      <c r="AN33" s="104" t="n">
        <v>0</v>
      </c>
      <c r="AO33" s="104" t="n">
        <v>0</v>
      </c>
      <c r="AP33" s="104" t="n">
        <v>0</v>
      </c>
      <c r="AQ33" s="104" t="n">
        <v>0</v>
      </c>
      <c r="AR33" s="104" t="n">
        <v>0</v>
      </c>
      <c r="AS33" s="104" t="n"/>
      <c r="AT33" s="104" t="n"/>
    </row>
    <row r="34" ht="12.65" customHeight="1" s="79">
      <c r="A34" s="104">
        <f>MIN(V34,R34)</f>
        <v/>
      </c>
      <c r="B34" s="104">
        <f>MIN(V34,U34)</f>
        <v/>
      </c>
      <c r="C34" s="104">
        <f>MIN(X34,R34)</f>
        <v/>
      </c>
      <c r="D34" s="104">
        <f>MIN(X34,U34)</f>
        <v/>
      </c>
      <c r="E34" s="104">
        <f>MIN((V34+AN34+AR34),U34)</f>
        <v/>
      </c>
      <c r="F34" s="104">
        <f>MAX(MIN((V34+AO34+AR34),R34),0)</f>
        <v/>
      </c>
      <c r="G34" s="104">
        <f>MAX(MIN(AP34,AL34),0)</f>
        <v/>
      </c>
      <c r="H34" s="104">
        <f>MAX(MIN(AQ34,AM34),0)</f>
        <v/>
      </c>
      <c r="I34" s="105" t="inlineStr">
        <is>
          <t>CHANDRAPAL NEGI</t>
        </is>
      </c>
      <c r="J34" s="106" t="inlineStr">
        <is>
          <t>LIFESTYLE</t>
        </is>
      </c>
      <c r="K34" s="107" t="inlineStr">
        <is>
          <t>LS_MENS ACCESSORIES</t>
        </is>
      </c>
      <c r="L34" s="107" t="inlineStr">
        <is>
          <t>LS_MA_HANDKERCHIEF</t>
        </is>
      </c>
      <c r="M34" s="107" t="inlineStr">
        <is>
          <t>PLN CTN RICH WHT99-[LSMA04]</t>
        </is>
      </c>
      <c r="N34" s="107" t="inlineStr">
        <is>
          <t>ACTIVE</t>
        </is>
      </c>
      <c r="O34" s="108" t="n">
        <v>0.104721047725482</v>
      </c>
      <c r="P34" s="108" t="n">
        <v>0.115132612566481</v>
      </c>
      <c r="Q34" s="109" t="n">
        <v>67</v>
      </c>
      <c r="R34" s="110" t="n">
        <v>16740</v>
      </c>
      <c r="S34" s="110" t="n">
        <v>5566.44750234287</v>
      </c>
      <c r="T34" s="110" t="n">
        <v>6344.49764799159</v>
      </c>
      <c r="U34" s="110" t="n">
        <v>28650.9451503345</v>
      </c>
      <c r="V34" s="104" t="n">
        <v>7434</v>
      </c>
      <c r="W34" s="104" t="n">
        <v>3600</v>
      </c>
      <c r="X34" s="104">
        <f>$V34+W34</f>
        <v/>
      </c>
      <c r="Y34" s="111">
        <f>IFERROR(A34/R34,0)</f>
        <v/>
      </c>
      <c r="Z34" s="111">
        <f>IFERROR(B34/U34,0)</f>
        <v/>
      </c>
      <c r="AA34" s="111">
        <f>IFERROR(C34/R34,0)</f>
        <v/>
      </c>
      <c r="AB34" s="111">
        <f>IFERROR(D34/U34,0)</f>
        <v/>
      </c>
      <c r="AD34" s="111">
        <f>IF(U34&gt;0,IFERROR(E34/U34,0),1)</f>
        <v/>
      </c>
      <c r="AE34" s="111">
        <f>IF(R34&gt;0,IFERROR(F34/R34,0),1)</f>
        <v/>
      </c>
      <c r="AF34" s="111">
        <f>IF(AL34&gt;0,IFERROR(G34/AL34,0),1)</f>
        <v/>
      </c>
      <c r="AG34" s="111">
        <f>IF(AM34&gt;0,IFERROR(H34/AM34,0),1)</f>
        <v/>
      </c>
      <c r="AH34" s="104">
        <f>U34-(V34+AN34+AR34)</f>
        <v/>
      </c>
      <c r="AI34" s="104">
        <f>R34-(V34+AO34+AR34)</f>
        <v/>
      </c>
      <c r="AJ34" s="104">
        <f>(AL34-AP34)</f>
        <v/>
      </c>
      <c r="AK34" s="104">
        <f>(AM34-AQ34)</f>
        <v/>
      </c>
      <c r="AL34" s="110">
        <f>S34+AI34</f>
        <v/>
      </c>
      <c r="AM34" s="110">
        <f>T34+AJ34</f>
        <v/>
      </c>
      <c r="AN34" s="104" t="n">
        <v>25200</v>
      </c>
      <c r="AO34" s="104" t="n">
        <v>10800</v>
      </c>
      <c r="AP34" s="104" t="n">
        <v>14400</v>
      </c>
      <c r="AQ34" s="104" t="n">
        <v>0</v>
      </c>
      <c r="AR34" s="104" t="n">
        <v>0</v>
      </c>
      <c r="AS34" s="104" t="n"/>
      <c r="AT34" s="104" t="n"/>
    </row>
    <row r="35" ht="12.65" customHeight="1" s="79">
      <c r="A35" s="104">
        <f>MIN(V35,R35)</f>
        <v/>
      </c>
      <c r="B35" s="104">
        <f>MIN(V35,U35)</f>
        <v/>
      </c>
      <c r="C35" s="104">
        <f>MIN(X35,R35)</f>
        <v/>
      </c>
      <c r="D35" s="104">
        <f>MIN(X35,U35)</f>
        <v/>
      </c>
      <c r="E35" s="104">
        <f>MIN((V35+AN35+AR35),U35)</f>
        <v/>
      </c>
      <c r="F35" s="104">
        <f>MAX(MIN((V35+AO35+AR35),R35),0)</f>
        <v/>
      </c>
      <c r="G35" s="104">
        <f>MAX(MIN(AP35,AL35),0)</f>
        <v/>
      </c>
      <c r="H35" s="104">
        <f>MAX(MIN(AQ35,AM35),0)</f>
        <v/>
      </c>
      <c r="I35" s="105" t="inlineStr">
        <is>
          <t>CHANDRAPAL NEGI</t>
        </is>
      </c>
      <c r="J35" s="106" t="inlineStr">
        <is>
          <t>LIFESTYLE</t>
        </is>
      </c>
      <c r="K35" s="107" t="inlineStr">
        <is>
          <t>LS_MENS ACCESSORIES</t>
        </is>
      </c>
      <c r="L35" s="107" t="inlineStr">
        <is>
          <t>LS_MA_HANDKERCHIEF</t>
        </is>
      </c>
      <c r="M35" s="107" t="inlineStr">
        <is>
          <t>PLN CTN B1G199-[LSMA04]</t>
        </is>
      </c>
      <c r="N35" s="107" t="inlineStr">
        <is>
          <t>ACTIVE</t>
        </is>
      </c>
      <c r="O35" s="108" t="n">
        <v>0.1748489318171</v>
      </c>
      <c r="P35" s="108" t="n">
        <v>0.204756138714096</v>
      </c>
      <c r="Q35" s="109" t="n">
        <v>67</v>
      </c>
      <c r="R35" s="110" t="n">
        <v>8299</v>
      </c>
      <c r="S35" s="110" t="n">
        <v>2348.80681117931</v>
      </c>
      <c r="T35" s="110" t="n">
        <v>3035.18223365766</v>
      </c>
      <c r="U35" s="110" t="n">
        <v>13682.989044837</v>
      </c>
      <c r="V35" s="104" t="n">
        <v>8880</v>
      </c>
      <c r="W35" s="104" t="n">
        <v>3600</v>
      </c>
      <c r="X35" s="104">
        <f>$V35+W35</f>
        <v/>
      </c>
      <c r="Y35" s="111">
        <f>IFERROR(A35/R35,0)</f>
        <v/>
      </c>
      <c r="Z35" s="111">
        <f>IFERROR(B35/U35,0)</f>
        <v/>
      </c>
      <c r="AA35" s="111">
        <f>IFERROR(C35/R35,0)</f>
        <v/>
      </c>
      <c r="AB35" s="111">
        <f>IFERROR(D35/U35,0)</f>
        <v/>
      </c>
      <c r="AD35" s="111">
        <f>IF(U35&gt;0,IFERROR(E35/U35,0),1)</f>
        <v/>
      </c>
      <c r="AE35" s="111">
        <f>IF(R35&gt;0,IFERROR(F35/R35,0),1)</f>
        <v/>
      </c>
      <c r="AF35" s="111">
        <f>IF(AL35&gt;0,IFERROR(G35/AL35,0),1)</f>
        <v/>
      </c>
      <c r="AG35" s="111">
        <f>IF(AM35&gt;0,IFERROR(H35/AM35,0),1)</f>
        <v/>
      </c>
      <c r="AH35" s="104">
        <f>U35-(V35+AN35+AR35)</f>
        <v/>
      </c>
      <c r="AI35" s="104">
        <f>R35-(V35+AO35+AR35)</f>
        <v/>
      </c>
      <c r="AJ35" s="104">
        <f>(AL35-AP35)</f>
        <v/>
      </c>
      <c r="AK35" s="104">
        <f>(AM35-AQ35)</f>
        <v/>
      </c>
      <c r="AL35" s="110">
        <f>S35+AI35</f>
        <v/>
      </c>
      <c r="AM35" s="110">
        <f>T35+AJ35</f>
        <v/>
      </c>
      <c r="AN35" s="104" t="n">
        <v>12962</v>
      </c>
      <c r="AO35" s="104" t="n">
        <v>5762</v>
      </c>
      <c r="AP35" s="104" t="n">
        <v>7200</v>
      </c>
      <c r="AQ35" s="104" t="n">
        <v>0</v>
      </c>
      <c r="AR35" s="104" t="n">
        <v>0</v>
      </c>
      <c r="AS35" s="104" t="n"/>
      <c r="AT35" s="104" t="n"/>
    </row>
    <row r="36" ht="12.65" customHeight="1" s="79">
      <c r="A36" s="104">
        <f>MIN(V36,R36)</f>
        <v/>
      </c>
      <c r="B36" s="104">
        <f>MIN(V36,U36)</f>
        <v/>
      </c>
      <c r="C36" s="104">
        <f>MIN(X36,R36)</f>
        <v/>
      </c>
      <c r="D36" s="104">
        <f>MIN(X36,U36)</f>
        <v/>
      </c>
      <c r="E36" s="104">
        <f>MIN((V36+AN36+AR36),U36)</f>
        <v/>
      </c>
      <c r="F36" s="104">
        <f>MAX(MIN((V36+AO36+AR36),R36),0)</f>
        <v/>
      </c>
      <c r="G36" s="104">
        <f>MAX(MIN(AP36,AL36),0)</f>
        <v/>
      </c>
      <c r="H36" s="104">
        <f>MAX(MIN(AQ36,AM36),0)</f>
        <v/>
      </c>
      <c r="I36" s="105" t="inlineStr">
        <is>
          <t>CHANDRAPAL NEGI</t>
        </is>
      </c>
      <c r="J36" s="106" t="inlineStr">
        <is>
          <t>LIFESTYLE</t>
        </is>
      </c>
      <c r="K36" s="107" t="inlineStr">
        <is>
          <t>LS_MENS ACCESSORIES</t>
        </is>
      </c>
      <c r="L36" s="107" t="inlineStr">
        <is>
          <t>LS_MA_SOCKS</t>
        </is>
      </c>
      <c r="M36" s="107" t="inlineStr">
        <is>
          <t>SPRT ANKL TERRY 129-[LSMA05]</t>
        </is>
      </c>
      <c r="N36" s="107" t="inlineStr">
        <is>
          <t>ACTIVE</t>
        </is>
      </c>
      <c r="O36" s="108" t="n">
        <v>0.108984736094514</v>
      </c>
      <c r="P36" s="108" t="n">
        <v>0.0798028133006541</v>
      </c>
      <c r="Q36" s="109" t="n">
        <v>1</v>
      </c>
      <c r="R36" s="110" t="n">
        <v>52610</v>
      </c>
      <c r="S36" s="110" t="n">
        <v>76285.35643390971</v>
      </c>
      <c r="T36" s="110" t="n">
        <v>37276.0747906232</v>
      </c>
      <c r="U36" s="110" t="n">
        <v>166171.431224533</v>
      </c>
      <c r="V36" s="104" t="n">
        <v>33600</v>
      </c>
      <c r="W36" s="104" t="n">
        <v>19200</v>
      </c>
      <c r="X36" s="104">
        <f>$V36+W36</f>
        <v/>
      </c>
      <c r="Y36" s="111">
        <f>IFERROR(A36/R36,0)</f>
        <v/>
      </c>
      <c r="Z36" s="111">
        <f>IFERROR(B36/U36,0)</f>
        <v/>
      </c>
      <c r="AA36" s="111">
        <f>IFERROR(C36/R36,0)</f>
        <v/>
      </c>
      <c r="AB36" s="111">
        <f>IFERROR(D36/U36,0)</f>
        <v/>
      </c>
      <c r="AD36" s="111">
        <f>IF(U36&gt;0,IFERROR(E36/U36,0),1)</f>
        <v/>
      </c>
      <c r="AE36" s="111">
        <f>IF(R36&gt;0,IFERROR(F36/R36,0),1)</f>
        <v/>
      </c>
      <c r="AF36" s="111">
        <f>IF(AL36&gt;0,IFERROR(G36/AL36,0),1)</f>
        <v/>
      </c>
      <c r="AG36" s="111">
        <f>IF(AM36&gt;0,IFERROR(H36/AM36,0),1)</f>
        <v/>
      </c>
      <c r="AH36" s="104">
        <f>U36-(V36+AN36+AR36)</f>
        <v/>
      </c>
      <c r="AI36" s="104">
        <f>R36-(V36+AO36+AR36)</f>
        <v/>
      </c>
      <c r="AJ36" s="104">
        <f>(AL36-AP36)</f>
        <v/>
      </c>
      <c r="AK36" s="104">
        <f>(AM36-AQ36)</f>
        <v/>
      </c>
      <c r="AL36" s="110">
        <f>S36+AI36</f>
        <v/>
      </c>
      <c r="AM36" s="110">
        <f>T36+AJ36</f>
        <v/>
      </c>
      <c r="AN36" s="104" t="n">
        <v>163200</v>
      </c>
      <c r="AO36" s="104" t="n">
        <v>19200</v>
      </c>
      <c r="AP36" s="104" t="n">
        <v>105600</v>
      </c>
      <c r="AQ36" s="104" t="n">
        <v>38400</v>
      </c>
      <c r="AR36" s="104" t="n">
        <v>0</v>
      </c>
      <c r="AS36" s="104" t="n"/>
      <c r="AT36" s="104" t="n"/>
    </row>
    <row r="37" ht="12.65" customHeight="1" s="79">
      <c r="A37" s="104">
        <f>MIN(V37,R37)</f>
        <v/>
      </c>
      <c r="B37" s="104">
        <f>MIN(V37,U37)</f>
        <v/>
      </c>
      <c r="C37" s="104">
        <f>MIN(X37,R37)</f>
        <v/>
      </c>
      <c r="D37" s="104">
        <f>MIN(X37,U37)</f>
        <v/>
      </c>
      <c r="E37" s="104">
        <f>MIN((V37+AN37+AR37),U37)</f>
        <v/>
      </c>
      <c r="F37" s="104">
        <f>MAX(MIN((V37+AO37+AR37),R37),0)</f>
        <v/>
      </c>
      <c r="G37" s="104">
        <f>MAX(MIN(AP37,AL37),0)</f>
        <v/>
      </c>
      <c r="H37" s="104">
        <f>MAX(MIN(AQ37,AM37),0)</f>
        <v/>
      </c>
      <c r="I37" s="105" t="inlineStr">
        <is>
          <t>CHANDRAPAL NEGI</t>
        </is>
      </c>
      <c r="J37" s="106" t="inlineStr">
        <is>
          <t>LIFESTYLE</t>
        </is>
      </c>
      <c r="K37" s="107" t="inlineStr">
        <is>
          <t>LS_MENS ACCESSORIES</t>
        </is>
      </c>
      <c r="L37" s="107" t="inlineStr">
        <is>
          <t>LS_MA_SOCKS</t>
        </is>
      </c>
      <c r="M37" s="107" t="inlineStr">
        <is>
          <t>SPRT LOW ANKL TERRY 99-[LSMA05]</t>
        </is>
      </c>
      <c r="N37" s="107" t="inlineStr">
        <is>
          <t>ACTIVE</t>
        </is>
      </c>
      <c r="O37" s="108" t="n">
        <v>0.127853908953713</v>
      </c>
      <c r="P37" s="108" t="n">
        <v>0.119276672694394</v>
      </c>
      <c r="Q37" s="109" t="n">
        <v>1</v>
      </c>
      <c r="R37" s="110" t="n">
        <v>11362</v>
      </c>
      <c r="S37" s="110" t="n">
        <v>33583.6810620366</v>
      </c>
      <c r="T37" s="110" t="n">
        <v>17975.9580741464</v>
      </c>
      <c r="U37" s="110" t="n">
        <v>62921.639136183</v>
      </c>
      <c r="V37" s="104" t="n">
        <v>0</v>
      </c>
      <c r="W37" s="104" t="n">
        <v>0</v>
      </c>
      <c r="X37" s="104">
        <f>$V37+W37</f>
        <v/>
      </c>
      <c r="Y37" s="111">
        <f>IFERROR(A37/R37,0)</f>
        <v/>
      </c>
      <c r="Z37" s="111">
        <f>IFERROR(B37/U37,0)</f>
        <v/>
      </c>
      <c r="AA37" s="111">
        <f>IFERROR(C37/R37,0)</f>
        <v/>
      </c>
      <c r="AB37" s="111">
        <f>IFERROR(D37/U37,0)</f>
        <v/>
      </c>
      <c r="AD37" s="111">
        <f>IF(U37&gt;0,IFERROR(E37/U37,0),1)</f>
        <v/>
      </c>
      <c r="AE37" s="111">
        <f>IF(R37&gt;0,IFERROR(F37/R37,0),1)</f>
        <v/>
      </c>
      <c r="AF37" s="111">
        <f>IF(AL37&gt;0,IFERROR(G37/AL37,0),1)</f>
        <v/>
      </c>
      <c r="AG37" s="111">
        <f>IF(AM37&gt;0,IFERROR(H37/AM37,0),1)</f>
        <v/>
      </c>
      <c r="AH37" s="104">
        <f>U37-(V37+AN37+AR37)</f>
        <v/>
      </c>
      <c r="AI37" s="104">
        <f>R37-(V37+AO37+AR37)</f>
        <v/>
      </c>
      <c r="AJ37" s="104">
        <f>(AL37-AP37)</f>
        <v/>
      </c>
      <c r="AK37" s="104">
        <f>(AM37-AQ37)</f>
        <v/>
      </c>
      <c r="AL37" s="110">
        <f>S37+AI37</f>
        <v/>
      </c>
      <c r="AM37" s="110">
        <f>T37+AJ37</f>
        <v/>
      </c>
      <c r="AN37" s="104" t="n">
        <v>57600</v>
      </c>
      <c r="AO37" s="104" t="n">
        <v>0</v>
      </c>
      <c r="AP37" s="104" t="n">
        <v>38400</v>
      </c>
      <c r="AQ37" s="104" t="n">
        <v>19200</v>
      </c>
      <c r="AR37" s="104" t="n">
        <v>0</v>
      </c>
      <c r="AS37" s="104" t="n"/>
      <c r="AT37" s="104" t="n"/>
    </row>
    <row r="38" ht="12.65" customHeight="1" s="79">
      <c r="A38" s="104">
        <f>MIN(V38,R38)</f>
        <v/>
      </c>
      <c r="B38" s="104">
        <f>MIN(V38,U38)</f>
        <v/>
      </c>
      <c r="C38" s="104">
        <f>MIN(X38,R38)</f>
        <v/>
      </c>
      <c r="D38" s="104">
        <f>MIN(X38,U38)</f>
        <v/>
      </c>
      <c r="E38" s="104">
        <f>MIN((V38+AN38+AR38),U38)</f>
        <v/>
      </c>
      <c r="F38" s="104">
        <f>MAX(MIN((V38+AO38+AR38),R38),0)</f>
        <v/>
      </c>
      <c r="G38" s="104">
        <f>MAX(MIN(AP38,AL38),0)</f>
        <v/>
      </c>
      <c r="H38" s="104">
        <f>MAX(MIN(AQ38,AM38),0)</f>
        <v/>
      </c>
      <c r="I38" s="105" t="inlineStr">
        <is>
          <t>CHANDRAPAL NEGI</t>
        </is>
      </c>
      <c r="J38" s="106" t="inlineStr">
        <is>
          <t>LIFESTYLE</t>
        </is>
      </c>
      <c r="K38" s="107" t="inlineStr">
        <is>
          <t>LS_MENS ACCESSORIES</t>
        </is>
      </c>
      <c r="L38" s="107" t="inlineStr">
        <is>
          <t>LS_MA_SOCKS</t>
        </is>
      </c>
      <c r="M38" s="107" t="inlineStr">
        <is>
          <t>FRML ANKL CTN 99-[LSMA05]</t>
        </is>
      </c>
      <c r="N38" s="107" t="inlineStr">
        <is>
          <t>ACTIVE</t>
        </is>
      </c>
      <c r="O38" s="108" t="n">
        <v>0.138808119599506</v>
      </c>
      <c r="P38" s="108" t="n">
        <v>0.116733687780567</v>
      </c>
      <c r="Q38" s="109" t="n">
        <v>1</v>
      </c>
      <c r="R38" s="110" t="n">
        <v>12996</v>
      </c>
      <c r="S38" s="110" t="n">
        <v>32274.2685692013</v>
      </c>
      <c r="T38" s="110" t="n">
        <v>17083.5165492932</v>
      </c>
      <c r="U38" s="110" t="n">
        <v>62353.7851184945</v>
      </c>
      <c r="V38" s="104" t="n">
        <v>14400</v>
      </c>
      <c r="W38" s="104" t="n">
        <v>19200</v>
      </c>
      <c r="X38" s="104">
        <f>$V38+W38</f>
        <v/>
      </c>
      <c r="Y38" s="111">
        <f>IFERROR(A38/R38,0)</f>
        <v/>
      </c>
      <c r="Z38" s="111">
        <f>IFERROR(B38/U38,0)</f>
        <v/>
      </c>
      <c r="AA38" s="111">
        <f>IFERROR(C38/R38,0)</f>
        <v/>
      </c>
      <c r="AB38" s="111">
        <f>IFERROR(D38/U38,0)</f>
        <v/>
      </c>
      <c r="AD38" s="111">
        <f>IF(U38&gt;0,IFERROR(E38/U38,0),1)</f>
        <v/>
      </c>
      <c r="AE38" s="111">
        <f>IF(R38&gt;0,IFERROR(F38/R38,0),1)</f>
        <v/>
      </c>
      <c r="AF38" s="111">
        <f>IF(AL38&gt;0,IFERROR(G38/AL38,0),1)</f>
        <v/>
      </c>
      <c r="AG38" s="111">
        <f>IF(AM38&gt;0,IFERROR(H38/AM38,0),1)</f>
        <v/>
      </c>
      <c r="AH38" s="104">
        <f>U38-(V38+AN38+AR38)</f>
        <v/>
      </c>
      <c r="AI38" s="104">
        <f>R38-(V38+AO38+AR38)</f>
        <v/>
      </c>
      <c r="AJ38" s="104">
        <f>(AL38-AP38)</f>
        <v/>
      </c>
      <c r="AK38" s="104">
        <f>(AM38-AQ38)</f>
        <v/>
      </c>
      <c r="AL38" s="110">
        <f>S38+AI38</f>
        <v/>
      </c>
      <c r="AM38" s="110">
        <f>T38+AJ38</f>
        <v/>
      </c>
      <c r="AN38" s="104" t="n">
        <v>99264</v>
      </c>
      <c r="AO38" s="104" t="n">
        <v>19200</v>
      </c>
      <c r="AP38" s="104" t="n">
        <v>65664</v>
      </c>
      <c r="AQ38" s="104" t="n">
        <v>14400</v>
      </c>
      <c r="AR38" s="104" t="n">
        <v>0</v>
      </c>
      <c r="AS38" s="104" t="n"/>
      <c r="AT38" s="104" t="n"/>
    </row>
    <row r="39" ht="12.65" customHeight="1" s="79">
      <c r="A39" s="104">
        <f>MIN(V39,R39)</f>
        <v/>
      </c>
      <c r="B39" s="104">
        <f>MIN(V39,U39)</f>
        <v/>
      </c>
      <c r="C39" s="104">
        <f>MIN(X39,R39)</f>
        <v/>
      </c>
      <c r="D39" s="104">
        <f>MIN(X39,U39)</f>
        <v/>
      </c>
      <c r="E39" s="104">
        <f>MIN((V39+AN39+AR39),U39)</f>
        <v/>
      </c>
      <c r="F39" s="104">
        <f>MAX(MIN((V39+AO39+AR39),R39),0)</f>
        <v/>
      </c>
      <c r="G39" s="104">
        <f>MAX(MIN(AP39,AL39),0)</f>
        <v/>
      </c>
      <c r="H39" s="104">
        <f>MAX(MIN(AQ39,AM39),0)</f>
        <v/>
      </c>
      <c r="I39" s="105" t="inlineStr">
        <is>
          <t>CHANDRAPAL NEGI</t>
        </is>
      </c>
      <c r="J39" s="106" t="inlineStr">
        <is>
          <t>LIFESTYLE</t>
        </is>
      </c>
      <c r="K39" s="107" t="inlineStr">
        <is>
          <t>LS_MENS ACCESSORIES</t>
        </is>
      </c>
      <c r="L39" s="107" t="inlineStr">
        <is>
          <t>LS_MA_SOCKS</t>
        </is>
      </c>
      <c r="M39" s="107" t="inlineStr">
        <is>
          <t>FRML ANKL BIO CTN 99-[LSMA05]</t>
        </is>
      </c>
      <c r="N39" s="107" t="inlineStr">
        <is>
          <t>ACTIVE</t>
        </is>
      </c>
      <c r="O39" s="108" t="n">
        <v>0.112582938388626</v>
      </c>
      <c r="P39" s="108" t="n">
        <v>0.0805323521612305</v>
      </c>
      <c r="Q39" s="109" t="n">
        <v>1</v>
      </c>
      <c r="R39" s="110" t="n">
        <v>17636</v>
      </c>
      <c r="S39" s="110" t="n">
        <v>23074.4187612924</v>
      </c>
      <c r="T39" s="110" t="n">
        <v>11565.3127403862</v>
      </c>
      <c r="U39" s="110" t="n">
        <v>52275.7315016786</v>
      </c>
      <c r="V39" s="104" t="n">
        <v>4800</v>
      </c>
      <c r="W39" s="104" t="n">
        <v>0</v>
      </c>
      <c r="X39" s="104">
        <f>$V39+W39</f>
        <v/>
      </c>
      <c r="Y39" s="111">
        <f>IFERROR(A39/R39,0)</f>
        <v/>
      </c>
      <c r="Z39" s="111">
        <f>IFERROR(B39/U39,0)</f>
        <v/>
      </c>
      <c r="AA39" s="111">
        <f>IFERROR(C39/R39,0)</f>
        <v/>
      </c>
      <c r="AB39" s="111">
        <f>IFERROR(D39/U39,0)</f>
        <v/>
      </c>
      <c r="AD39" s="111">
        <f>IF(U39&gt;0,IFERROR(E39/U39,0),1)</f>
        <v/>
      </c>
      <c r="AE39" s="111">
        <f>IF(R39&gt;0,IFERROR(F39/R39,0),1)</f>
        <v/>
      </c>
      <c r="AF39" s="111">
        <f>IF(AL39&gt;0,IFERROR(G39/AL39,0),1)</f>
        <v/>
      </c>
      <c r="AG39" s="111">
        <f>IF(AM39&gt;0,IFERROR(H39/AM39,0),1)</f>
        <v/>
      </c>
      <c r="AH39" s="104">
        <f>U39-(V39+AN39+AR39)</f>
        <v/>
      </c>
      <c r="AI39" s="104">
        <f>R39-(V39+AO39+AR39)</f>
        <v/>
      </c>
      <c r="AJ39" s="104">
        <f>(AL39-AP39)</f>
        <v/>
      </c>
      <c r="AK39" s="104">
        <f>(AM39-AQ39)</f>
        <v/>
      </c>
      <c r="AL39" s="110">
        <f>S39+AI39</f>
        <v/>
      </c>
      <c r="AM39" s="110">
        <f>T39+AJ39</f>
        <v/>
      </c>
      <c r="AN39" s="104" t="n">
        <v>40800</v>
      </c>
      <c r="AO39" s="104" t="n">
        <v>9600</v>
      </c>
      <c r="AP39" s="104" t="n">
        <v>31200</v>
      </c>
      <c r="AQ39" s="104" t="n">
        <v>0</v>
      </c>
      <c r="AR39" s="104" t="n">
        <v>0</v>
      </c>
      <c r="AS39" s="104" t="n"/>
      <c r="AT39" s="104" t="n"/>
    </row>
    <row r="40" ht="12.65" customHeight="1" s="79">
      <c r="A40" s="104">
        <f>MIN(V40,R40)</f>
        <v/>
      </c>
      <c r="B40" s="104">
        <f>MIN(V40,U40)</f>
        <v/>
      </c>
      <c r="C40" s="104">
        <f>MIN(X40,R40)</f>
        <v/>
      </c>
      <c r="D40" s="104">
        <f>MIN(X40,U40)</f>
        <v/>
      </c>
      <c r="E40" s="104">
        <f>MIN((V40+AN40+AR40),U40)</f>
        <v/>
      </c>
      <c r="F40" s="104">
        <f>MAX(MIN((V40+AO40+AR40),R40),0)</f>
        <v/>
      </c>
      <c r="G40" s="104">
        <f>MAX(MIN(AP40,AL40),0)</f>
        <v/>
      </c>
      <c r="H40" s="104">
        <f>MAX(MIN(AQ40,AM40),0)</f>
        <v/>
      </c>
      <c r="I40" s="105" t="inlineStr">
        <is>
          <t>CHANDRAPAL NEGI</t>
        </is>
      </c>
      <c r="J40" s="106" t="inlineStr">
        <is>
          <t>LIFESTYLE</t>
        </is>
      </c>
      <c r="K40" s="107" t="inlineStr">
        <is>
          <t>LS_OPTICALS</t>
        </is>
      </c>
      <c r="L40" s="107" t="inlineStr">
        <is>
          <t>LS_OP_KIDS SUNGLASS</t>
        </is>
      </c>
      <c r="M40" s="107" t="inlineStr">
        <is>
          <t>FNCY 99-[LSOP01]</t>
        </is>
      </c>
      <c r="N40" s="107" t="inlineStr">
        <is>
          <t>ACTIVE</t>
        </is>
      </c>
      <c r="O40" s="108" t="n">
        <v>0.127807115185087</v>
      </c>
      <c r="P40" s="108" t="n">
        <v>0.09517743295764849</v>
      </c>
      <c r="Q40" s="109" t="n">
        <v>72</v>
      </c>
      <c r="R40" s="110" t="n">
        <v>5260</v>
      </c>
      <c r="S40" s="110" t="n">
        <v>3394.16765367761</v>
      </c>
      <c r="T40" s="110" t="n">
        <v>4334.71139608257</v>
      </c>
      <c r="U40" s="110" t="n">
        <v>12988.8790497602</v>
      </c>
      <c r="V40" s="104" t="n">
        <v>6480</v>
      </c>
      <c r="W40" s="104" t="n">
        <v>7200</v>
      </c>
      <c r="X40" s="104">
        <f>$V40+W40</f>
        <v/>
      </c>
      <c r="Y40" s="111">
        <f>IFERROR(A40/R40,0)</f>
        <v/>
      </c>
      <c r="Z40" s="111">
        <f>IFERROR(B40/U40,0)</f>
        <v/>
      </c>
      <c r="AA40" s="111">
        <f>IFERROR(C40/R40,0)</f>
        <v/>
      </c>
      <c r="AB40" s="111">
        <f>IFERROR(D40/U40,0)</f>
        <v/>
      </c>
      <c r="AD40" s="111">
        <f>IF(U40&gt;0,IFERROR(E40/U40,0),1)</f>
        <v/>
      </c>
      <c r="AE40" s="111">
        <f>IF(R40&gt;0,IFERROR(F40/R40,0),1)</f>
        <v/>
      </c>
      <c r="AF40" s="111">
        <f>IF(AL40&gt;0,IFERROR(G40/AL40,0),1)</f>
        <v/>
      </c>
      <c r="AG40" s="111">
        <f>IF(AM40&gt;0,IFERROR(H40/AM40,0),1)</f>
        <v/>
      </c>
      <c r="AH40" s="104">
        <f>U40-(V40+AN40+AR40)</f>
        <v/>
      </c>
      <c r="AI40" s="104">
        <f>R40-(V40+AO40+AR40)</f>
        <v/>
      </c>
      <c r="AJ40" s="104">
        <f>(AL40-AP40)</f>
        <v/>
      </c>
      <c r="AK40" s="104">
        <f>(AM40-AQ40)</f>
        <v/>
      </c>
      <c r="AL40" s="110">
        <f>S40+AI40</f>
        <v/>
      </c>
      <c r="AM40" s="110">
        <f>T40+AJ40</f>
        <v/>
      </c>
      <c r="AN40" s="104" t="n">
        <v>7200</v>
      </c>
      <c r="AO40" s="104" t="n">
        <v>7200</v>
      </c>
      <c r="AP40" s="104" t="n">
        <v>0</v>
      </c>
      <c r="AQ40" s="104" t="n">
        <v>0</v>
      </c>
      <c r="AR40" s="104" t="n">
        <v>0</v>
      </c>
      <c r="AS40" s="104" t="n"/>
      <c r="AT40" s="104" t="n"/>
    </row>
    <row r="41" ht="12.65" customHeight="1" s="79">
      <c r="A41" s="104">
        <f>MIN(V41,R41)</f>
        <v/>
      </c>
      <c r="B41" s="104">
        <f>MIN(V41,U41)</f>
        <v/>
      </c>
      <c r="C41" s="104">
        <f>MIN(X41,R41)</f>
        <v/>
      </c>
      <c r="D41" s="104">
        <f>MIN(X41,U41)</f>
        <v/>
      </c>
      <c r="E41" s="104">
        <f>MIN((V41+AN41+AR41),U41)</f>
        <v/>
      </c>
      <c r="F41" s="104">
        <f>MAX(MIN((V41+AO41+AR41),R41),0)</f>
        <v/>
      </c>
      <c r="G41" s="104">
        <f>MAX(MIN(AP41,AL41),0)</f>
        <v/>
      </c>
      <c r="H41" s="104">
        <f>MAX(MIN(AQ41,AM41),0)</f>
        <v/>
      </c>
      <c r="I41" s="105" t="inlineStr">
        <is>
          <t>CHANDRAPAL NEGI</t>
        </is>
      </c>
      <c r="J41" s="106" t="inlineStr">
        <is>
          <t>LIFESTYLE</t>
        </is>
      </c>
      <c r="K41" s="107" t="inlineStr">
        <is>
          <t>LS_OPTICALS</t>
        </is>
      </c>
      <c r="L41" s="107" t="inlineStr">
        <is>
          <t>LS_OP_KIDS SUNGLASS</t>
        </is>
      </c>
      <c r="M41" s="107" t="inlineStr">
        <is>
          <t>AVTR 99-[LSOP01]</t>
        </is>
      </c>
      <c r="N41" s="107" t="inlineStr">
        <is>
          <t>ACTIVE</t>
        </is>
      </c>
      <c r="O41" s="108" t="n">
        <v>0.140367739239448</v>
      </c>
      <c r="P41" s="108" t="n">
        <v>0.0925150118698506</v>
      </c>
      <c r="Q41" s="109" t="n">
        <v>72</v>
      </c>
      <c r="R41" s="110" t="n">
        <v>1035</v>
      </c>
      <c r="S41" s="110" t="n">
        <v>420.975707995056</v>
      </c>
      <c r="T41" s="110" t="n">
        <v>407.409870837995</v>
      </c>
      <c r="U41" s="110" t="n">
        <v>1863.38557883305</v>
      </c>
      <c r="V41" s="104" t="n">
        <v>0</v>
      </c>
      <c r="W41" s="104" t="n">
        <v>0</v>
      </c>
      <c r="X41" s="104">
        <f>$V41+W41</f>
        <v/>
      </c>
      <c r="Y41" s="111">
        <f>IFERROR(A41/R41,0)</f>
        <v/>
      </c>
      <c r="Z41" s="111">
        <f>IFERROR(B41/U41,0)</f>
        <v/>
      </c>
      <c r="AA41" s="111">
        <f>IFERROR(C41/R41,0)</f>
        <v/>
      </c>
      <c r="AB41" s="111">
        <f>IFERROR(D41/U41,0)</f>
        <v/>
      </c>
      <c r="AD41" s="111">
        <f>IF(U41&gt;0,IFERROR(E41/U41,0),1)</f>
        <v/>
      </c>
      <c r="AE41" s="111">
        <f>IF(R41&gt;0,IFERROR(F41/R41,0),1)</f>
        <v/>
      </c>
      <c r="AF41" s="111">
        <f>IF(AL41&gt;0,IFERROR(G41/AL41,0),1)</f>
        <v/>
      </c>
      <c r="AG41" s="111">
        <f>IF(AM41&gt;0,IFERROR(H41/AM41,0),1)</f>
        <v/>
      </c>
      <c r="AH41" s="104">
        <f>U41-(V41+AN41+AR41)</f>
        <v/>
      </c>
      <c r="AI41" s="104">
        <f>R41-(V41+AO41+AR41)</f>
        <v/>
      </c>
      <c r="AJ41" s="104">
        <f>(AL41-AP41)</f>
        <v/>
      </c>
      <c r="AK41" s="104">
        <f>(AM41-AQ41)</f>
        <v/>
      </c>
      <c r="AL41" s="110">
        <f>S41+AI41</f>
        <v/>
      </c>
      <c r="AM41" s="110">
        <f>T41+AJ41</f>
        <v/>
      </c>
      <c r="AN41" s="104" t="n">
        <v>0</v>
      </c>
      <c r="AO41" s="104" t="n">
        <v>0</v>
      </c>
      <c r="AP41" s="104" t="n">
        <v>0</v>
      </c>
      <c r="AQ41" s="104" t="n">
        <v>0</v>
      </c>
      <c r="AR41" s="104" t="n">
        <v>0</v>
      </c>
      <c r="AS41" s="104" t="n"/>
      <c r="AT41" s="104" t="n"/>
    </row>
    <row r="42" ht="12.65" customHeight="1" s="79">
      <c r="A42" s="104">
        <f>MIN(V42,R42)</f>
        <v/>
      </c>
      <c r="B42" s="104">
        <f>MIN(V42,U42)</f>
        <v/>
      </c>
      <c r="C42" s="104">
        <f>MIN(X42,R42)</f>
        <v/>
      </c>
      <c r="D42" s="104">
        <f>MIN(X42,U42)</f>
        <v/>
      </c>
      <c r="E42" s="104">
        <f>MIN((V42+AN42+AR42),U42)</f>
        <v/>
      </c>
      <c r="F42" s="104">
        <f>MAX(MIN((V42+AO42+AR42),R42),0)</f>
        <v/>
      </c>
      <c r="G42" s="104">
        <f>MAX(MIN(AP42,AL42),0)</f>
        <v/>
      </c>
      <c r="H42" s="104">
        <f>MAX(MIN(AQ42,AM42),0)</f>
        <v/>
      </c>
      <c r="I42" s="105" t="inlineStr">
        <is>
          <t>CHANDRAPAL NEGI</t>
        </is>
      </c>
      <c r="J42" s="106" t="inlineStr">
        <is>
          <t>LIFESTYLE</t>
        </is>
      </c>
      <c r="K42" s="107" t="inlineStr">
        <is>
          <t>LS_OPTICALS</t>
        </is>
      </c>
      <c r="L42" s="107" t="inlineStr">
        <is>
          <t>LS_OP_LADIES SUNGLASS</t>
        </is>
      </c>
      <c r="M42" s="107" t="inlineStr">
        <is>
          <t>FNCY 129-[LSOP04]</t>
        </is>
      </c>
      <c r="N42" s="107" t="inlineStr">
        <is>
          <t>ACTIVE</t>
        </is>
      </c>
      <c r="O42" s="108" t="n">
        <v>0.11764812106109</v>
      </c>
      <c r="P42" s="108" t="n">
        <v>0.0750512616646441</v>
      </c>
      <c r="Q42" s="109" t="n">
        <v>154</v>
      </c>
      <c r="R42" s="110" t="n">
        <v>0</v>
      </c>
      <c r="S42" s="110" t="n">
        <v>0</v>
      </c>
      <c r="T42" s="110" t="n">
        <v>0</v>
      </c>
      <c r="U42" s="110" t="n">
        <v>0</v>
      </c>
      <c r="V42" s="104" t="n">
        <v>0</v>
      </c>
      <c r="W42" s="104" t="n">
        <v>3000</v>
      </c>
      <c r="X42" s="104">
        <f>$V42+W42</f>
        <v/>
      </c>
      <c r="Y42" s="111">
        <f>IFERROR(A42/R42,0)</f>
        <v/>
      </c>
      <c r="Z42" s="111">
        <f>IFERROR(B42/U42,0)</f>
        <v/>
      </c>
      <c r="AA42" s="111">
        <f>IFERROR(C42/R42,0)</f>
        <v/>
      </c>
      <c r="AB42" s="111">
        <f>IFERROR(D42/U42,0)</f>
        <v/>
      </c>
      <c r="AD42" s="111">
        <f>IF(U42&gt;0,IFERROR(E42/U42,0),1)</f>
        <v/>
      </c>
      <c r="AE42" s="111">
        <f>IF(R42&gt;0,IFERROR(F42/R42,0),1)</f>
        <v/>
      </c>
      <c r="AF42" s="111">
        <f>IF(AL42&gt;0,IFERROR(G42/AL42,0),1)</f>
        <v/>
      </c>
      <c r="AG42" s="111">
        <f>IF(AM42&gt;0,IFERROR(H42/AM42,0),1)</f>
        <v/>
      </c>
      <c r="AH42" s="104">
        <f>U42-(V42+AN42+AR42)</f>
        <v/>
      </c>
      <c r="AI42" s="104">
        <f>R42-(V42+AO42+AR42)</f>
        <v/>
      </c>
      <c r="AJ42" s="104">
        <f>(AL42-AP42)</f>
        <v/>
      </c>
      <c r="AK42" s="104">
        <f>(AM42-AQ42)</f>
        <v/>
      </c>
      <c r="AL42" s="110">
        <f>S42+AI42</f>
        <v/>
      </c>
      <c r="AM42" s="110">
        <f>T42+AJ42</f>
        <v/>
      </c>
      <c r="AN42" s="104" t="n">
        <v>3000</v>
      </c>
      <c r="AO42" s="104" t="n">
        <v>3000</v>
      </c>
      <c r="AP42" s="104" t="n">
        <v>0</v>
      </c>
      <c r="AQ42" s="104" t="n">
        <v>0</v>
      </c>
      <c r="AR42" s="104" t="n">
        <v>0</v>
      </c>
      <c r="AS42" s="104" t="n"/>
      <c r="AT42" s="104" t="n"/>
    </row>
    <row r="43" ht="12.65" customHeight="1" s="79">
      <c r="A43" s="104">
        <f>MIN(V43,R43)</f>
        <v/>
      </c>
      <c r="B43" s="104">
        <f>MIN(V43,U43)</f>
        <v/>
      </c>
      <c r="C43" s="104">
        <f>MIN(X43,R43)</f>
        <v/>
      </c>
      <c r="D43" s="104">
        <f>MIN(X43,U43)</f>
        <v/>
      </c>
      <c r="E43" s="104">
        <f>MIN((V43+AN43+AR43),U43)</f>
        <v/>
      </c>
      <c r="F43" s="104">
        <f>MAX(MIN((V43+AO43+AR43),R43),0)</f>
        <v/>
      </c>
      <c r="G43" s="104">
        <f>MAX(MIN(AP43,AL43),0)</f>
        <v/>
      </c>
      <c r="H43" s="104">
        <f>MAX(MIN(AQ43,AM43),0)</f>
        <v/>
      </c>
      <c r="I43" s="105" t="inlineStr">
        <is>
          <t>CHANDRAPAL NEGI</t>
        </is>
      </c>
      <c r="J43" s="106" t="inlineStr">
        <is>
          <t>LIFESTYLE</t>
        </is>
      </c>
      <c r="K43" s="107" t="inlineStr">
        <is>
          <t>LS_OPTICALS</t>
        </is>
      </c>
      <c r="L43" s="107" t="inlineStr">
        <is>
          <t>LS_OP_MENS SUNGLASS</t>
        </is>
      </c>
      <c r="M43" s="107" t="inlineStr">
        <is>
          <t>FNCY 129-[LSOP03]</t>
        </is>
      </c>
      <c r="N43" s="107" t="inlineStr">
        <is>
          <t>ACTIVE</t>
        </is>
      </c>
      <c r="O43" s="108" t="n">
        <v>0.104547705381531</v>
      </c>
      <c r="P43" s="108" t="n">
        <v>0.0696012943117561</v>
      </c>
      <c r="Q43" s="109" t="n">
        <v>94</v>
      </c>
      <c r="R43" s="110" t="n">
        <v>1343</v>
      </c>
      <c r="S43" s="110" t="n">
        <v>1253.95565473582</v>
      </c>
      <c r="T43" s="110" t="n">
        <v>671.402280780104</v>
      </c>
      <c r="U43" s="110" t="n">
        <v>3268.35793551592</v>
      </c>
      <c r="V43" s="104" t="n">
        <v>0</v>
      </c>
      <c r="W43" s="104" t="n">
        <v>0</v>
      </c>
      <c r="X43" s="104">
        <f>$V43+W43</f>
        <v/>
      </c>
      <c r="Y43" s="111">
        <f>IFERROR(A43/R43,0)</f>
        <v/>
      </c>
      <c r="Z43" s="111">
        <f>IFERROR(B43/U43,0)</f>
        <v/>
      </c>
      <c r="AA43" s="111">
        <f>IFERROR(C43/R43,0)</f>
        <v/>
      </c>
      <c r="AB43" s="111">
        <f>IFERROR(D43/U43,0)</f>
        <v/>
      </c>
      <c r="AD43" s="111">
        <f>IF(U43&gt;0,IFERROR(E43/U43,0),1)</f>
        <v/>
      </c>
      <c r="AE43" s="111">
        <f>IF(R43&gt;0,IFERROR(F43/R43,0),1)</f>
        <v/>
      </c>
      <c r="AF43" s="111">
        <f>IF(AL43&gt;0,IFERROR(G43/AL43,0),1)</f>
        <v/>
      </c>
      <c r="AG43" s="111">
        <f>IF(AM43&gt;0,IFERROR(H43/AM43,0),1)</f>
        <v/>
      </c>
      <c r="AH43" s="104">
        <f>U43-(V43+AN43+AR43)</f>
        <v/>
      </c>
      <c r="AI43" s="104">
        <f>R43-(V43+AO43+AR43)</f>
        <v/>
      </c>
      <c r="AJ43" s="104">
        <f>(AL43-AP43)</f>
        <v/>
      </c>
      <c r="AK43" s="104">
        <f>(AM43-AQ43)</f>
        <v/>
      </c>
      <c r="AL43" s="110">
        <f>S43+AI43</f>
        <v/>
      </c>
      <c r="AM43" s="110">
        <f>T43+AJ43</f>
        <v/>
      </c>
      <c r="AN43" s="104" t="n">
        <v>0</v>
      </c>
      <c r="AO43" s="104" t="n">
        <v>0</v>
      </c>
      <c r="AP43" s="104" t="n">
        <v>0</v>
      </c>
      <c r="AQ43" s="104" t="n">
        <v>0</v>
      </c>
      <c r="AR43" s="104" t="n">
        <v>0</v>
      </c>
      <c r="AS43" s="104" t="n"/>
      <c r="AT43" s="104" t="n"/>
    </row>
    <row r="44" ht="12.65" customHeight="1" s="79">
      <c r="A44" s="104">
        <f>MIN(V44,R44)</f>
        <v/>
      </c>
      <c r="B44" s="104">
        <f>MIN(V44,U44)</f>
        <v/>
      </c>
      <c r="C44" s="104">
        <f>MIN(X44,R44)</f>
        <v/>
      </c>
      <c r="D44" s="104">
        <f>MIN(X44,U44)</f>
        <v/>
      </c>
      <c r="E44" s="104">
        <f>MIN((V44+AN44+AR44),U44)</f>
        <v/>
      </c>
      <c r="F44" s="104">
        <f>MAX(MIN((V44+AO44+AR44),R44),0)</f>
        <v/>
      </c>
      <c r="G44" s="104">
        <f>MAX(MIN(AP44,AL44),0)</f>
        <v/>
      </c>
      <c r="H44" s="104">
        <f>MAX(MIN(AQ44,AM44),0)</f>
        <v/>
      </c>
      <c r="I44" s="105" t="inlineStr">
        <is>
          <t>CHANDRAPAL NEGI</t>
        </is>
      </c>
      <c r="J44" s="106" t="inlineStr">
        <is>
          <t>LIFESTYLE</t>
        </is>
      </c>
      <c r="K44" s="107" t="inlineStr">
        <is>
          <t>LS_OPTICALS</t>
        </is>
      </c>
      <c r="L44" s="107" t="inlineStr">
        <is>
          <t>LS_OP_MENS SUNGLASS</t>
        </is>
      </c>
      <c r="M44" s="107" t="inlineStr">
        <is>
          <t>WYFR 99-[LSOP03]</t>
        </is>
      </c>
      <c r="N44" s="107" t="inlineStr">
        <is>
          <t>ACTIVE</t>
        </is>
      </c>
      <c r="O44" s="108" t="n">
        <v>0.189868248543856</v>
      </c>
      <c r="P44" s="108" t="n">
        <v>0.151442416557221</v>
      </c>
      <c r="Q44" s="109" t="n">
        <v>94</v>
      </c>
      <c r="R44" s="110" t="n">
        <v>0</v>
      </c>
      <c r="S44" s="110" t="n">
        <v>0</v>
      </c>
      <c r="T44" s="110" t="n">
        <v>0</v>
      </c>
      <c r="U44" s="110" t="n">
        <v>0</v>
      </c>
      <c r="V44" s="104" t="n">
        <v>0</v>
      </c>
      <c r="W44" s="104" t="n">
        <v>0</v>
      </c>
      <c r="X44" s="104">
        <f>$V44+W44</f>
        <v/>
      </c>
      <c r="Y44" s="111">
        <f>IFERROR(A44/R44,0)</f>
        <v/>
      </c>
      <c r="Z44" s="111">
        <f>IFERROR(B44/U44,0)</f>
        <v/>
      </c>
      <c r="AA44" s="111">
        <f>IFERROR(C44/R44,0)</f>
        <v/>
      </c>
      <c r="AB44" s="111">
        <f>IFERROR(D44/U44,0)</f>
        <v/>
      </c>
      <c r="AD44" s="111">
        <f>IF(U44&gt;0,IFERROR(E44/U44,0),1)</f>
        <v/>
      </c>
      <c r="AE44" s="111">
        <f>IF(R44&gt;0,IFERROR(F44/R44,0),1)</f>
        <v/>
      </c>
      <c r="AF44" s="111">
        <f>IF(AL44&gt;0,IFERROR(G44/AL44,0),1)</f>
        <v/>
      </c>
      <c r="AG44" s="111">
        <f>IF(AM44&gt;0,IFERROR(H44/AM44,0),1)</f>
        <v/>
      </c>
      <c r="AH44" s="104">
        <f>U44-(V44+AN44+AR44)</f>
        <v/>
      </c>
      <c r="AI44" s="104">
        <f>R44-(V44+AO44+AR44)</f>
        <v/>
      </c>
      <c r="AJ44" s="104">
        <f>(AL44-AP44)</f>
        <v/>
      </c>
      <c r="AK44" s="104">
        <f>(AM44-AQ44)</f>
        <v/>
      </c>
      <c r="AL44" s="110">
        <f>S44+AI44</f>
        <v/>
      </c>
      <c r="AM44" s="110">
        <f>T44+AJ44</f>
        <v/>
      </c>
      <c r="AN44" s="104" t="n">
        <v>0</v>
      </c>
      <c r="AO44" s="104" t="n">
        <v>0</v>
      </c>
      <c r="AP44" s="104" t="n">
        <v>0</v>
      </c>
      <c r="AQ44" s="104" t="n">
        <v>0</v>
      </c>
      <c r="AR44" s="104" t="n">
        <v>0</v>
      </c>
      <c r="AS44" s="104" t="n"/>
      <c r="AT44" s="104" t="n"/>
    </row>
    <row r="45" ht="12.65" customHeight="1" s="79">
      <c r="A45" s="104">
        <f>MIN(V45,R45)</f>
        <v/>
      </c>
      <c r="B45" s="104">
        <f>MIN(V45,U45)</f>
        <v/>
      </c>
      <c r="C45" s="104">
        <f>MIN(X45,R45)</f>
        <v/>
      </c>
      <c r="D45" s="104">
        <f>MIN(X45,U45)</f>
        <v/>
      </c>
      <c r="E45" s="104">
        <f>MIN((V45+AN45+AR45),U45)</f>
        <v/>
      </c>
      <c r="F45" s="104">
        <f>MAX(MIN((V45+AO45+AR45),R45),0)</f>
        <v/>
      </c>
      <c r="G45" s="104">
        <f>MAX(MIN(AP45,AL45),0)</f>
        <v/>
      </c>
      <c r="H45" s="104">
        <f>MAX(MIN(AQ45,AM45),0)</f>
        <v/>
      </c>
      <c r="I45" s="105" t="inlineStr">
        <is>
          <t>CHANDRAPAL NEGI</t>
        </is>
      </c>
      <c r="J45" s="106" t="inlineStr">
        <is>
          <t>LIFESTYLE</t>
        </is>
      </c>
      <c r="K45" s="107" t="inlineStr">
        <is>
          <t>LS_OPTICALS</t>
        </is>
      </c>
      <c r="L45" s="107" t="inlineStr">
        <is>
          <t>LS_OP_MENS SUNGLASS</t>
        </is>
      </c>
      <c r="M45" s="107" t="inlineStr">
        <is>
          <t>AVTR 149-[LSOP03]</t>
        </is>
      </c>
      <c r="N45" s="107" t="inlineStr">
        <is>
          <t>ACTIVE</t>
        </is>
      </c>
      <c r="O45" s="108" t="n">
        <v>0.134209729304968</v>
      </c>
      <c r="P45" s="108" t="n">
        <v>0.0991376352448704</v>
      </c>
      <c r="Q45" s="109" t="n">
        <v>94</v>
      </c>
      <c r="R45" s="110" t="n">
        <v>0</v>
      </c>
      <c r="S45" s="110" t="n">
        <v>0</v>
      </c>
      <c r="T45" s="110" t="n">
        <v>0</v>
      </c>
      <c r="U45" s="110" t="n">
        <v>0</v>
      </c>
      <c r="V45" s="104" t="n">
        <v>0</v>
      </c>
      <c r="W45" s="104" t="n">
        <v>0</v>
      </c>
      <c r="X45" s="104">
        <f>$V45+W45</f>
        <v/>
      </c>
      <c r="Y45" s="111">
        <f>IFERROR(A45/R45,0)</f>
        <v/>
      </c>
      <c r="Z45" s="111">
        <f>IFERROR(B45/U45,0)</f>
        <v/>
      </c>
      <c r="AA45" s="111">
        <f>IFERROR(C45/R45,0)</f>
        <v/>
      </c>
      <c r="AB45" s="111">
        <f>IFERROR(D45/U45,0)</f>
        <v/>
      </c>
      <c r="AD45" s="111">
        <f>IF(U45&gt;0,IFERROR(E45/U45,0),1)</f>
        <v/>
      </c>
      <c r="AE45" s="111">
        <f>IF(R45&gt;0,IFERROR(F45/R45,0),1)</f>
        <v/>
      </c>
      <c r="AF45" s="111">
        <f>IF(AL45&gt;0,IFERROR(G45/AL45,0),1)</f>
        <v/>
      </c>
      <c r="AG45" s="111">
        <f>IF(AM45&gt;0,IFERROR(H45/AM45,0),1)</f>
        <v/>
      </c>
      <c r="AH45" s="104">
        <f>U45-(V45+AN45+AR45)</f>
        <v/>
      </c>
      <c r="AI45" s="104">
        <f>R45-(V45+AO45+AR45)</f>
        <v/>
      </c>
      <c r="AJ45" s="104">
        <f>(AL45-AP45)</f>
        <v/>
      </c>
      <c r="AK45" s="104">
        <f>(AM45-AQ45)</f>
        <v/>
      </c>
      <c r="AL45" s="110">
        <f>S45+AI45</f>
        <v/>
      </c>
      <c r="AM45" s="110">
        <f>T45+AJ45</f>
        <v/>
      </c>
      <c r="AN45" s="104" t="n">
        <v>0</v>
      </c>
      <c r="AO45" s="104" t="n">
        <v>0</v>
      </c>
      <c r="AP45" s="104" t="n">
        <v>0</v>
      </c>
      <c r="AQ45" s="104" t="n">
        <v>0</v>
      </c>
      <c r="AR45" s="104" t="n">
        <v>0</v>
      </c>
      <c r="AS45" s="104" t="n"/>
      <c r="AT45" s="104" t="n"/>
    </row>
    <row r="46" ht="12.65" customHeight="1" s="79">
      <c r="A46" s="104">
        <f>MIN(V46,R46)</f>
        <v/>
      </c>
      <c r="B46" s="104">
        <f>MIN(V46,U46)</f>
        <v/>
      </c>
      <c r="C46" s="104">
        <f>MIN(X46,R46)</f>
        <v/>
      </c>
      <c r="D46" s="104">
        <f>MIN(X46,U46)</f>
        <v/>
      </c>
      <c r="E46" s="104">
        <f>MIN((V46+AN46+AR46),U46)</f>
        <v/>
      </c>
      <c r="F46" s="104">
        <f>MAX(MIN((V46+AO46+AR46),R46),0)</f>
        <v/>
      </c>
      <c r="G46" s="104">
        <f>MAX(MIN(AP46,AL46),0)</f>
        <v/>
      </c>
      <c r="H46" s="104">
        <f>MAX(MIN(AQ46,AM46),0)</f>
        <v/>
      </c>
      <c r="I46" s="105" t="inlineStr">
        <is>
          <t>CHANDRAPAL NEGI</t>
        </is>
      </c>
      <c r="J46" s="106" t="inlineStr">
        <is>
          <t>LIFESTYLE</t>
        </is>
      </c>
      <c r="K46" s="107" t="inlineStr">
        <is>
          <t>LS_SEASONAL</t>
        </is>
      </c>
      <c r="L46" s="107" t="inlineStr">
        <is>
          <t>LS_S_BALLOON</t>
        </is>
      </c>
      <c r="M46" s="107" t="inlineStr">
        <is>
          <t>BLN 49-[LSSE06]</t>
        </is>
      </c>
      <c r="N46" s="107" t="inlineStr">
        <is>
          <t>ACTIVE</t>
        </is>
      </c>
      <c r="O46" s="108" t="n">
        <v>0.131702401612271</v>
      </c>
      <c r="P46" s="108" t="n">
        <v>9.99034266875354e-05</v>
      </c>
      <c r="Q46" s="109" t="n">
        <v>148</v>
      </c>
      <c r="R46" s="110" t="n">
        <v>0</v>
      </c>
      <c r="S46" s="110" t="n">
        <v>0</v>
      </c>
      <c r="T46" s="110" t="n">
        <v>0</v>
      </c>
      <c r="U46" s="110" t="n">
        <v>0</v>
      </c>
      <c r="V46" s="104" t="n">
        <v>0</v>
      </c>
      <c r="W46" s="104" t="n">
        <v>0</v>
      </c>
      <c r="X46" s="104">
        <f>$V46+W46</f>
        <v/>
      </c>
      <c r="Y46" s="111">
        <f>IFERROR(A46/R46,0)</f>
        <v/>
      </c>
      <c r="Z46" s="111">
        <f>IFERROR(B46/U46,0)</f>
        <v/>
      </c>
      <c r="AA46" s="111">
        <f>IFERROR(C46/R46,0)</f>
        <v/>
      </c>
      <c r="AB46" s="111">
        <f>IFERROR(D46/U46,0)</f>
        <v/>
      </c>
      <c r="AD46" s="111">
        <f>IF(U46&gt;0,IFERROR(E46/U46,0),1)</f>
        <v/>
      </c>
      <c r="AE46" s="111">
        <f>IF(R46&gt;0,IFERROR(F46/R46,0),1)</f>
        <v/>
      </c>
      <c r="AF46" s="111">
        <f>IF(AL46&gt;0,IFERROR(G46/AL46,0),1)</f>
        <v/>
      </c>
      <c r="AG46" s="111">
        <f>IF(AM46&gt;0,IFERROR(H46/AM46,0),1)</f>
        <v/>
      </c>
      <c r="AH46" s="104">
        <f>U46-(V46+AN46+AR46)</f>
        <v/>
      </c>
      <c r="AI46" s="104">
        <f>R46-(V46+AO46+AR46)</f>
        <v/>
      </c>
      <c r="AJ46" s="104">
        <f>(AL46-AP46)</f>
        <v/>
      </c>
      <c r="AK46" s="104">
        <f>(AM46-AQ46)</f>
        <v/>
      </c>
      <c r="AL46" s="110">
        <f>S46+AI46</f>
        <v/>
      </c>
      <c r="AM46" s="110">
        <f>T46+AJ46</f>
        <v/>
      </c>
      <c r="AN46" s="104" t="n">
        <v>0</v>
      </c>
      <c r="AO46" s="104" t="n">
        <v>0</v>
      </c>
      <c r="AP46" s="104" t="n">
        <v>0</v>
      </c>
      <c r="AQ46" s="104" t="n">
        <v>0</v>
      </c>
      <c r="AR46" s="104" t="n">
        <v>0</v>
      </c>
      <c r="AS46" s="104" t="n"/>
      <c r="AT46" s="104" t="n"/>
    </row>
    <row r="47" ht="12.65" customHeight="1" s="79">
      <c r="A47" s="104">
        <f>MIN(V47,R47)</f>
        <v/>
      </c>
      <c r="B47" s="104">
        <f>MIN(V47,U47)</f>
        <v/>
      </c>
      <c r="C47" s="104">
        <f>MIN(X47,R47)</f>
        <v/>
      </c>
      <c r="D47" s="104">
        <f>MIN(X47,U47)</f>
        <v/>
      </c>
      <c r="E47" s="104">
        <f>MIN((V47+AN47+AR47),U47)</f>
        <v/>
      </c>
      <c r="F47" s="104">
        <f>MAX(MIN((V47+AO47+AR47),R47),0)</f>
        <v/>
      </c>
      <c r="G47" s="104">
        <f>MAX(MIN(AP47,AL47),0)</f>
        <v/>
      </c>
      <c r="H47" s="104">
        <f>MAX(MIN(AQ47,AM47),0)</f>
        <v/>
      </c>
      <c r="I47" s="105" t="inlineStr">
        <is>
          <t>CHANDRAPAL NEGI</t>
        </is>
      </c>
      <c r="J47" s="106" t="inlineStr">
        <is>
          <t>LIFESTYLE</t>
        </is>
      </c>
      <c r="K47" s="107" t="inlineStr">
        <is>
          <t>LS_SEASONAL</t>
        </is>
      </c>
      <c r="L47" s="107" t="inlineStr">
        <is>
          <t>LS_S_GULAL</t>
        </is>
      </c>
      <c r="M47" s="107" t="inlineStr">
        <is>
          <t>GULAL 15-[LSSE07]</t>
        </is>
      </c>
      <c r="N47" s="107" t="inlineStr">
        <is>
          <t>ACTIVE</t>
        </is>
      </c>
      <c r="O47" s="108" t="n">
        <v>0.202380426371451</v>
      </c>
      <c r="P47" s="108" t="n">
        <v>0</v>
      </c>
      <c r="Q47" s="109" t="n">
        <v>162</v>
      </c>
      <c r="R47" s="110" t="n">
        <v>0</v>
      </c>
      <c r="S47" s="110" t="n">
        <v>0</v>
      </c>
      <c r="T47" s="110" t="n">
        <v>0</v>
      </c>
      <c r="U47" s="110" t="n">
        <v>0</v>
      </c>
      <c r="V47" s="104" t="n">
        <v>0</v>
      </c>
      <c r="W47" s="104" t="n">
        <v>0</v>
      </c>
      <c r="X47" s="104">
        <f>$V47+W47</f>
        <v/>
      </c>
      <c r="Y47" s="111">
        <f>IFERROR(A47/R47,0)</f>
        <v/>
      </c>
      <c r="Z47" s="111">
        <f>IFERROR(B47/U47,0)</f>
        <v/>
      </c>
      <c r="AA47" s="111">
        <f>IFERROR(C47/R47,0)</f>
        <v/>
      </c>
      <c r="AB47" s="111">
        <f>IFERROR(D47/U47,0)</f>
        <v/>
      </c>
      <c r="AD47" s="111">
        <f>IF(U47&gt;0,IFERROR(E47/U47,0),1)</f>
        <v/>
      </c>
      <c r="AE47" s="111">
        <f>IF(R47&gt;0,IFERROR(F47/R47,0),1)</f>
        <v/>
      </c>
      <c r="AF47" s="111">
        <f>IF(AL47&gt;0,IFERROR(G47/AL47,0),1)</f>
        <v/>
      </c>
      <c r="AG47" s="111">
        <f>IF(AM47&gt;0,IFERROR(H47/AM47,0),1)</f>
        <v/>
      </c>
      <c r="AH47" s="104">
        <f>U47-(V47+AN47+AR47)</f>
        <v/>
      </c>
      <c r="AI47" s="104">
        <f>R47-(V47+AO47+AR47)</f>
        <v/>
      </c>
      <c r="AJ47" s="104">
        <f>(AL47-AP47)</f>
        <v/>
      </c>
      <c r="AK47" s="104">
        <f>(AM47-AQ47)</f>
        <v/>
      </c>
      <c r="AL47" s="110">
        <f>S47+AI47</f>
        <v/>
      </c>
      <c r="AM47" s="110">
        <f>T47+AJ47</f>
        <v/>
      </c>
      <c r="AN47" s="104" t="n">
        <v>0</v>
      </c>
      <c r="AO47" s="104" t="n">
        <v>0</v>
      </c>
      <c r="AP47" s="104" t="n">
        <v>0</v>
      </c>
      <c r="AQ47" s="104" t="n">
        <v>0</v>
      </c>
      <c r="AR47" s="104" t="n">
        <v>0</v>
      </c>
      <c r="AS47" s="104" t="n"/>
      <c r="AT47" s="104" t="n"/>
    </row>
    <row r="48" ht="12.65" customHeight="1" s="79">
      <c r="A48" s="104">
        <f>MIN(V48,R48)</f>
        <v/>
      </c>
      <c r="B48" s="104">
        <f>MIN(V48,U48)</f>
        <v/>
      </c>
      <c r="C48" s="104">
        <f>MIN(X48,R48)</f>
        <v/>
      </c>
      <c r="D48" s="104">
        <f>MIN(X48,U48)</f>
        <v/>
      </c>
      <c r="E48" s="104">
        <f>MIN((V48+AN48+AR48),U48)</f>
        <v/>
      </c>
      <c r="F48" s="104">
        <f>MAX(MIN((V48+AO48+AR48),R48),0)</f>
        <v/>
      </c>
      <c r="G48" s="104">
        <f>MAX(MIN(AP48,AL48),0)</f>
        <v/>
      </c>
      <c r="H48" s="104">
        <f>MAX(MIN(AQ48,AM48),0)</f>
        <v/>
      </c>
      <c r="I48" s="105" t="inlineStr">
        <is>
          <t>CHANDRAPAL NEGI</t>
        </is>
      </c>
      <c r="J48" s="106" t="inlineStr">
        <is>
          <t>LIFESTYLE</t>
        </is>
      </c>
      <c r="K48" s="107" t="inlineStr">
        <is>
          <t>LS_SEASONAL</t>
        </is>
      </c>
      <c r="L48" s="107" t="inlineStr">
        <is>
          <t>LS_S_KALAVA RAKSHA SUTRA</t>
        </is>
      </c>
      <c r="M48" s="107" t="inlineStr">
        <is>
          <t>KALAVA 30-[LSSE04]</t>
        </is>
      </c>
      <c r="N48" s="107" t="inlineStr">
        <is>
          <t>ACTIVE</t>
        </is>
      </c>
      <c r="O48" s="108" t="n">
        <v>0</v>
      </c>
      <c r="P48" s="108" t="n">
        <v>0</v>
      </c>
      <c r="Q48" s="109" t="n">
        <v>179</v>
      </c>
      <c r="R48" s="110" t="n">
        <v>0</v>
      </c>
      <c r="S48" s="110" t="n">
        <v>0</v>
      </c>
      <c r="T48" s="110" t="n">
        <v>0</v>
      </c>
      <c r="U48" s="110" t="n">
        <v>0</v>
      </c>
      <c r="V48" s="104" t="n">
        <v>0</v>
      </c>
      <c r="W48" s="104" t="n">
        <v>0</v>
      </c>
      <c r="X48" s="104">
        <f>$V48+W48</f>
        <v/>
      </c>
      <c r="Y48" s="111">
        <f>IFERROR(A48/R48,0)</f>
        <v/>
      </c>
      <c r="Z48" s="111">
        <f>IFERROR(B48/U48,0)</f>
        <v/>
      </c>
      <c r="AA48" s="111">
        <f>IFERROR(C48/R48,0)</f>
        <v/>
      </c>
      <c r="AB48" s="111">
        <f>IFERROR(D48/U48,0)</f>
        <v/>
      </c>
      <c r="AD48" s="111">
        <f>IF(U48&gt;0,IFERROR(E48/U48,0),1)</f>
        <v/>
      </c>
      <c r="AE48" s="111">
        <f>IF(R48&gt;0,IFERROR(F48/R48,0),1)</f>
        <v/>
      </c>
      <c r="AF48" s="111">
        <f>IF(AL48&gt;0,IFERROR(G48/AL48,0),1)</f>
        <v/>
      </c>
      <c r="AG48" s="111">
        <f>IF(AM48&gt;0,IFERROR(H48/AM48,0),1)</f>
        <v/>
      </c>
      <c r="AH48" s="104">
        <f>U48-(V48+AN48+AR48)</f>
        <v/>
      </c>
      <c r="AI48" s="104">
        <f>R48-(V48+AO48+AR48)</f>
        <v/>
      </c>
      <c r="AJ48" s="104">
        <f>(AL48-AP48)</f>
        <v/>
      </c>
      <c r="AK48" s="104">
        <f>(AM48-AQ48)</f>
        <v/>
      </c>
      <c r="AL48" s="110">
        <f>S48+AI48</f>
        <v/>
      </c>
      <c r="AM48" s="110">
        <f>T48+AJ48</f>
        <v/>
      </c>
      <c r="AN48" s="104" t="n">
        <v>0</v>
      </c>
      <c r="AO48" s="104" t="n">
        <v>0</v>
      </c>
      <c r="AP48" s="104" t="n">
        <v>0</v>
      </c>
      <c r="AQ48" s="104" t="n">
        <v>0</v>
      </c>
      <c r="AR48" s="104" t="n">
        <v>0</v>
      </c>
      <c r="AS48" s="104" t="n"/>
      <c r="AT48" s="104" t="n"/>
    </row>
    <row r="49" ht="12.65" customHeight="1" s="79">
      <c r="A49" s="104">
        <f>MIN(V49,R49)</f>
        <v/>
      </c>
      <c r="B49" s="104">
        <f>MIN(V49,U49)</f>
        <v/>
      </c>
      <c r="C49" s="104">
        <f>MIN(X49,R49)</f>
        <v/>
      </c>
      <c r="D49" s="104">
        <f>MIN(X49,U49)</f>
        <v/>
      </c>
      <c r="E49" s="104">
        <f>MIN((V49+AN49+AR49),U49)</f>
        <v/>
      </c>
      <c r="F49" s="104">
        <f>MAX(MIN((V49+AO49+AR49),R49),0)</f>
        <v/>
      </c>
      <c r="G49" s="104">
        <f>MAX(MIN(AP49,AL49),0)</f>
        <v/>
      </c>
      <c r="H49" s="104">
        <f>MAX(MIN(AQ49,AM49),0)</f>
        <v/>
      </c>
      <c r="I49" s="105" t="inlineStr">
        <is>
          <t>CHANDRAPAL NEGI</t>
        </is>
      </c>
      <c r="J49" s="106" t="inlineStr">
        <is>
          <t>LIFESTYLE</t>
        </is>
      </c>
      <c r="K49" s="107" t="inlineStr">
        <is>
          <t>LS_SEASONAL</t>
        </is>
      </c>
      <c r="L49" s="107" t="inlineStr">
        <is>
          <t>LS_S_KALAVA RAKSHA SUTRA</t>
        </is>
      </c>
      <c r="M49" s="107" t="inlineStr">
        <is>
          <t>KALAVA 40-[LSSE04]</t>
        </is>
      </c>
      <c r="N49" s="107" t="inlineStr">
        <is>
          <t>ACTIVE</t>
        </is>
      </c>
      <c r="O49" s="108" t="n">
        <v>0</v>
      </c>
      <c r="P49" s="108" t="n">
        <v>0.0275142407122201</v>
      </c>
      <c r="Q49" s="109" t="n">
        <v>179</v>
      </c>
      <c r="R49" s="110" t="n">
        <v>0</v>
      </c>
      <c r="S49" s="110" t="n">
        <v>0</v>
      </c>
      <c r="T49" s="110" t="n">
        <v>0</v>
      </c>
      <c r="U49" s="110" t="n">
        <v>0</v>
      </c>
      <c r="V49" s="104" t="n">
        <v>0</v>
      </c>
      <c r="W49" s="104" t="n">
        <v>0</v>
      </c>
      <c r="X49" s="104">
        <f>$V49+W49</f>
        <v/>
      </c>
      <c r="Y49" s="111">
        <f>IFERROR(A49/R49,0)</f>
        <v/>
      </c>
      <c r="Z49" s="111">
        <f>IFERROR(B49/U49,0)</f>
        <v/>
      </c>
      <c r="AA49" s="111">
        <f>IFERROR(C49/R49,0)</f>
        <v/>
      </c>
      <c r="AB49" s="111">
        <f>IFERROR(D49/U49,0)</f>
        <v/>
      </c>
      <c r="AD49" s="111">
        <f>IF(U49&gt;0,IFERROR(E49/U49,0),1)</f>
        <v/>
      </c>
      <c r="AE49" s="111">
        <f>IF(R49&gt;0,IFERROR(F49/R49,0),1)</f>
        <v/>
      </c>
      <c r="AF49" s="111">
        <f>IF(AL49&gt;0,IFERROR(G49/AL49,0),1)</f>
        <v/>
      </c>
      <c r="AG49" s="111">
        <f>IF(AM49&gt;0,IFERROR(H49/AM49,0),1)</f>
        <v/>
      </c>
      <c r="AH49" s="104">
        <f>U49-(V49+AN49+AR49)</f>
        <v/>
      </c>
      <c r="AI49" s="104">
        <f>R49-(V49+AO49+AR49)</f>
        <v/>
      </c>
      <c r="AJ49" s="104">
        <f>(AL49-AP49)</f>
        <v/>
      </c>
      <c r="AK49" s="104">
        <f>(AM49-AQ49)</f>
        <v/>
      </c>
      <c r="AL49" s="110">
        <f>S49+AI49</f>
        <v/>
      </c>
      <c r="AM49" s="110">
        <f>T49+AJ49</f>
        <v/>
      </c>
      <c r="AN49" s="104" t="n">
        <v>0</v>
      </c>
      <c r="AO49" s="104" t="n">
        <v>0</v>
      </c>
      <c r="AP49" s="104" t="n">
        <v>0</v>
      </c>
      <c r="AQ49" s="104" t="n">
        <v>0</v>
      </c>
      <c r="AR49" s="104" t="n">
        <v>0</v>
      </c>
      <c r="AS49" s="104" t="n"/>
      <c r="AT49" s="104" t="n"/>
    </row>
    <row r="50" ht="12.65" customHeight="1" s="79">
      <c r="A50" s="104">
        <f>MIN(V50,R50)</f>
        <v/>
      </c>
      <c r="B50" s="104">
        <f>MIN(V50,U50)</f>
        <v/>
      </c>
      <c r="C50" s="104">
        <f>MIN(X50,R50)</f>
        <v/>
      </c>
      <c r="D50" s="104">
        <f>MIN(X50,U50)</f>
        <v/>
      </c>
      <c r="E50" s="104">
        <f>MIN((V50+AN50+AR50),U50)</f>
        <v/>
      </c>
      <c r="F50" s="104">
        <f>MAX(MIN((V50+AO50+AR50),R50),0)</f>
        <v/>
      </c>
      <c r="G50" s="104">
        <f>MAX(MIN(AP50,AL50),0)</f>
        <v/>
      </c>
      <c r="H50" s="104">
        <f>MAX(MIN(AQ50,AM50),0)</f>
        <v/>
      </c>
      <c r="I50" s="105" t="inlineStr">
        <is>
          <t>CHANDRAPAL NEGI</t>
        </is>
      </c>
      <c r="J50" s="106" t="inlineStr">
        <is>
          <t>LIFESTYLE</t>
        </is>
      </c>
      <c r="K50" s="107" t="inlineStr">
        <is>
          <t>LS_SEASONAL</t>
        </is>
      </c>
      <c r="L50" s="107" t="inlineStr">
        <is>
          <t>LS_S_KIDS PITCHKARI</t>
        </is>
      </c>
      <c r="M50" s="107" t="inlineStr">
        <is>
          <t>GUN 249-[LSSE05]</t>
        </is>
      </c>
      <c r="N50" s="107" t="inlineStr">
        <is>
          <t>ACTIVE</t>
        </is>
      </c>
      <c r="O50" s="108" t="n">
        <v>0.193972259881114</v>
      </c>
      <c r="P50" s="108" t="n">
        <v>0.000453206435531385</v>
      </c>
      <c r="Q50" s="109" t="n">
        <v>120</v>
      </c>
      <c r="R50" s="110" t="n">
        <v>0</v>
      </c>
      <c r="S50" s="110" t="n">
        <v>0</v>
      </c>
      <c r="T50" s="110" t="n">
        <v>0</v>
      </c>
      <c r="U50" s="110" t="n">
        <v>0</v>
      </c>
      <c r="V50" s="104" t="n">
        <v>0</v>
      </c>
      <c r="W50" s="104" t="n">
        <v>0</v>
      </c>
      <c r="X50" s="104">
        <f>$V50+W50</f>
        <v/>
      </c>
      <c r="Y50" s="111">
        <f>IFERROR(A50/R50,0)</f>
        <v/>
      </c>
      <c r="Z50" s="111">
        <f>IFERROR(B50/U50,0)</f>
        <v/>
      </c>
      <c r="AA50" s="111">
        <f>IFERROR(C50/R50,0)</f>
        <v/>
      </c>
      <c r="AB50" s="111">
        <f>IFERROR(D50/U50,0)</f>
        <v/>
      </c>
      <c r="AD50" s="111">
        <f>IF(U50&gt;0,IFERROR(E50/U50,0),1)</f>
        <v/>
      </c>
      <c r="AE50" s="111">
        <f>IF(R50&gt;0,IFERROR(F50/R50,0),1)</f>
        <v/>
      </c>
      <c r="AF50" s="111">
        <f>IF(AL50&gt;0,IFERROR(G50/AL50,0),1)</f>
        <v/>
      </c>
      <c r="AG50" s="111">
        <f>IF(AM50&gt;0,IFERROR(H50/AM50,0),1)</f>
        <v/>
      </c>
      <c r="AH50" s="104">
        <f>U50-(V50+AN50+AR50)</f>
        <v/>
      </c>
      <c r="AI50" s="104">
        <f>R50-(V50+AO50+AR50)</f>
        <v/>
      </c>
      <c r="AJ50" s="104">
        <f>(AL50-AP50)</f>
        <v/>
      </c>
      <c r="AK50" s="104">
        <f>(AM50-AQ50)</f>
        <v/>
      </c>
      <c r="AL50" s="110">
        <f>S50+AI50</f>
        <v/>
      </c>
      <c r="AM50" s="110">
        <f>T50+AJ50</f>
        <v/>
      </c>
      <c r="AN50" s="104" t="n">
        <v>0</v>
      </c>
      <c r="AO50" s="104" t="n">
        <v>0</v>
      </c>
      <c r="AP50" s="104" t="n">
        <v>0</v>
      </c>
      <c r="AQ50" s="104" t="n">
        <v>0</v>
      </c>
      <c r="AR50" s="104" t="n">
        <v>0</v>
      </c>
      <c r="AS50" s="104" t="n"/>
      <c r="AT50" s="104" t="n"/>
    </row>
    <row r="51" ht="12.65" customHeight="1" s="79">
      <c r="A51" s="104">
        <f>MIN(V51,R51)</f>
        <v/>
      </c>
      <c r="B51" s="104">
        <f>MIN(V51,U51)</f>
        <v/>
      </c>
      <c r="C51" s="104">
        <f>MIN(X51,R51)</f>
        <v/>
      </c>
      <c r="D51" s="104">
        <f>MIN(X51,U51)</f>
        <v/>
      </c>
      <c r="E51" s="104">
        <f>MIN((V51+AN51+AR51),U51)</f>
        <v/>
      </c>
      <c r="F51" s="104">
        <f>MAX(MIN((V51+AO51+AR51),R51),0)</f>
        <v/>
      </c>
      <c r="G51" s="104">
        <f>MAX(MIN(AP51,AL51),0)</f>
        <v/>
      </c>
      <c r="H51" s="104">
        <f>MAX(MIN(AQ51,AM51),0)</f>
        <v/>
      </c>
      <c r="I51" s="105" t="inlineStr">
        <is>
          <t>CHANDRAPAL NEGI</t>
        </is>
      </c>
      <c r="J51" s="106" t="inlineStr">
        <is>
          <t>LIFESTYLE</t>
        </is>
      </c>
      <c r="K51" s="107" t="inlineStr">
        <is>
          <t>LS_SEASONAL</t>
        </is>
      </c>
      <c r="L51" s="107" t="inlineStr">
        <is>
          <t>LS_S_KIDS PITCHKARI</t>
        </is>
      </c>
      <c r="M51" s="107" t="inlineStr">
        <is>
          <t>PIPE 79-[LSSE05]</t>
        </is>
      </c>
      <c r="N51" s="107" t="inlineStr">
        <is>
          <t>ACTIVE</t>
        </is>
      </c>
      <c r="O51" s="108" t="n">
        <v>0.153333257736401</v>
      </c>
      <c r="P51" s="108" t="n">
        <v>4.22654268808115e-05</v>
      </c>
      <c r="Q51" s="109" t="n">
        <v>120</v>
      </c>
      <c r="R51" s="110" t="n">
        <v>0</v>
      </c>
      <c r="S51" s="110" t="n">
        <v>0</v>
      </c>
      <c r="T51" s="110" t="n">
        <v>0</v>
      </c>
      <c r="U51" s="110" t="n">
        <v>0</v>
      </c>
      <c r="V51" s="104" t="n">
        <v>0</v>
      </c>
      <c r="W51" s="104" t="n">
        <v>0</v>
      </c>
      <c r="X51" s="104">
        <f>$V51+W51</f>
        <v/>
      </c>
      <c r="Y51" s="111">
        <f>IFERROR(A51/R51,0)</f>
        <v/>
      </c>
      <c r="Z51" s="111">
        <f>IFERROR(B51/U51,0)</f>
        <v/>
      </c>
      <c r="AA51" s="111">
        <f>IFERROR(C51/R51,0)</f>
        <v/>
      </c>
      <c r="AB51" s="111">
        <f>IFERROR(D51/U51,0)</f>
        <v/>
      </c>
      <c r="AD51" s="111">
        <f>IF(U51&gt;0,IFERROR(E51/U51,0),1)</f>
        <v/>
      </c>
      <c r="AE51" s="111">
        <f>IF(R51&gt;0,IFERROR(F51/R51,0),1)</f>
        <v/>
      </c>
      <c r="AF51" s="111">
        <f>IF(AL51&gt;0,IFERROR(G51/AL51,0),1)</f>
        <v/>
      </c>
      <c r="AG51" s="111">
        <f>IF(AM51&gt;0,IFERROR(H51/AM51,0),1)</f>
        <v/>
      </c>
      <c r="AH51" s="104">
        <f>U51-(V51+AN51+AR51)</f>
        <v/>
      </c>
      <c r="AI51" s="104">
        <f>R51-(V51+AO51+AR51)</f>
        <v/>
      </c>
      <c r="AJ51" s="104">
        <f>(AL51-AP51)</f>
        <v/>
      </c>
      <c r="AK51" s="104">
        <f>(AM51-AQ51)</f>
        <v/>
      </c>
      <c r="AL51" s="110">
        <f>S51+AI51</f>
        <v/>
      </c>
      <c r="AM51" s="110">
        <f>T51+AJ51</f>
        <v/>
      </c>
      <c r="AN51" s="104" t="n">
        <v>0</v>
      </c>
      <c r="AO51" s="104" t="n">
        <v>0</v>
      </c>
      <c r="AP51" s="104" t="n">
        <v>0</v>
      </c>
      <c r="AQ51" s="104" t="n">
        <v>0</v>
      </c>
      <c r="AR51" s="104" t="n">
        <v>0</v>
      </c>
      <c r="AS51" s="104" t="n"/>
      <c r="AT51" s="104" t="n"/>
    </row>
    <row r="52" ht="12.65" customHeight="1" s="79">
      <c r="A52" s="104">
        <f>MIN(V52,R52)</f>
        <v/>
      </c>
      <c r="B52" s="104">
        <f>MIN(V52,U52)</f>
        <v/>
      </c>
      <c r="C52" s="104">
        <f>MIN(X52,R52)</f>
        <v/>
      </c>
      <c r="D52" s="104">
        <f>MIN(X52,U52)</f>
        <v/>
      </c>
      <c r="E52" s="104">
        <f>MIN((V52+AN52+AR52),U52)</f>
        <v/>
      </c>
      <c r="F52" s="104">
        <f>MAX(MIN((V52+AO52+AR52),R52),0)</f>
        <v/>
      </c>
      <c r="G52" s="104">
        <f>MAX(MIN(AP52,AL52),0)</f>
        <v/>
      </c>
      <c r="H52" s="104">
        <f>MAX(MIN(AQ52,AM52),0)</f>
        <v/>
      </c>
      <c r="I52" s="105" t="inlineStr">
        <is>
          <t>CHANDRAPAL NEGI</t>
        </is>
      </c>
      <c r="J52" s="106" t="inlineStr">
        <is>
          <t>LIFESTYLE</t>
        </is>
      </c>
      <c r="K52" s="107" t="inlineStr">
        <is>
          <t>LS_SEASONAL</t>
        </is>
      </c>
      <c r="L52" s="107" t="inlineStr">
        <is>
          <t>LS_S_KIDS UMBRELLA</t>
        </is>
      </c>
      <c r="M52" s="107" t="inlineStr">
        <is>
          <t>KIDS UMBRELLA 149-[LSSE01]</t>
        </is>
      </c>
      <c r="N52" s="107" t="inlineStr">
        <is>
          <t>ACTIVE</t>
        </is>
      </c>
      <c r="O52" s="108" t="n">
        <v>0</v>
      </c>
      <c r="P52" s="108" t="n">
        <v>0</v>
      </c>
      <c r="Q52" s="109" t="n">
        <v>179</v>
      </c>
      <c r="R52" s="110" t="n">
        <v>0</v>
      </c>
      <c r="S52" s="110" t="n">
        <v>0</v>
      </c>
      <c r="T52" s="110" t="n">
        <v>0</v>
      </c>
      <c r="U52" s="110" t="n">
        <v>0</v>
      </c>
      <c r="V52" s="104" t="n">
        <v>0</v>
      </c>
      <c r="W52" s="104" t="n">
        <v>0</v>
      </c>
      <c r="X52" s="104">
        <f>$V52+W52</f>
        <v/>
      </c>
      <c r="Y52" s="111">
        <f>IFERROR(A52/R52,0)</f>
        <v/>
      </c>
      <c r="Z52" s="111">
        <f>IFERROR(B52/U52,0)</f>
        <v/>
      </c>
      <c r="AA52" s="111">
        <f>IFERROR(C52/R52,0)</f>
        <v/>
      </c>
      <c r="AB52" s="111">
        <f>IFERROR(D52/U52,0)</f>
        <v/>
      </c>
      <c r="AD52" s="111">
        <f>IF(U52&gt;0,IFERROR(E52/U52,0),1)</f>
        <v/>
      </c>
      <c r="AE52" s="111">
        <f>IF(R52&gt;0,IFERROR(F52/R52,0),1)</f>
        <v/>
      </c>
      <c r="AF52" s="111">
        <f>IF(AL52&gt;0,IFERROR(G52/AL52,0),1)</f>
        <v/>
      </c>
      <c r="AG52" s="111">
        <f>IF(AM52&gt;0,IFERROR(H52/AM52,0),1)</f>
        <v/>
      </c>
      <c r="AH52" s="104">
        <f>U52-(V52+AN52+AR52)</f>
        <v/>
      </c>
      <c r="AI52" s="104">
        <f>R52-(V52+AO52+AR52)</f>
        <v/>
      </c>
      <c r="AJ52" s="104">
        <f>(AL52-AP52)</f>
        <v/>
      </c>
      <c r="AK52" s="104">
        <f>(AM52-AQ52)</f>
        <v/>
      </c>
      <c r="AL52" s="110">
        <f>S52+AI52</f>
        <v/>
      </c>
      <c r="AM52" s="110">
        <f>T52+AJ52</f>
        <v/>
      </c>
      <c r="AN52" s="104" t="n">
        <v>0</v>
      </c>
      <c r="AO52" s="104" t="n">
        <v>0</v>
      </c>
      <c r="AP52" s="104" t="n">
        <v>0</v>
      </c>
      <c r="AQ52" s="104" t="n">
        <v>0</v>
      </c>
      <c r="AR52" s="104" t="n">
        <v>0</v>
      </c>
      <c r="AS52" s="104" t="n"/>
      <c r="AT52" s="104" t="n"/>
    </row>
    <row r="53" ht="12.65" customHeight="1" s="79">
      <c r="A53" s="104">
        <f>MIN(V53,R53)</f>
        <v/>
      </c>
      <c r="B53" s="104">
        <f>MIN(V53,U53)</f>
        <v/>
      </c>
      <c r="C53" s="104">
        <f>MIN(X53,R53)</f>
        <v/>
      </c>
      <c r="D53" s="104">
        <f>MIN(X53,U53)</f>
        <v/>
      </c>
      <c r="E53" s="104">
        <f>MIN((V53+AN53+AR53),U53)</f>
        <v/>
      </c>
      <c r="F53" s="104">
        <f>MAX(MIN((V53+AO53+AR53),R53),0)</f>
        <v/>
      </c>
      <c r="G53" s="104">
        <f>MAX(MIN(AP53,AL53),0)</f>
        <v/>
      </c>
      <c r="H53" s="104">
        <f>MAX(MIN(AQ53,AM53),0)</f>
        <v/>
      </c>
      <c r="I53" s="105" t="inlineStr">
        <is>
          <t>CHANDRAPAL NEGI</t>
        </is>
      </c>
      <c r="J53" s="106" t="inlineStr">
        <is>
          <t>LIFESTYLE</t>
        </is>
      </c>
      <c r="K53" s="107" t="inlineStr">
        <is>
          <t>LS_SEASONAL</t>
        </is>
      </c>
      <c r="L53" s="107" t="inlineStr">
        <is>
          <t>LS_S_KIDS UMBRELLA</t>
        </is>
      </c>
      <c r="M53" s="107" t="inlineStr">
        <is>
          <t>KIDS UMBRELLA 199-[LSSE01]</t>
        </is>
      </c>
      <c r="N53" s="107" t="inlineStr">
        <is>
          <t>ACTIVE</t>
        </is>
      </c>
      <c r="O53" s="108" t="n">
        <v>0.0969842682164966</v>
      </c>
      <c r="P53" s="108" t="n">
        <v>0.104525453037354</v>
      </c>
      <c r="Q53" s="109" t="n">
        <v>179</v>
      </c>
      <c r="R53" s="110" t="n">
        <v>0</v>
      </c>
      <c r="S53" s="110" t="n">
        <v>0</v>
      </c>
      <c r="T53" s="110" t="n">
        <v>0</v>
      </c>
      <c r="U53" s="110" t="n">
        <v>0</v>
      </c>
      <c r="V53" s="104" t="n">
        <v>0</v>
      </c>
      <c r="W53" s="104" t="n">
        <v>0</v>
      </c>
      <c r="X53" s="104">
        <f>$V53+W53</f>
        <v/>
      </c>
      <c r="Y53" s="111">
        <f>IFERROR(A53/R53,0)</f>
        <v/>
      </c>
      <c r="Z53" s="111">
        <f>IFERROR(B53/U53,0)</f>
        <v/>
      </c>
      <c r="AA53" s="111">
        <f>IFERROR(C53/R53,0)</f>
        <v/>
      </c>
      <c r="AB53" s="111">
        <f>IFERROR(D53/U53,0)</f>
        <v/>
      </c>
      <c r="AD53" s="111">
        <f>IF(U53&gt;0,IFERROR(E53/U53,0),1)</f>
        <v/>
      </c>
      <c r="AE53" s="111">
        <f>IF(R53&gt;0,IFERROR(F53/R53,0),1)</f>
        <v/>
      </c>
      <c r="AF53" s="111">
        <f>IF(AL53&gt;0,IFERROR(G53/AL53,0),1)</f>
        <v/>
      </c>
      <c r="AG53" s="111">
        <f>IF(AM53&gt;0,IFERROR(H53/AM53,0),1)</f>
        <v/>
      </c>
      <c r="AH53" s="104">
        <f>U53-(V53+AN53+AR53)</f>
        <v/>
      </c>
      <c r="AI53" s="104">
        <f>R53-(V53+AO53+AR53)</f>
        <v/>
      </c>
      <c r="AJ53" s="104">
        <f>(AL53-AP53)</f>
        <v/>
      </c>
      <c r="AK53" s="104">
        <f>(AM53-AQ53)</f>
        <v/>
      </c>
      <c r="AL53" s="110">
        <f>S53+AI53</f>
        <v/>
      </c>
      <c r="AM53" s="110">
        <f>T53+AJ53</f>
        <v/>
      </c>
      <c r="AN53" s="104" t="n">
        <v>0</v>
      </c>
      <c r="AO53" s="104" t="n">
        <v>0</v>
      </c>
      <c r="AP53" s="104" t="n">
        <v>0</v>
      </c>
      <c r="AQ53" s="104" t="n">
        <v>0</v>
      </c>
      <c r="AR53" s="104" t="n">
        <v>0</v>
      </c>
      <c r="AS53" s="104" t="n"/>
      <c r="AT53" s="104" t="n"/>
    </row>
    <row r="54" ht="12.65" customHeight="1" s="79">
      <c r="A54" s="104">
        <f>MIN(V54,R54)</f>
        <v/>
      </c>
      <c r="B54" s="104">
        <f>MIN(V54,U54)</f>
        <v/>
      </c>
      <c r="C54" s="104">
        <f>MIN(X54,R54)</f>
        <v/>
      </c>
      <c r="D54" s="104">
        <f>MIN(X54,U54)</f>
        <v/>
      </c>
      <c r="E54" s="104">
        <f>MIN((V54+AN54+AR54),U54)</f>
        <v/>
      </c>
      <c r="F54" s="104">
        <f>MAX(MIN((V54+AO54+AR54),R54),0)</f>
        <v/>
      </c>
      <c r="G54" s="104">
        <f>MAX(MIN(AP54,AL54),0)</f>
        <v/>
      </c>
      <c r="H54" s="104">
        <f>MAX(MIN(AQ54,AM54),0)</f>
        <v/>
      </c>
      <c r="I54" s="105" t="inlineStr">
        <is>
          <t>CHANDRAPAL NEGI</t>
        </is>
      </c>
      <c r="J54" s="106" t="inlineStr">
        <is>
          <t>LIFESTYLE</t>
        </is>
      </c>
      <c r="K54" s="107" t="inlineStr">
        <is>
          <t>LS_SEASONAL</t>
        </is>
      </c>
      <c r="L54" s="107" t="inlineStr">
        <is>
          <t>LS_S_LADIES UMBRELLA</t>
        </is>
      </c>
      <c r="M54" s="107" t="inlineStr">
        <is>
          <t>LADIES UMBRELLA 199-[LSSE02]</t>
        </is>
      </c>
      <c r="N54" s="107" t="inlineStr">
        <is>
          <t>ACTIVE</t>
        </is>
      </c>
      <c r="O54" s="108" t="n">
        <v>0.059157784252339</v>
      </c>
      <c r="P54" s="108" t="n">
        <v>0.101196912636564</v>
      </c>
      <c r="Q54" s="109" t="n">
        <v>179</v>
      </c>
      <c r="R54" s="110" t="n">
        <v>0</v>
      </c>
      <c r="S54" s="110" t="n">
        <v>0</v>
      </c>
      <c r="T54" s="110" t="n">
        <v>0</v>
      </c>
      <c r="U54" s="110" t="n">
        <v>0</v>
      </c>
      <c r="V54" s="104" t="n">
        <v>0</v>
      </c>
      <c r="W54" s="104" t="n">
        <v>0</v>
      </c>
      <c r="X54" s="104">
        <f>$V54+W54</f>
        <v/>
      </c>
      <c r="Y54" s="111">
        <f>IFERROR(A54/R54,0)</f>
        <v/>
      </c>
      <c r="Z54" s="111">
        <f>IFERROR(B54/U54,0)</f>
        <v/>
      </c>
      <c r="AA54" s="111">
        <f>IFERROR(C54/R54,0)</f>
        <v/>
      </c>
      <c r="AB54" s="111">
        <f>IFERROR(D54/U54,0)</f>
        <v/>
      </c>
      <c r="AD54" s="111">
        <f>IF(U54&gt;0,IFERROR(E54/U54,0),1)</f>
        <v/>
      </c>
      <c r="AE54" s="111">
        <f>IF(R54&gt;0,IFERROR(F54/R54,0),1)</f>
        <v/>
      </c>
      <c r="AF54" s="111">
        <f>IF(AL54&gt;0,IFERROR(G54/AL54,0),1)</f>
        <v/>
      </c>
      <c r="AG54" s="111">
        <f>IF(AM54&gt;0,IFERROR(H54/AM54,0),1)</f>
        <v/>
      </c>
      <c r="AH54" s="104">
        <f>U54-(V54+AN54+AR54)</f>
        <v/>
      </c>
      <c r="AI54" s="104">
        <f>R54-(V54+AO54+AR54)</f>
        <v/>
      </c>
      <c r="AJ54" s="104">
        <f>(AL54-AP54)</f>
        <v/>
      </c>
      <c r="AK54" s="104">
        <f>(AM54-AQ54)</f>
        <v/>
      </c>
      <c r="AL54" s="110">
        <f>S54+AI54</f>
        <v/>
      </c>
      <c r="AM54" s="110">
        <f>T54+AJ54</f>
        <v/>
      </c>
      <c r="AN54" s="104" t="n">
        <v>0</v>
      </c>
      <c r="AO54" s="104" t="n">
        <v>0</v>
      </c>
      <c r="AP54" s="104" t="n">
        <v>0</v>
      </c>
      <c r="AQ54" s="104" t="n">
        <v>0</v>
      </c>
      <c r="AR54" s="104" t="n">
        <v>0</v>
      </c>
      <c r="AS54" s="104" t="n"/>
      <c r="AT54" s="104" t="n"/>
    </row>
    <row r="55" ht="12.65" customHeight="1" s="79">
      <c r="A55" s="104">
        <f>MIN(V55,R55)</f>
        <v/>
      </c>
      <c r="B55" s="104">
        <f>MIN(V55,U55)</f>
        <v/>
      </c>
      <c r="C55" s="104">
        <f>MIN(X55,R55)</f>
        <v/>
      </c>
      <c r="D55" s="104">
        <f>MIN(X55,U55)</f>
        <v/>
      </c>
      <c r="E55" s="104">
        <f>MIN((V55+AN55+AR55),U55)</f>
        <v/>
      </c>
      <c r="F55" s="104">
        <f>MAX(MIN((V55+AO55+AR55),R55),0)</f>
        <v/>
      </c>
      <c r="G55" s="104">
        <f>MAX(MIN(AP55,AL55),0)</f>
        <v/>
      </c>
      <c r="H55" s="104">
        <f>MAX(MIN(AQ55,AM55),0)</f>
        <v/>
      </c>
      <c r="I55" s="105" t="inlineStr">
        <is>
          <t>CHANDRAPAL NEGI</t>
        </is>
      </c>
      <c r="J55" s="106" t="inlineStr">
        <is>
          <t>LIFESTYLE</t>
        </is>
      </c>
      <c r="K55" s="107" t="inlineStr">
        <is>
          <t>LS_SEASONAL</t>
        </is>
      </c>
      <c r="L55" s="107" t="inlineStr">
        <is>
          <t>LS_S_MENS UMBRELLA</t>
        </is>
      </c>
      <c r="M55" s="107" t="inlineStr">
        <is>
          <t>MENS UMBRELLA 199-[LSSE03]</t>
        </is>
      </c>
      <c r="N55" s="107" t="inlineStr">
        <is>
          <t>ACTIVE</t>
        </is>
      </c>
      <c r="O55" s="108" t="n">
        <v>0.07302617213089189</v>
      </c>
      <c r="P55" s="108" t="n">
        <v>0.155785959054565</v>
      </c>
      <c r="Q55" s="109" t="n">
        <v>179</v>
      </c>
      <c r="R55" s="110" t="n">
        <v>0</v>
      </c>
      <c r="S55" s="110" t="n">
        <v>0</v>
      </c>
      <c r="T55" s="110" t="n">
        <v>0</v>
      </c>
      <c r="U55" s="110" t="n">
        <v>0</v>
      </c>
      <c r="V55" s="104" t="n">
        <v>0</v>
      </c>
      <c r="W55" s="104" t="n">
        <v>0</v>
      </c>
      <c r="X55" s="104">
        <f>$V55+W55</f>
        <v/>
      </c>
      <c r="Y55" s="111">
        <f>IFERROR(A55/R55,0)</f>
        <v/>
      </c>
      <c r="Z55" s="111">
        <f>IFERROR(B55/U55,0)</f>
        <v/>
      </c>
      <c r="AA55" s="111">
        <f>IFERROR(C55/R55,0)</f>
        <v/>
      </c>
      <c r="AB55" s="111">
        <f>IFERROR(D55/U55,0)</f>
        <v/>
      </c>
      <c r="AD55" s="111">
        <f>IF(U55&gt;0,IFERROR(E55/U55,0),1)</f>
        <v/>
      </c>
      <c r="AE55" s="111">
        <f>IF(R55&gt;0,IFERROR(F55/R55,0),1)</f>
        <v/>
      </c>
      <c r="AF55" s="111">
        <f>IF(AL55&gt;0,IFERROR(G55/AL55,0),1)</f>
        <v/>
      </c>
      <c r="AG55" s="111">
        <f>IF(AM55&gt;0,IFERROR(H55/AM55,0),1)</f>
        <v/>
      </c>
      <c r="AH55" s="104">
        <f>U55-(V55+AN55+AR55)</f>
        <v/>
      </c>
      <c r="AI55" s="104">
        <f>R55-(V55+AO55+AR55)</f>
        <v/>
      </c>
      <c r="AJ55" s="104">
        <f>(AL55-AP55)</f>
        <v/>
      </c>
      <c r="AK55" s="104">
        <f>(AM55-AQ55)</f>
        <v/>
      </c>
      <c r="AL55" s="110">
        <f>S55+AI55</f>
        <v/>
      </c>
      <c r="AM55" s="110">
        <f>T55+AJ55</f>
        <v/>
      </c>
      <c r="AN55" s="104" t="n">
        <v>0</v>
      </c>
      <c r="AO55" s="104" t="n">
        <v>0</v>
      </c>
      <c r="AP55" s="104" t="n">
        <v>0</v>
      </c>
      <c r="AQ55" s="104" t="n">
        <v>0</v>
      </c>
      <c r="AR55" s="104" t="n">
        <v>0</v>
      </c>
      <c r="AS55" s="104" t="n"/>
      <c r="AT55" s="104" t="n"/>
    </row>
    <row r="56" ht="12.65" customHeight="1" s="79">
      <c r="A56" s="104">
        <f>MIN(V56,R56)</f>
        <v/>
      </c>
      <c r="B56" s="104">
        <f>MIN(V56,U56)</f>
        <v/>
      </c>
      <c r="C56" s="104">
        <f>MIN(X56,R56)</f>
        <v/>
      </c>
      <c r="D56" s="104">
        <f>MIN(X56,U56)</f>
        <v/>
      </c>
      <c r="E56" s="104">
        <f>MIN((V56+AN56+AR56),U56)</f>
        <v/>
      </c>
      <c r="F56" s="104">
        <f>MAX(MIN((V56+AO56+AR56),R56),0)</f>
        <v/>
      </c>
      <c r="G56" s="104">
        <f>MAX(MIN(AP56,AL56),0)</f>
        <v/>
      </c>
      <c r="H56" s="104">
        <f>MAX(MIN(AQ56,AM56),0)</f>
        <v/>
      </c>
      <c r="I56" s="105" t="inlineStr">
        <is>
          <t>CHANDRAPAL NEGI</t>
        </is>
      </c>
      <c r="J56" s="106" t="inlineStr">
        <is>
          <t>LIFESTYLE</t>
        </is>
      </c>
      <c r="K56" s="107" t="inlineStr">
        <is>
          <t>LS_WOMEN ACCESSORIES</t>
        </is>
      </c>
      <c r="L56" s="107" t="inlineStr">
        <is>
          <t>CLOTH ORGANIZER</t>
        </is>
      </c>
      <c r="M56" s="107" t="inlineStr">
        <is>
          <t>OTHER-[LSWA25]</t>
        </is>
      </c>
      <c r="N56" s="107" t="inlineStr">
        <is>
          <t>ACTIVE</t>
        </is>
      </c>
      <c r="O56" s="108" t="n">
        <v>0</v>
      </c>
      <c r="P56" s="108" t="n">
        <v>0</v>
      </c>
      <c r="Q56" s="109" t="n">
        <v>172</v>
      </c>
      <c r="R56" s="110" t="n">
        <v>318</v>
      </c>
      <c r="S56" s="110" t="n">
        <v>527</v>
      </c>
      <c r="T56" s="110" t="n">
        <v>656</v>
      </c>
      <c r="U56" s="110" t="n">
        <v>1501</v>
      </c>
      <c r="V56" s="104" t="n">
        <v>0</v>
      </c>
      <c r="W56" s="104" t="n">
        <v>0</v>
      </c>
      <c r="X56" s="104">
        <f>$V56+W56</f>
        <v/>
      </c>
      <c r="Y56" s="111">
        <f>IFERROR(A56/R56,0)</f>
        <v/>
      </c>
      <c r="Z56" s="111">
        <f>IFERROR(B56/U56,0)</f>
        <v/>
      </c>
      <c r="AA56" s="111">
        <f>IFERROR(C56/R56,0)</f>
        <v/>
      </c>
      <c r="AB56" s="111">
        <f>IFERROR(D56/U56,0)</f>
        <v/>
      </c>
      <c r="AD56" s="111">
        <f>IF(U56&gt;0,IFERROR(E56/U56,0),1)</f>
        <v/>
      </c>
      <c r="AE56" s="111">
        <f>IF(R56&gt;0,IFERROR(F56/R56,0),1)</f>
        <v/>
      </c>
      <c r="AF56" s="111">
        <f>IF(AL56&gt;0,IFERROR(G56/AL56,0),1)</f>
        <v/>
      </c>
      <c r="AG56" s="111">
        <f>IF(AM56&gt;0,IFERROR(H56/AM56,0),1)</f>
        <v/>
      </c>
      <c r="AH56" s="104">
        <f>U56-(V56+AN56+AR56)</f>
        <v/>
      </c>
      <c r="AI56" s="104">
        <f>R56-(V56+AO56+AR56)</f>
        <v/>
      </c>
      <c r="AJ56" s="104">
        <f>(AL56-AP56)</f>
        <v/>
      </c>
      <c r="AK56" s="104">
        <f>(AM56-AQ56)</f>
        <v/>
      </c>
      <c r="AL56" s="110">
        <f>S56+AI56</f>
        <v/>
      </c>
      <c r="AM56" s="110">
        <f>T56+AJ56</f>
        <v/>
      </c>
      <c r="AN56" s="104" t="n">
        <v>0</v>
      </c>
      <c r="AO56" s="104" t="n">
        <v>0</v>
      </c>
      <c r="AP56" s="104" t="n">
        <v>0</v>
      </c>
      <c r="AQ56" s="104" t="n">
        <v>0</v>
      </c>
      <c r="AR56" s="104" t="n">
        <v>0</v>
      </c>
      <c r="AS56" s="104" t="n"/>
      <c r="AT56" s="104" t="n"/>
    </row>
    <row r="57" ht="12.65" customHeight="1" s="79">
      <c r="A57" s="104">
        <f>MIN(V57,R57)</f>
        <v/>
      </c>
      <c r="B57" s="104">
        <f>MIN(V57,U57)</f>
        <v/>
      </c>
      <c r="C57" s="104">
        <f>MIN(X57,R57)</f>
        <v/>
      </c>
      <c r="D57" s="104">
        <f>MIN(X57,U57)</f>
        <v/>
      </c>
      <c r="E57" s="104">
        <f>MIN((V57+AN57+AR57),U57)</f>
        <v/>
      </c>
      <c r="F57" s="104">
        <f>MAX(MIN((V57+AO57+AR57),R57),0)</f>
        <v/>
      </c>
      <c r="G57" s="104">
        <f>MAX(MIN(AP57,AL57),0)</f>
        <v/>
      </c>
      <c r="H57" s="104">
        <f>MAX(MIN(AQ57,AM57),0)</f>
        <v/>
      </c>
      <c r="I57" s="105" t="inlineStr">
        <is>
          <t>CHANDRAPAL NEGI</t>
        </is>
      </c>
      <c r="J57" s="106" t="inlineStr">
        <is>
          <t>LIFESTYLE</t>
        </is>
      </c>
      <c r="K57" s="107" t="inlineStr">
        <is>
          <t>LS_WOMEN ACCESSORIES</t>
        </is>
      </c>
      <c r="L57" s="107" t="inlineStr">
        <is>
          <t>LS_WA_BAG</t>
        </is>
      </c>
      <c r="M57" s="107" t="inlineStr">
        <is>
          <t>BOX SLNG 299-[LSWA01]</t>
        </is>
      </c>
      <c r="N57" s="107" t="inlineStr">
        <is>
          <t>ACTIVE</t>
        </is>
      </c>
      <c r="O57" s="108" t="n">
        <v>0.124455818453181</v>
      </c>
      <c r="P57" s="108" t="n">
        <v>0.08699982924469241</v>
      </c>
      <c r="Q57" s="109" t="n">
        <v>4</v>
      </c>
      <c r="R57" s="110" t="n">
        <v>17248</v>
      </c>
      <c r="S57" s="110" t="n">
        <v>10701.3039156534</v>
      </c>
      <c r="T57" s="110" t="n">
        <v>10287.0702788863</v>
      </c>
      <c r="U57" s="110" t="n">
        <v>38236.3741945397</v>
      </c>
      <c r="V57" s="104" t="n">
        <v>9623</v>
      </c>
      <c r="W57" s="104" t="n">
        <v>0</v>
      </c>
      <c r="X57" s="104">
        <f>$V57+W57</f>
        <v/>
      </c>
      <c r="Y57" s="111">
        <f>IFERROR(A57/R57,0)</f>
        <v/>
      </c>
      <c r="Z57" s="111">
        <f>IFERROR(B57/U57,0)</f>
        <v/>
      </c>
      <c r="AA57" s="111">
        <f>IFERROR(C57/R57,0)</f>
        <v/>
      </c>
      <c r="AB57" s="111">
        <f>IFERROR(D57/U57,0)</f>
        <v/>
      </c>
      <c r="AD57" s="111">
        <f>IF(U57&gt;0,IFERROR(E57/U57,0),1)</f>
        <v/>
      </c>
      <c r="AE57" s="111">
        <f>IF(R57&gt;0,IFERROR(F57/R57,0),1)</f>
        <v/>
      </c>
      <c r="AF57" s="111">
        <f>IF(AL57&gt;0,IFERROR(G57/AL57,0),1)</f>
        <v/>
      </c>
      <c r="AG57" s="111">
        <f>IF(AM57&gt;0,IFERROR(H57/AM57,0),1)</f>
        <v/>
      </c>
      <c r="AH57" s="104">
        <f>U57-(V57+AN57+AR57)</f>
        <v/>
      </c>
      <c r="AI57" s="104">
        <f>R57-(V57+AO57+AR57)</f>
        <v/>
      </c>
      <c r="AJ57" s="104">
        <f>(AL57-AP57)</f>
        <v/>
      </c>
      <c r="AK57" s="104">
        <f>(AM57-AQ57)</f>
        <v/>
      </c>
      <c r="AL57" s="110">
        <f>S57+AI57</f>
        <v/>
      </c>
      <c r="AM57" s="110">
        <f>T57+AJ57</f>
        <v/>
      </c>
      <c r="AN57" s="104" t="n">
        <v>37306</v>
      </c>
      <c r="AO57" s="104" t="n">
        <v>12146</v>
      </c>
      <c r="AP57" s="104" t="n">
        <v>14180</v>
      </c>
      <c r="AQ57" s="104" t="n">
        <v>10980</v>
      </c>
      <c r="AR57" s="104" t="n">
        <v>0</v>
      </c>
      <c r="AS57" s="104" t="n"/>
      <c r="AT57" s="104" t="n"/>
    </row>
    <row r="58" ht="12.65" customHeight="1" s="79">
      <c r="A58" s="104">
        <f>MIN(V58,R58)</f>
        <v/>
      </c>
      <c r="B58" s="104">
        <f>MIN(V58,U58)</f>
        <v/>
      </c>
      <c r="C58" s="104">
        <f>MIN(X58,R58)</f>
        <v/>
      </c>
      <c r="D58" s="104">
        <f>MIN(X58,U58)</f>
        <v/>
      </c>
      <c r="E58" s="104">
        <f>MIN((V58+AN58+AR58),U58)</f>
        <v/>
      </c>
      <c r="F58" s="104">
        <f>MAX(MIN((V58+AO58+AR58),R58),0)</f>
        <v/>
      </c>
      <c r="G58" s="104">
        <f>MAX(MIN(AP58,AL58),0)</f>
        <v/>
      </c>
      <c r="H58" s="104">
        <f>MAX(MIN(AQ58,AM58),0)</f>
        <v/>
      </c>
      <c r="I58" s="105" t="inlineStr">
        <is>
          <t>CHANDRAPAL NEGI</t>
        </is>
      </c>
      <c r="J58" s="106" t="inlineStr">
        <is>
          <t>LIFESTYLE</t>
        </is>
      </c>
      <c r="K58" s="107" t="inlineStr">
        <is>
          <t>LS_WOMEN ACCESSORIES</t>
        </is>
      </c>
      <c r="L58" s="107" t="inlineStr">
        <is>
          <t>LS_WA_BAG</t>
        </is>
      </c>
      <c r="M58" s="107" t="inlineStr">
        <is>
          <t>SHOP 199-[LSWA01]</t>
        </is>
      </c>
      <c r="N58" s="107" t="inlineStr">
        <is>
          <t>ACTIVE</t>
        </is>
      </c>
      <c r="O58" s="108" t="n">
        <v>0.137609808053731</v>
      </c>
      <c r="P58" s="108" t="n">
        <v>0.11470465890183</v>
      </c>
      <c r="Q58" s="109" t="n">
        <v>4</v>
      </c>
      <c r="R58" s="110" t="n">
        <v>10019</v>
      </c>
      <c r="S58" s="110" t="n">
        <v>6464.62440176452</v>
      </c>
      <c r="T58" s="110" t="n">
        <v>8840.603291277759</v>
      </c>
      <c r="U58" s="110" t="n">
        <v>25324.2276930423</v>
      </c>
      <c r="V58" s="104" t="n">
        <v>8400</v>
      </c>
      <c r="W58" s="104" t="n">
        <v>0</v>
      </c>
      <c r="X58" s="104">
        <f>$V58+W58</f>
        <v/>
      </c>
      <c r="Y58" s="111">
        <f>IFERROR(A58/R58,0)</f>
        <v/>
      </c>
      <c r="Z58" s="111">
        <f>IFERROR(B58/U58,0)</f>
        <v/>
      </c>
      <c r="AA58" s="111">
        <f>IFERROR(C58/R58,0)</f>
        <v/>
      </c>
      <c r="AB58" s="111">
        <f>IFERROR(D58/U58,0)</f>
        <v/>
      </c>
      <c r="AD58" s="111">
        <f>IF(U58&gt;0,IFERROR(E58/U58,0),1)</f>
        <v/>
      </c>
      <c r="AE58" s="111">
        <f>IF(R58&gt;0,IFERROR(F58/R58,0),1)</f>
        <v/>
      </c>
      <c r="AF58" s="111">
        <f>IF(AL58&gt;0,IFERROR(G58/AL58,0),1)</f>
        <v/>
      </c>
      <c r="AG58" s="111">
        <f>IF(AM58&gt;0,IFERROR(H58/AM58,0),1)</f>
        <v/>
      </c>
      <c r="AH58" s="104">
        <f>U58-(V58+AN58+AR58)</f>
        <v/>
      </c>
      <c r="AI58" s="104">
        <f>R58-(V58+AO58+AR58)</f>
        <v/>
      </c>
      <c r="AJ58" s="104">
        <f>(AL58-AP58)</f>
        <v/>
      </c>
      <c r="AK58" s="104">
        <f>(AM58-AQ58)</f>
        <v/>
      </c>
      <c r="AL58" s="110">
        <f>S58+AI58</f>
        <v/>
      </c>
      <c r="AM58" s="110">
        <f>T58+AJ58</f>
        <v/>
      </c>
      <c r="AN58" s="104" t="n">
        <v>12000</v>
      </c>
      <c r="AO58" s="104" t="n">
        <v>0</v>
      </c>
      <c r="AP58" s="104" t="n">
        <v>6000</v>
      </c>
      <c r="AQ58" s="104" t="n">
        <v>6000</v>
      </c>
      <c r="AR58" s="104" t="n">
        <v>0</v>
      </c>
      <c r="AS58" s="104" t="n"/>
      <c r="AT58" s="104" t="n"/>
    </row>
    <row r="59" ht="12.65" customHeight="1" s="79">
      <c r="A59" s="104">
        <f>MIN(V59,R59)</f>
        <v/>
      </c>
      <c r="B59" s="104">
        <f>MIN(V59,U59)</f>
        <v/>
      </c>
      <c r="C59" s="104">
        <f>MIN(X59,R59)</f>
        <v/>
      </c>
      <c r="D59" s="104">
        <f>MIN(X59,U59)</f>
        <v/>
      </c>
      <c r="E59" s="104">
        <f>MIN((V59+AN59+AR59),U59)</f>
        <v/>
      </c>
      <c r="F59" s="104">
        <f>MAX(MIN((V59+AO59+AR59),R59),0)</f>
        <v/>
      </c>
      <c r="G59" s="104">
        <f>MAX(MIN(AP59,AL59),0)</f>
        <v/>
      </c>
      <c r="H59" s="104">
        <f>MAX(MIN(AQ59,AM59),0)</f>
        <v/>
      </c>
      <c r="I59" s="105" t="inlineStr">
        <is>
          <t>CHANDRAPAL NEGI</t>
        </is>
      </c>
      <c r="J59" s="106" t="inlineStr">
        <is>
          <t>LIFESTYLE</t>
        </is>
      </c>
      <c r="K59" s="107" t="inlineStr">
        <is>
          <t>LS_WOMEN ACCESSORIES</t>
        </is>
      </c>
      <c r="L59" s="107" t="inlineStr">
        <is>
          <t>LS_WA_BAG</t>
        </is>
      </c>
      <c r="M59" s="107" t="inlineStr">
        <is>
          <t>KIDS IMP 299-[LSWA01]</t>
        </is>
      </c>
      <c r="N59" s="107" t="inlineStr">
        <is>
          <t>ACTIVE</t>
        </is>
      </c>
      <c r="O59" s="108" t="n">
        <v>0.129865016872891</v>
      </c>
      <c r="P59" s="108" t="n">
        <v>0.0938267196357631</v>
      </c>
      <c r="Q59" s="109" t="n">
        <v>4</v>
      </c>
      <c r="R59" s="110" t="n">
        <v>5285</v>
      </c>
      <c r="S59" s="110" t="n">
        <v>2056.0105203881</v>
      </c>
      <c r="T59" s="110" t="n">
        <v>0</v>
      </c>
      <c r="U59" s="110" t="n">
        <v>7341.0105203881</v>
      </c>
      <c r="V59" s="104" t="n">
        <v>2000</v>
      </c>
      <c r="W59" s="104" t="n">
        <v>0</v>
      </c>
      <c r="X59" s="104">
        <f>$V59+W59</f>
        <v/>
      </c>
      <c r="Y59" s="111">
        <f>IFERROR(A59/R59,0)</f>
        <v/>
      </c>
      <c r="Z59" s="111">
        <f>IFERROR(B59/U59,0)</f>
        <v/>
      </c>
      <c r="AA59" s="111">
        <f>IFERROR(C59/R59,0)</f>
        <v/>
      </c>
      <c r="AB59" s="111">
        <f>IFERROR(D59/U59,0)</f>
        <v/>
      </c>
      <c r="AD59" s="111">
        <f>IF(U59&gt;0,IFERROR(E59/U59,0),1)</f>
        <v/>
      </c>
      <c r="AE59" s="111">
        <f>IF(R59&gt;0,IFERROR(F59/R59,0),1)</f>
        <v/>
      </c>
      <c r="AF59" s="111">
        <f>IF(AL59&gt;0,IFERROR(G59/AL59,0),1)</f>
        <v/>
      </c>
      <c r="AG59" s="111">
        <f>IF(AM59&gt;0,IFERROR(H59/AM59,0),1)</f>
        <v/>
      </c>
      <c r="AH59" s="104">
        <f>U59-(V59+AN59+AR59)</f>
        <v/>
      </c>
      <c r="AI59" s="104">
        <f>R59-(V59+AO59+AR59)</f>
        <v/>
      </c>
      <c r="AJ59" s="104">
        <f>(AL59-AP59)</f>
        <v/>
      </c>
      <c r="AK59" s="104">
        <f>(AM59-AQ59)</f>
        <v/>
      </c>
      <c r="AL59" s="110">
        <f>S59+AI59</f>
        <v/>
      </c>
      <c r="AM59" s="110">
        <f>T59+AJ59</f>
        <v/>
      </c>
      <c r="AN59" s="104" t="n">
        <v>39000</v>
      </c>
      <c r="AO59" s="104" t="n">
        <v>25000</v>
      </c>
      <c r="AP59" s="104" t="n">
        <v>6000</v>
      </c>
      <c r="AQ59" s="104" t="n">
        <v>8000</v>
      </c>
      <c r="AR59" s="104" t="n">
        <v>0</v>
      </c>
      <c r="AS59" s="104" t="n"/>
      <c r="AT59" s="104" t="n"/>
    </row>
    <row r="60" ht="12.65" customHeight="1" s="79">
      <c r="A60" s="104">
        <f>MIN(V60,R60)</f>
        <v/>
      </c>
      <c r="B60" s="104">
        <f>MIN(V60,U60)</f>
        <v/>
      </c>
      <c r="C60" s="104">
        <f>MIN(X60,R60)</f>
        <v/>
      </c>
      <c r="D60" s="104">
        <f>MIN(X60,U60)</f>
        <v/>
      </c>
      <c r="E60" s="104">
        <f>MIN((V60+AN60+AR60),U60)</f>
        <v/>
      </c>
      <c r="F60" s="104">
        <f>MAX(MIN((V60+AO60+AR60),R60),0)</f>
        <v/>
      </c>
      <c r="G60" s="104">
        <f>MAX(MIN(AP60,AL60),0)</f>
        <v/>
      </c>
      <c r="H60" s="104">
        <f>MAX(MIN(AQ60,AM60),0)</f>
        <v/>
      </c>
      <c r="I60" s="105" t="inlineStr">
        <is>
          <t>CHANDRAPAL NEGI</t>
        </is>
      </c>
      <c r="J60" s="106" t="inlineStr">
        <is>
          <t>LIFESTYLE</t>
        </is>
      </c>
      <c r="K60" s="107" t="inlineStr">
        <is>
          <t>LS_WOMEN ACCESSORIES</t>
        </is>
      </c>
      <c r="L60" s="107" t="inlineStr">
        <is>
          <t>LS_WA_BAG</t>
        </is>
      </c>
      <c r="M60" s="107" t="inlineStr">
        <is>
          <t>BKPK 599-[LSWA01]</t>
        </is>
      </c>
      <c r="N60" s="107" t="inlineStr">
        <is>
          <t>ACTIVE</t>
        </is>
      </c>
      <c r="O60" s="108" t="n">
        <v>0.159008008049977</v>
      </c>
      <c r="P60" s="108" t="n">
        <v>0.190185062789161</v>
      </c>
      <c r="Q60" s="109" t="n">
        <v>4</v>
      </c>
      <c r="R60" s="110" t="n">
        <v>2696</v>
      </c>
      <c r="S60" s="110" t="n">
        <v>1893.89274862364</v>
      </c>
      <c r="T60" s="110" t="n">
        <v>2432.75896647337</v>
      </c>
      <c r="U60" s="110" t="n">
        <v>7022.651715097</v>
      </c>
      <c r="V60" s="104" t="n">
        <v>1440</v>
      </c>
      <c r="W60" s="104" t="n">
        <v>0</v>
      </c>
      <c r="X60" s="104">
        <f>$V60+W60</f>
        <v/>
      </c>
      <c r="Y60" s="111">
        <f>IFERROR(A60/R60,0)</f>
        <v/>
      </c>
      <c r="Z60" s="111">
        <f>IFERROR(B60/U60,0)</f>
        <v/>
      </c>
      <c r="AA60" s="111">
        <f>IFERROR(C60/R60,0)</f>
        <v/>
      </c>
      <c r="AB60" s="111">
        <f>IFERROR(D60/U60,0)</f>
        <v/>
      </c>
      <c r="AD60" s="111">
        <f>IF(U60&gt;0,IFERROR(E60/U60,0),1)</f>
        <v/>
      </c>
      <c r="AE60" s="111">
        <f>IF(R60&gt;0,IFERROR(F60/R60,0),1)</f>
        <v/>
      </c>
      <c r="AF60" s="111">
        <f>IF(AL60&gt;0,IFERROR(G60/AL60,0),1)</f>
        <v/>
      </c>
      <c r="AG60" s="111">
        <f>IF(AM60&gt;0,IFERROR(H60/AM60,0),1)</f>
        <v/>
      </c>
      <c r="AH60" s="104">
        <f>U60-(V60+AN60+AR60)</f>
        <v/>
      </c>
      <c r="AI60" s="104">
        <f>R60-(V60+AO60+AR60)</f>
        <v/>
      </c>
      <c r="AJ60" s="104">
        <f>(AL60-AP60)</f>
        <v/>
      </c>
      <c r="AK60" s="104">
        <f>(AM60-AQ60)</f>
        <v/>
      </c>
      <c r="AL60" s="110">
        <f>S60+AI60</f>
        <v/>
      </c>
      <c r="AM60" s="110">
        <f>T60+AJ60</f>
        <v/>
      </c>
      <c r="AN60" s="104" t="n">
        <v>4800</v>
      </c>
      <c r="AO60" s="104" t="n">
        <v>0</v>
      </c>
      <c r="AP60" s="104" t="n">
        <v>2400</v>
      </c>
      <c r="AQ60" s="104" t="n">
        <v>2400</v>
      </c>
      <c r="AR60" s="104" t="n">
        <v>0</v>
      </c>
      <c r="AS60" s="104" t="n"/>
      <c r="AT60" s="104" t="n"/>
    </row>
    <row r="61" ht="12.65" customHeight="1" s="79">
      <c r="A61" s="104">
        <f>MIN(V61,R61)</f>
        <v/>
      </c>
      <c r="B61" s="104">
        <f>MIN(V61,U61)</f>
        <v/>
      </c>
      <c r="C61" s="104">
        <f>MIN(X61,R61)</f>
        <v/>
      </c>
      <c r="D61" s="104">
        <f>MIN(X61,U61)</f>
        <v/>
      </c>
      <c r="E61" s="104">
        <f>MIN((V61+AN61+AR61),U61)</f>
        <v/>
      </c>
      <c r="F61" s="104">
        <f>MAX(MIN((V61+AO61+AR61),R61),0)</f>
        <v/>
      </c>
      <c r="G61" s="104">
        <f>MAX(MIN(AP61,AL61),0)</f>
        <v/>
      </c>
      <c r="H61" s="104">
        <f>MAX(MIN(AQ61,AM61),0)</f>
        <v/>
      </c>
      <c r="I61" s="105" t="inlineStr">
        <is>
          <t>CHANDRAPAL NEGI</t>
        </is>
      </c>
      <c r="J61" s="106" t="inlineStr">
        <is>
          <t>LIFESTYLE</t>
        </is>
      </c>
      <c r="K61" s="107" t="inlineStr">
        <is>
          <t>LS_WOMEN ACCESSORIES</t>
        </is>
      </c>
      <c r="L61" s="107" t="inlineStr">
        <is>
          <t>LS_WA_BELT</t>
        </is>
      </c>
      <c r="M61" s="107" t="inlineStr">
        <is>
          <t>CSL PU 99-[LSWA02]</t>
        </is>
      </c>
      <c r="N61" s="107" t="inlineStr">
        <is>
          <t>ACTIVE</t>
        </is>
      </c>
      <c r="O61" s="108" t="n">
        <v>0.0870213082998063</v>
      </c>
      <c r="P61" s="108" t="n">
        <v>0.0680546820694449</v>
      </c>
      <c r="Q61" s="109" t="n">
        <v>155</v>
      </c>
      <c r="R61" s="110" t="n">
        <v>1699</v>
      </c>
      <c r="S61" s="110" t="n">
        <v>1315.36214507255</v>
      </c>
      <c r="T61" s="110" t="n">
        <v>1461.81947411566</v>
      </c>
      <c r="U61" s="110" t="n">
        <v>4476.18161918821</v>
      </c>
      <c r="V61" s="104" t="n">
        <v>9600</v>
      </c>
      <c r="W61" s="104" t="n">
        <v>0</v>
      </c>
      <c r="X61" s="104">
        <f>$V61+W61</f>
        <v/>
      </c>
      <c r="Y61" s="111">
        <f>IFERROR(A61/R61,0)</f>
        <v/>
      </c>
      <c r="Z61" s="111">
        <f>IFERROR(B61/U61,0)</f>
        <v/>
      </c>
      <c r="AA61" s="111">
        <f>IFERROR(C61/R61,0)</f>
        <v/>
      </c>
      <c r="AB61" s="111">
        <f>IFERROR(D61/U61,0)</f>
        <v/>
      </c>
      <c r="AD61" s="111">
        <f>IF(U61&gt;0,IFERROR(E61/U61,0),1)</f>
        <v/>
      </c>
      <c r="AE61" s="111">
        <f>IF(R61&gt;0,IFERROR(F61/R61,0),1)</f>
        <v/>
      </c>
      <c r="AF61" s="111">
        <f>IF(AL61&gt;0,IFERROR(G61/AL61,0),1)</f>
        <v/>
      </c>
      <c r="AG61" s="111">
        <f>IF(AM61&gt;0,IFERROR(H61/AM61,0),1)</f>
        <v/>
      </c>
      <c r="AH61" s="104">
        <f>U61-(V61+AN61+AR61)</f>
        <v/>
      </c>
      <c r="AI61" s="104">
        <f>R61-(V61+AO61+AR61)</f>
        <v/>
      </c>
      <c r="AJ61" s="104">
        <f>(AL61-AP61)</f>
        <v/>
      </c>
      <c r="AK61" s="104">
        <f>(AM61-AQ61)</f>
        <v/>
      </c>
      <c r="AL61" s="110">
        <f>S61+AI61</f>
        <v/>
      </c>
      <c r="AM61" s="110">
        <f>T61+AJ61</f>
        <v/>
      </c>
      <c r="AN61" s="104" t="n">
        <v>4800</v>
      </c>
      <c r="AO61" s="104" t="n">
        <v>0</v>
      </c>
      <c r="AP61" s="104" t="n">
        <v>4800</v>
      </c>
      <c r="AQ61" s="104" t="n">
        <v>0</v>
      </c>
      <c r="AR61" s="104" t="n">
        <v>0</v>
      </c>
      <c r="AS61" s="104" t="n"/>
      <c r="AT61" s="104" t="n"/>
    </row>
    <row r="62" ht="12.65" customHeight="1" s="79">
      <c r="A62" s="104">
        <f>MIN(V62,R62)</f>
        <v/>
      </c>
      <c r="B62" s="104">
        <f>MIN(V62,U62)</f>
        <v/>
      </c>
      <c r="C62" s="104">
        <f>MIN(X62,R62)</f>
        <v/>
      </c>
      <c r="D62" s="104">
        <f>MIN(X62,U62)</f>
        <v/>
      </c>
      <c r="E62" s="104">
        <f>MIN((V62+AN62+AR62),U62)</f>
        <v/>
      </c>
      <c r="F62" s="104">
        <f>MAX(MIN((V62+AO62+AR62),R62),0)</f>
        <v/>
      </c>
      <c r="G62" s="104">
        <f>MAX(MIN(AP62,AL62),0)</f>
        <v/>
      </c>
      <c r="H62" s="104">
        <f>MAX(MIN(AQ62,AM62),0)</f>
        <v/>
      </c>
      <c r="I62" s="105" t="inlineStr">
        <is>
          <t>CHANDRAPAL NEGI</t>
        </is>
      </c>
      <c r="J62" s="106" t="inlineStr">
        <is>
          <t>LIFESTYLE</t>
        </is>
      </c>
      <c r="K62" s="107" t="inlineStr">
        <is>
          <t>LS_WOMEN ACCESSORIES</t>
        </is>
      </c>
      <c r="L62" s="107" t="inlineStr">
        <is>
          <t>LS_WA_HA_COMB</t>
        </is>
      </c>
      <c r="M62" s="107" t="inlineStr">
        <is>
          <t>PLST 49-[LSWA06]</t>
        </is>
      </c>
      <c r="N62" s="107" t="inlineStr">
        <is>
          <t>ACTIVE</t>
        </is>
      </c>
      <c r="O62" s="108" t="n">
        <v>0.103595237952368</v>
      </c>
      <c r="P62" s="108" t="n">
        <v>0.105380599908039</v>
      </c>
      <c r="Q62" s="109" t="n">
        <v>64</v>
      </c>
      <c r="R62" s="110" t="n">
        <v>11001</v>
      </c>
      <c r="S62" s="110" t="n">
        <v>12940.2944745312</v>
      </c>
      <c r="T62" s="110" t="n">
        <v>10327.7701840388</v>
      </c>
      <c r="U62" s="110" t="n">
        <v>34269.06465857</v>
      </c>
      <c r="V62" s="104" t="n">
        <v>0</v>
      </c>
      <c r="W62" s="104" t="n">
        <v>0</v>
      </c>
      <c r="X62" s="104">
        <f>$V62+W62</f>
        <v/>
      </c>
      <c r="Y62" s="111">
        <f>IFERROR(A62/R62,0)</f>
        <v/>
      </c>
      <c r="Z62" s="111">
        <f>IFERROR(B62/U62,0)</f>
        <v/>
      </c>
      <c r="AA62" s="111">
        <f>IFERROR(C62/R62,0)</f>
        <v/>
      </c>
      <c r="AB62" s="111">
        <f>IFERROR(D62/U62,0)</f>
        <v/>
      </c>
      <c r="AD62" s="111">
        <f>IF(U62&gt;0,IFERROR(E62/U62,0),1)</f>
        <v/>
      </c>
      <c r="AE62" s="111">
        <f>IF(R62&gt;0,IFERROR(F62/R62,0),1)</f>
        <v/>
      </c>
      <c r="AF62" s="111">
        <f>IF(AL62&gt;0,IFERROR(G62/AL62,0),1)</f>
        <v/>
      </c>
      <c r="AG62" s="111">
        <f>IF(AM62&gt;0,IFERROR(H62/AM62,0),1)</f>
        <v/>
      </c>
      <c r="AH62" s="104">
        <f>U62-(V62+AN62+AR62)</f>
        <v/>
      </c>
      <c r="AI62" s="104">
        <f>R62-(V62+AO62+AR62)</f>
        <v/>
      </c>
      <c r="AJ62" s="104">
        <f>(AL62-AP62)</f>
        <v/>
      </c>
      <c r="AK62" s="104">
        <f>(AM62-AQ62)</f>
        <v/>
      </c>
      <c r="AL62" s="110">
        <f>S62+AI62</f>
        <v/>
      </c>
      <c r="AM62" s="110">
        <f>T62+AJ62</f>
        <v/>
      </c>
      <c r="AN62" s="104" t="n">
        <v>0</v>
      </c>
      <c r="AO62" s="104" t="n">
        <v>0</v>
      </c>
      <c r="AP62" s="104" t="n">
        <v>0</v>
      </c>
      <c r="AQ62" s="104" t="n">
        <v>0</v>
      </c>
      <c r="AR62" s="104" t="n">
        <v>0</v>
      </c>
      <c r="AS62" s="104" t="n"/>
      <c r="AT62" s="104" t="n"/>
    </row>
    <row r="63" ht="12.65" customHeight="1" s="79">
      <c r="A63" s="104">
        <f>MIN(V63,R63)</f>
        <v/>
      </c>
      <c r="B63" s="104">
        <f>MIN(V63,U63)</f>
        <v/>
      </c>
      <c r="C63" s="104">
        <f>MIN(X63,R63)</f>
        <v/>
      </c>
      <c r="D63" s="104">
        <f>MIN(X63,U63)</f>
        <v/>
      </c>
      <c r="E63" s="104">
        <f>MIN((V63+AN63+AR63),U63)</f>
        <v/>
      </c>
      <c r="F63" s="104">
        <f>MAX(MIN((V63+AO63+AR63),R63),0)</f>
        <v/>
      </c>
      <c r="G63" s="104">
        <f>MAX(MIN(AP63,AL63),0)</f>
        <v/>
      </c>
      <c r="H63" s="104">
        <f>MAX(MIN(AQ63,AM63),0)</f>
        <v/>
      </c>
      <c r="I63" s="105" t="inlineStr">
        <is>
          <t>CHANDRAPAL NEGI</t>
        </is>
      </c>
      <c r="J63" s="106" t="inlineStr">
        <is>
          <t>LIFESTYLE</t>
        </is>
      </c>
      <c r="K63" s="107" t="inlineStr">
        <is>
          <t>LS_WOMEN ACCESSORIES</t>
        </is>
      </c>
      <c r="L63" s="107" t="inlineStr">
        <is>
          <t>LS_WA_HA_COMB</t>
        </is>
      </c>
      <c r="M63" s="107" t="inlineStr">
        <is>
          <t>HAIRBRUSH 49-[LSWA06]</t>
        </is>
      </c>
      <c r="N63" s="107" t="inlineStr">
        <is>
          <t>ACTIVE</t>
        </is>
      </c>
      <c r="O63" s="108" t="n">
        <v>0.112436550868745</v>
      </c>
      <c r="P63" s="108" t="n">
        <v>0.09043262816847721</v>
      </c>
      <c r="Q63" s="109" t="n">
        <v>64</v>
      </c>
      <c r="R63" s="110" t="n">
        <v>11827</v>
      </c>
      <c r="S63" s="110" t="n">
        <v>6125.28828934029</v>
      </c>
      <c r="T63" s="110" t="n">
        <v>2420.43642734233</v>
      </c>
      <c r="U63" s="110" t="n">
        <v>20372.7247166826</v>
      </c>
      <c r="V63" s="104" t="n">
        <v>24000</v>
      </c>
      <c r="W63" s="104" t="n">
        <v>0</v>
      </c>
      <c r="X63" s="104">
        <f>$V63+W63</f>
        <v/>
      </c>
      <c r="Y63" s="111">
        <f>IFERROR(A63/R63,0)</f>
        <v/>
      </c>
      <c r="Z63" s="111">
        <f>IFERROR(B63/U63,0)</f>
        <v/>
      </c>
      <c r="AA63" s="111">
        <f>IFERROR(C63/R63,0)</f>
        <v/>
      </c>
      <c r="AB63" s="111">
        <f>IFERROR(D63/U63,0)</f>
        <v/>
      </c>
      <c r="AD63" s="111">
        <f>IF(U63&gt;0,IFERROR(E63/U63,0),1)</f>
        <v/>
      </c>
      <c r="AE63" s="111">
        <f>IF(R63&gt;0,IFERROR(F63/R63,0),1)</f>
        <v/>
      </c>
      <c r="AF63" s="111">
        <f>IF(AL63&gt;0,IFERROR(G63/AL63,0),1)</f>
        <v/>
      </c>
      <c r="AG63" s="111">
        <f>IF(AM63&gt;0,IFERROR(H63/AM63,0),1)</f>
        <v/>
      </c>
      <c r="AH63" s="104">
        <f>U63-(V63+AN63+AR63)</f>
        <v/>
      </c>
      <c r="AI63" s="104">
        <f>R63-(V63+AO63+AR63)</f>
        <v/>
      </c>
      <c r="AJ63" s="104">
        <f>(AL63-AP63)</f>
        <v/>
      </c>
      <c r="AK63" s="104">
        <f>(AM63-AQ63)</f>
        <v/>
      </c>
      <c r="AL63" s="110">
        <f>S63+AI63</f>
        <v/>
      </c>
      <c r="AM63" s="110">
        <f>T63+AJ63</f>
        <v/>
      </c>
      <c r="AN63" s="104" t="n">
        <v>0</v>
      </c>
      <c r="AO63" s="104" t="n">
        <v>0</v>
      </c>
      <c r="AP63" s="104" t="n">
        <v>0</v>
      </c>
      <c r="AQ63" s="104" t="n">
        <v>0</v>
      </c>
      <c r="AR63" s="104" t="n">
        <v>0</v>
      </c>
      <c r="AS63" s="104" t="n"/>
      <c r="AT63" s="104" t="n"/>
    </row>
    <row r="64" ht="12.65" customHeight="1" s="79">
      <c r="A64" s="104">
        <f>MIN(V64,R64)</f>
        <v/>
      </c>
      <c r="B64" s="104">
        <f>MIN(V64,U64)</f>
        <v/>
      </c>
      <c r="C64" s="104">
        <f>MIN(X64,R64)</f>
        <v/>
      </c>
      <c r="D64" s="104">
        <f>MIN(X64,U64)</f>
        <v/>
      </c>
      <c r="E64" s="104">
        <f>MIN((V64+AN64+AR64),U64)</f>
        <v/>
      </c>
      <c r="F64" s="104">
        <f>MAX(MIN((V64+AO64+AR64),R64),0)</f>
        <v/>
      </c>
      <c r="G64" s="104">
        <f>MAX(MIN(AP64,AL64),0)</f>
        <v/>
      </c>
      <c r="H64" s="104">
        <f>MAX(MIN(AQ64,AM64),0)</f>
        <v/>
      </c>
      <c r="I64" s="105" t="inlineStr">
        <is>
          <t>CHANDRAPAL NEGI</t>
        </is>
      </c>
      <c r="J64" s="106" t="inlineStr">
        <is>
          <t>LIFESTYLE</t>
        </is>
      </c>
      <c r="K64" s="107" t="inlineStr">
        <is>
          <t>LS_WOMEN ACCESSORIES</t>
        </is>
      </c>
      <c r="L64" s="107" t="inlineStr">
        <is>
          <t>LS_WA_PURSE</t>
        </is>
      </c>
      <c r="M64" s="107" t="inlineStr">
        <is>
          <t>PURSE 799-[LSWA15]</t>
        </is>
      </c>
      <c r="N64" s="107" t="inlineStr">
        <is>
          <t>ACTIVE</t>
        </is>
      </c>
      <c r="O64" s="108" t="n">
        <v>0.125403918872465</v>
      </c>
      <c r="P64" s="108" t="n">
        <v>0.0479689732598489</v>
      </c>
      <c r="Q64" s="109" t="n">
        <v>31</v>
      </c>
      <c r="R64" s="110" t="n">
        <v>2015</v>
      </c>
      <c r="S64" s="110" t="n">
        <v>667.212411640763</v>
      </c>
      <c r="T64" s="110" t="n">
        <v>881.067816834429</v>
      </c>
      <c r="U64" s="110" t="n">
        <v>3563.28022847519</v>
      </c>
      <c r="V64" s="104" t="n">
        <v>780</v>
      </c>
      <c r="W64" s="104" t="n">
        <v>0</v>
      </c>
      <c r="X64" s="104">
        <f>$V64+W64</f>
        <v/>
      </c>
      <c r="Y64" s="111">
        <f>IFERROR(A64/R64,0)</f>
        <v/>
      </c>
      <c r="Z64" s="111">
        <f>IFERROR(B64/U64,0)</f>
        <v/>
      </c>
      <c r="AA64" s="111">
        <f>IFERROR(C64/R64,0)</f>
        <v/>
      </c>
      <c r="AB64" s="111">
        <f>IFERROR(D64/U64,0)</f>
        <v/>
      </c>
      <c r="AD64" s="111">
        <f>IF(U64&gt;0,IFERROR(E64/U64,0),1)</f>
        <v/>
      </c>
      <c r="AE64" s="111">
        <f>IF(R64&gt;0,IFERROR(F64/R64,0),1)</f>
        <v/>
      </c>
      <c r="AF64" s="111">
        <f>IF(AL64&gt;0,IFERROR(G64/AL64,0),1)</f>
        <v/>
      </c>
      <c r="AG64" s="111">
        <f>IF(AM64&gt;0,IFERROR(H64/AM64,0),1)</f>
        <v/>
      </c>
      <c r="AH64" s="104">
        <f>U64-(V64+AN64+AR64)</f>
        <v/>
      </c>
      <c r="AI64" s="104">
        <f>R64-(V64+AO64+AR64)</f>
        <v/>
      </c>
      <c r="AJ64" s="104">
        <f>(AL64-AP64)</f>
        <v/>
      </c>
      <c r="AK64" s="104">
        <f>(AM64-AQ64)</f>
        <v/>
      </c>
      <c r="AL64" s="110">
        <f>S64+AI64</f>
        <v/>
      </c>
      <c r="AM64" s="110">
        <f>T64+AJ64</f>
        <v/>
      </c>
      <c r="AN64" s="104" t="n">
        <v>0</v>
      </c>
      <c r="AO64" s="104" t="n">
        <v>0</v>
      </c>
      <c r="AP64" s="104" t="n">
        <v>0</v>
      </c>
      <c r="AQ64" s="104" t="n">
        <v>0</v>
      </c>
      <c r="AR64" s="104" t="n">
        <v>0</v>
      </c>
      <c r="AS64" s="104" t="n"/>
      <c r="AT64" s="104" t="n"/>
    </row>
    <row r="65" ht="12.65" customHeight="1" s="79">
      <c r="A65" s="104">
        <f>MIN(V65,R65)</f>
        <v/>
      </c>
      <c r="B65" s="104">
        <f>MIN(V65,U65)</f>
        <v/>
      </c>
      <c r="C65" s="104">
        <f>MIN(X65,R65)</f>
        <v/>
      </c>
      <c r="D65" s="104">
        <f>MIN(X65,U65)</f>
        <v/>
      </c>
      <c r="E65" s="104">
        <f>MIN((V65+AN65+AR65),U65)</f>
        <v/>
      </c>
      <c r="F65" s="104">
        <f>MAX(MIN((V65+AO65+AR65),R65),0)</f>
        <v/>
      </c>
      <c r="G65" s="104">
        <f>MAX(MIN(AP65,AL65),0)</f>
        <v/>
      </c>
      <c r="H65" s="104">
        <f>MAX(MIN(AQ65,AM65),0)</f>
        <v/>
      </c>
      <c r="I65" s="105" t="inlineStr">
        <is>
          <t>CHANDRAPAL NEGI</t>
        </is>
      </c>
      <c r="J65" s="106" t="inlineStr">
        <is>
          <t>LIFESTYLE</t>
        </is>
      </c>
      <c r="K65" s="107" t="inlineStr">
        <is>
          <t>LS_WOMEN ACCESSORIES</t>
        </is>
      </c>
      <c r="L65" s="107" t="inlineStr">
        <is>
          <t>LS_WA_PURSE</t>
        </is>
      </c>
      <c r="M65" s="107" t="inlineStr">
        <is>
          <t>PURSE 399-[LSWA15]</t>
        </is>
      </c>
      <c r="N65" s="107" t="inlineStr">
        <is>
          <t>ACTIVE</t>
        </is>
      </c>
      <c r="O65" s="108" t="n">
        <v>0.132823706298138</v>
      </c>
      <c r="P65" s="108" t="n">
        <v>0.126647858425237</v>
      </c>
      <c r="Q65" s="109" t="n">
        <v>31</v>
      </c>
      <c r="R65" s="110" t="n">
        <v>1715</v>
      </c>
      <c r="S65" s="110" t="n">
        <v>0</v>
      </c>
      <c r="T65" s="110" t="n">
        <v>0</v>
      </c>
      <c r="U65" s="110" t="n">
        <v>1715</v>
      </c>
      <c r="V65" s="104" t="n">
        <v>5296</v>
      </c>
      <c r="W65" s="104" t="n">
        <v>2016</v>
      </c>
      <c r="X65" s="104">
        <f>$V65+W65</f>
        <v/>
      </c>
      <c r="Y65" s="111">
        <f>IFERROR(A65/R65,0)</f>
        <v/>
      </c>
      <c r="Z65" s="111">
        <f>IFERROR(B65/U65,0)</f>
        <v/>
      </c>
      <c r="AA65" s="111">
        <f>IFERROR(C65/R65,0)</f>
        <v/>
      </c>
      <c r="AB65" s="111">
        <f>IFERROR(D65/U65,0)</f>
        <v/>
      </c>
      <c r="AD65" s="111">
        <f>IF(U65&gt;0,IFERROR(E65/U65,0),1)</f>
        <v/>
      </c>
      <c r="AE65" s="111">
        <f>IF(R65&gt;0,IFERROR(F65/R65,0),1)</f>
        <v/>
      </c>
      <c r="AF65" s="111">
        <f>IF(AL65&gt;0,IFERROR(G65/AL65,0),1)</f>
        <v/>
      </c>
      <c r="AG65" s="111">
        <f>IF(AM65&gt;0,IFERROR(H65/AM65,0),1)</f>
        <v/>
      </c>
      <c r="AH65" s="104">
        <f>U65-(V65+AN65+AR65)</f>
        <v/>
      </c>
      <c r="AI65" s="104">
        <f>R65-(V65+AO65+AR65)</f>
        <v/>
      </c>
      <c r="AJ65" s="104">
        <f>(AL65-AP65)</f>
        <v/>
      </c>
      <c r="AK65" s="104">
        <f>(AM65-AQ65)</f>
        <v/>
      </c>
      <c r="AL65" s="110">
        <f>S65+AI65</f>
        <v/>
      </c>
      <c r="AM65" s="110">
        <f>T65+AJ65</f>
        <v/>
      </c>
      <c r="AN65" s="104" t="n">
        <v>38024</v>
      </c>
      <c r="AO65" s="104" t="n">
        <v>6024</v>
      </c>
      <c r="AP65" s="104" t="n">
        <v>16000</v>
      </c>
      <c r="AQ65" s="104" t="n">
        <v>16000</v>
      </c>
      <c r="AR65" s="104" t="n">
        <v>0</v>
      </c>
      <c r="AS65" s="104" t="n"/>
      <c r="AT65" s="104" t="n"/>
    </row>
    <row r="66" ht="12.65" customHeight="1" s="79">
      <c r="A66" s="104">
        <f>MIN(V66,R66)</f>
        <v/>
      </c>
      <c r="B66" s="104">
        <f>MIN(V66,U66)</f>
        <v/>
      </c>
      <c r="C66" s="104">
        <f>MIN(X66,R66)</f>
        <v/>
      </c>
      <c r="D66" s="104">
        <f>MIN(X66,U66)</f>
        <v/>
      </c>
      <c r="E66" s="104">
        <f>MIN((V66+AN66+AR66),U66)</f>
        <v/>
      </c>
      <c r="F66" s="104">
        <f>MAX(MIN((V66+AO66+AR66),R66),0)</f>
        <v/>
      </c>
      <c r="G66" s="104">
        <f>MAX(MIN(AP66,AL66),0)</f>
        <v/>
      </c>
      <c r="H66" s="104">
        <f>MAX(MIN(AQ66,AM66),0)</f>
        <v/>
      </c>
      <c r="I66" s="105" t="inlineStr">
        <is>
          <t>CHANDRAPAL NEGI</t>
        </is>
      </c>
      <c r="J66" s="106" t="inlineStr">
        <is>
          <t>LIFESTYLE</t>
        </is>
      </c>
      <c r="K66" s="107" t="inlineStr">
        <is>
          <t>LS_WOMEN ACCESSORIES</t>
        </is>
      </c>
      <c r="L66" s="107" t="inlineStr">
        <is>
          <t>LS_WA_SOCKS</t>
        </is>
      </c>
      <c r="M66" s="107" t="inlineStr">
        <is>
          <t>CSL ANKL CTN 49-[LSWA16]</t>
        </is>
      </c>
      <c r="N66" s="107" t="inlineStr">
        <is>
          <t>ACTIVE</t>
        </is>
      </c>
      <c r="O66" s="108" t="n">
        <v>0</v>
      </c>
      <c r="P66" s="108" t="n">
        <v>0</v>
      </c>
      <c r="Q66" s="109" t="n">
        <v>125</v>
      </c>
      <c r="R66" s="110" t="n">
        <v>28212</v>
      </c>
      <c r="S66" s="110" t="n">
        <v>20199.2110698119</v>
      </c>
      <c r="T66" s="110" t="n">
        <v>4618.85622749237</v>
      </c>
      <c r="U66" s="110" t="n">
        <v>53030.0672973043</v>
      </c>
      <c r="V66" s="104" t="n">
        <v>26832</v>
      </c>
      <c r="W66" s="104" t="n">
        <v>0</v>
      </c>
      <c r="X66" s="104">
        <f>$V66+W66</f>
        <v/>
      </c>
      <c r="Y66" s="111">
        <f>IFERROR(A66/R66,0)</f>
        <v/>
      </c>
      <c r="Z66" s="111">
        <f>IFERROR(B66/U66,0)</f>
        <v/>
      </c>
      <c r="AA66" s="111">
        <f>IFERROR(C66/R66,0)</f>
        <v/>
      </c>
      <c r="AB66" s="111">
        <f>IFERROR(D66/U66,0)</f>
        <v/>
      </c>
      <c r="AD66" s="111">
        <f>IF(U66&gt;0,IFERROR(E66/U66,0),1)</f>
        <v/>
      </c>
      <c r="AE66" s="111">
        <f>IF(R66&gt;0,IFERROR(F66/R66,0),1)</f>
        <v/>
      </c>
      <c r="AF66" s="111">
        <f>IF(AL66&gt;0,IFERROR(G66/AL66,0),1)</f>
        <v/>
      </c>
      <c r="AG66" s="111">
        <f>IF(AM66&gt;0,IFERROR(H66/AM66,0),1)</f>
        <v/>
      </c>
      <c r="AH66" s="104">
        <f>U66-(V66+AN66+AR66)</f>
        <v/>
      </c>
      <c r="AI66" s="104">
        <f>R66-(V66+AO66+AR66)</f>
        <v/>
      </c>
      <c r="AJ66" s="104">
        <f>(AL66-AP66)</f>
        <v/>
      </c>
      <c r="AK66" s="104">
        <f>(AM66-AQ66)</f>
        <v/>
      </c>
      <c r="AL66" s="110">
        <f>S66+AI66</f>
        <v/>
      </c>
      <c r="AM66" s="110">
        <f>T66+AJ66</f>
        <v/>
      </c>
      <c r="AN66" s="104" t="n">
        <v>26400</v>
      </c>
      <c r="AO66" s="104" t="n">
        <v>7200</v>
      </c>
      <c r="AP66" s="104" t="n">
        <v>19200</v>
      </c>
      <c r="AQ66" s="104" t="n">
        <v>0</v>
      </c>
      <c r="AR66" s="104" t="n">
        <v>0</v>
      </c>
      <c r="AS66" s="104" t="n"/>
      <c r="AT66" s="104" t="n"/>
    </row>
    <row r="67" ht="12.65" customHeight="1" s="79">
      <c r="A67" s="104">
        <f>MIN(V67,R67)</f>
        <v/>
      </c>
      <c r="B67" s="104">
        <f>MIN(V67,U67)</f>
        <v/>
      </c>
      <c r="C67" s="104">
        <f>MIN(X67,R67)</f>
        <v/>
      </c>
      <c r="D67" s="104">
        <f>MIN(X67,U67)</f>
        <v/>
      </c>
      <c r="E67" s="104">
        <f>MIN((V67+AN67+AR67),U67)</f>
        <v/>
      </c>
      <c r="F67" s="104">
        <f>MAX(MIN((V67+AO67+AR67),R67),0)</f>
        <v/>
      </c>
      <c r="G67" s="104">
        <f>MAX(MIN(AP67,AL67),0)</f>
        <v/>
      </c>
      <c r="H67" s="104">
        <f>MAX(MIN(AQ67,AM67),0)</f>
        <v/>
      </c>
      <c r="I67" s="105" t="inlineStr">
        <is>
          <t>CHANDRAPAL NEGI</t>
        </is>
      </c>
      <c r="J67" s="106" t="inlineStr">
        <is>
          <t>LIFESTYLE</t>
        </is>
      </c>
      <c r="K67" s="107" t="inlineStr">
        <is>
          <t>LS_WOMEN ACCESSORIES</t>
        </is>
      </c>
      <c r="L67" s="107" t="inlineStr">
        <is>
          <t>LS_WA_WALLET</t>
        </is>
      </c>
      <c r="M67" s="107" t="inlineStr">
        <is>
          <t>IMP PU 129-[LSWA17]</t>
        </is>
      </c>
      <c r="N67" s="107" t="inlineStr">
        <is>
          <t>ACTIVE</t>
        </is>
      </c>
      <c r="O67" s="108" t="n">
        <v>0.198731706041663</v>
      </c>
      <c r="P67" s="108" t="n">
        <v>0.155251563785295</v>
      </c>
      <c r="Q67" s="109" t="n">
        <v>29</v>
      </c>
      <c r="R67" s="110" t="n">
        <v>12251.1</v>
      </c>
      <c r="S67" s="110" t="n">
        <v>7571.09291841498</v>
      </c>
      <c r="T67" s="110" t="n">
        <v>5638.12496720162</v>
      </c>
      <c r="U67" s="110" t="n">
        <v>25460.3178856166</v>
      </c>
      <c r="V67" s="104" t="n">
        <v>2000</v>
      </c>
      <c r="W67" s="104" t="n">
        <v>0</v>
      </c>
      <c r="X67" s="104">
        <f>$V67+W67</f>
        <v/>
      </c>
      <c r="Y67" s="111">
        <f>IFERROR(A67/R67,0)</f>
        <v/>
      </c>
      <c r="Z67" s="111">
        <f>IFERROR(B67/U67,0)</f>
        <v/>
      </c>
      <c r="AA67" s="111">
        <f>IFERROR(C67/R67,0)</f>
        <v/>
      </c>
      <c r="AB67" s="111">
        <f>IFERROR(D67/U67,0)</f>
        <v/>
      </c>
      <c r="AD67" s="111">
        <f>IF(U67&gt;0,IFERROR(E67/U67,0),1)</f>
        <v/>
      </c>
      <c r="AE67" s="111">
        <f>IF(R67&gt;0,IFERROR(F67/R67,0),1)</f>
        <v/>
      </c>
      <c r="AF67" s="111">
        <f>IF(AL67&gt;0,IFERROR(G67/AL67,0),1)</f>
        <v/>
      </c>
      <c r="AG67" s="111">
        <f>IF(AM67&gt;0,IFERROR(H67/AM67,0),1)</f>
        <v/>
      </c>
      <c r="AH67" s="104">
        <f>U67-(V67+AN67+AR67)</f>
        <v/>
      </c>
      <c r="AI67" s="104">
        <f>R67-(V67+AO67+AR67)</f>
        <v/>
      </c>
      <c r="AJ67" s="104">
        <f>(AL67-AP67)</f>
        <v/>
      </c>
      <c r="AK67" s="104">
        <f>(AM67-AQ67)</f>
        <v/>
      </c>
      <c r="AL67" s="110">
        <f>S67+AI67</f>
        <v/>
      </c>
      <c r="AM67" s="110">
        <f>T67+AJ67</f>
        <v/>
      </c>
      <c r="AN67" s="104" t="n">
        <v>16000</v>
      </c>
      <c r="AO67" s="104" t="n">
        <v>4000</v>
      </c>
      <c r="AP67" s="104" t="n">
        <v>6000</v>
      </c>
      <c r="AQ67" s="104" t="n">
        <v>6000</v>
      </c>
      <c r="AR67" s="104" t="n">
        <v>0</v>
      </c>
      <c r="AS67" s="104" t="n"/>
      <c r="AT67" s="104" t="n"/>
    </row>
    <row r="68" ht="12.65" customHeight="1" s="79">
      <c r="A68" s="104">
        <f>MIN(V68,R68)</f>
        <v/>
      </c>
      <c r="B68" s="104">
        <f>MIN(V68,U68)</f>
        <v/>
      </c>
      <c r="C68" s="104">
        <f>MIN(X68,R68)</f>
        <v/>
      </c>
      <c r="D68" s="104">
        <f>MIN(X68,U68)</f>
        <v/>
      </c>
      <c r="E68" s="104">
        <f>MIN((V68+AN68+AR68),U68)</f>
        <v/>
      </c>
      <c r="F68" s="104">
        <f>MAX(MIN((V68+AO68+AR68),R68),0)</f>
        <v/>
      </c>
      <c r="G68" s="104">
        <f>MAX(MIN(AP68,AL68),0)</f>
        <v/>
      </c>
      <c r="H68" s="104">
        <f>MAX(MIN(AQ68,AM68),0)</f>
        <v/>
      </c>
      <c r="I68" s="105" t="inlineStr">
        <is>
          <t>CHANDRAPAL NEGI</t>
        </is>
      </c>
      <c r="J68" s="106" t="inlineStr">
        <is>
          <t>LIFESTYLE</t>
        </is>
      </c>
      <c r="K68" s="107" t="inlineStr">
        <is>
          <t>LS_WOMEN ACCESSORIES</t>
        </is>
      </c>
      <c r="L68" s="107" t="inlineStr">
        <is>
          <t>LS_WA_WALLET</t>
        </is>
      </c>
      <c r="M68" s="107" t="inlineStr">
        <is>
          <t>IND PU 249-[LSWA17]</t>
        </is>
      </c>
      <c r="N68" s="107" t="inlineStr">
        <is>
          <t>ACTIVE</t>
        </is>
      </c>
      <c r="O68" s="108" t="n">
        <v>0.15594432753186</v>
      </c>
      <c r="P68" s="108" t="n">
        <v>0.122235717395788</v>
      </c>
      <c r="Q68" s="109" t="n">
        <v>29</v>
      </c>
      <c r="R68" s="110" t="n">
        <v>5720</v>
      </c>
      <c r="S68" s="110" t="n">
        <v>4223.73142917702</v>
      </c>
      <c r="T68" s="110" t="n">
        <v>4214.86133821699</v>
      </c>
      <c r="U68" s="110" t="n">
        <v>14158.592767394</v>
      </c>
      <c r="V68" s="104" t="n">
        <v>9948</v>
      </c>
      <c r="W68" s="104" t="n">
        <v>0</v>
      </c>
      <c r="X68" s="104">
        <f>$V68+W68</f>
        <v/>
      </c>
      <c r="Y68" s="111">
        <f>IFERROR(A68/R68,0)</f>
        <v/>
      </c>
      <c r="Z68" s="111">
        <f>IFERROR(B68/U68,0)</f>
        <v/>
      </c>
      <c r="AA68" s="111">
        <f>IFERROR(C68/R68,0)</f>
        <v/>
      </c>
      <c r="AB68" s="111">
        <f>IFERROR(D68/U68,0)</f>
        <v/>
      </c>
      <c r="AD68" s="111">
        <f>IF(U68&gt;0,IFERROR(E68/U68,0),1)</f>
        <v/>
      </c>
      <c r="AE68" s="111">
        <f>IF(R68&gt;0,IFERROR(F68/R68,0),1)</f>
        <v/>
      </c>
      <c r="AF68" s="111">
        <f>IF(AL68&gt;0,IFERROR(G68/AL68,0),1)</f>
        <v/>
      </c>
      <c r="AG68" s="111">
        <f>IF(AM68&gt;0,IFERROR(H68/AM68,0),1)</f>
        <v/>
      </c>
      <c r="AH68" s="104">
        <f>U68-(V68+AN68+AR68)</f>
        <v/>
      </c>
      <c r="AI68" s="104">
        <f>R68-(V68+AO68+AR68)</f>
        <v/>
      </c>
      <c r="AJ68" s="104">
        <f>(AL68-AP68)</f>
        <v/>
      </c>
      <c r="AK68" s="104">
        <f>(AM68-AQ68)</f>
        <v/>
      </c>
      <c r="AL68" s="110">
        <f>S68+AI68</f>
        <v/>
      </c>
      <c r="AM68" s="110">
        <f>T68+AJ68</f>
        <v/>
      </c>
      <c r="AN68" s="104" t="n">
        <v>31224</v>
      </c>
      <c r="AO68" s="104" t="n">
        <v>13224</v>
      </c>
      <c r="AP68" s="104" t="n">
        <v>9000</v>
      </c>
      <c r="AQ68" s="104" t="n">
        <v>9000</v>
      </c>
      <c r="AR68" s="104" t="n">
        <v>0</v>
      </c>
      <c r="AS68" s="104" t="n"/>
      <c r="AT68" s="104" t="n"/>
    </row>
    <row r="69" ht="12.65" customHeight="1" s="79">
      <c r="A69" s="104">
        <f>MIN(V69,R69)</f>
        <v/>
      </c>
      <c r="B69" s="104">
        <f>MIN(V69,U69)</f>
        <v/>
      </c>
      <c r="C69" s="104">
        <f>MIN(X69,R69)</f>
        <v/>
      </c>
      <c r="D69" s="104">
        <f>MIN(X69,U69)</f>
        <v/>
      </c>
      <c r="E69" s="104">
        <f>MIN((V69+AN69+AR69),U69)</f>
        <v/>
      </c>
      <c r="F69" s="104">
        <f>MAX(MIN((V69+AO69+AR69),R69),0)</f>
        <v/>
      </c>
      <c r="G69" s="104">
        <f>MAX(MIN(AP69,AL69),0)</f>
        <v/>
      </c>
      <c r="H69" s="104">
        <f>MAX(MIN(AQ69,AM69),0)</f>
        <v/>
      </c>
      <c r="I69" s="105" t="inlineStr">
        <is>
          <t>CHANDRAPAL NEGI</t>
        </is>
      </c>
      <c r="J69" s="106" t="inlineStr">
        <is>
          <t>LIFESTYLE</t>
        </is>
      </c>
      <c r="K69" s="107" t="inlineStr">
        <is>
          <t>LS_WOMEN ACCESSORIES</t>
        </is>
      </c>
      <c r="L69" s="107" t="inlineStr">
        <is>
          <t>LS_WA_WALLET</t>
        </is>
      </c>
      <c r="M69" s="107" t="inlineStr">
        <is>
          <t>IMP PU 249-[LSWA17]</t>
        </is>
      </c>
      <c r="N69" s="107" t="inlineStr">
        <is>
          <t>ACTIVE</t>
        </is>
      </c>
      <c r="O69" s="108" t="n">
        <v>0.109755790216487</v>
      </c>
      <c r="P69" s="108" t="n">
        <v>0.0645447021069598</v>
      </c>
      <c r="Q69" s="109" t="n">
        <v>29</v>
      </c>
      <c r="R69" s="110" t="n">
        <v>1228</v>
      </c>
      <c r="S69" s="110" t="n">
        <v>1811.55869529881</v>
      </c>
      <c r="T69" s="110" t="n">
        <v>2051.58665820412</v>
      </c>
      <c r="U69" s="110" t="n">
        <v>5091.14535350293</v>
      </c>
      <c r="V69" s="104" t="n">
        <v>3620</v>
      </c>
      <c r="W69" s="104" t="n">
        <v>0</v>
      </c>
      <c r="X69" s="104">
        <f>$V69+W69</f>
        <v/>
      </c>
      <c r="Y69" s="111">
        <f>IFERROR(A69/R69,0)</f>
        <v/>
      </c>
      <c r="Z69" s="111">
        <f>IFERROR(B69/U69,0)</f>
        <v/>
      </c>
      <c r="AA69" s="111">
        <f>IFERROR(C69/R69,0)</f>
        <v/>
      </c>
      <c r="AB69" s="111">
        <f>IFERROR(D69/U69,0)</f>
        <v/>
      </c>
      <c r="AD69" s="111">
        <f>IF(U69&gt;0,IFERROR(E69/U69,0),1)</f>
        <v/>
      </c>
      <c r="AE69" s="111">
        <f>IF(R69&gt;0,IFERROR(F69/R69,0),1)</f>
        <v/>
      </c>
      <c r="AF69" s="111">
        <f>IF(AL69&gt;0,IFERROR(G69/AL69,0),1)</f>
        <v/>
      </c>
      <c r="AG69" s="111">
        <f>IF(AM69&gt;0,IFERROR(H69/AM69,0),1)</f>
        <v/>
      </c>
      <c r="AH69" s="104">
        <f>U69-(V69+AN69+AR69)</f>
        <v/>
      </c>
      <c r="AI69" s="104">
        <f>R69-(V69+AO69+AR69)</f>
        <v/>
      </c>
      <c r="AJ69" s="104">
        <f>(AL69-AP69)</f>
        <v/>
      </c>
      <c r="AK69" s="104">
        <f>(AM69-AQ69)</f>
        <v/>
      </c>
      <c r="AL69" s="110">
        <f>S69+AI69</f>
        <v/>
      </c>
      <c r="AM69" s="110">
        <f>T69+AJ69</f>
        <v/>
      </c>
      <c r="AN69" s="104" t="n">
        <v>0</v>
      </c>
      <c r="AO69" s="104" t="n">
        <v>0</v>
      </c>
      <c r="AP69" s="104" t="n">
        <v>0</v>
      </c>
      <c r="AQ69" s="104" t="n">
        <v>0</v>
      </c>
      <c r="AR69" s="104" t="n">
        <v>0</v>
      </c>
      <c r="AS69" s="104" t="n"/>
      <c r="AT69" s="104" t="n"/>
    </row>
    <row r="70" ht="12.65" customHeight="1" s="79">
      <c r="A70" s="104">
        <f>MIN(V70,R70)</f>
        <v/>
      </c>
      <c r="B70" s="104">
        <f>MIN(V70,U70)</f>
        <v/>
      </c>
      <c r="C70" s="104">
        <f>MIN(X70,R70)</f>
        <v/>
      </c>
      <c r="D70" s="104">
        <f>MIN(X70,U70)</f>
        <v/>
      </c>
      <c r="E70" s="104">
        <f>MIN((V70+AN70+AR70),U70)</f>
        <v/>
      </c>
      <c r="F70" s="104">
        <f>MAX(MIN((V70+AO70+AR70),R70),0)</f>
        <v/>
      </c>
      <c r="G70" s="104">
        <f>MAX(MIN(AP70,AL70),0)</f>
        <v/>
      </c>
      <c r="H70" s="104">
        <f>MAX(MIN(AQ70,AM70),0)</f>
        <v/>
      </c>
      <c r="I70" s="105" t="inlineStr">
        <is>
          <t>CHANDRAPAL NEGI</t>
        </is>
      </c>
      <c r="J70" s="106" t="inlineStr">
        <is>
          <t>TRAVEL ACCESSORIES</t>
        </is>
      </c>
      <c r="K70" s="107" t="inlineStr">
        <is>
          <t>TA_LUGGAGE</t>
        </is>
      </c>
      <c r="L70" s="107" t="inlineStr">
        <is>
          <t>TA_L_DUFFLE TROLLEY</t>
        </is>
      </c>
      <c r="M70" s="107" t="inlineStr">
        <is>
          <t>SML BRND-[TAL02]</t>
        </is>
      </c>
      <c r="N70" s="107" t="inlineStr">
        <is>
          <t>ACTIVE</t>
        </is>
      </c>
      <c r="O70" s="108" t="n">
        <v>0.09387222946544981</v>
      </c>
      <c r="P70" s="108" t="n">
        <v>0.05</v>
      </c>
      <c r="Q70" s="109" t="n">
        <v>156</v>
      </c>
      <c r="R70" s="110" t="n">
        <v>333</v>
      </c>
      <c r="S70" s="110" t="n">
        <v>172.477023727176</v>
      </c>
      <c r="T70" s="110" t="n">
        <v>115.846542231164</v>
      </c>
      <c r="U70" s="110" t="n">
        <v>621.3235659583401</v>
      </c>
      <c r="V70" s="104" t="n">
        <v>135</v>
      </c>
      <c r="W70" s="104" t="n">
        <v>0</v>
      </c>
      <c r="X70" s="104">
        <f>$V70+W70</f>
        <v/>
      </c>
      <c r="Y70" s="111">
        <f>IFERROR(A70/R70,0)</f>
        <v/>
      </c>
      <c r="Z70" s="111">
        <f>IFERROR(B70/U70,0)</f>
        <v/>
      </c>
      <c r="AA70" s="111">
        <f>IFERROR(C70/R70,0)</f>
        <v/>
      </c>
      <c r="AB70" s="111">
        <f>IFERROR(D70/U70,0)</f>
        <v/>
      </c>
      <c r="AD70" s="111">
        <f>IF(U70&gt;0,IFERROR(E70/U70,0),1)</f>
        <v/>
      </c>
      <c r="AE70" s="111">
        <f>IF(R70&gt;0,IFERROR(F70/R70,0),1)</f>
        <v/>
      </c>
      <c r="AF70" s="111">
        <f>IF(AL70&gt;0,IFERROR(G70/AL70,0),1)</f>
        <v/>
      </c>
      <c r="AG70" s="111">
        <f>IF(AM70&gt;0,IFERROR(H70/AM70,0),1)</f>
        <v/>
      </c>
      <c r="AH70" s="104">
        <f>U70-(V70+AN70+AR70)</f>
        <v/>
      </c>
      <c r="AI70" s="104">
        <f>R70-(V70+AO70+AR70)</f>
        <v/>
      </c>
      <c r="AJ70" s="104">
        <f>(AL70-AP70)</f>
        <v/>
      </c>
      <c r="AK70" s="104">
        <f>(AM70-AQ70)</f>
        <v/>
      </c>
      <c r="AL70" s="110">
        <f>S70+AI70</f>
        <v/>
      </c>
      <c r="AM70" s="110">
        <f>T70+AJ70</f>
        <v/>
      </c>
      <c r="AN70" s="104" t="n">
        <v>415</v>
      </c>
      <c r="AO70" s="104" t="n">
        <v>415</v>
      </c>
      <c r="AP70" s="104" t="n">
        <v>0</v>
      </c>
      <c r="AQ70" s="104" t="n">
        <v>0</v>
      </c>
      <c r="AR70" s="104" t="n">
        <v>0</v>
      </c>
      <c r="AS70" s="104" t="n"/>
      <c r="AT70" s="104" t="n"/>
    </row>
    <row r="71" ht="12.65" customHeight="1" s="79">
      <c r="A71" s="104">
        <f>MIN(V71,R71)</f>
        <v/>
      </c>
      <c r="B71" s="104">
        <f>MIN(V71,U71)</f>
        <v/>
      </c>
      <c r="C71" s="104">
        <f>MIN(X71,R71)</f>
        <v/>
      </c>
      <c r="D71" s="104">
        <f>MIN(X71,U71)</f>
        <v/>
      </c>
      <c r="E71" s="104">
        <f>MIN((V71+AN71+AR71),U71)</f>
        <v/>
      </c>
      <c r="F71" s="104">
        <f>MAX(MIN((V71+AO71+AR71),R71),0)</f>
        <v/>
      </c>
      <c r="G71" s="104">
        <f>MAX(MIN(AP71,AL71),0)</f>
        <v/>
      </c>
      <c r="H71" s="104">
        <f>MAX(MIN(AQ71,AM71),0)</f>
        <v/>
      </c>
      <c r="I71" s="105" t="inlineStr">
        <is>
          <t>CHANDRAPAL NEGI</t>
        </is>
      </c>
      <c r="J71" s="106" t="inlineStr">
        <is>
          <t>TRAVEL ACCESSORIES</t>
        </is>
      </c>
      <c r="K71" s="107" t="inlineStr">
        <is>
          <t>TA_LUGGAGE</t>
        </is>
      </c>
      <c r="L71" s="107" t="inlineStr">
        <is>
          <t>TA_L_DUFFLE TROLLEY</t>
        </is>
      </c>
      <c r="M71" s="107" t="inlineStr">
        <is>
          <t>MDM BRND-[TAL02]</t>
        </is>
      </c>
      <c r="N71" s="107" t="inlineStr">
        <is>
          <t>ACTIVE</t>
        </is>
      </c>
      <c r="O71" s="108" t="n">
        <v>0.124733475479744</v>
      </c>
      <c r="P71" s="108" t="n">
        <v>0.0333333333333333</v>
      </c>
      <c r="Q71" s="109" t="n">
        <v>156</v>
      </c>
      <c r="R71" s="110" t="n">
        <v>107</v>
      </c>
      <c r="S71" s="110" t="n">
        <v>43.69519495158</v>
      </c>
      <c r="T71" s="110" t="n">
        <v>61.1881715450489</v>
      </c>
      <c r="U71" s="110" t="n">
        <v>211.883366496629</v>
      </c>
      <c r="V71" s="104" t="n">
        <v>0</v>
      </c>
      <c r="W71" s="104" t="n">
        <v>0</v>
      </c>
      <c r="X71" s="104">
        <f>$V71+W71</f>
        <v/>
      </c>
      <c r="Y71" s="111">
        <f>IFERROR(A71/R71,0)</f>
        <v/>
      </c>
      <c r="Z71" s="111">
        <f>IFERROR(B71/U71,0)</f>
        <v/>
      </c>
      <c r="AA71" s="111">
        <f>IFERROR(C71/R71,0)</f>
        <v/>
      </c>
      <c r="AB71" s="111">
        <f>IFERROR(D71/U71,0)</f>
        <v/>
      </c>
      <c r="AD71" s="111">
        <f>IF(U71&gt;0,IFERROR(E71/U71,0),1)</f>
        <v/>
      </c>
      <c r="AE71" s="111">
        <f>IF(R71&gt;0,IFERROR(F71/R71,0),1)</f>
        <v/>
      </c>
      <c r="AF71" s="111">
        <f>IF(AL71&gt;0,IFERROR(G71/AL71,0),1)</f>
        <v/>
      </c>
      <c r="AG71" s="111">
        <f>IF(AM71&gt;0,IFERROR(H71/AM71,0),1)</f>
        <v/>
      </c>
      <c r="AH71" s="104">
        <f>U71-(V71+AN71+AR71)</f>
        <v/>
      </c>
      <c r="AI71" s="104">
        <f>R71-(V71+AO71+AR71)</f>
        <v/>
      </c>
      <c r="AJ71" s="104">
        <f>(AL71-AP71)</f>
        <v/>
      </c>
      <c r="AK71" s="104">
        <f>(AM71-AQ71)</f>
        <v/>
      </c>
      <c r="AL71" s="110">
        <f>S71+AI71</f>
        <v/>
      </c>
      <c r="AM71" s="110">
        <f>T71+AJ71</f>
        <v/>
      </c>
      <c r="AN71" s="104" t="n">
        <v>0</v>
      </c>
      <c r="AO71" s="104" t="n">
        <v>0</v>
      </c>
      <c r="AP71" s="104" t="n">
        <v>0</v>
      </c>
      <c r="AQ71" s="104" t="n">
        <v>0</v>
      </c>
      <c r="AR71" s="104" t="n">
        <v>0</v>
      </c>
      <c r="AS71" s="104" t="n"/>
      <c r="AT71" s="104" t="n"/>
    </row>
    <row r="72" ht="12.65" customHeight="1" s="79">
      <c r="A72" s="104">
        <f>MIN(V72,R72)</f>
        <v/>
      </c>
      <c r="B72" s="104">
        <f>MIN(V72,U72)</f>
        <v/>
      </c>
      <c r="C72" s="104">
        <f>MIN(X72,R72)</f>
        <v/>
      </c>
      <c r="D72" s="104">
        <f>MIN(X72,U72)</f>
        <v/>
      </c>
      <c r="E72" s="104">
        <f>MIN((V72+AN72+AR72),U72)</f>
        <v/>
      </c>
      <c r="F72" s="104">
        <f>MAX(MIN((V72+AO72+AR72),R72),0)</f>
        <v/>
      </c>
      <c r="G72" s="104">
        <f>MAX(MIN(AP72,AL72),0)</f>
        <v/>
      </c>
      <c r="H72" s="104">
        <f>MAX(MIN(AQ72,AM72),0)</f>
        <v/>
      </c>
      <c r="I72" s="105" t="inlineStr">
        <is>
          <t>CHANDRAPAL NEGI</t>
        </is>
      </c>
      <c r="J72" s="106" t="inlineStr">
        <is>
          <t>TRAVEL ACCESSORIES</t>
        </is>
      </c>
      <c r="K72" s="107" t="inlineStr">
        <is>
          <t>TA_LUGGAGE</t>
        </is>
      </c>
      <c r="L72" s="107" t="inlineStr">
        <is>
          <t>TA_L_UPRIGHT</t>
        </is>
      </c>
      <c r="M72" s="107" t="inlineStr">
        <is>
          <t>SML RGNL-[TAL04]</t>
        </is>
      </c>
      <c r="N72" s="107" t="inlineStr">
        <is>
          <t>ACTIVE</t>
        </is>
      </c>
      <c r="O72" s="108" t="n">
        <v>0.1075560561073</v>
      </c>
      <c r="P72" s="108" t="n">
        <v>0.06830284788145401</v>
      </c>
      <c r="Q72" s="109" t="n">
        <v>17</v>
      </c>
      <c r="R72" s="110" t="n">
        <v>319</v>
      </c>
      <c r="S72" s="110" t="n">
        <v>219.154718340102</v>
      </c>
      <c r="T72" s="110" t="n">
        <v>204.97922628962</v>
      </c>
      <c r="U72" s="110" t="n">
        <v>743.133944629721</v>
      </c>
      <c r="V72" s="104" t="n">
        <v>152</v>
      </c>
      <c r="W72" s="104" t="n">
        <v>0</v>
      </c>
      <c r="X72" s="104">
        <f>$V72+W72</f>
        <v/>
      </c>
      <c r="Y72" s="111">
        <f>IFERROR(A72/R72,0)</f>
        <v/>
      </c>
      <c r="Z72" s="111">
        <f>IFERROR(B72/U72,0)</f>
        <v/>
      </c>
      <c r="AA72" s="111">
        <f>IFERROR(C72/R72,0)</f>
        <v/>
      </c>
      <c r="AB72" s="111">
        <f>IFERROR(D72/U72,0)</f>
        <v/>
      </c>
      <c r="AD72" s="111">
        <f>IF(U72&gt;0,IFERROR(E72/U72,0),1)</f>
        <v/>
      </c>
      <c r="AE72" s="111">
        <f>IF(R72&gt;0,IFERROR(F72/R72,0),1)</f>
        <v/>
      </c>
      <c r="AF72" s="111">
        <f>IF(AL72&gt;0,IFERROR(G72/AL72,0),1)</f>
        <v/>
      </c>
      <c r="AG72" s="111">
        <f>IF(AM72&gt;0,IFERROR(H72/AM72,0),1)</f>
        <v/>
      </c>
      <c r="AH72" s="104">
        <f>U72-(V72+AN72+AR72)</f>
        <v/>
      </c>
      <c r="AI72" s="104">
        <f>R72-(V72+AO72+AR72)</f>
        <v/>
      </c>
      <c r="AJ72" s="104">
        <f>(AL72-AP72)</f>
        <v/>
      </c>
      <c r="AK72" s="104">
        <f>(AM72-AQ72)</f>
        <v/>
      </c>
      <c r="AL72" s="110">
        <f>S72+AI72</f>
        <v/>
      </c>
      <c r="AM72" s="110">
        <f>T72+AJ72</f>
        <v/>
      </c>
      <c r="AN72" s="104" t="n">
        <v>257</v>
      </c>
      <c r="AO72" s="104" t="n">
        <v>75</v>
      </c>
      <c r="AP72" s="104" t="n">
        <v>182</v>
      </c>
      <c r="AQ72" s="104" t="n">
        <v>0</v>
      </c>
      <c r="AR72" s="104" t="n">
        <v>0</v>
      </c>
      <c r="AS72" s="104" t="n"/>
      <c r="AT72" s="104" t="n"/>
    </row>
    <row r="73" ht="12.65" customHeight="1" s="79">
      <c r="A73" s="104">
        <f>MIN(V73,R73)</f>
        <v/>
      </c>
      <c r="B73" s="104">
        <f>MIN(V73,U73)</f>
        <v/>
      </c>
      <c r="C73" s="104">
        <f>MIN(X73,R73)</f>
        <v/>
      </c>
      <c r="D73" s="104">
        <f>MIN(X73,U73)</f>
        <v/>
      </c>
      <c r="E73" s="104">
        <f>MIN((V73+AN73+AR73),U73)</f>
        <v/>
      </c>
      <c r="F73" s="104">
        <f>MAX(MIN((V73+AO73+AR73),R73),0)</f>
        <v/>
      </c>
      <c r="G73" s="104">
        <f>MAX(MIN(AP73,AL73),0)</f>
        <v/>
      </c>
      <c r="H73" s="104">
        <f>MAX(MIN(AQ73,AM73),0)</f>
        <v/>
      </c>
      <c r="I73" s="105" t="inlineStr">
        <is>
          <t>CHANDRAPAL NEGI</t>
        </is>
      </c>
      <c r="J73" s="106" t="inlineStr">
        <is>
          <t>TRAVEL ACCESSORIES</t>
        </is>
      </c>
      <c r="K73" s="107" t="inlineStr">
        <is>
          <t>TA_LUGGAGE</t>
        </is>
      </c>
      <c r="L73" s="107" t="inlineStr">
        <is>
          <t>TA_L_UPRIGHT</t>
        </is>
      </c>
      <c r="M73" s="107" t="inlineStr">
        <is>
          <t>MDM RGNL-[TAL04]</t>
        </is>
      </c>
      <c r="N73" s="107" t="inlineStr">
        <is>
          <t>ACTIVE</t>
        </is>
      </c>
      <c r="O73" s="108" t="n">
        <v>0.108436688072945</v>
      </c>
      <c r="P73" s="108" t="n">
        <v>0.0699437234409096</v>
      </c>
      <c r="Q73" s="109" t="n">
        <v>17</v>
      </c>
      <c r="R73" s="110" t="n">
        <v>276</v>
      </c>
      <c r="S73" s="110" t="n">
        <v>214.602628303424</v>
      </c>
      <c r="T73" s="110" t="n">
        <v>218.168515484009</v>
      </c>
      <c r="U73" s="110" t="n">
        <v>708.771143787434</v>
      </c>
      <c r="V73" s="104" t="n">
        <v>144</v>
      </c>
      <c r="W73" s="104" t="n">
        <v>0</v>
      </c>
      <c r="X73" s="104">
        <f>$V73+W73</f>
        <v/>
      </c>
      <c r="Y73" s="111">
        <f>IFERROR(A73/R73,0)</f>
        <v/>
      </c>
      <c r="Z73" s="111">
        <f>IFERROR(B73/U73,0)</f>
        <v/>
      </c>
      <c r="AA73" s="111">
        <f>IFERROR(C73/R73,0)</f>
        <v/>
      </c>
      <c r="AB73" s="111">
        <f>IFERROR(D73/U73,0)</f>
        <v/>
      </c>
      <c r="AD73" s="111">
        <f>IF(U73&gt;0,IFERROR(E73/U73,0),1)</f>
        <v/>
      </c>
      <c r="AE73" s="111">
        <f>IF(R73&gt;0,IFERROR(F73/R73,0),1)</f>
        <v/>
      </c>
      <c r="AF73" s="111">
        <f>IF(AL73&gt;0,IFERROR(G73/AL73,0),1)</f>
        <v/>
      </c>
      <c r="AG73" s="111">
        <f>IF(AM73&gt;0,IFERROR(H73/AM73,0),1)</f>
        <v/>
      </c>
      <c r="AH73" s="104">
        <f>U73-(V73+AN73+AR73)</f>
        <v/>
      </c>
      <c r="AI73" s="104">
        <f>R73-(V73+AO73+AR73)</f>
        <v/>
      </c>
      <c r="AJ73" s="104">
        <f>(AL73-AP73)</f>
        <v/>
      </c>
      <c r="AK73" s="104">
        <f>(AM73-AQ73)</f>
        <v/>
      </c>
      <c r="AL73" s="110">
        <f>S73+AI73</f>
        <v/>
      </c>
      <c r="AM73" s="110">
        <f>T73+AJ73</f>
        <v/>
      </c>
      <c r="AN73" s="104" t="n">
        <v>84</v>
      </c>
      <c r="AO73" s="104" t="n">
        <v>84</v>
      </c>
      <c r="AP73" s="104" t="n">
        <v>0</v>
      </c>
      <c r="AQ73" s="104" t="n">
        <v>0</v>
      </c>
      <c r="AR73" s="104" t="n">
        <v>0</v>
      </c>
      <c r="AS73" s="104" t="n"/>
      <c r="AT73" s="104" t="n"/>
    </row>
    <row r="74" ht="12.65" customHeight="1" s="79">
      <c r="A74" s="104">
        <f>MIN(V74,R74)</f>
        <v/>
      </c>
      <c r="B74" s="104">
        <f>MIN(V74,U74)</f>
        <v/>
      </c>
      <c r="C74" s="104">
        <f>MIN(X74,R74)</f>
        <v/>
      </c>
      <c r="D74" s="104">
        <f>MIN(X74,U74)</f>
        <v/>
      </c>
      <c r="E74" s="104">
        <f>MIN((V74+AN74+AR74),U74)</f>
        <v/>
      </c>
      <c r="F74" s="104">
        <f>MAX(MIN((V74+AO74+AR74),R74),0)</f>
        <v/>
      </c>
      <c r="G74" s="104">
        <f>MAX(MIN(AP74,AL74),0)</f>
        <v/>
      </c>
      <c r="H74" s="104">
        <f>MAX(MIN(AQ74,AM74),0)</f>
        <v/>
      </c>
      <c r="I74" s="105" t="inlineStr">
        <is>
          <t>CHANDRAPAL NEGI</t>
        </is>
      </c>
      <c r="J74" s="106" t="inlineStr">
        <is>
          <t>TRAVEL ACCESSORIES</t>
        </is>
      </c>
      <c r="K74" s="107" t="inlineStr">
        <is>
          <t>TA_LUGGAGE</t>
        </is>
      </c>
      <c r="L74" s="107" t="inlineStr">
        <is>
          <t>TA_L_UPRIGHT</t>
        </is>
      </c>
      <c r="M74" s="107" t="inlineStr">
        <is>
          <t>MDM BRND-[TAL04]</t>
        </is>
      </c>
      <c r="N74" s="107" t="inlineStr">
        <is>
          <t>ACTIVE</t>
        </is>
      </c>
      <c r="O74" s="108" t="n">
        <v>0.103284124946513</v>
      </c>
      <c r="P74" s="108" t="n">
        <v>0.09118773946360149</v>
      </c>
      <c r="Q74" s="109" t="n">
        <v>17</v>
      </c>
      <c r="R74" s="110" t="n">
        <v>207</v>
      </c>
      <c r="S74" s="110" t="n">
        <v>251.835202131982</v>
      </c>
      <c r="T74" s="110" t="n">
        <v>223.829311519917</v>
      </c>
      <c r="U74" s="110" t="n">
        <v>682.664513651899</v>
      </c>
      <c r="V74" s="104" t="n">
        <v>251</v>
      </c>
      <c r="W74" s="104" t="n">
        <v>0</v>
      </c>
      <c r="X74" s="104">
        <f>$V74+W74</f>
        <v/>
      </c>
      <c r="Y74" s="111">
        <f>IFERROR(A74/R74,0)</f>
        <v/>
      </c>
      <c r="Z74" s="111">
        <f>IFERROR(B74/U74,0)</f>
        <v/>
      </c>
      <c r="AA74" s="111">
        <f>IFERROR(C74/R74,0)</f>
        <v/>
      </c>
      <c r="AB74" s="111">
        <f>IFERROR(D74/U74,0)</f>
        <v/>
      </c>
      <c r="AD74" s="111">
        <f>IF(U74&gt;0,IFERROR(E74/U74,0),1)</f>
        <v/>
      </c>
      <c r="AE74" s="111">
        <f>IF(R74&gt;0,IFERROR(F74/R74,0),1)</f>
        <v/>
      </c>
      <c r="AF74" s="111">
        <f>IF(AL74&gt;0,IFERROR(G74/AL74,0),1)</f>
        <v/>
      </c>
      <c r="AG74" s="111">
        <f>IF(AM74&gt;0,IFERROR(H74/AM74,0),1)</f>
        <v/>
      </c>
      <c r="AH74" s="104">
        <f>U74-(V74+AN74+AR74)</f>
        <v/>
      </c>
      <c r="AI74" s="104">
        <f>R74-(V74+AO74+AR74)</f>
        <v/>
      </c>
      <c r="AJ74" s="104">
        <f>(AL74-AP74)</f>
        <v/>
      </c>
      <c r="AK74" s="104">
        <f>(AM74-AQ74)</f>
        <v/>
      </c>
      <c r="AL74" s="110">
        <f>S74+AI74</f>
        <v/>
      </c>
      <c r="AM74" s="110">
        <f>T74+AJ74</f>
        <v/>
      </c>
      <c r="AN74" s="104" t="n">
        <v>180</v>
      </c>
      <c r="AO74" s="104" t="n">
        <v>24</v>
      </c>
      <c r="AP74" s="104" t="n">
        <v>156</v>
      </c>
      <c r="AQ74" s="104" t="n">
        <v>0</v>
      </c>
      <c r="AR74" s="104" t="n">
        <v>0</v>
      </c>
      <c r="AS74" s="104" t="n"/>
      <c r="AT74" s="104" t="n"/>
    </row>
    <row r="75" ht="12.65" customHeight="1" s="79">
      <c r="A75" s="104">
        <f>MIN(V75,R75)</f>
        <v/>
      </c>
      <c r="B75" s="104">
        <f>MIN(V75,U75)</f>
        <v/>
      </c>
      <c r="C75" s="104">
        <f>MIN(X75,R75)</f>
        <v/>
      </c>
      <c r="D75" s="104">
        <f>MIN(X75,U75)</f>
        <v/>
      </c>
      <c r="E75" s="104">
        <f>MIN((V75+AN75+AR75),U75)</f>
        <v/>
      </c>
      <c r="F75" s="104">
        <f>MAX(MIN((V75+AO75+AR75),R75),0)</f>
        <v/>
      </c>
      <c r="G75" s="104">
        <f>MAX(MIN(AP75,AL75),0)</f>
        <v/>
      </c>
      <c r="H75" s="104">
        <f>MAX(MIN(AQ75,AM75),0)</f>
        <v/>
      </c>
      <c r="I75" s="105" t="inlineStr">
        <is>
          <t>CHANDRAPAL NEGI</t>
        </is>
      </c>
      <c r="J75" s="106" t="inlineStr">
        <is>
          <t>TRAVEL ACCESSORIES</t>
        </is>
      </c>
      <c r="K75" s="107" t="inlineStr">
        <is>
          <t>TA_LUGGAGE</t>
        </is>
      </c>
      <c r="L75" s="107" t="inlineStr">
        <is>
          <t>TA_L_UPRIGHT</t>
        </is>
      </c>
      <c r="M75" s="107" t="inlineStr">
        <is>
          <t>SML BRND-[TAL04]</t>
        </is>
      </c>
      <c r="N75" s="107" t="inlineStr">
        <is>
          <t>ACTIVE</t>
        </is>
      </c>
      <c r="O75" s="108" t="n">
        <v>0.0833008278073939</v>
      </c>
      <c r="P75" s="108" t="n">
        <v>0.07128281866412731</v>
      </c>
      <c r="Q75" s="109" t="n">
        <v>17</v>
      </c>
      <c r="R75" s="110" t="n">
        <v>147</v>
      </c>
      <c r="S75" s="110" t="n">
        <v>174.739996179844</v>
      </c>
      <c r="T75" s="110" t="n">
        <v>194.28380973632</v>
      </c>
      <c r="U75" s="110" t="n">
        <v>516.023805916164</v>
      </c>
      <c r="V75" s="104" t="n">
        <v>223</v>
      </c>
      <c r="W75" s="104" t="n">
        <v>0</v>
      </c>
      <c r="X75" s="104">
        <f>$V75+W75</f>
        <v/>
      </c>
      <c r="Y75" s="111">
        <f>IFERROR(A75/R75,0)</f>
        <v/>
      </c>
      <c r="Z75" s="111">
        <f>IFERROR(B75/U75,0)</f>
        <v/>
      </c>
      <c r="AA75" s="111">
        <f>IFERROR(C75/R75,0)</f>
        <v/>
      </c>
      <c r="AB75" s="111">
        <f>IFERROR(D75/U75,0)</f>
        <v/>
      </c>
      <c r="AD75" s="111">
        <f>IF(U75&gt;0,IFERROR(E75/U75,0),1)</f>
        <v/>
      </c>
      <c r="AE75" s="111">
        <f>IF(R75&gt;0,IFERROR(F75/R75,0),1)</f>
        <v/>
      </c>
      <c r="AF75" s="111">
        <f>IF(AL75&gt;0,IFERROR(G75/AL75,0),1)</f>
        <v/>
      </c>
      <c r="AG75" s="111">
        <f>IF(AM75&gt;0,IFERROR(H75/AM75,0),1)</f>
        <v/>
      </c>
      <c r="AH75" s="104">
        <f>U75-(V75+AN75+AR75)</f>
        <v/>
      </c>
      <c r="AI75" s="104">
        <f>R75-(V75+AO75+AR75)</f>
        <v/>
      </c>
      <c r="AJ75" s="104">
        <f>(AL75-AP75)</f>
        <v/>
      </c>
      <c r="AK75" s="104">
        <f>(AM75-AQ75)</f>
        <v/>
      </c>
      <c r="AL75" s="110">
        <f>S75+AI75</f>
        <v/>
      </c>
      <c r="AM75" s="110">
        <f>T75+AJ75</f>
        <v/>
      </c>
      <c r="AN75" s="104" t="n">
        <v>208</v>
      </c>
      <c r="AO75" s="104" t="n">
        <v>20</v>
      </c>
      <c r="AP75" s="104" t="n">
        <v>188</v>
      </c>
      <c r="AQ75" s="104" t="n">
        <v>0</v>
      </c>
      <c r="AR75" s="104" t="n">
        <v>0</v>
      </c>
      <c r="AS75" s="104" t="n"/>
      <c r="AT75" s="104" t="n"/>
    </row>
    <row r="76" ht="12.65" customHeight="1" s="79">
      <c r="A76" s="104">
        <f>MIN(V76,R76)</f>
        <v/>
      </c>
      <c r="B76" s="104">
        <f>MIN(V76,U76)</f>
        <v/>
      </c>
      <c r="C76" s="104">
        <f>MIN(X76,R76)</f>
        <v/>
      </c>
      <c r="D76" s="104">
        <f>MIN(X76,U76)</f>
        <v/>
      </c>
      <c r="E76" s="104">
        <f>MIN((V76+AN76+AR76),U76)</f>
        <v/>
      </c>
      <c r="F76" s="104">
        <f>MAX(MIN((V76+AO76+AR76),R76),0)</f>
        <v/>
      </c>
      <c r="G76" s="104">
        <f>MAX(MIN(AP76,AL76),0)</f>
        <v/>
      </c>
      <c r="H76" s="104">
        <f>MAX(MIN(AQ76,AM76),0)</f>
        <v/>
      </c>
      <c r="I76" s="105" t="inlineStr">
        <is>
          <t>CHANDRAPAL NEGI</t>
        </is>
      </c>
      <c r="J76" s="106" t="inlineStr">
        <is>
          <t>TRAVEL ACCESSORIES</t>
        </is>
      </c>
      <c r="K76" s="107" t="inlineStr">
        <is>
          <t>TA_LUGGAGE</t>
        </is>
      </c>
      <c r="L76" s="107" t="inlineStr">
        <is>
          <t>TA_L_UPRIGHT</t>
        </is>
      </c>
      <c r="M76" s="107" t="inlineStr">
        <is>
          <t>COMBO BRND-[TAL04]</t>
        </is>
      </c>
      <c r="N76" s="107" t="inlineStr">
        <is>
          <t>ACTIVE</t>
        </is>
      </c>
      <c r="O76" s="108" t="n">
        <v>0.0830286083028608</v>
      </c>
      <c r="P76" s="108" t="n">
        <v>0.0580474934036939</v>
      </c>
      <c r="Q76" s="109" t="n">
        <v>17</v>
      </c>
      <c r="R76" s="110" t="n">
        <v>66</v>
      </c>
      <c r="S76" s="110" t="n">
        <v>97.0929042339328</v>
      </c>
      <c r="T76" s="110" t="n">
        <v>233.5848995646</v>
      </c>
      <c r="U76" s="110" t="n">
        <v>396.677803798533</v>
      </c>
      <c r="V76" s="104" t="n">
        <v>245</v>
      </c>
      <c r="W76" s="104" t="n">
        <v>0</v>
      </c>
      <c r="X76" s="104">
        <f>$V76+W76</f>
        <v/>
      </c>
      <c r="Y76" s="111">
        <f>IFERROR(A76/R76,0)</f>
        <v/>
      </c>
      <c r="Z76" s="111">
        <f>IFERROR(B76/U76,0)</f>
        <v/>
      </c>
      <c r="AA76" s="111">
        <f>IFERROR(C76/R76,0)</f>
        <v/>
      </c>
      <c r="AB76" s="111">
        <f>IFERROR(D76/U76,0)</f>
        <v/>
      </c>
      <c r="AD76" s="111">
        <f>IF(U76&gt;0,IFERROR(E76/U76,0),1)</f>
        <v/>
      </c>
      <c r="AE76" s="111">
        <f>IF(R76&gt;0,IFERROR(F76/R76,0),1)</f>
        <v/>
      </c>
      <c r="AF76" s="111">
        <f>IF(AL76&gt;0,IFERROR(G76/AL76,0),1)</f>
        <v/>
      </c>
      <c r="AG76" s="111">
        <f>IF(AM76&gt;0,IFERROR(H76/AM76,0),1)</f>
        <v/>
      </c>
      <c r="AH76" s="104">
        <f>U76-(V76+AN76+AR76)</f>
        <v/>
      </c>
      <c r="AI76" s="104">
        <f>R76-(V76+AO76+AR76)</f>
        <v/>
      </c>
      <c r="AJ76" s="104">
        <f>(AL76-AP76)</f>
        <v/>
      </c>
      <c r="AK76" s="104">
        <f>(AM76-AQ76)</f>
        <v/>
      </c>
      <c r="AL76" s="110">
        <f>S76+AI76</f>
        <v/>
      </c>
      <c r="AM76" s="110">
        <f>T76+AJ76</f>
        <v/>
      </c>
      <c r="AN76" s="104" t="n">
        <v>86</v>
      </c>
      <c r="AO76" s="104" t="n">
        <v>16</v>
      </c>
      <c r="AP76" s="104" t="n">
        <v>70</v>
      </c>
      <c r="AQ76" s="104" t="n">
        <v>0</v>
      </c>
      <c r="AR76" s="104" t="n">
        <v>0</v>
      </c>
      <c r="AS76" s="104" t="n"/>
      <c r="AT76" s="104" t="n"/>
    </row>
    <row r="77" ht="12.65" customHeight="1" s="79">
      <c r="A77" s="104">
        <f>MIN(V77,R77)</f>
        <v/>
      </c>
      <c r="B77" s="104">
        <f>MIN(V77,U77)</f>
        <v/>
      </c>
      <c r="C77" s="104">
        <f>MIN(X77,R77)</f>
        <v/>
      </c>
      <c r="D77" s="104">
        <f>MIN(X77,U77)</f>
        <v/>
      </c>
      <c r="E77" s="104">
        <f>MIN((V77+AN77+AR77),U77)</f>
        <v/>
      </c>
      <c r="F77" s="104">
        <f>MAX(MIN((V77+AO77+AR77),R77),0)</f>
        <v/>
      </c>
      <c r="G77" s="104">
        <f>MAX(MIN(AP77,AL77),0)</f>
        <v/>
      </c>
      <c r="H77" s="104">
        <f>MAX(MIN(AQ77,AM77),0)</f>
        <v/>
      </c>
      <c r="I77" s="105" t="inlineStr">
        <is>
          <t>CHANDRAPAL NEGI</t>
        </is>
      </c>
      <c r="J77" s="106" t="inlineStr">
        <is>
          <t>TRAVEL ACCESSORIES</t>
        </is>
      </c>
      <c r="K77" s="107" t="inlineStr">
        <is>
          <t>TA_LUGGAGE</t>
        </is>
      </c>
      <c r="L77" s="107" t="inlineStr">
        <is>
          <t>TA_L_UPRIGHT</t>
        </is>
      </c>
      <c r="M77" s="107" t="inlineStr">
        <is>
          <t>LRG BRND-[TAL04]</t>
        </is>
      </c>
      <c r="N77" s="107" t="inlineStr">
        <is>
          <t>ACTIVE</t>
        </is>
      </c>
      <c r="O77" s="108" t="n">
        <v>0.0575657894736842</v>
      </c>
      <c r="P77" s="108" t="n">
        <v>0.0330214639515685</v>
      </c>
      <c r="Q77" s="109" t="n">
        <v>17</v>
      </c>
      <c r="R77" s="110" t="n">
        <v>57</v>
      </c>
      <c r="S77" s="110" t="n">
        <v>54.0185789036292</v>
      </c>
      <c r="T77" s="110" t="n">
        <v>78.0317541805191</v>
      </c>
      <c r="U77" s="110" t="n">
        <v>189.050333084148</v>
      </c>
      <c r="V77" s="104" t="n">
        <v>64</v>
      </c>
      <c r="W77" s="104" t="n">
        <v>0</v>
      </c>
      <c r="X77" s="104">
        <f>$V77+W77</f>
        <v/>
      </c>
      <c r="Y77" s="111">
        <f>IFERROR(A77/R77,0)</f>
        <v/>
      </c>
      <c r="Z77" s="111">
        <f>IFERROR(B77/U77,0)</f>
        <v/>
      </c>
      <c r="AA77" s="111">
        <f>IFERROR(C77/R77,0)</f>
        <v/>
      </c>
      <c r="AB77" s="111">
        <f>IFERROR(D77/U77,0)</f>
        <v/>
      </c>
      <c r="AD77" s="111">
        <f>IF(U77&gt;0,IFERROR(E77/U77,0),1)</f>
        <v/>
      </c>
      <c r="AE77" s="111">
        <f>IF(R77&gt;0,IFERROR(F77/R77,0),1)</f>
        <v/>
      </c>
      <c r="AF77" s="111">
        <f>IF(AL77&gt;0,IFERROR(G77/AL77,0),1)</f>
        <v/>
      </c>
      <c r="AG77" s="111">
        <f>IF(AM77&gt;0,IFERROR(H77/AM77,0),1)</f>
        <v/>
      </c>
      <c r="AH77" s="104">
        <f>U77-(V77+AN77+AR77)</f>
        <v/>
      </c>
      <c r="AI77" s="104">
        <f>R77-(V77+AO77+AR77)</f>
        <v/>
      </c>
      <c r="AJ77" s="104">
        <f>(AL77-AP77)</f>
        <v/>
      </c>
      <c r="AK77" s="104">
        <f>(AM77-AQ77)</f>
        <v/>
      </c>
      <c r="AL77" s="110">
        <f>S77+AI77</f>
        <v/>
      </c>
      <c r="AM77" s="110">
        <f>T77+AJ77</f>
        <v/>
      </c>
      <c r="AN77" s="104" t="n">
        <v>23</v>
      </c>
      <c r="AO77" s="104" t="n">
        <v>2</v>
      </c>
      <c r="AP77" s="104" t="n">
        <v>21</v>
      </c>
      <c r="AQ77" s="104" t="n">
        <v>0</v>
      </c>
      <c r="AR77" s="104" t="n">
        <v>0</v>
      </c>
      <c r="AS77" s="104" t="n"/>
      <c r="AT77" s="104" t="n"/>
    </row>
    <row r="78" ht="12.65" customHeight="1" s="79">
      <c r="A78" s="104">
        <f>MIN(V78,R78)</f>
        <v/>
      </c>
      <c r="B78" s="104">
        <f>MIN(V78,U78)</f>
        <v/>
      </c>
      <c r="C78" s="104">
        <f>MIN(X78,R78)</f>
        <v/>
      </c>
      <c r="D78" s="104">
        <f>MIN(X78,U78)</f>
        <v/>
      </c>
      <c r="E78" s="104">
        <f>MIN((V78+AN78+AR78),U78)</f>
        <v/>
      </c>
      <c r="F78" s="104">
        <f>MAX(MIN((V78+AO78+AR78),R78),0)</f>
        <v/>
      </c>
      <c r="G78" s="104">
        <f>MAX(MIN(AP78,AL78),0)</f>
        <v/>
      </c>
      <c r="H78" s="104">
        <f>MAX(MIN(AQ78,AM78),0)</f>
        <v/>
      </c>
      <c r="I78" s="105" t="inlineStr">
        <is>
          <t>CHANDRAPAL NEGI</t>
        </is>
      </c>
      <c r="J78" s="106" t="inlineStr">
        <is>
          <t>TRAVEL ACCESSORIES</t>
        </is>
      </c>
      <c r="K78" s="107" t="inlineStr">
        <is>
          <t>TA_LUGGAGE</t>
        </is>
      </c>
      <c r="L78" s="107" t="inlineStr">
        <is>
          <t>TA_L_UPRIGHT</t>
        </is>
      </c>
      <c r="M78" s="107" t="inlineStr">
        <is>
          <t>LRG RGNL-[TAL04]</t>
        </is>
      </c>
      <c r="N78" s="107" t="inlineStr">
        <is>
          <t>ACTIVE</t>
        </is>
      </c>
      <c r="O78" s="108" t="n">
        <v>0.0634550084889644</v>
      </c>
      <c r="P78" s="108" t="n">
        <v>0.0165380374862183</v>
      </c>
      <c r="Q78" s="109" t="n">
        <v>17</v>
      </c>
      <c r="R78" s="110" t="n">
        <v>0</v>
      </c>
      <c r="S78" s="110" t="n">
        <v>0</v>
      </c>
      <c r="T78" s="110" t="n">
        <v>9.00177137765878</v>
      </c>
      <c r="U78" s="110" t="n">
        <v>9.00177137765878</v>
      </c>
      <c r="V78" s="104" t="n">
        <v>0</v>
      </c>
      <c r="W78" s="104" t="n">
        <v>0</v>
      </c>
      <c r="X78" s="104">
        <f>$V78+W78</f>
        <v/>
      </c>
      <c r="Y78" s="111">
        <f>IFERROR(A78/R78,0)</f>
        <v/>
      </c>
      <c r="Z78" s="111">
        <f>IFERROR(B78/U78,0)</f>
        <v/>
      </c>
      <c r="AA78" s="111">
        <f>IFERROR(C78/R78,0)</f>
        <v/>
      </c>
      <c r="AB78" s="111">
        <f>IFERROR(D78/U78,0)</f>
        <v/>
      </c>
      <c r="AD78" s="111">
        <f>IF(U78&gt;0,IFERROR(E78/U78,0),1)</f>
        <v/>
      </c>
      <c r="AE78" s="111">
        <f>IF(R78&gt;0,IFERROR(F78/R78,0),1)</f>
        <v/>
      </c>
      <c r="AF78" s="111">
        <f>IF(AL78&gt;0,IFERROR(G78/AL78,0),1)</f>
        <v/>
      </c>
      <c r="AG78" s="111">
        <f>IF(AM78&gt;0,IFERROR(H78/AM78,0),1)</f>
        <v/>
      </c>
      <c r="AH78" s="104">
        <f>U78-(V78+AN78+AR78)</f>
        <v/>
      </c>
      <c r="AI78" s="104">
        <f>R78-(V78+AO78+AR78)</f>
        <v/>
      </c>
      <c r="AJ78" s="104">
        <f>(AL78-AP78)</f>
        <v/>
      </c>
      <c r="AK78" s="104">
        <f>(AM78-AQ78)</f>
        <v/>
      </c>
      <c r="AL78" s="110">
        <f>S78+AI78</f>
        <v/>
      </c>
      <c r="AM78" s="110">
        <f>T78+AJ78</f>
        <v/>
      </c>
      <c r="AN78" s="104" t="n">
        <v>0</v>
      </c>
      <c r="AO78" s="104" t="n">
        <v>0</v>
      </c>
      <c r="AP78" s="104" t="n">
        <v>0</v>
      </c>
      <c r="AQ78" s="104" t="n">
        <v>0</v>
      </c>
      <c r="AR78" s="104" t="n">
        <v>0</v>
      </c>
      <c r="AS78" s="104" t="n"/>
      <c r="AT78" s="104" t="n"/>
    </row>
    <row r="79" ht="12.65" customHeight="1" s="79">
      <c r="A79" s="104">
        <f>MIN(V79,R79)</f>
        <v/>
      </c>
      <c r="B79" s="104">
        <f>MIN(V79,U79)</f>
        <v/>
      </c>
      <c r="C79" s="104">
        <f>MIN(X79,R79)</f>
        <v/>
      </c>
      <c r="D79" s="104">
        <f>MIN(X79,U79)</f>
        <v/>
      </c>
      <c r="E79" s="104">
        <f>MIN((V79+AN79+AR79),U79)</f>
        <v/>
      </c>
      <c r="F79" s="104">
        <f>MAX(MIN((V79+AO79+AR79),R79),0)</f>
        <v/>
      </c>
      <c r="G79" s="104">
        <f>MAX(MIN(AP79,AL79),0)</f>
        <v/>
      </c>
      <c r="H79" s="104">
        <f>MAX(MIN(AQ79,AM79),0)</f>
        <v/>
      </c>
      <c r="I79" s="105" t="inlineStr">
        <is>
          <t>CHANDRAPAL NEGI</t>
        </is>
      </c>
      <c r="J79" s="106" t="inlineStr">
        <is>
          <t>TRAVEL ACCESSORIES</t>
        </is>
      </c>
      <c r="K79" s="107" t="inlineStr">
        <is>
          <t>TA_PORTFOLIO</t>
        </is>
      </c>
      <c r="L79" s="107" t="inlineStr">
        <is>
          <t>TA_P_BACKPACK</t>
        </is>
      </c>
      <c r="M79" s="107" t="inlineStr">
        <is>
          <t>BKPK POLY 599-[TAP02]</t>
        </is>
      </c>
      <c r="N79" s="107" t="inlineStr">
        <is>
          <t>ACTIVE</t>
        </is>
      </c>
      <c r="O79" s="108" t="n">
        <v>0.120641778441115</v>
      </c>
      <c r="P79" s="108" t="n">
        <v>0.129335565738456</v>
      </c>
      <c r="Q79" s="109" t="n">
        <v>10</v>
      </c>
      <c r="R79" s="110" t="n">
        <v>14167</v>
      </c>
      <c r="S79" s="110" t="n">
        <v>19736.5376108884</v>
      </c>
      <c r="T79" s="110" t="n">
        <v>4641.5992173782</v>
      </c>
      <c r="U79" s="110" t="n">
        <v>38545.1368282666</v>
      </c>
      <c r="V79" s="104" t="n">
        <v>11196</v>
      </c>
      <c r="W79" s="104" t="n">
        <v>2400</v>
      </c>
      <c r="X79" s="104">
        <f>$V79+W79</f>
        <v/>
      </c>
      <c r="Y79" s="111">
        <f>IFERROR(A79/R79,0)</f>
        <v/>
      </c>
      <c r="Z79" s="111">
        <f>IFERROR(B79/U79,0)</f>
        <v/>
      </c>
      <c r="AA79" s="111">
        <f>IFERROR(C79/R79,0)</f>
        <v/>
      </c>
      <c r="AB79" s="111">
        <f>IFERROR(D79/U79,0)</f>
        <v/>
      </c>
      <c r="AD79" s="111">
        <f>IF(U79&gt;0,IFERROR(E79/U79,0),1)</f>
        <v/>
      </c>
      <c r="AE79" s="111">
        <f>IF(R79&gt;0,IFERROR(F79/R79,0),1)</f>
        <v/>
      </c>
      <c r="AF79" s="111">
        <f>IF(AL79&gt;0,IFERROR(G79/AL79,0),1)</f>
        <v/>
      </c>
      <c r="AG79" s="111">
        <f>IF(AM79&gt;0,IFERROR(H79/AM79,0),1)</f>
        <v/>
      </c>
      <c r="AH79" s="104">
        <f>U79-(V79+AN79+AR79)</f>
        <v/>
      </c>
      <c r="AI79" s="104">
        <f>R79-(V79+AO79+AR79)</f>
        <v/>
      </c>
      <c r="AJ79" s="104">
        <f>(AL79-AP79)</f>
        <v/>
      </c>
      <c r="AK79" s="104">
        <f>(AM79-AQ79)</f>
        <v/>
      </c>
      <c r="AL79" s="110">
        <f>S79+AI79</f>
        <v/>
      </c>
      <c r="AM79" s="110">
        <f>T79+AJ79</f>
        <v/>
      </c>
      <c r="AN79" s="104" t="n">
        <v>28800</v>
      </c>
      <c r="AO79" s="104" t="n">
        <v>2400</v>
      </c>
      <c r="AP79" s="104" t="n">
        <v>18000</v>
      </c>
      <c r="AQ79" s="104" t="n">
        <v>8400</v>
      </c>
      <c r="AR79" s="104" t="n">
        <v>0</v>
      </c>
      <c r="AS79" s="104" t="n"/>
      <c r="AT79" s="104" t="n"/>
    </row>
    <row r="80" ht="12.65" customHeight="1" s="79">
      <c r="A80" s="104">
        <f>MIN(V80,R80)</f>
        <v/>
      </c>
      <c r="B80" s="104">
        <f>MIN(V80,U80)</f>
        <v/>
      </c>
      <c r="C80" s="104">
        <f>MIN(X80,R80)</f>
        <v/>
      </c>
      <c r="D80" s="104">
        <f>MIN(X80,U80)</f>
        <v/>
      </c>
      <c r="E80" s="104">
        <f>MIN((V80+AN80+AR80),U80)</f>
        <v/>
      </c>
      <c r="F80" s="104">
        <f>MAX(MIN((V80+AO80+AR80),R80),0)</f>
        <v/>
      </c>
      <c r="G80" s="104">
        <f>MAX(MIN(AP80,AL80),0)</f>
        <v/>
      </c>
      <c r="H80" s="104">
        <f>MAX(MIN(AQ80,AM80),0)</f>
        <v/>
      </c>
      <c r="I80" s="105" t="inlineStr">
        <is>
          <t>CHANDRAPAL NEGI</t>
        </is>
      </c>
      <c r="J80" s="106" t="inlineStr">
        <is>
          <t>TRAVEL ACCESSORIES</t>
        </is>
      </c>
      <c r="K80" s="107" t="inlineStr">
        <is>
          <t>TA_PORTFOLIO</t>
        </is>
      </c>
      <c r="L80" s="107" t="inlineStr">
        <is>
          <t>TA_P_BACKPACK</t>
        </is>
      </c>
      <c r="M80" s="107" t="inlineStr">
        <is>
          <t>BKPK POLY BRND-[TAP02]</t>
        </is>
      </c>
      <c r="N80" s="107" t="inlineStr">
        <is>
          <t>ACTIVE</t>
        </is>
      </c>
      <c r="O80" s="108" t="n">
        <v>0.142972112390217</v>
      </c>
      <c r="P80" s="108" t="n">
        <v>0.147287436548223</v>
      </c>
      <c r="Q80" s="109" t="n">
        <v>10</v>
      </c>
      <c r="R80" s="110" t="n">
        <v>961</v>
      </c>
      <c r="S80" s="110" t="n">
        <v>759.633226477778</v>
      </c>
      <c r="T80" s="110" t="n">
        <v>175.772080438679</v>
      </c>
      <c r="U80" s="110" t="n">
        <v>1896.40530691646</v>
      </c>
      <c r="V80" s="104" t="n">
        <v>1990</v>
      </c>
      <c r="W80" s="104" t="n">
        <v>0</v>
      </c>
      <c r="X80" s="104">
        <f>$V80+W80</f>
        <v/>
      </c>
      <c r="Y80" s="111">
        <f>IFERROR(A80/R80,0)</f>
        <v/>
      </c>
      <c r="Z80" s="111">
        <f>IFERROR(B80/U80,0)</f>
        <v/>
      </c>
      <c r="AA80" s="111">
        <f>IFERROR(C80/R80,0)</f>
        <v/>
      </c>
      <c r="AB80" s="111">
        <f>IFERROR(D80/U80,0)</f>
        <v/>
      </c>
      <c r="AD80" s="111">
        <f>IF(U80&gt;0,IFERROR(E80/U80,0),1)</f>
        <v/>
      </c>
      <c r="AE80" s="111">
        <f>IF(R80&gt;0,IFERROR(F80/R80,0),1)</f>
        <v/>
      </c>
      <c r="AF80" s="111">
        <f>IF(AL80&gt;0,IFERROR(G80/AL80,0),1)</f>
        <v/>
      </c>
      <c r="AG80" s="111">
        <f>IF(AM80&gt;0,IFERROR(H80/AM80,0),1)</f>
        <v/>
      </c>
      <c r="AH80" s="104">
        <f>U80-(V80+AN80+AR80)</f>
        <v/>
      </c>
      <c r="AI80" s="104">
        <f>R80-(V80+AO80+AR80)</f>
        <v/>
      </c>
      <c r="AJ80" s="104">
        <f>(AL80-AP80)</f>
        <v/>
      </c>
      <c r="AK80" s="104">
        <f>(AM80-AQ80)</f>
        <v/>
      </c>
      <c r="AL80" s="110">
        <f>S80+AI80</f>
        <v/>
      </c>
      <c r="AM80" s="110">
        <f>T80+AJ80</f>
        <v/>
      </c>
      <c r="AN80" s="104" t="n">
        <v>2264</v>
      </c>
      <c r="AO80" s="104" t="n">
        <v>2086</v>
      </c>
      <c r="AP80" s="104" t="n">
        <v>178</v>
      </c>
      <c r="AQ80" s="104" t="n">
        <v>0</v>
      </c>
      <c r="AR80" s="104" t="n">
        <v>0</v>
      </c>
      <c r="AS80" s="104" t="n"/>
      <c r="AT80" s="104" t="n"/>
    </row>
    <row r="81" ht="12.65" customHeight="1" s="79">
      <c r="A81" s="104">
        <f>MIN(V81,R81)</f>
        <v/>
      </c>
      <c r="B81" s="104">
        <f>MIN(V81,U81)</f>
        <v/>
      </c>
      <c r="C81" s="104">
        <f>MIN(X81,R81)</f>
        <v/>
      </c>
      <c r="D81" s="104">
        <f>MIN(X81,U81)</f>
        <v/>
      </c>
      <c r="E81" s="104">
        <f>MIN((V81+AN81+AR81),U81)</f>
        <v/>
      </c>
      <c r="F81" s="104">
        <f>MAX(MIN((V81+AO81+AR81),R81),0)</f>
        <v/>
      </c>
      <c r="G81" s="104">
        <f>MAX(MIN(AP81,AL81),0)</f>
        <v/>
      </c>
      <c r="H81" s="104">
        <f>MAX(MIN(AQ81,AM81),0)</f>
        <v/>
      </c>
      <c r="I81" s="105" t="inlineStr">
        <is>
          <t>CHANDRAPAL NEGI</t>
        </is>
      </c>
      <c r="J81" s="106" t="inlineStr">
        <is>
          <t>TRAVEL ACCESSORIES</t>
        </is>
      </c>
      <c r="K81" s="107" t="inlineStr">
        <is>
          <t>TA_PORTFOLIO</t>
        </is>
      </c>
      <c r="L81" s="107" t="inlineStr">
        <is>
          <t>TA_P_SCHOOL BAG</t>
        </is>
      </c>
      <c r="M81" s="107" t="inlineStr">
        <is>
          <t>SCH JR 199-[TAP02]</t>
        </is>
      </c>
      <c r="N81" s="107" t="inlineStr">
        <is>
          <t>ACTIVE</t>
        </is>
      </c>
      <c r="O81" s="108" t="n">
        <v>0.095396176162846</v>
      </c>
      <c r="P81" s="108" t="n">
        <v>0.126536078143052</v>
      </c>
      <c r="Q81" s="109" t="n">
        <v>82</v>
      </c>
      <c r="R81" s="110" t="n">
        <v>4905</v>
      </c>
      <c r="S81" s="110" t="n">
        <v>5288.12617722488</v>
      </c>
      <c r="T81" s="110" t="n">
        <v>1259.04565974216</v>
      </c>
      <c r="U81" s="110" t="n">
        <v>11452.171836967</v>
      </c>
      <c r="V81" s="104" t="n">
        <v>3600</v>
      </c>
      <c r="W81" s="104" t="n">
        <v>1920</v>
      </c>
      <c r="X81" s="104">
        <f>$V81+W81</f>
        <v/>
      </c>
      <c r="Y81" s="111">
        <f>IFERROR(A81/R81,0)</f>
        <v/>
      </c>
      <c r="Z81" s="111">
        <f>IFERROR(B81/U81,0)</f>
        <v/>
      </c>
      <c r="AA81" s="111">
        <f>IFERROR(C81/R81,0)</f>
        <v/>
      </c>
      <c r="AB81" s="111">
        <f>IFERROR(D81/U81,0)</f>
        <v/>
      </c>
      <c r="AD81" s="111">
        <f>IF(U81&gt;0,IFERROR(E81/U81,0),1)</f>
        <v/>
      </c>
      <c r="AE81" s="111">
        <f>IF(R81&gt;0,IFERROR(F81/R81,0),1)</f>
        <v/>
      </c>
      <c r="AF81" s="111">
        <f>IF(AL81&gt;0,IFERROR(G81/AL81,0),1)</f>
        <v/>
      </c>
      <c r="AG81" s="111">
        <f>IF(AM81&gt;0,IFERROR(H81/AM81,0),1)</f>
        <v/>
      </c>
      <c r="AH81" s="104">
        <f>U81-(V81+AN81+AR81)</f>
        <v/>
      </c>
      <c r="AI81" s="104">
        <f>R81-(V81+AO81+AR81)</f>
        <v/>
      </c>
      <c r="AJ81" s="104">
        <f>(AL81-AP81)</f>
        <v/>
      </c>
      <c r="AK81" s="104">
        <f>(AM81-AQ81)</f>
        <v/>
      </c>
      <c r="AL81" s="110">
        <f>S81+AI81</f>
        <v/>
      </c>
      <c r="AM81" s="110">
        <f>T81+AJ81</f>
        <v/>
      </c>
      <c r="AN81" s="104" t="n">
        <v>10560</v>
      </c>
      <c r="AO81" s="104" t="n">
        <v>1920</v>
      </c>
      <c r="AP81" s="104" t="n">
        <v>6720</v>
      </c>
      <c r="AQ81" s="104" t="n">
        <v>1920</v>
      </c>
      <c r="AR81" s="104" t="n">
        <v>0</v>
      </c>
      <c r="AS81" s="104" t="n"/>
      <c r="AT81" s="104" t="n"/>
    </row>
    <row r="82" ht="12.65" customHeight="1" s="79">
      <c r="A82" s="104">
        <f>MIN(V82,R82)</f>
        <v/>
      </c>
      <c r="B82" s="104">
        <f>MIN(V82,U82)</f>
        <v/>
      </c>
      <c r="C82" s="104">
        <f>MIN(X82,R82)</f>
        <v/>
      </c>
      <c r="D82" s="104">
        <f>MIN(X82,U82)</f>
        <v/>
      </c>
      <c r="E82" s="104">
        <f>MIN((V82+AN82+AR82),U82)</f>
        <v/>
      </c>
      <c r="F82" s="104">
        <f>MAX(MIN((V82+AO82+AR82),R82),0)</f>
        <v/>
      </c>
      <c r="G82" s="104">
        <f>MAX(MIN(AP82,AL82),0)</f>
        <v/>
      </c>
      <c r="H82" s="104">
        <f>MAX(MIN(AQ82,AM82),0)</f>
        <v/>
      </c>
      <c r="I82" s="105" t="inlineStr">
        <is>
          <t>KAMLESH SINGH</t>
        </is>
      </c>
      <c r="J82" s="106" t="inlineStr">
        <is>
          <t>FOOTWEAR</t>
        </is>
      </c>
      <c r="K82" s="107" t="inlineStr">
        <is>
          <t>FW_KIDS FOOTWEAR</t>
        </is>
      </c>
      <c r="L82" s="107" t="inlineStr">
        <is>
          <t>FW_B_SANDAL</t>
        </is>
      </c>
      <c r="M82" s="107" t="inlineStr">
        <is>
          <t>CROCS 199-[FWK01]</t>
        </is>
      </c>
      <c r="N82" s="107" t="inlineStr">
        <is>
          <t>ACTIVE</t>
        </is>
      </c>
      <c r="O82" s="108" t="n">
        <v>0.145882700796215</v>
      </c>
      <c r="P82" s="108" t="n">
        <v>0.142031809325298</v>
      </c>
      <c r="Q82" s="109" t="n">
        <v>40</v>
      </c>
      <c r="R82" s="110" t="n">
        <v>3726</v>
      </c>
      <c r="S82" s="110" t="n">
        <v>2212.06097946332</v>
      </c>
      <c r="T82" s="110" t="n">
        <v>3209.58519986158</v>
      </c>
      <c r="U82" s="110" t="n">
        <v>9147.6461793249</v>
      </c>
      <c r="V82" s="104" t="n">
        <v>3600</v>
      </c>
      <c r="W82" s="104" t="n">
        <v>3600</v>
      </c>
      <c r="X82" s="104">
        <f>$V82+W82</f>
        <v/>
      </c>
      <c r="Y82" s="111">
        <f>IFERROR(A82/R82,0)</f>
        <v/>
      </c>
      <c r="Z82" s="111">
        <f>IFERROR(B82/U82,0)</f>
        <v/>
      </c>
      <c r="AA82" s="111">
        <f>IFERROR(C82/R82,0)</f>
        <v/>
      </c>
      <c r="AB82" s="111">
        <f>IFERROR(D82/U82,0)</f>
        <v/>
      </c>
      <c r="AD82" s="111">
        <f>IF(U82&gt;0,IFERROR(E82/U82,0),1)</f>
        <v/>
      </c>
      <c r="AE82" s="111">
        <f>IF(R82&gt;0,IFERROR(F82/R82,0),1)</f>
        <v/>
      </c>
      <c r="AF82" s="111">
        <f>IF(AL82&gt;0,IFERROR(G82/AL82,0),1)</f>
        <v/>
      </c>
      <c r="AG82" s="111">
        <f>IF(AM82&gt;0,IFERROR(H82/AM82,0),1)</f>
        <v/>
      </c>
      <c r="AH82" s="104">
        <f>U82-(V82+AN82+AR82)</f>
        <v/>
      </c>
      <c r="AI82" s="104">
        <f>R82-(V82+AO82+AR82)</f>
        <v/>
      </c>
      <c r="AJ82" s="104">
        <f>(AL82-AP82)</f>
        <v/>
      </c>
      <c r="AK82" s="104">
        <f>(AM82-AQ82)</f>
        <v/>
      </c>
      <c r="AL82" s="110">
        <f>S82+AI82</f>
        <v/>
      </c>
      <c r="AM82" s="110">
        <f>T82+AJ82</f>
        <v/>
      </c>
      <c r="AN82" s="104" t="n">
        <v>14400</v>
      </c>
      <c r="AO82" s="104" t="n">
        <v>0</v>
      </c>
      <c r="AP82" s="104" t="n">
        <v>7200</v>
      </c>
      <c r="AQ82" s="104" t="n">
        <v>7200</v>
      </c>
      <c r="AR82" s="104" t="n">
        <v>0</v>
      </c>
      <c r="AS82" s="104" t="n"/>
      <c r="AT82" s="104" t="n"/>
    </row>
    <row r="83" ht="12.65" customHeight="1" s="79">
      <c r="A83" s="104">
        <f>MIN(V83,R83)</f>
        <v/>
      </c>
      <c r="B83" s="104">
        <f>MIN(V83,U83)</f>
        <v/>
      </c>
      <c r="C83" s="104">
        <f>MIN(X83,R83)</f>
        <v/>
      </c>
      <c r="D83" s="104">
        <f>MIN(X83,U83)</f>
        <v/>
      </c>
      <c r="E83" s="104">
        <f>MIN((V83+AN83+AR83),U83)</f>
        <v/>
      </c>
      <c r="F83" s="104">
        <f>MAX(MIN((V83+AO83+AR83),R83),0)</f>
        <v/>
      </c>
      <c r="G83" s="104">
        <f>MAX(MIN(AP83,AL83),0)</f>
        <v/>
      </c>
      <c r="H83" s="104">
        <f>MAX(MIN(AQ83,AM83),0)</f>
        <v/>
      </c>
      <c r="I83" s="105" t="inlineStr">
        <is>
          <t>KAMLESH SINGH</t>
        </is>
      </c>
      <c r="J83" s="106" t="inlineStr">
        <is>
          <t>FOOTWEAR</t>
        </is>
      </c>
      <c r="K83" s="107" t="inlineStr">
        <is>
          <t>FW_KIDS FOOTWEAR</t>
        </is>
      </c>
      <c r="L83" s="107" t="inlineStr">
        <is>
          <t>FW_B_SANDAL</t>
        </is>
      </c>
      <c r="M83" s="107" t="inlineStr">
        <is>
          <t>CSL 149-[FWK01]</t>
        </is>
      </c>
      <c r="N83" s="107" t="inlineStr">
        <is>
          <t>ACTIVE</t>
        </is>
      </c>
      <c r="O83" s="108" t="n">
        <v>0.135540662534357</v>
      </c>
      <c r="P83" s="108" t="n">
        <v>0.101665336130553</v>
      </c>
      <c r="Q83" s="109" t="n">
        <v>40</v>
      </c>
      <c r="R83" s="110" t="n">
        <v>5186</v>
      </c>
      <c r="S83" s="110" t="n">
        <v>1382.6029488562</v>
      </c>
      <c r="T83" s="110" t="n">
        <v>2543.7065686998</v>
      </c>
      <c r="U83" s="110" t="n">
        <v>9112.309517555999</v>
      </c>
      <c r="V83" s="104" t="n">
        <v>1920</v>
      </c>
      <c r="W83" s="104" t="n">
        <v>3600</v>
      </c>
      <c r="X83" s="104">
        <f>$V83+W83</f>
        <v/>
      </c>
      <c r="Y83" s="111">
        <f>IFERROR(A83/R83,0)</f>
        <v/>
      </c>
      <c r="Z83" s="111">
        <f>IFERROR(B83/U83,0)</f>
        <v/>
      </c>
      <c r="AA83" s="111">
        <f>IFERROR(C83/R83,0)</f>
        <v/>
      </c>
      <c r="AB83" s="111">
        <f>IFERROR(D83/U83,0)</f>
        <v/>
      </c>
      <c r="AD83" s="111">
        <f>IF(U83&gt;0,IFERROR(E83/U83,0),1)</f>
        <v/>
      </c>
      <c r="AE83" s="111">
        <f>IF(R83&gt;0,IFERROR(F83/R83,0),1)</f>
        <v/>
      </c>
      <c r="AF83" s="111">
        <f>IF(AL83&gt;0,IFERROR(G83/AL83,0),1)</f>
        <v/>
      </c>
      <c r="AG83" s="111">
        <f>IF(AM83&gt;0,IFERROR(H83/AM83,0),1)</f>
        <v/>
      </c>
      <c r="AH83" s="104">
        <f>U83-(V83+AN83+AR83)</f>
        <v/>
      </c>
      <c r="AI83" s="104">
        <f>R83-(V83+AO83+AR83)</f>
        <v/>
      </c>
      <c r="AJ83" s="104">
        <f>(AL83-AP83)</f>
        <v/>
      </c>
      <c r="AK83" s="104">
        <f>(AM83-AQ83)</f>
        <v/>
      </c>
      <c r="AL83" s="110">
        <f>S83+AI83</f>
        <v/>
      </c>
      <c r="AM83" s="110">
        <f>T83+AJ83</f>
        <v/>
      </c>
      <c r="AN83" s="104" t="n">
        <v>10800</v>
      </c>
      <c r="AO83" s="104" t="n">
        <v>3600</v>
      </c>
      <c r="AP83" s="104" t="n">
        <v>3600</v>
      </c>
      <c r="AQ83" s="104" t="n">
        <v>3600</v>
      </c>
      <c r="AR83" s="104" t="n">
        <v>0</v>
      </c>
      <c r="AS83" s="104" t="n"/>
      <c r="AT83" s="104" t="n"/>
    </row>
    <row r="84" ht="12.65" customHeight="1" s="79">
      <c r="A84" s="104">
        <f>MIN(V84,R84)</f>
        <v/>
      </c>
      <c r="B84" s="104">
        <f>MIN(V84,U84)</f>
        <v/>
      </c>
      <c r="C84" s="104">
        <f>MIN(X84,R84)</f>
        <v/>
      </c>
      <c r="D84" s="104">
        <f>MIN(X84,U84)</f>
        <v/>
      </c>
      <c r="E84" s="104">
        <f>MIN((V84+AN84+AR84),U84)</f>
        <v/>
      </c>
      <c r="F84" s="104">
        <f>MAX(MIN((V84+AO84+AR84),R84),0)</f>
        <v/>
      </c>
      <c r="G84" s="104">
        <f>MAX(MIN(AP84,AL84),0)</f>
        <v/>
      </c>
      <c r="H84" s="104">
        <f>MAX(MIN(AQ84,AM84),0)</f>
        <v/>
      </c>
      <c r="I84" s="105" t="inlineStr">
        <is>
          <t>KAMLESH SINGH</t>
        </is>
      </c>
      <c r="J84" s="106" t="inlineStr">
        <is>
          <t>FOOTWEAR</t>
        </is>
      </c>
      <c r="K84" s="107" t="inlineStr">
        <is>
          <t>FW_KIDS FOOTWEAR</t>
        </is>
      </c>
      <c r="L84" s="107" t="inlineStr">
        <is>
          <t>FW_B_SHOES</t>
        </is>
      </c>
      <c r="M84" s="107" t="inlineStr">
        <is>
          <t>CSL 249-[FWK02]</t>
        </is>
      </c>
      <c r="N84" s="107" t="inlineStr">
        <is>
          <t>ACTIVE</t>
        </is>
      </c>
      <c r="O84" s="108" t="n">
        <v>0.0619699227746918</v>
      </c>
      <c r="P84" s="108" t="n">
        <v>0.0415601023017903</v>
      </c>
      <c r="Q84" s="109" t="n">
        <v>13</v>
      </c>
      <c r="R84" s="110" t="n">
        <v>28585</v>
      </c>
      <c r="S84" s="110" t="n">
        <v>14012.695991484</v>
      </c>
      <c r="T84" s="110" t="n">
        <v>2408.82472234243</v>
      </c>
      <c r="U84" s="110" t="n">
        <v>45006.5207138265</v>
      </c>
      <c r="V84" s="104" t="n">
        <v>15540</v>
      </c>
      <c r="W84" s="104" t="n">
        <v>1600</v>
      </c>
      <c r="X84" s="104">
        <f>$V84+W84</f>
        <v/>
      </c>
      <c r="Y84" s="111">
        <f>IFERROR(A84/R84,0)</f>
        <v/>
      </c>
      <c r="Z84" s="111">
        <f>IFERROR(B84/U84,0)</f>
        <v/>
      </c>
      <c r="AA84" s="111">
        <f>IFERROR(C84/R84,0)</f>
        <v/>
      </c>
      <c r="AB84" s="111">
        <f>IFERROR(D84/U84,0)</f>
        <v/>
      </c>
      <c r="AD84" s="111">
        <f>IF(U84&gt;0,IFERROR(E84/U84,0),1)</f>
        <v/>
      </c>
      <c r="AE84" s="111">
        <f>IF(R84&gt;0,IFERROR(F84/R84,0),1)</f>
        <v/>
      </c>
      <c r="AF84" s="111">
        <f>IF(AL84&gt;0,IFERROR(G84/AL84,0),1)</f>
        <v/>
      </c>
      <c r="AG84" s="111">
        <f>IF(AM84&gt;0,IFERROR(H84/AM84,0),1)</f>
        <v/>
      </c>
      <c r="AH84" s="104">
        <f>U84-(V84+AN84+AR84)</f>
        <v/>
      </c>
      <c r="AI84" s="104">
        <f>R84-(V84+AO84+AR84)</f>
        <v/>
      </c>
      <c r="AJ84" s="104">
        <f>(AL84-AP84)</f>
        <v/>
      </c>
      <c r="AK84" s="104">
        <f>(AM84-AQ84)</f>
        <v/>
      </c>
      <c r="AL84" s="110">
        <f>S84+AI84</f>
        <v/>
      </c>
      <c r="AM84" s="110">
        <f>T84+AJ84</f>
        <v/>
      </c>
      <c r="AN84" s="104" t="n">
        <v>53200</v>
      </c>
      <c r="AO84" s="104" t="n">
        <v>18400</v>
      </c>
      <c r="AP84" s="104" t="n">
        <v>26400</v>
      </c>
      <c r="AQ84" s="104" t="n">
        <v>8400</v>
      </c>
      <c r="AR84" s="104" t="n">
        <v>0</v>
      </c>
      <c r="AS84" s="104" t="n"/>
      <c r="AT84" s="104" t="n"/>
    </row>
    <row r="85" ht="12.65" customHeight="1" s="79">
      <c r="A85" s="104">
        <f>MIN(V85,R85)</f>
        <v/>
      </c>
      <c r="B85" s="104">
        <f>MIN(V85,U85)</f>
        <v/>
      </c>
      <c r="C85" s="104">
        <f>MIN(X85,R85)</f>
        <v/>
      </c>
      <c r="D85" s="104">
        <f>MIN(X85,U85)</f>
        <v/>
      </c>
      <c r="E85" s="104">
        <f>MIN((V85+AN85+AR85),U85)</f>
        <v/>
      </c>
      <c r="F85" s="104">
        <f>MAX(MIN((V85+AO85+AR85),R85),0)</f>
        <v/>
      </c>
      <c r="G85" s="104">
        <f>MAX(MIN(AP85,AL85),0)</f>
        <v/>
      </c>
      <c r="H85" s="104">
        <f>MAX(MIN(AQ85,AM85),0)</f>
        <v/>
      </c>
      <c r="I85" s="105" t="inlineStr">
        <is>
          <t>KAMLESH SINGH</t>
        </is>
      </c>
      <c r="J85" s="106" t="inlineStr">
        <is>
          <t>FOOTWEAR</t>
        </is>
      </c>
      <c r="K85" s="107" t="inlineStr">
        <is>
          <t>FW_KIDS FOOTWEAR</t>
        </is>
      </c>
      <c r="L85" s="107" t="inlineStr">
        <is>
          <t>FW_B_SHOES</t>
        </is>
      </c>
      <c r="M85" s="107" t="inlineStr">
        <is>
          <t>CSL 199-[FWK02]</t>
        </is>
      </c>
      <c r="N85" s="107" t="inlineStr">
        <is>
          <t>ACTIVE</t>
        </is>
      </c>
      <c r="O85" s="108" t="n">
        <v>0.0520798631931952</v>
      </c>
      <c r="P85" s="108" t="n">
        <v>0.0485590118938701</v>
      </c>
      <c r="Q85" s="109" t="n">
        <v>13</v>
      </c>
      <c r="R85" s="110" t="n">
        <v>11032</v>
      </c>
      <c r="S85" s="110" t="n">
        <v>9587.71663719818</v>
      </c>
      <c r="T85" s="110" t="n">
        <v>4358.94939211801</v>
      </c>
      <c r="U85" s="110" t="n">
        <v>24978.6660293162</v>
      </c>
      <c r="V85" s="104" t="n">
        <v>6000</v>
      </c>
      <c r="W85" s="104" t="n">
        <v>1800</v>
      </c>
      <c r="X85" s="104">
        <f>$V85+W85</f>
        <v/>
      </c>
      <c r="Y85" s="111">
        <f>IFERROR(A85/R85,0)</f>
        <v/>
      </c>
      <c r="Z85" s="111">
        <f>IFERROR(B85/U85,0)</f>
        <v/>
      </c>
      <c r="AA85" s="111">
        <f>IFERROR(C85/R85,0)</f>
        <v/>
      </c>
      <c r="AB85" s="111">
        <f>IFERROR(D85/U85,0)</f>
        <v/>
      </c>
      <c r="AD85" s="111">
        <f>IF(U85&gt;0,IFERROR(E85/U85,0),1)</f>
        <v/>
      </c>
      <c r="AE85" s="111">
        <f>IF(R85&gt;0,IFERROR(F85/R85,0),1)</f>
        <v/>
      </c>
      <c r="AF85" s="111">
        <f>IF(AL85&gt;0,IFERROR(G85/AL85,0),1)</f>
        <v/>
      </c>
      <c r="AG85" s="111">
        <f>IF(AM85&gt;0,IFERROR(H85/AM85,0),1)</f>
        <v/>
      </c>
      <c r="AH85" s="104">
        <f>U85-(V85+AN85+AR85)</f>
        <v/>
      </c>
      <c r="AI85" s="104">
        <f>R85-(V85+AO85+AR85)</f>
        <v/>
      </c>
      <c r="AJ85" s="104">
        <f>(AL85-AP85)</f>
        <v/>
      </c>
      <c r="AK85" s="104">
        <f>(AM85-AQ85)</f>
        <v/>
      </c>
      <c r="AL85" s="110">
        <f>S85+AI85</f>
        <v/>
      </c>
      <c r="AM85" s="110">
        <f>T85+AJ85</f>
        <v/>
      </c>
      <c r="AN85" s="104" t="n">
        <v>15000</v>
      </c>
      <c r="AO85" s="104" t="n">
        <v>1800</v>
      </c>
      <c r="AP85" s="104" t="n">
        <v>7200</v>
      </c>
      <c r="AQ85" s="104" t="n">
        <v>6000</v>
      </c>
      <c r="AR85" s="104" t="n">
        <v>0</v>
      </c>
      <c r="AS85" s="104" t="n"/>
      <c r="AT85" s="104" t="n"/>
    </row>
    <row r="86" ht="12.65" customHeight="1" s="79">
      <c r="A86" s="104">
        <f>MIN(V86,R86)</f>
        <v/>
      </c>
      <c r="B86" s="104">
        <f>MIN(V86,U86)</f>
        <v/>
      </c>
      <c r="C86" s="104">
        <f>MIN(X86,R86)</f>
        <v/>
      </c>
      <c r="D86" s="104">
        <f>MIN(X86,U86)</f>
        <v/>
      </c>
      <c r="E86" s="104">
        <f>MIN((V86+AN86+AR86),U86)</f>
        <v/>
      </c>
      <c r="F86" s="104">
        <f>MAX(MIN((V86+AO86+AR86),R86),0)</f>
        <v/>
      </c>
      <c r="G86" s="104">
        <f>MAX(MIN(AP86,AL86),0)</f>
        <v/>
      </c>
      <c r="H86" s="104">
        <f>MAX(MIN(AQ86,AM86),0)</f>
        <v/>
      </c>
      <c r="I86" s="105" t="inlineStr">
        <is>
          <t>KAMLESH SINGH</t>
        </is>
      </c>
      <c r="J86" s="106" t="inlineStr">
        <is>
          <t>FOOTWEAR</t>
        </is>
      </c>
      <c r="K86" s="107" t="inlineStr">
        <is>
          <t>FW_KIDS FOOTWEAR</t>
        </is>
      </c>
      <c r="L86" s="107" t="inlineStr">
        <is>
          <t>FW_B_SLIPPER</t>
        </is>
      </c>
      <c r="M86" s="107" t="inlineStr">
        <is>
          <t>CSL SHET 99-[FWK03]</t>
        </is>
      </c>
      <c r="N86" s="107" t="inlineStr">
        <is>
          <t>ACTIVE</t>
        </is>
      </c>
      <c r="O86" s="108" t="n">
        <v>0.169954509311798</v>
      </c>
      <c r="P86" s="108" t="n">
        <v>0.113046989350427</v>
      </c>
      <c r="Q86" s="109" t="n">
        <v>97</v>
      </c>
      <c r="R86" s="110" t="n">
        <v>4265</v>
      </c>
      <c r="S86" s="110" t="n">
        <v>3013.67390538738</v>
      </c>
      <c r="T86" s="110" t="n">
        <v>2993.41754774711</v>
      </c>
      <c r="U86" s="110" t="n">
        <v>10272.0914531345</v>
      </c>
      <c r="V86" s="104" t="n">
        <v>0</v>
      </c>
      <c r="W86" s="104" t="n">
        <v>3600</v>
      </c>
      <c r="X86" s="104">
        <f>$V86+W86</f>
        <v/>
      </c>
      <c r="Y86" s="111">
        <f>IFERROR(A86/R86,0)</f>
        <v/>
      </c>
      <c r="Z86" s="111">
        <f>IFERROR(B86/U86,0)</f>
        <v/>
      </c>
      <c r="AA86" s="111">
        <f>IFERROR(C86/R86,0)</f>
        <v/>
      </c>
      <c r="AB86" s="111">
        <f>IFERROR(D86/U86,0)</f>
        <v/>
      </c>
      <c r="AD86" s="111">
        <f>IF(U86&gt;0,IFERROR(E86/U86,0),1)</f>
        <v/>
      </c>
      <c r="AE86" s="111">
        <f>IF(R86&gt;0,IFERROR(F86/R86,0),1)</f>
        <v/>
      </c>
      <c r="AF86" s="111">
        <f>IF(AL86&gt;0,IFERROR(G86/AL86,0),1)</f>
        <v/>
      </c>
      <c r="AG86" s="111">
        <f>IF(AM86&gt;0,IFERROR(H86/AM86,0),1)</f>
        <v/>
      </c>
      <c r="AH86" s="104">
        <f>U86-(V86+AN86+AR86)</f>
        <v/>
      </c>
      <c r="AI86" s="104">
        <f>R86-(V86+AO86+AR86)</f>
        <v/>
      </c>
      <c r="AJ86" s="104">
        <f>(AL86-AP86)</f>
        <v/>
      </c>
      <c r="AK86" s="104">
        <f>(AM86-AQ86)</f>
        <v/>
      </c>
      <c r="AL86" s="110">
        <f>S86+AI86</f>
        <v/>
      </c>
      <c r="AM86" s="110">
        <f>T86+AJ86</f>
        <v/>
      </c>
      <c r="AN86" s="104" t="n">
        <v>14400</v>
      </c>
      <c r="AO86" s="104" t="n">
        <v>10800</v>
      </c>
      <c r="AP86" s="104" t="n">
        <v>3600</v>
      </c>
      <c r="AQ86" s="104" t="n">
        <v>0</v>
      </c>
      <c r="AR86" s="104" t="n">
        <v>0</v>
      </c>
      <c r="AS86" s="104" t="n"/>
      <c r="AT86" s="104" t="n"/>
    </row>
    <row r="87" ht="12.65" customHeight="1" s="79">
      <c r="A87" s="104">
        <f>MIN(V87,R87)</f>
        <v/>
      </c>
      <c r="B87" s="104">
        <f>MIN(V87,U87)</f>
        <v/>
      </c>
      <c r="C87" s="104">
        <f>MIN(X87,R87)</f>
        <v/>
      </c>
      <c r="D87" s="104">
        <f>MIN(X87,U87)</f>
        <v/>
      </c>
      <c r="E87" s="104">
        <f>MIN((V87+AN87+AR87),U87)</f>
        <v/>
      </c>
      <c r="F87" s="104">
        <f>MAX(MIN((V87+AO87+AR87),R87),0)</f>
        <v/>
      </c>
      <c r="G87" s="104">
        <f>MAX(MIN(AP87,AL87),0)</f>
        <v/>
      </c>
      <c r="H87" s="104">
        <f>MAX(MIN(AQ87,AM87),0)</f>
        <v/>
      </c>
      <c r="I87" s="105" t="inlineStr">
        <is>
          <t>KAMLESH SINGH</t>
        </is>
      </c>
      <c r="J87" s="106" t="inlineStr">
        <is>
          <t>FOOTWEAR</t>
        </is>
      </c>
      <c r="K87" s="107" t="inlineStr">
        <is>
          <t>FW_KIDS FOOTWEAR</t>
        </is>
      </c>
      <c r="L87" s="107" t="inlineStr">
        <is>
          <t>FW_B_SLIPPER</t>
        </is>
      </c>
      <c r="M87" s="107" t="inlineStr">
        <is>
          <t>CSL EVA 149-[FWK03]</t>
        </is>
      </c>
      <c r="N87" s="107" t="inlineStr">
        <is>
          <t>ACTIVE</t>
        </is>
      </c>
      <c r="O87" s="108" t="n">
        <v>0.118928662762049</v>
      </c>
      <c r="P87" s="108" t="n">
        <v>0.09200417692250321</v>
      </c>
      <c r="Q87" s="109" t="n">
        <v>97</v>
      </c>
      <c r="R87" s="110" t="n">
        <v>657</v>
      </c>
      <c r="S87" s="110" t="n">
        <v>600.661972868559</v>
      </c>
      <c r="T87" s="110" t="n">
        <v>636.535399760024</v>
      </c>
      <c r="U87" s="110" t="n">
        <v>1894.19737262858</v>
      </c>
      <c r="V87" s="104" t="n">
        <v>0</v>
      </c>
      <c r="W87" s="104" t="n">
        <v>0</v>
      </c>
      <c r="X87" s="104">
        <f>$V87+W87</f>
        <v/>
      </c>
      <c r="Y87" s="111">
        <f>IFERROR(A87/R87,0)</f>
        <v/>
      </c>
      <c r="Z87" s="111">
        <f>IFERROR(B87/U87,0)</f>
        <v/>
      </c>
      <c r="AA87" s="111">
        <f>IFERROR(C87/R87,0)</f>
        <v/>
      </c>
      <c r="AB87" s="111">
        <f>IFERROR(D87/U87,0)</f>
        <v/>
      </c>
      <c r="AD87" s="111">
        <f>IF(U87&gt;0,IFERROR(E87/U87,0),1)</f>
        <v/>
      </c>
      <c r="AE87" s="111">
        <f>IF(R87&gt;0,IFERROR(F87/R87,0),1)</f>
        <v/>
      </c>
      <c r="AF87" s="111">
        <f>IF(AL87&gt;0,IFERROR(G87/AL87,0),1)</f>
        <v/>
      </c>
      <c r="AG87" s="111">
        <f>IF(AM87&gt;0,IFERROR(H87/AM87,0),1)</f>
        <v/>
      </c>
      <c r="AH87" s="104">
        <f>U87-(V87+AN87+AR87)</f>
        <v/>
      </c>
      <c r="AI87" s="104">
        <f>R87-(V87+AO87+AR87)</f>
        <v/>
      </c>
      <c r="AJ87" s="104">
        <f>(AL87-AP87)</f>
        <v/>
      </c>
      <c r="AK87" s="104">
        <f>(AM87-AQ87)</f>
        <v/>
      </c>
      <c r="AL87" s="110">
        <f>S87+AI87</f>
        <v/>
      </c>
      <c r="AM87" s="110">
        <f>T87+AJ87</f>
        <v/>
      </c>
      <c r="AN87" s="104" t="n">
        <v>6000</v>
      </c>
      <c r="AO87" s="104" t="n">
        <v>6000</v>
      </c>
      <c r="AP87" s="104" t="n">
        <v>0</v>
      </c>
      <c r="AQ87" s="104" t="n">
        <v>0</v>
      </c>
      <c r="AR87" s="104" t="n">
        <v>0</v>
      </c>
      <c r="AS87" s="104" t="n"/>
      <c r="AT87" s="104" t="n"/>
    </row>
    <row r="88" ht="12.65" customHeight="1" s="79">
      <c r="A88" s="104">
        <f>MIN(V88,R88)</f>
        <v/>
      </c>
      <c r="B88" s="104">
        <f>MIN(V88,U88)</f>
        <v/>
      </c>
      <c r="C88" s="104">
        <f>MIN(X88,R88)</f>
        <v/>
      </c>
      <c r="D88" s="104">
        <f>MIN(X88,U88)</f>
        <v/>
      </c>
      <c r="E88" s="104">
        <f>MIN((V88+AN88+AR88),U88)</f>
        <v/>
      </c>
      <c r="F88" s="104">
        <f>MAX(MIN((V88+AO88+AR88),R88),0)</f>
        <v/>
      </c>
      <c r="G88" s="104">
        <f>MAX(MIN(AP88,AL88),0)</f>
        <v/>
      </c>
      <c r="H88" s="104">
        <f>MAX(MIN(AQ88,AM88),0)</f>
        <v/>
      </c>
      <c r="I88" s="105" t="inlineStr">
        <is>
          <t>KAMLESH SINGH</t>
        </is>
      </c>
      <c r="J88" s="106" t="inlineStr">
        <is>
          <t>FOOTWEAR</t>
        </is>
      </c>
      <c r="K88" s="107" t="inlineStr">
        <is>
          <t>FW_KIDS FOOTWEAR</t>
        </is>
      </c>
      <c r="L88" s="107" t="inlineStr">
        <is>
          <t>FW_G_SANDAL</t>
        </is>
      </c>
      <c r="M88" s="107" t="inlineStr">
        <is>
          <t>FNCY 199-[FWK04]</t>
        </is>
      </c>
      <c r="N88" s="107" t="inlineStr">
        <is>
          <t>ACTIVE</t>
        </is>
      </c>
      <c r="O88" s="108" t="n">
        <v>0.133423276290563</v>
      </c>
      <c r="P88" s="108" t="n">
        <v>0.081546898369062</v>
      </c>
      <c r="Q88" s="109" t="n">
        <v>146</v>
      </c>
      <c r="R88" s="110" t="n">
        <v>438</v>
      </c>
      <c r="S88" s="110" t="n">
        <v>213.748619876988</v>
      </c>
      <c r="T88" s="110" t="n">
        <v>150.759640325875</v>
      </c>
      <c r="U88" s="110" t="n">
        <v>802.508260202863</v>
      </c>
      <c r="V88" s="104" t="n">
        <v>4799</v>
      </c>
      <c r="W88" s="104" t="n">
        <v>4800</v>
      </c>
      <c r="X88" s="104">
        <f>$V88+W88</f>
        <v/>
      </c>
      <c r="Y88" s="111">
        <f>IFERROR(A88/R88,0)</f>
        <v/>
      </c>
      <c r="Z88" s="111">
        <f>IFERROR(B88/U88,0)</f>
        <v/>
      </c>
      <c r="AA88" s="111">
        <f>IFERROR(C88/R88,0)</f>
        <v/>
      </c>
      <c r="AB88" s="111">
        <f>IFERROR(D88/U88,0)</f>
        <v/>
      </c>
      <c r="AD88" s="111">
        <f>IF(U88&gt;0,IFERROR(E88/U88,0),1)</f>
        <v/>
      </c>
      <c r="AE88" s="111">
        <f>IF(R88&gt;0,IFERROR(F88/R88,0),1)</f>
        <v/>
      </c>
      <c r="AF88" s="111">
        <f>IF(AL88&gt;0,IFERROR(G88/AL88,0),1)</f>
        <v/>
      </c>
      <c r="AG88" s="111">
        <f>IF(AM88&gt;0,IFERROR(H88/AM88,0),1)</f>
        <v/>
      </c>
      <c r="AH88" s="104">
        <f>U88-(V88+AN88+AR88)</f>
        <v/>
      </c>
      <c r="AI88" s="104">
        <f>R88-(V88+AO88+AR88)</f>
        <v/>
      </c>
      <c r="AJ88" s="104">
        <f>(AL88-AP88)</f>
        <v/>
      </c>
      <c r="AK88" s="104">
        <f>(AM88-AQ88)</f>
        <v/>
      </c>
      <c r="AL88" s="110">
        <f>S88+AI88</f>
        <v/>
      </c>
      <c r="AM88" s="110">
        <f>T88+AJ88</f>
        <v/>
      </c>
      <c r="AN88" s="104" t="n">
        <v>9600</v>
      </c>
      <c r="AO88" s="104" t="n">
        <v>9600</v>
      </c>
      <c r="AP88" s="104" t="n">
        <v>0</v>
      </c>
      <c r="AQ88" s="104" t="n">
        <v>0</v>
      </c>
      <c r="AR88" s="104" t="n">
        <v>0</v>
      </c>
      <c r="AS88" s="104" t="n"/>
      <c r="AT88" s="104" t="n"/>
    </row>
    <row r="89" ht="12.65" customHeight="1" s="79">
      <c r="A89" s="104">
        <f>MIN(V89,R89)</f>
        <v/>
      </c>
      <c r="B89" s="104">
        <f>MIN(V89,U89)</f>
        <v/>
      </c>
      <c r="C89" s="104">
        <f>MIN(X89,R89)</f>
        <v/>
      </c>
      <c r="D89" s="104">
        <f>MIN(X89,U89)</f>
        <v/>
      </c>
      <c r="E89" s="104">
        <f>MIN((V89+AN89+AR89),U89)</f>
        <v/>
      </c>
      <c r="F89" s="104">
        <f>MAX(MIN((V89+AO89+AR89),R89),0)</f>
        <v/>
      </c>
      <c r="G89" s="104">
        <f>MAX(MIN(AP89,AL89),0)</f>
        <v/>
      </c>
      <c r="H89" s="104">
        <f>MAX(MIN(AQ89,AM89),0)</f>
        <v/>
      </c>
      <c r="I89" s="105" t="inlineStr">
        <is>
          <t>KAMLESH SINGH</t>
        </is>
      </c>
      <c r="J89" s="106" t="inlineStr">
        <is>
          <t>FOOTWEAR</t>
        </is>
      </c>
      <c r="K89" s="107" t="inlineStr">
        <is>
          <t>FW_KIDS FOOTWEAR</t>
        </is>
      </c>
      <c r="L89" s="107" t="inlineStr">
        <is>
          <t>FW_G_SHOES</t>
        </is>
      </c>
      <c r="M89" s="107" t="inlineStr">
        <is>
          <t>CSL 249-[FWK07]</t>
        </is>
      </c>
      <c r="N89" s="107" t="inlineStr">
        <is>
          <t>ACTIVE</t>
        </is>
      </c>
      <c r="O89" s="108" t="n">
        <v>0.0613247756104899</v>
      </c>
      <c r="P89" s="108" t="n">
        <v>0.113333333333333</v>
      </c>
      <c r="Q89" s="109" t="n">
        <v>45</v>
      </c>
      <c r="R89" s="110" t="n">
        <v>17258</v>
      </c>
      <c r="S89" s="110" t="n">
        <v>13262.373531515</v>
      </c>
      <c r="T89" s="110" t="n">
        <v>5933.60510543189</v>
      </c>
      <c r="U89" s="110" t="n">
        <v>36453.9786369468</v>
      </c>
      <c r="V89" s="104" t="n">
        <v>10080</v>
      </c>
      <c r="W89" s="104" t="n">
        <v>0</v>
      </c>
      <c r="X89" s="104">
        <f>$V89+W89</f>
        <v/>
      </c>
      <c r="Y89" s="111">
        <f>IFERROR(A89/R89,0)</f>
        <v/>
      </c>
      <c r="Z89" s="111">
        <f>IFERROR(B89/U89,0)</f>
        <v/>
      </c>
      <c r="AA89" s="111">
        <f>IFERROR(C89/R89,0)</f>
        <v/>
      </c>
      <c r="AB89" s="111">
        <f>IFERROR(D89/U89,0)</f>
        <v/>
      </c>
      <c r="AD89" s="111">
        <f>IF(U89&gt;0,IFERROR(E89/U89,0),1)</f>
        <v/>
      </c>
      <c r="AE89" s="111">
        <f>IF(R89&gt;0,IFERROR(F89/R89,0),1)</f>
        <v/>
      </c>
      <c r="AF89" s="111">
        <f>IF(AL89&gt;0,IFERROR(G89/AL89,0),1)</f>
        <v/>
      </c>
      <c r="AG89" s="111">
        <f>IF(AM89&gt;0,IFERROR(H89/AM89,0),1)</f>
        <v/>
      </c>
      <c r="AH89" s="104">
        <f>U89-(V89+AN89+AR89)</f>
        <v/>
      </c>
      <c r="AI89" s="104">
        <f>R89-(V89+AO89+AR89)</f>
        <v/>
      </c>
      <c r="AJ89" s="104">
        <f>(AL89-AP89)</f>
        <v/>
      </c>
      <c r="AK89" s="104">
        <f>(AM89-AQ89)</f>
        <v/>
      </c>
      <c r="AL89" s="110">
        <f>S89+AI89</f>
        <v/>
      </c>
      <c r="AM89" s="110">
        <f>T89+AJ89</f>
        <v/>
      </c>
      <c r="AN89" s="104" t="n">
        <v>32000</v>
      </c>
      <c r="AO89" s="104" t="n">
        <v>6400</v>
      </c>
      <c r="AP89" s="104" t="n">
        <v>17600</v>
      </c>
      <c r="AQ89" s="104" t="n">
        <v>8000</v>
      </c>
      <c r="AR89" s="104" t="n">
        <v>0</v>
      </c>
      <c r="AS89" s="104" t="n"/>
      <c r="AT89" s="104" t="n"/>
    </row>
    <row r="90" ht="12.65" customHeight="1" s="79">
      <c r="A90" s="104">
        <f>MIN(V90,R90)</f>
        <v/>
      </c>
      <c r="B90" s="104">
        <f>MIN(V90,U90)</f>
        <v/>
      </c>
      <c r="C90" s="104">
        <f>MIN(X90,R90)</f>
        <v/>
      </c>
      <c r="D90" s="104">
        <f>MIN(X90,U90)</f>
        <v/>
      </c>
      <c r="E90" s="104">
        <f>MIN((V90+AN90+AR90),U90)</f>
        <v/>
      </c>
      <c r="F90" s="104">
        <f>MAX(MIN((V90+AO90+AR90),R90),0)</f>
        <v/>
      </c>
      <c r="G90" s="104">
        <f>MAX(MIN(AP90,AL90),0)</f>
        <v/>
      </c>
      <c r="H90" s="104">
        <f>MAX(MIN(AQ90,AM90),0)</f>
        <v/>
      </c>
      <c r="I90" s="105" t="inlineStr">
        <is>
          <t>KAMLESH SINGH</t>
        </is>
      </c>
      <c r="J90" s="106" t="inlineStr">
        <is>
          <t>FOOTWEAR</t>
        </is>
      </c>
      <c r="K90" s="107" t="inlineStr">
        <is>
          <t>FW_KIDS FOOTWEAR</t>
        </is>
      </c>
      <c r="L90" s="107" t="inlineStr">
        <is>
          <t>FW_G_SHOES</t>
        </is>
      </c>
      <c r="M90" s="107" t="inlineStr">
        <is>
          <t>CSL INFT 199-[FWK07]</t>
        </is>
      </c>
      <c r="N90" s="107" t="inlineStr">
        <is>
          <t>INACTIVE</t>
        </is>
      </c>
      <c r="O90" s="108" t="n">
        <v>0</v>
      </c>
      <c r="P90" s="108" t="n">
        <v>0</v>
      </c>
      <c r="Q90" s="109" t="n">
        <v>45</v>
      </c>
      <c r="R90" s="110" t="n">
        <v>0</v>
      </c>
      <c r="S90" s="110" t="n">
        <v>0</v>
      </c>
      <c r="T90" s="110" t="n">
        <v>0</v>
      </c>
      <c r="U90" s="110" t="n">
        <v>0</v>
      </c>
      <c r="V90" s="104" t="n">
        <v>0</v>
      </c>
      <c r="W90" s="104" t="n">
        <v>0</v>
      </c>
      <c r="X90" s="104">
        <f>$V90+W90</f>
        <v/>
      </c>
      <c r="Y90" s="111">
        <f>IFERROR(A90/R90,0)</f>
        <v/>
      </c>
      <c r="Z90" s="111">
        <f>IFERROR(B90/U90,0)</f>
        <v/>
      </c>
      <c r="AA90" s="111">
        <f>IFERROR(C90/R90,0)</f>
        <v/>
      </c>
      <c r="AB90" s="111">
        <f>IFERROR(D90/U90,0)</f>
        <v/>
      </c>
      <c r="AD90" s="111">
        <f>IF(U90&gt;0,IFERROR(E90/U90,0),1)</f>
        <v/>
      </c>
      <c r="AE90" s="111">
        <f>IF(R90&gt;0,IFERROR(F90/R90,0),1)</f>
        <v/>
      </c>
      <c r="AF90" s="111">
        <f>IF(AL90&gt;0,IFERROR(G90/AL90,0),1)</f>
        <v/>
      </c>
      <c r="AG90" s="111">
        <f>IF(AM90&gt;0,IFERROR(H90/AM90,0),1)</f>
        <v/>
      </c>
      <c r="AH90" s="104">
        <f>U90-(V90+AN90+AR90)</f>
        <v/>
      </c>
      <c r="AI90" s="104">
        <f>R90-(V90+AO90+AR90)</f>
        <v/>
      </c>
      <c r="AJ90" s="104">
        <f>(AL90-AP90)</f>
        <v/>
      </c>
      <c r="AK90" s="104">
        <f>(AM90-AQ90)</f>
        <v/>
      </c>
      <c r="AL90" s="110">
        <f>S90+AI90</f>
        <v/>
      </c>
      <c r="AM90" s="110">
        <f>T90+AJ90</f>
        <v/>
      </c>
      <c r="AN90" s="104" t="n">
        <v>0</v>
      </c>
      <c r="AO90" s="104" t="n">
        <v>0</v>
      </c>
      <c r="AP90" s="104" t="n">
        <v>0</v>
      </c>
      <c r="AQ90" s="104" t="n">
        <v>0</v>
      </c>
      <c r="AR90" s="104" t="n">
        <v>0</v>
      </c>
      <c r="AS90" s="104" t="n"/>
      <c r="AT90" s="104" t="n"/>
    </row>
    <row r="91" ht="12.65" customHeight="1" s="79">
      <c r="A91" s="104">
        <f>MIN(V91,R91)</f>
        <v/>
      </c>
      <c r="B91" s="104">
        <f>MIN(V91,U91)</f>
        <v/>
      </c>
      <c r="C91" s="104">
        <f>MIN(X91,R91)</f>
        <v/>
      </c>
      <c r="D91" s="104">
        <f>MIN(X91,U91)</f>
        <v/>
      </c>
      <c r="E91" s="104">
        <f>MIN((V91+AN91+AR91),U91)</f>
        <v/>
      </c>
      <c r="F91" s="104">
        <f>MAX(MIN((V91+AO91+AR91),R91),0)</f>
        <v/>
      </c>
      <c r="G91" s="104">
        <f>MAX(MIN(AP91,AL91),0)</f>
        <v/>
      </c>
      <c r="H91" s="104">
        <f>MAX(MIN(AQ91,AM91),0)</f>
        <v/>
      </c>
      <c r="I91" s="105" t="inlineStr">
        <is>
          <t>KAMLESH SINGH</t>
        </is>
      </c>
      <c r="J91" s="106" t="inlineStr">
        <is>
          <t>FOOTWEAR</t>
        </is>
      </c>
      <c r="K91" s="107" t="inlineStr">
        <is>
          <t>FW_LADIES FOOTWEAR</t>
        </is>
      </c>
      <c r="L91" s="107" t="inlineStr">
        <is>
          <t>FW_L_BELLY_SHOES</t>
        </is>
      </c>
      <c r="M91" s="107" t="inlineStr">
        <is>
          <t>CSL PVC 399-[FWL07]</t>
        </is>
      </c>
      <c r="N91" s="107" t="inlineStr">
        <is>
          <t>ACTIVE</t>
        </is>
      </c>
      <c r="O91" s="108" t="n">
        <v>0</v>
      </c>
      <c r="P91" s="108" t="n">
        <v>0</v>
      </c>
      <c r="Q91" s="109" t="n">
        <v>92</v>
      </c>
      <c r="R91" s="110" t="n">
        <v>3918</v>
      </c>
      <c r="S91" s="110" t="n">
        <v>1255.58409770857</v>
      </c>
      <c r="T91" s="110" t="n">
        <v>516.869320895998</v>
      </c>
      <c r="U91" s="110" t="n">
        <v>5690.45341860457</v>
      </c>
      <c r="V91" s="104" t="n">
        <v>4944</v>
      </c>
      <c r="W91" s="104" t="n">
        <v>4176</v>
      </c>
      <c r="X91" s="104">
        <f>$V91+W91</f>
        <v/>
      </c>
      <c r="Y91" s="111">
        <f>IFERROR(A91/R91,0)</f>
        <v/>
      </c>
      <c r="Z91" s="111">
        <f>IFERROR(B91/U91,0)</f>
        <v/>
      </c>
      <c r="AA91" s="111">
        <f>IFERROR(C91/R91,0)</f>
        <v/>
      </c>
      <c r="AB91" s="111">
        <f>IFERROR(D91/U91,0)</f>
        <v/>
      </c>
      <c r="AD91" s="111">
        <f>IF(U91&gt;0,IFERROR(E91/U91,0),1)</f>
        <v/>
      </c>
      <c r="AE91" s="111">
        <f>IF(R91&gt;0,IFERROR(F91/R91,0),1)</f>
        <v/>
      </c>
      <c r="AF91" s="111">
        <f>IF(AL91&gt;0,IFERROR(G91/AL91,0),1)</f>
        <v/>
      </c>
      <c r="AG91" s="111">
        <f>IF(AM91&gt;0,IFERROR(H91/AM91,0),1)</f>
        <v/>
      </c>
      <c r="AH91" s="104">
        <f>U91-(V91+AN91+AR91)</f>
        <v/>
      </c>
      <c r="AI91" s="104">
        <f>R91-(V91+AO91+AR91)</f>
        <v/>
      </c>
      <c r="AJ91" s="104">
        <f>(AL91-AP91)</f>
        <v/>
      </c>
      <c r="AK91" s="104">
        <f>(AM91-AQ91)</f>
        <v/>
      </c>
      <c r="AL91" s="110">
        <f>S91+AI91</f>
        <v/>
      </c>
      <c r="AM91" s="110">
        <f>T91+AJ91</f>
        <v/>
      </c>
      <c r="AN91" s="104" t="n">
        <v>31272</v>
      </c>
      <c r="AO91" s="104" t="n">
        <v>24552</v>
      </c>
      <c r="AP91" s="104" t="n">
        <v>6720</v>
      </c>
      <c r="AQ91" s="104" t="n">
        <v>0</v>
      </c>
      <c r="AR91" s="104" t="n">
        <v>0</v>
      </c>
      <c r="AS91" s="104" t="n"/>
      <c r="AT91" s="104" t="n"/>
    </row>
    <row r="92" ht="12.65" customHeight="1" s="79">
      <c r="A92" s="104">
        <f>MIN(V92,R92)</f>
        <v/>
      </c>
      <c r="B92" s="104">
        <f>MIN(V92,U92)</f>
        <v/>
      </c>
      <c r="C92" s="104">
        <f>MIN(X92,R92)</f>
        <v/>
      </c>
      <c r="D92" s="104">
        <f>MIN(X92,U92)</f>
        <v/>
      </c>
      <c r="E92" s="104">
        <f>MIN((V92+AN92+AR92),U92)</f>
        <v/>
      </c>
      <c r="F92" s="104">
        <f>MAX(MIN((V92+AO92+AR92),R92),0)</f>
        <v/>
      </c>
      <c r="G92" s="104">
        <f>MAX(MIN(AP92,AL92),0)</f>
        <v/>
      </c>
      <c r="H92" s="104">
        <f>MAX(MIN(AQ92,AM92),0)</f>
        <v/>
      </c>
      <c r="I92" s="105" t="inlineStr">
        <is>
          <t>KAMLESH SINGH</t>
        </is>
      </c>
      <c r="J92" s="106" t="inlineStr">
        <is>
          <t>FOOTWEAR</t>
        </is>
      </c>
      <c r="K92" s="107" t="inlineStr">
        <is>
          <t>FW_LADIES FOOTWEAR</t>
        </is>
      </c>
      <c r="L92" s="107" t="inlineStr">
        <is>
          <t>FW_L_BELLY_SHOES</t>
        </is>
      </c>
      <c r="M92" s="107" t="inlineStr">
        <is>
          <t>CSL PVC 299-[FWL07]</t>
        </is>
      </c>
      <c r="N92" s="107" t="inlineStr">
        <is>
          <t>ACTIVE</t>
        </is>
      </c>
      <c r="O92" s="108" t="n">
        <v>0.07098954088562889</v>
      </c>
      <c r="P92" s="108" t="n">
        <v>0.0310189438683992</v>
      </c>
      <c r="Q92" s="109" t="n">
        <v>92</v>
      </c>
      <c r="R92" s="110" t="n">
        <v>2560</v>
      </c>
      <c r="S92" s="110" t="n">
        <v>1392.04146626553</v>
      </c>
      <c r="T92" s="110" t="n">
        <v>673.1132212796909</v>
      </c>
      <c r="U92" s="110" t="n">
        <v>4625.15468754522</v>
      </c>
      <c r="V92" s="104" t="n">
        <v>8280</v>
      </c>
      <c r="W92" s="104" t="n">
        <v>0</v>
      </c>
      <c r="X92" s="104">
        <f>$V92+W92</f>
        <v/>
      </c>
      <c r="Y92" s="111">
        <f>IFERROR(A92/R92,0)</f>
        <v/>
      </c>
      <c r="Z92" s="111">
        <f>IFERROR(B92/U92,0)</f>
        <v/>
      </c>
      <c r="AA92" s="111">
        <f>IFERROR(C92/R92,0)</f>
        <v/>
      </c>
      <c r="AB92" s="111">
        <f>IFERROR(D92/U92,0)</f>
        <v/>
      </c>
      <c r="AD92" s="111">
        <f>IF(U92&gt;0,IFERROR(E92/U92,0),1)</f>
        <v/>
      </c>
      <c r="AE92" s="111">
        <f>IF(R92&gt;0,IFERROR(F92/R92,0),1)</f>
        <v/>
      </c>
      <c r="AF92" s="111">
        <f>IF(AL92&gt;0,IFERROR(G92/AL92,0),1)</f>
        <v/>
      </c>
      <c r="AG92" s="111">
        <f>IF(AM92&gt;0,IFERROR(H92/AM92,0),1)</f>
        <v/>
      </c>
      <c r="AH92" s="104">
        <f>U92-(V92+AN92+AR92)</f>
        <v/>
      </c>
      <c r="AI92" s="104">
        <f>R92-(V92+AO92+AR92)</f>
        <v/>
      </c>
      <c r="AJ92" s="104">
        <f>(AL92-AP92)</f>
        <v/>
      </c>
      <c r="AK92" s="104">
        <f>(AM92-AQ92)</f>
        <v/>
      </c>
      <c r="AL92" s="110">
        <f>S92+AI92</f>
        <v/>
      </c>
      <c r="AM92" s="110">
        <f>T92+AJ92</f>
        <v/>
      </c>
      <c r="AN92" s="104" t="n">
        <v>1800</v>
      </c>
      <c r="AO92" s="104" t="n">
        <v>1800</v>
      </c>
      <c r="AP92" s="104" t="n">
        <v>0</v>
      </c>
      <c r="AQ92" s="104" t="n">
        <v>0</v>
      </c>
      <c r="AR92" s="104" t="n">
        <v>0</v>
      </c>
      <c r="AS92" s="104" t="n"/>
      <c r="AT92" s="104" t="n"/>
    </row>
    <row r="93" ht="12.65" customHeight="1" s="79">
      <c r="A93" s="104">
        <f>MIN(V93,R93)</f>
        <v/>
      </c>
      <c r="B93" s="104">
        <f>MIN(V93,U93)</f>
        <v/>
      </c>
      <c r="C93" s="104">
        <f>MIN(X93,R93)</f>
        <v/>
      </c>
      <c r="D93" s="104">
        <f>MIN(X93,U93)</f>
        <v/>
      </c>
      <c r="E93" s="104">
        <f>MIN((V93+AN93+AR93),U93)</f>
        <v/>
      </c>
      <c r="F93" s="104">
        <f>MAX(MIN((V93+AO93+AR93),R93),0)</f>
        <v/>
      </c>
      <c r="G93" s="104">
        <f>MAX(MIN(AP93,AL93),0)</f>
        <v/>
      </c>
      <c r="H93" s="104">
        <f>MAX(MIN(AQ93,AM93),0)</f>
        <v/>
      </c>
      <c r="I93" s="105" t="inlineStr">
        <is>
          <t>KAMLESH SINGH</t>
        </is>
      </c>
      <c r="J93" s="106" t="inlineStr">
        <is>
          <t>FOOTWEAR</t>
        </is>
      </c>
      <c r="K93" s="107" t="inlineStr">
        <is>
          <t>FW_LADIES FOOTWEAR</t>
        </is>
      </c>
      <c r="L93" s="107" t="inlineStr">
        <is>
          <t>FW_L_BELLY_SHOES</t>
        </is>
      </c>
      <c r="M93" s="107" t="inlineStr">
        <is>
          <t>IMP CSL PVC 199-[FWL07]</t>
        </is>
      </c>
      <c r="N93" s="107" t="inlineStr">
        <is>
          <t>INACTIVE</t>
        </is>
      </c>
      <c r="O93" s="108" t="n">
        <v>0</v>
      </c>
      <c r="P93" s="108" t="n">
        <v>0</v>
      </c>
      <c r="Q93" s="109" t="n">
        <v>92</v>
      </c>
      <c r="R93" s="110" t="n">
        <v>0</v>
      </c>
      <c r="S93" s="110" t="n">
        <v>0</v>
      </c>
      <c r="T93" s="110" t="n">
        <v>0</v>
      </c>
      <c r="U93" s="110" t="n">
        <v>0</v>
      </c>
      <c r="V93" s="104" t="n">
        <v>0</v>
      </c>
      <c r="W93" s="104" t="n">
        <v>0</v>
      </c>
      <c r="X93" s="104">
        <f>$V93+W93</f>
        <v/>
      </c>
      <c r="Y93" s="111">
        <f>IFERROR(A93/R93,0)</f>
        <v/>
      </c>
      <c r="Z93" s="111">
        <f>IFERROR(B93/U93,0)</f>
        <v/>
      </c>
      <c r="AA93" s="111">
        <f>IFERROR(C93/R93,0)</f>
        <v/>
      </c>
      <c r="AB93" s="111">
        <f>IFERROR(D93/U93,0)</f>
        <v/>
      </c>
      <c r="AD93" s="111">
        <f>IF(U93&gt;0,IFERROR(E93/U93,0),1)</f>
        <v/>
      </c>
      <c r="AE93" s="111">
        <f>IF(R93&gt;0,IFERROR(F93/R93,0),1)</f>
        <v/>
      </c>
      <c r="AF93" s="111">
        <f>IF(AL93&gt;0,IFERROR(G93/AL93,0),1)</f>
        <v/>
      </c>
      <c r="AG93" s="111">
        <f>IF(AM93&gt;0,IFERROR(H93/AM93,0),1)</f>
        <v/>
      </c>
      <c r="AH93" s="104">
        <f>U93-(V93+AN93+AR93)</f>
        <v/>
      </c>
      <c r="AI93" s="104">
        <f>R93-(V93+AO93+AR93)</f>
        <v/>
      </c>
      <c r="AJ93" s="104">
        <f>(AL93-AP93)</f>
        <v/>
      </c>
      <c r="AK93" s="104">
        <f>(AM93-AQ93)</f>
        <v/>
      </c>
      <c r="AL93" s="110">
        <f>S93+AI93</f>
        <v/>
      </c>
      <c r="AM93" s="110">
        <f>T93+AJ93</f>
        <v/>
      </c>
      <c r="AN93" s="104" t="n">
        <v>0</v>
      </c>
      <c r="AO93" s="104" t="n">
        <v>0</v>
      </c>
      <c r="AP93" s="104" t="n">
        <v>0</v>
      </c>
      <c r="AQ93" s="104" t="n">
        <v>0</v>
      </c>
      <c r="AR93" s="104" t="n">
        <v>0</v>
      </c>
      <c r="AS93" s="104" t="n"/>
      <c r="AT93" s="104" t="n"/>
    </row>
    <row r="94" ht="12.65" customHeight="1" s="79">
      <c r="A94" s="104">
        <f>MIN(V94,R94)</f>
        <v/>
      </c>
      <c r="B94" s="104">
        <f>MIN(V94,U94)</f>
        <v/>
      </c>
      <c r="C94" s="104">
        <f>MIN(X94,R94)</f>
        <v/>
      </c>
      <c r="D94" s="104">
        <f>MIN(X94,U94)</f>
        <v/>
      </c>
      <c r="E94" s="104">
        <f>MIN((V94+AN94+AR94),U94)</f>
        <v/>
      </c>
      <c r="F94" s="104">
        <f>MAX(MIN((V94+AO94+AR94),R94),0)</f>
        <v/>
      </c>
      <c r="G94" s="104">
        <f>MAX(MIN(AP94,AL94),0)</f>
        <v/>
      </c>
      <c r="H94" s="104">
        <f>MAX(MIN(AQ94,AM94),0)</f>
        <v/>
      </c>
      <c r="I94" s="105" t="inlineStr">
        <is>
          <t>KAMLESH SINGH</t>
        </is>
      </c>
      <c r="J94" s="106" t="inlineStr">
        <is>
          <t>FOOTWEAR</t>
        </is>
      </c>
      <c r="K94" s="107" t="inlineStr">
        <is>
          <t>FW_LADIES FOOTWEAR</t>
        </is>
      </c>
      <c r="L94" s="107" t="inlineStr">
        <is>
          <t>FW_L_CASUAL SANDAL</t>
        </is>
      </c>
      <c r="M94" s="107" t="inlineStr">
        <is>
          <t>FNCY 249-[FWL01]</t>
        </is>
      </c>
      <c r="N94" s="107" t="inlineStr">
        <is>
          <t>ACTIVE</t>
        </is>
      </c>
      <c r="O94" s="108" t="n">
        <v>0.101984131926713</v>
      </c>
      <c r="P94" s="108" t="n">
        <v>0.0738471050334594</v>
      </c>
      <c r="Q94" s="109" t="n">
        <v>68</v>
      </c>
      <c r="R94" s="110" t="n">
        <v>3947</v>
      </c>
      <c r="S94" s="110" t="n">
        <v>2257.94926902684</v>
      </c>
      <c r="T94" s="110" t="n">
        <v>1917.6438917969</v>
      </c>
      <c r="U94" s="110" t="n">
        <v>8122.59316082374</v>
      </c>
      <c r="V94" s="104" t="n">
        <v>7200</v>
      </c>
      <c r="W94" s="104" t="n">
        <v>4800</v>
      </c>
      <c r="X94" s="104">
        <f>$V94+W94</f>
        <v/>
      </c>
      <c r="Y94" s="111">
        <f>IFERROR(A94/R94,0)</f>
        <v/>
      </c>
      <c r="Z94" s="111">
        <f>IFERROR(B94/U94,0)</f>
        <v/>
      </c>
      <c r="AA94" s="111">
        <f>IFERROR(C94/R94,0)</f>
        <v/>
      </c>
      <c r="AB94" s="111">
        <f>IFERROR(D94/U94,0)</f>
        <v/>
      </c>
      <c r="AD94" s="111">
        <f>IF(U94&gt;0,IFERROR(E94/U94,0),1)</f>
        <v/>
      </c>
      <c r="AE94" s="111">
        <f>IF(R94&gt;0,IFERROR(F94/R94,0),1)</f>
        <v/>
      </c>
      <c r="AF94" s="111">
        <f>IF(AL94&gt;0,IFERROR(G94/AL94,0),1)</f>
        <v/>
      </c>
      <c r="AG94" s="111">
        <f>IF(AM94&gt;0,IFERROR(H94/AM94,0),1)</f>
        <v/>
      </c>
      <c r="AH94" s="104">
        <f>U94-(V94+AN94+AR94)</f>
        <v/>
      </c>
      <c r="AI94" s="104">
        <f>R94-(V94+AO94+AR94)</f>
        <v/>
      </c>
      <c r="AJ94" s="104">
        <f>(AL94-AP94)</f>
        <v/>
      </c>
      <c r="AK94" s="104">
        <f>(AM94-AQ94)</f>
        <v/>
      </c>
      <c r="AL94" s="110">
        <f>S94+AI94</f>
        <v/>
      </c>
      <c r="AM94" s="110">
        <f>T94+AJ94</f>
        <v/>
      </c>
      <c r="AN94" s="104" t="n">
        <v>11040</v>
      </c>
      <c r="AO94" s="104" t="n">
        <v>11040</v>
      </c>
      <c r="AP94" s="104" t="n">
        <v>0</v>
      </c>
      <c r="AQ94" s="104" t="n">
        <v>0</v>
      </c>
      <c r="AR94" s="104" t="n">
        <v>0</v>
      </c>
      <c r="AS94" s="104" t="n"/>
      <c r="AT94" s="104" t="n"/>
    </row>
    <row r="95" ht="12.65" customHeight="1" s="79">
      <c r="A95" s="104">
        <f>MIN(V95,R95)</f>
        <v/>
      </c>
      <c r="B95" s="104">
        <f>MIN(V95,U95)</f>
        <v/>
      </c>
      <c r="C95" s="104">
        <f>MIN(X95,R95)</f>
        <v/>
      </c>
      <c r="D95" s="104">
        <f>MIN(X95,U95)</f>
        <v/>
      </c>
      <c r="E95" s="104">
        <f>MIN((V95+AN95+AR95),U95)</f>
        <v/>
      </c>
      <c r="F95" s="104">
        <f>MAX(MIN((V95+AO95+AR95),R95),0)</f>
        <v/>
      </c>
      <c r="G95" s="104">
        <f>MAX(MIN(AP95,AL95),0)</f>
        <v/>
      </c>
      <c r="H95" s="104">
        <f>MAX(MIN(AQ95,AM95),0)</f>
        <v/>
      </c>
      <c r="I95" s="105" t="inlineStr">
        <is>
          <t>KAMLESH SINGH</t>
        </is>
      </c>
      <c r="J95" s="106" t="inlineStr">
        <is>
          <t>FOOTWEAR</t>
        </is>
      </c>
      <c r="K95" s="107" t="inlineStr">
        <is>
          <t>FW_LADIES FOOTWEAR</t>
        </is>
      </c>
      <c r="L95" s="107" t="inlineStr">
        <is>
          <t>FW_L_CASUAL SANDAL</t>
        </is>
      </c>
      <c r="M95" s="107" t="inlineStr">
        <is>
          <t>CROCS 299-[FWL01]</t>
        </is>
      </c>
      <c r="N95" s="107" t="inlineStr">
        <is>
          <t>ACTIVE</t>
        </is>
      </c>
      <c r="O95" s="108" t="n">
        <v>0.0634827287359168</v>
      </c>
      <c r="P95" s="108" t="n">
        <v>0.0570310701956272</v>
      </c>
      <c r="Q95" s="109" t="n">
        <v>68</v>
      </c>
      <c r="R95" s="110" t="n">
        <v>1186</v>
      </c>
      <c r="S95" s="110" t="n">
        <v>524.173304288798</v>
      </c>
      <c r="T95" s="110" t="n">
        <v>468.772570406278</v>
      </c>
      <c r="U95" s="110" t="n">
        <v>2178.94587469508</v>
      </c>
      <c r="V95" s="104" t="n">
        <v>3600</v>
      </c>
      <c r="W95" s="104" t="n">
        <v>0</v>
      </c>
      <c r="X95" s="104">
        <f>$V95+W95</f>
        <v/>
      </c>
      <c r="Y95" s="111">
        <f>IFERROR(A95/R95,0)</f>
        <v/>
      </c>
      <c r="Z95" s="111">
        <f>IFERROR(B95/U95,0)</f>
        <v/>
      </c>
      <c r="AA95" s="111">
        <f>IFERROR(C95/R95,0)</f>
        <v/>
      </c>
      <c r="AB95" s="111">
        <f>IFERROR(D95/U95,0)</f>
        <v/>
      </c>
      <c r="AD95" s="111">
        <f>IF(U95&gt;0,IFERROR(E95/U95,0),1)</f>
        <v/>
      </c>
      <c r="AE95" s="111">
        <f>IF(R95&gt;0,IFERROR(F95/R95,0),1)</f>
        <v/>
      </c>
      <c r="AF95" s="111">
        <f>IF(AL95&gt;0,IFERROR(G95/AL95,0),1)</f>
        <v/>
      </c>
      <c r="AG95" s="111">
        <f>IF(AM95&gt;0,IFERROR(H95/AM95,0),1)</f>
        <v/>
      </c>
      <c r="AH95" s="104">
        <f>U95-(V95+AN95+AR95)</f>
        <v/>
      </c>
      <c r="AI95" s="104">
        <f>R95-(V95+AO95+AR95)</f>
        <v/>
      </c>
      <c r="AJ95" s="104">
        <f>(AL95-AP95)</f>
        <v/>
      </c>
      <c r="AK95" s="104">
        <f>(AM95-AQ95)</f>
        <v/>
      </c>
      <c r="AL95" s="110">
        <f>S95+AI95</f>
        <v/>
      </c>
      <c r="AM95" s="110">
        <f>T95+AJ95</f>
        <v/>
      </c>
      <c r="AN95" s="104" t="n">
        <v>4800</v>
      </c>
      <c r="AO95" s="104" t="n">
        <v>1440</v>
      </c>
      <c r="AP95" s="104" t="n">
        <v>3360</v>
      </c>
      <c r="AQ95" s="104" t="n">
        <v>0</v>
      </c>
      <c r="AR95" s="104" t="n">
        <v>0</v>
      </c>
      <c r="AS95" s="104" t="n"/>
      <c r="AT95" s="104" t="n"/>
    </row>
    <row r="96" ht="12.65" customHeight="1" s="79">
      <c r="A96" s="104">
        <f>MIN(V96,R96)</f>
        <v/>
      </c>
      <c r="B96" s="104">
        <f>MIN(V96,U96)</f>
        <v/>
      </c>
      <c r="C96" s="104">
        <f>MIN(X96,R96)</f>
        <v/>
      </c>
      <c r="D96" s="104">
        <f>MIN(X96,U96)</f>
        <v/>
      </c>
      <c r="E96" s="104">
        <f>MIN((V96+AN96+AR96),U96)</f>
        <v/>
      </c>
      <c r="F96" s="104">
        <f>MAX(MIN((V96+AO96+AR96),R96),0)</f>
        <v/>
      </c>
      <c r="G96" s="104">
        <f>MAX(MIN(AP96,AL96),0)</f>
        <v/>
      </c>
      <c r="H96" s="104">
        <f>MAX(MIN(AQ96,AM96),0)</f>
        <v/>
      </c>
      <c r="I96" s="105" t="inlineStr">
        <is>
          <t>KAMLESH SINGH</t>
        </is>
      </c>
      <c r="J96" s="106" t="inlineStr">
        <is>
          <t>FOOTWEAR</t>
        </is>
      </c>
      <c r="K96" s="107" t="inlineStr">
        <is>
          <t>FW_LADIES FOOTWEAR</t>
        </is>
      </c>
      <c r="L96" s="107" t="inlineStr">
        <is>
          <t>FW_L_FANCY_SLIPPER</t>
        </is>
      </c>
      <c r="M96" s="107" t="inlineStr">
        <is>
          <t>FNCY PVC 299-[FWL08]</t>
        </is>
      </c>
      <c r="N96" s="107" t="inlineStr">
        <is>
          <t>ACTIVE</t>
        </is>
      </c>
      <c r="O96" s="108" t="n">
        <v>0.107542779724914</v>
      </c>
      <c r="P96" s="108" t="n">
        <v>0.06883763595858999</v>
      </c>
      <c r="Q96" s="109" t="n">
        <v>21</v>
      </c>
      <c r="R96" s="110" t="n">
        <v>6053</v>
      </c>
      <c r="S96" s="110" t="n">
        <v>3500.442790246</v>
      </c>
      <c r="T96" s="110" t="n">
        <v>3362.95434815338</v>
      </c>
      <c r="U96" s="110" t="n">
        <v>12916.3971383994</v>
      </c>
      <c r="V96" s="104" t="n">
        <v>7511</v>
      </c>
      <c r="W96" s="104" t="n">
        <v>3600</v>
      </c>
      <c r="X96" s="104">
        <f>$V96+W96</f>
        <v/>
      </c>
      <c r="Y96" s="111">
        <f>IFERROR(A96/R96,0)</f>
        <v/>
      </c>
      <c r="Z96" s="111">
        <f>IFERROR(B96/U96,0)</f>
        <v/>
      </c>
      <c r="AA96" s="111">
        <f>IFERROR(C96/R96,0)</f>
        <v/>
      </c>
      <c r="AB96" s="111">
        <f>IFERROR(D96/U96,0)</f>
        <v/>
      </c>
      <c r="AD96" s="111">
        <f>IF(U96&gt;0,IFERROR(E96/U96,0),1)</f>
        <v/>
      </c>
      <c r="AE96" s="111">
        <f>IF(R96&gt;0,IFERROR(F96/R96,0),1)</f>
        <v/>
      </c>
      <c r="AF96" s="111">
        <f>IF(AL96&gt;0,IFERROR(G96/AL96,0),1)</f>
        <v/>
      </c>
      <c r="AG96" s="111">
        <f>IF(AM96&gt;0,IFERROR(H96/AM96,0),1)</f>
        <v/>
      </c>
      <c r="AH96" s="104">
        <f>U96-(V96+AN96+AR96)</f>
        <v/>
      </c>
      <c r="AI96" s="104">
        <f>R96-(V96+AO96+AR96)</f>
        <v/>
      </c>
      <c r="AJ96" s="104">
        <f>(AL96-AP96)</f>
        <v/>
      </c>
      <c r="AK96" s="104">
        <f>(AM96-AQ96)</f>
        <v/>
      </c>
      <c r="AL96" s="110">
        <f>S96+AI96</f>
        <v/>
      </c>
      <c r="AM96" s="110">
        <f>T96+AJ96</f>
        <v/>
      </c>
      <c r="AN96" s="104" t="n">
        <v>13008</v>
      </c>
      <c r="AO96" s="104" t="n">
        <v>13008</v>
      </c>
      <c r="AP96" s="104" t="n">
        <v>0</v>
      </c>
      <c r="AQ96" s="104" t="n">
        <v>0</v>
      </c>
      <c r="AR96" s="104" t="n">
        <v>0</v>
      </c>
      <c r="AS96" s="104" t="n"/>
      <c r="AT96" s="104" t="n"/>
    </row>
    <row r="97" ht="12.65" customHeight="1" s="79">
      <c r="A97" s="104">
        <f>MIN(V97,R97)</f>
        <v/>
      </c>
      <c r="B97" s="104">
        <f>MIN(V97,U97)</f>
        <v/>
      </c>
      <c r="C97" s="104">
        <f>MIN(X97,R97)</f>
        <v/>
      </c>
      <c r="D97" s="104">
        <f>MIN(X97,U97)</f>
        <v/>
      </c>
      <c r="E97" s="104">
        <f>MIN((V97+AN97+AR97),U97)</f>
        <v/>
      </c>
      <c r="F97" s="104">
        <f>MAX(MIN((V97+AO97+AR97),R97),0)</f>
        <v/>
      </c>
      <c r="G97" s="104">
        <f>MAX(MIN(AP97,AL97),0)</f>
        <v/>
      </c>
      <c r="H97" s="104">
        <f>MAX(MIN(AQ97,AM97),0)</f>
        <v/>
      </c>
      <c r="I97" s="105" t="inlineStr">
        <is>
          <t>KAMLESH SINGH</t>
        </is>
      </c>
      <c r="J97" s="106" t="inlineStr">
        <is>
          <t>FOOTWEAR</t>
        </is>
      </c>
      <c r="K97" s="107" t="inlineStr">
        <is>
          <t>FW_LADIES FOOTWEAR</t>
        </is>
      </c>
      <c r="L97" s="107" t="inlineStr">
        <is>
          <t>FW_L_FANCY_SLIPPER</t>
        </is>
      </c>
      <c r="M97" s="107" t="inlineStr">
        <is>
          <t>FNCY PVC 399-[FWL08]</t>
        </is>
      </c>
      <c r="N97" s="107" t="inlineStr">
        <is>
          <t>ACTIVE</t>
        </is>
      </c>
      <c r="O97" s="108" t="n">
        <v>0.109680134680135</v>
      </c>
      <c r="P97" s="108" t="n">
        <v>0.0633167315942601</v>
      </c>
      <c r="Q97" s="109" t="n">
        <v>21</v>
      </c>
      <c r="R97" s="110" t="n">
        <v>7342</v>
      </c>
      <c r="S97" s="110" t="n">
        <v>346.139379907931</v>
      </c>
      <c r="T97" s="110" t="n">
        <v>0</v>
      </c>
      <c r="U97" s="110" t="n">
        <v>7688.13937990793</v>
      </c>
      <c r="V97" s="104" t="n">
        <v>4199</v>
      </c>
      <c r="W97" s="104" t="n">
        <v>0</v>
      </c>
      <c r="X97" s="104">
        <f>$V97+W97</f>
        <v/>
      </c>
      <c r="Y97" s="111">
        <f>IFERROR(A97/R97,0)</f>
        <v/>
      </c>
      <c r="Z97" s="111">
        <f>IFERROR(B97/U97,0)</f>
        <v/>
      </c>
      <c r="AA97" s="111">
        <f>IFERROR(C97/R97,0)</f>
        <v/>
      </c>
      <c r="AB97" s="111">
        <f>IFERROR(D97/U97,0)</f>
        <v/>
      </c>
      <c r="AD97" s="111">
        <f>IF(U97&gt;0,IFERROR(E97/U97,0),1)</f>
        <v/>
      </c>
      <c r="AE97" s="111">
        <f>IF(R97&gt;0,IFERROR(F97/R97,0),1)</f>
        <v/>
      </c>
      <c r="AF97" s="111">
        <f>IF(AL97&gt;0,IFERROR(G97/AL97,0),1)</f>
        <v/>
      </c>
      <c r="AG97" s="111">
        <f>IF(AM97&gt;0,IFERROR(H97/AM97,0),1)</f>
        <v/>
      </c>
      <c r="AH97" s="104">
        <f>U97-(V97+AN97+AR97)</f>
        <v/>
      </c>
      <c r="AI97" s="104">
        <f>R97-(V97+AO97+AR97)</f>
        <v/>
      </c>
      <c r="AJ97" s="104">
        <f>(AL97-AP97)</f>
        <v/>
      </c>
      <c r="AK97" s="104">
        <f>(AM97-AQ97)</f>
        <v/>
      </c>
      <c r="AL97" s="110">
        <f>S97+AI97</f>
        <v/>
      </c>
      <c r="AM97" s="110">
        <f>T97+AJ97</f>
        <v/>
      </c>
      <c r="AN97" s="104" t="n">
        <v>1440</v>
      </c>
      <c r="AO97" s="104" t="n">
        <v>1440</v>
      </c>
      <c r="AP97" s="104" t="n">
        <v>0</v>
      </c>
      <c r="AQ97" s="104" t="n">
        <v>0</v>
      </c>
      <c r="AR97" s="104" t="n">
        <v>0</v>
      </c>
      <c r="AS97" s="104" t="n"/>
      <c r="AT97" s="104" t="n"/>
    </row>
    <row r="98" ht="12.65" customHeight="1" s="79">
      <c r="A98" s="104">
        <f>MIN(V98,R98)</f>
        <v/>
      </c>
      <c r="B98" s="104">
        <f>MIN(V98,U98)</f>
        <v/>
      </c>
      <c r="C98" s="104">
        <f>MIN(X98,R98)</f>
        <v/>
      </c>
      <c r="D98" s="104">
        <f>MIN(X98,U98)</f>
        <v/>
      </c>
      <c r="E98" s="104">
        <f>MIN((V98+AN98+AR98),U98)</f>
        <v/>
      </c>
      <c r="F98" s="104">
        <f>MAX(MIN((V98+AO98+AR98),R98),0)</f>
        <v/>
      </c>
      <c r="G98" s="104">
        <f>MAX(MIN(AP98,AL98),0)</f>
        <v/>
      </c>
      <c r="H98" s="104">
        <f>MAX(MIN(AQ98,AM98),0)</f>
        <v/>
      </c>
      <c r="I98" s="105" t="inlineStr">
        <is>
          <t>KAMLESH SINGH</t>
        </is>
      </c>
      <c r="J98" s="106" t="inlineStr">
        <is>
          <t>FOOTWEAR</t>
        </is>
      </c>
      <c r="K98" s="107" t="inlineStr">
        <is>
          <t>FW_LADIES FOOTWEAR</t>
        </is>
      </c>
      <c r="L98" s="107" t="inlineStr">
        <is>
          <t>FW_L_SHOES</t>
        </is>
      </c>
      <c r="M98" s="107" t="inlineStr">
        <is>
          <t>CSL PVC 299-[FWL03]</t>
        </is>
      </c>
      <c r="N98" s="107" t="inlineStr">
        <is>
          <t>ACTIVE</t>
        </is>
      </c>
      <c r="O98" s="108" t="n">
        <v>0.0594691802058787</v>
      </c>
      <c r="P98" s="108" t="n">
        <v>0.0562509738742014</v>
      </c>
      <c r="Q98" s="109" t="n">
        <v>25</v>
      </c>
      <c r="R98" s="110" t="n">
        <v>6430</v>
      </c>
      <c r="S98" s="110" t="n">
        <v>10062.1869065934</v>
      </c>
      <c r="T98" s="110" t="n">
        <v>3398.04467808249</v>
      </c>
      <c r="U98" s="110" t="n">
        <v>19890.2315846759</v>
      </c>
      <c r="V98" s="104" t="n">
        <v>4800</v>
      </c>
      <c r="W98" s="104" t="n">
        <v>2400</v>
      </c>
      <c r="X98" s="104">
        <f>$V98+W98</f>
        <v/>
      </c>
      <c r="Y98" s="111">
        <f>IFERROR(A98/R98,0)</f>
        <v/>
      </c>
      <c r="Z98" s="111">
        <f>IFERROR(B98/U98,0)</f>
        <v/>
      </c>
      <c r="AA98" s="111">
        <f>IFERROR(C98/R98,0)</f>
        <v/>
      </c>
      <c r="AB98" s="111">
        <f>IFERROR(D98/U98,0)</f>
        <v/>
      </c>
      <c r="AD98" s="111">
        <f>IF(U98&gt;0,IFERROR(E98/U98,0),1)</f>
        <v/>
      </c>
      <c r="AE98" s="111">
        <f>IF(R98&gt;0,IFERROR(F98/R98,0),1)</f>
        <v/>
      </c>
      <c r="AF98" s="111">
        <f>IF(AL98&gt;0,IFERROR(G98/AL98,0),1)</f>
        <v/>
      </c>
      <c r="AG98" s="111">
        <f>IF(AM98&gt;0,IFERROR(H98/AM98,0),1)</f>
        <v/>
      </c>
      <c r="AH98" s="104">
        <f>U98-(V98+AN98+AR98)</f>
        <v/>
      </c>
      <c r="AI98" s="104">
        <f>R98-(V98+AO98+AR98)</f>
        <v/>
      </c>
      <c r="AJ98" s="104">
        <f>(AL98-AP98)</f>
        <v/>
      </c>
      <c r="AK98" s="104">
        <f>(AM98-AQ98)</f>
        <v/>
      </c>
      <c r="AL98" s="110">
        <f>S98+AI98</f>
        <v/>
      </c>
      <c r="AM98" s="110">
        <f>T98+AJ98</f>
        <v/>
      </c>
      <c r="AN98" s="104" t="n">
        <v>25200</v>
      </c>
      <c r="AO98" s="104" t="n">
        <v>2400</v>
      </c>
      <c r="AP98" s="104" t="n">
        <v>9600</v>
      </c>
      <c r="AQ98" s="104" t="n">
        <v>13200</v>
      </c>
      <c r="AR98" s="104" t="n">
        <v>0</v>
      </c>
      <c r="AS98" s="104" t="n"/>
      <c r="AT98" s="104" t="n"/>
    </row>
    <row r="99" ht="12.65" customHeight="1" s="79">
      <c r="A99" s="104">
        <f>MIN(V99,R99)</f>
        <v/>
      </c>
      <c r="B99" s="104">
        <f>MIN(V99,U99)</f>
        <v/>
      </c>
      <c r="C99" s="104">
        <f>MIN(X99,R99)</f>
        <v/>
      </c>
      <c r="D99" s="104">
        <f>MIN(X99,U99)</f>
        <v/>
      </c>
      <c r="E99" s="104">
        <f>MIN((V99+AN99+AR99),U99)</f>
        <v/>
      </c>
      <c r="F99" s="104">
        <f>MAX(MIN((V99+AO99+AR99),R99),0)</f>
        <v/>
      </c>
      <c r="G99" s="104">
        <f>MAX(MIN(AP99,AL99),0)</f>
        <v/>
      </c>
      <c r="H99" s="104">
        <f>MAX(MIN(AQ99,AM99),0)</f>
        <v/>
      </c>
      <c r="I99" s="105" t="inlineStr">
        <is>
          <t>KAMLESH SINGH</t>
        </is>
      </c>
      <c r="J99" s="106" t="inlineStr">
        <is>
          <t>FOOTWEAR</t>
        </is>
      </c>
      <c r="K99" s="107" t="inlineStr">
        <is>
          <t>FW_LADIES FOOTWEAR</t>
        </is>
      </c>
      <c r="L99" s="107" t="inlineStr">
        <is>
          <t>FW_L_SHOES</t>
        </is>
      </c>
      <c r="M99" s="107" t="inlineStr">
        <is>
          <t>SPRT PVC 399-[FWL03]</t>
        </is>
      </c>
      <c r="N99" s="107" t="inlineStr">
        <is>
          <t>ACTIVE</t>
        </is>
      </c>
      <c r="O99" s="108" t="n">
        <v>0.0345098758797856</v>
      </c>
      <c r="P99" s="108" t="n">
        <v>0.0200238551342755</v>
      </c>
      <c r="Q99" s="109" t="n">
        <v>25</v>
      </c>
      <c r="R99" s="110" t="n">
        <v>4457</v>
      </c>
      <c r="S99" s="110" t="n">
        <v>6059.82662516762</v>
      </c>
      <c r="T99" s="110" t="n">
        <v>2396.10868986236</v>
      </c>
      <c r="U99" s="110" t="n">
        <v>12912.93531503</v>
      </c>
      <c r="V99" s="104" t="n">
        <v>0</v>
      </c>
      <c r="W99" s="104" t="n">
        <v>0</v>
      </c>
      <c r="X99" s="104">
        <f>$V99+W99</f>
        <v/>
      </c>
      <c r="Y99" s="111">
        <f>IFERROR(A99/R99,0)</f>
        <v/>
      </c>
      <c r="Z99" s="111">
        <f>IFERROR(B99/U99,0)</f>
        <v/>
      </c>
      <c r="AA99" s="111">
        <f>IFERROR(C99/R99,0)</f>
        <v/>
      </c>
      <c r="AB99" s="111">
        <f>IFERROR(D99/U99,0)</f>
        <v/>
      </c>
      <c r="AD99" s="111">
        <f>IF(U99&gt;0,IFERROR(E99/U99,0),1)</f>
        <v/>
      </c>
      <c r="AE99" s="111">
        <f>IF(R99&gt;0,IFERROR(F99/R99,0),1)</f>
        <v/>
      </c>
      <c r="AF99" s="111">
        <f>IF(AL99&gt;0,IFERROR(G99/AL99,0),1)</f>
        <v/>
      </c>
      <c r="AG99" s="111">
        <f>IF(AM99&gt;0,IFERROR(H99/AM99,0),1)</f>
        <v/>
      </c>
      <c r="AH99" s="104">
        <f>U99-(V99+AN99+AR99)</f>
        <v/>
      </c>
      <c r="AI99" s="104">
        <f>R99-(V99+AO99+AR99)</f>
        <v/>
      </c>
      <c r="AJ99" s="104">
        <f>(AL99-AP99)</f>
        <v/>
      </c>
      <c r="AK99" s="104">
        <f>(AM99-AQ99)</f>
        <v/>
      </c>
      <c r="AL99" s="110">
        <f>S99+AI99</f>
        <v/>
      </c>
      <c r="AM99" s="110">
        <f>T99+AJ99</f>
        <v/>
      </c>
      <c r="AN99" s="104" t="n">
        <v>14800</v>
      </c>
      <c r="AO99" s="104" t="n">
        <v>5600</v>
      </c>
      <c r="AP99" s="104" t="n">
        <v>3600</v>
      </c>
      <c r="AQ99" s="104" t="n">
        <v>5600</v>
      </c>
      <c r="AR99" s="104" t="n">
        <v>0</v>
      </c>
      <c r="AS99" s="104" t="n"/>
      <c r="AT99" s="104" t="n"/>
    </row>
    <row r="100" ht="12.65" customHeight="1" s="79">
      <c r="A100" s="104">
        <f>MIN(V100,R100)</f>
        <v/>
      </c>
      <c r="B100" s="104">
        <f>MIN(V100,U100)</f>
        <v/>
      </c>
      <c r="C100" s="104">
        <f>MIN(X100,R100)</f>
        <v/>
      </c>
      <c r="D100" s="104">
        <f>MIN(X100,U100)</f>
        <v/>
      </c>
      <c r="E100" s="104">
        <f>MIN((V100+AN100+AR100),U100)</f>
        <v/>
      </c>
      <c r="F100" s="104">
        <f>MAX(MIN((V100+AO100+AR100),R100),0)</f>
        <v/>
      </c>
      <c r="G100" s="104">
        <f>MAX(MIN(AP100,AL100),0)</f>
        <v/>
      </c>
      <c r="H100" s="104">
        <f>MAX(MIN(AQ100,AM100),0)</f>
        <v/>
      </c>
      <c r="I100" s="105" t="inlineStr">
        <is>
          <t>KAMLESH SINGH</t>
        </is>
      </c>
      <c r="J100" s="106" t="inlineStr">
        <is>
          <t>FOOTWEAR</t>
        </is>
      </c>
      <c r="K100" s="107" t="inlineStr">
        <is>
          <t>FW_LADIES FOOTWEAR</t>
        </is>
      </c>
      <c r="L100" s="107" t="inlineStr">
        <is>
          <t>FW_L_SLIPPER</t>
        </is>
      </c>
      <c r="M100" s="107" t="inlineStr">
        <is>
          <t>CSL EVA 199-[FWL04]</t>
        </is>
      </c>
      <c r="N100" s="107" t="inlineStr">
        <is>
          <t>ACTIVE</t>
        </is>
      </c>
      <c r="O100" s="108" t="n">
        <v>0.117860773055685</v>
      </c>
      <c r="P100" s="108" t="n">
        <v>0.105163141738281</v>
      </c>
      <c r="Q100" s="109" t="n">
        <v>20</v>
      </c>
      <c r="R100" s="110" t="n">
        <v>4394</v>
      </c>
      <c r="S100" s="110" t="n">
        <v>3532.72498086027</v>
      </c>
      <c r="T100" s="110" t="n">
        <v>3613.77146619797</v>
      </c>
      <c r="U100" s="110" t="n">
        <v>11540.4964470582</v>
      </c>
      <c r="V100" s="104" t="n">
        <v>10632</v>
      </c>
      <c r="W100" s="104" t="n">
        <v>0</v>
      </c>
      <c r="X100" s="104">
        <f>$V100+W100</f>
        <v/>
      </c>
      <c r="Y100" s="111">
        <f>IFERROR(A100/R100,0)</f>
        <v/>
      </c>
      <c r="Z100" s="111">
        <f>IFERROR(B100/U100,0)</f>
        <v/>
      </c>
      <c r="AA100" s="111">
        <f>IFERROR(C100/R100,0)</f>
        <v/>
      </c>
      <c r="AB100" s="111">
        <f>IFERROR(D100/U100,0)</f>
        <v/>
      </c>
      <c r="AD100" s="111">
        <f>IF(U100&gt;0,IFERROR(E100/U100,0),1)</f>
        <v/>
      </c>
      <c r="AE100" s="111">
        <f>IF(R100&gt;0,IFERROR(F100/R100,0),1)</f>
        <v/>
      </c>
      <c r="AF100" s="111">
        <f>IF(AL100&gt;0,IFERROR(G100/AL100,0),1)</f>
        <v/>
      </c>
      <c r="AG100" s="111">
        <f>IF(AM100&gt;0,IFERROR(H100/AM100,0),1)</f>
        <v/>
      </c>
      <c r="AH100" s="104">
        <f>U100-(V100+AN100+AR100)</f>
        <v/>
      </c>
      <c r="AI100" s="104">
        <f>R100-(V100+AO100+AR100)</f>
        <v/>
      </c>
      <c r="AJ100" s="104">
        <f>(AL100-AP100)</f>
        <v/>
      </c>
      <c r="AK100" s="104">
        <f>(AM100-AQ100)</f>
        <v/>
      </c>
      <c r="AL100" s="110">
        <f>S100+AI100</f>
        <v/>
      </c>
      <c r="AM100" s="110">
        <f>T100+AJ100</f>
        <v/>
      </c>
      <c r="AN100" s="104" t="n">
        <v>18000</v>
      </c>
      <c r="AO100" s="104" t="n">
        <v>10800</v>
      </c>
      <c r="AP100" s="104" t="n">
        <v>0</v>
      </c>
      <c r="AQ100" s="104" t="n">
        <v>7200</v>
      </c>
      <c r="AR100" s="104" t="n">
        <v>0</v>
      </c>
      <c r="AS100" s="104" t="n"/>
      <c r="AT100" s="104" t="n"/>
    </row>
    <row r="101" ht="12.65" customHeight="1" s="79">
      <c r="A101" s="104">
        <f>MIN(V101,R101)</f>
        <v/>
      </c>
      <c r="B101" s="104">
        <f>MIN(V101,U101)</f>
        <v/>
      </c>
      <c r="C101" s="104">
        <f>MIN(X101,R101)</f>
        <v/>
      </c>
      <c r="D101" s="104">
        <f>MIN(X101,U101)</f>
        <v/>
      </c>
      <c r="E101" s="104">
        <f>MIN((V101+AN101+AR101),U101)</f>
        <v/>
      </c>
      <c r="F101" s="104">
        <f>MAX(MIN((V101+AO101+AR101),R101),0)</f>
        <v/>
      </c>
      <c r="G101" s="104">
        <f>MAX(MIN(AP101,AL101),0)</f>
        <v/>
      </c>
      <c r="H101" s="104">
        <f>MAX(MIN(AQ101,AM101),0)</f>
        <v/>
      </c>
      <c r="I101" s="105" t="inlineStr">
        <is>
          <t>KAMLESH SINGH</t>
        </is>
      </c>
      <c r="J101" s="106" t="inlineStr">
        <is>
          <t>FOOTWEAR</t>
        </is>
      </c>
      <c r="K101" s="107" t="inlineStr">
        <is>
          <t>FW_LADIES FOOTWEAR</t>
        </is>
      </c>
      <c r="L101" s="107" t="inlineStr">
        <is>
          <t>FW_L_SLIPPER</t>
        </is>
      </c>
      <c r="M101" s="107" t="inlineStr">
        <is>
          <t>CSL PVC 199-[FWL04]</t>
        </is>
      </c>
      <c r="N101" s="107" t="inlineStr">
        <is>
          <t>ACTIVE</t>
        </is>
      </c>
      <c r="O101" s="108" t="n">
        <v>0.0942266340914521</v>
      </c>
      <c r="P101" s="108" t="n">
        <v>0.0675394365545635</v>
      </c>
      <c r="Q101" s="109" t="n">
        <v>20</v>
      </c>
      <c r="R101" s="110" t="n">
        <v>3894</v>
      </c>
      <c r="S101" s="110" t="n">
        <v>2466.99386274769</v>
      </c>
      <c r="T101" s="110" t="n">
        <v>2428.88763523828</v>
      </c>
      <c r="U101" s="110" t="n">
        <v>8789.881497985971</v>
      </c>
      <c r="V101" s="104" t="n">
        <v>7200</v>
      </c>
      <c r="W101" s="104" t="n">
        <v>0</v>
      </c>
      <c r="X101" s="104">
        <f>$V101+W101</f>
        <v/>
      </c>
      <c r="Y101" s="111">
        <f>IFERROR(A101/R101,0)</f>
        <v/>
      </c>
      <c r="Z101" s="111">
        <f>IFERROR(B101/U101,0)</f>
        <v/>
      </c>
      <c r="AA101" s="111">
        <f>IFERROR(C101/R101,0)</f>
        <v/>
      </c>
      <c r="AB101" s="111">
        <f>IFERROR(D101/U101,0)</f>
        <v/>
      </c>
      <c r="AD101" s="111">
        <f>IF(U101&gt;0,IFERROR(E101/U101,0),1)</f>
        <v/>
      </c>
      <c r="AE101" s="111">
        <f>IF(R101&gt;0,IFERROR(F101/R101,0),1)</f>
        <v/>
      </c>
      <c r="AF101" s="111">
        <f>IF(AL101&gt;0,IFERROR(G101/AL101,0),1)</f>
        <v/>
      </c>
      <c r="AG101" s="111">
        <f>IF(AM101&gt;0,IFERROR(H101/AM101,0),1)</f>
        <v/>
      </c>
      <c r="AH101" s="104">
        <f>U101-(V101+AN101+AR101)</f>
        <v/>
      </c>
      <c r="AI101" s="104">
        <f>R101-(V101+AO101+AR101)</f>
        <v/>
      </c>
      <c r="AJ101" s="104">
        <f>(AL101-AP101)</f>
        <v/>
      </c>
      <c r="AK101" s="104">
        <f>(AM101-AQ101)</f>
        <v/>
      </c>
      <c r="AL101" s="110">
        <f>S101+AI101</f>
        <v/>
      </c>
      <c r="AM101" s="110">
        <f>T101+AJ101</f>
        <v/>
      </c>
      <c r="AN101" s="104" t="n">
        <v>4800</v>
      </c>
      <c r="AO101" s="104" t="n">
        <v>0</v>
      </c>
      <c r="AP101" s="104" t="n">
        <v>4800</v>
      </c>
      <c r="AQ101" s="104" t="n">
        <v>0</v>
      </c>
      <c r="AR101" s="104" t="n">
        <v>0</v>
      </c>
      <c r="AS101" s="104" t="n"/>
      <c r="AT101" s="104" t="n"/>
    </row>
    <row r="102" ht="12.65" customHeight="1" s="79">
      <c r="A102" s="104">
        <f>MIN(V102,R102)</f>
        <v/>
      </c>
      <c r="B102" s="104">
        <f>MIN(V102,U102)</f>
        <v/>
      </c>
      <c r="C102" s="104">
        <f>MIN(X102,R102)</f>
        <v/>
      </c>
      <c r="D102" s="104">
        <f>MIN(X102,U102)</f>
        <v/>
      </c>
      <c r="E102" s="104">
        <f>MIN((V102+AN102+AR102),U102)</f>
        <v/>
      </c>
      <c r="F102" s="104">
        <f>MAX(MIN((V102+AO102+AR102),R102),0)</f>
        <v/>
      </c>
      <c r="G102" s="104">
        <f>MAX(MIN(AP102,AL102),0)</f>
        <v/>
      </c>
      <c r="H102" s="104">
        <f>MAX(MIN(AQ102,AM102),0)</f>
        <v/>
      </c>
      <c r="I102" s="105" t="inlineStr">
        <is>
          <t>KAMLESH SINGH</t>
        </is>
      </c>
      <c r="J102" s="106" t="inlineStr">
        <is>
          <t>FOOTWEAR</t>
        </is>
      </c>
      <c r="K102" s="107" t="inlineStr">
        <is>
          <t>FW_LADIES FOOTWEAR</t>
        </is>
      </c>
      <c r="L102" s="107" t="inlineStr">
        <is>
          <t>FW_L_SLIPPER</t>
        </is>
      </c>
      <c r="M102" s="107" t="inlineStr">
        <is>
          <t>CSL SHET 129-[FWL04]</t>
        </is>
      </c>
      <c r="N102" s="107" t="inlineStr">
        <is>
          <t>ACTIVE</t>
        </is>
      </c>
      <c r="O102" s="108" t="n">
        <v>0.118790041266729</v>
      </c>
      <c r="P102" s="108" t="n">
        <v>0.0944698324392344</v>
      </c>
      <c r="Q102" s="109" t="n">
        <v>20</v>
      </c>
      <c r="R102" s="110" t="n">
        <v>2734</v>
      </c>
      <c r="S102" s="110" t="n">
        <v>2469.13879999139</v>
      </c>
      <c r="T102" s="110" t="n">
        <v>2746.98577325526</v>
      </c>
      <c r="U102" s="110" t="n">
        <v>7950.12457324665</v>
      </c>
      <c r="V102" s="104" t="n">
        <v>0</v>
      </c>
      <c r="W102" s="104" t="n">
        <v>0</v>
      </c>
      <c r="X102" s="104">
        <f>$V102+W102</f>
        <v/>
      </c>
      <c r="Y102" s="111">
        <f>IFERROR(A102/R102,0)</f>
        <v/>
      </c>
      <c r="Z102" s="111">
        <f>IFERROR(B102/U102,0)</f>
        <v/>
      </c>
      <c r="AA102" s="111">
        <f>IFERROR(C102/R102,0)</f>
        <v/>
      </c>
      <c r="AB102" s="111">
        <f>IFERROR(D102/U102,0)</f>
        <v/>
      </c>
      <c r="AD102" s="111">
        <f>IF(U102&gt;0,IFERROR(E102/U102,0),1)</f>
        <v/>
      </c>
      <c r="AE102" s="111">
        <f>IF(R102&gt;0,IFERROR(F102/R102,0),1)</f>
        <v/>
      </c>
      <c r="AF102" s="111">
        <f>IF(AL102&gt;0,IFERROR(G102/AL102,0),1)</f>
        <v/>
      </c>
      <c r="AG102" s="111">
        <f>IF(AM102&gt;0,IFERROR(H102/AM102,0),1)</f>
        <v/>
      </c>
      <c r="AH102" s="104">
        <f>U102-(V102+AN102+AR102)</f>
        <v/>
      </c>
      <c r="AI102" s="104">
        <f>R102-(V102+AO102+AR102)</f>
        <v/>
      </c>
      <c r="AJ102" s="104">
        <f>(AL102-AP102)</f>
        <v/>
      </c>
      <c r="AK102" s="104">
        <f>(AM102-AQ102)</f>
        <v/>
      </c>
      <c r="AL102" s="110">
        <f>S102+AI102</f>
        <v/>
      </c>
      <c r="AM102" s="110">
        <f>T102+AJ102</f>
        <v/>
      </c>
      <c r="AN102" s="104" t="n">
        <v>16800</v>
      </c>
      <c r="AO102" s="104" t="n">
        <v>8400</v>
      </c>
      <c r="AP102" s="104" t="n">
        <v>8400</v>
      </c>
      <c r="AQ102" s="104" t="n">
        <v>0</v>
      </c>
      <c r="AR102" s="104" t="n">
        <v>0</v>
      </c>
      <c r="AS102" s="104" t="n"/>
      <c r="AT102" s="104" t="n"/>
    </row>
    <row r="103" ht="12.65" customHeight="1" s="79">
      <c r="A103" s="104">
        <f>MIN(V103,R103)</f>
        <v/>
      </c>
      <c r="B103" s="104">
        <f>MIN(V103,U103)</f>
        <v/>
      </c>
      <c r="C103" s="104">
        <f>MIN(X103,R103)</f>
        <v/>
      </c>
      <c r="D103" s="104">
        <f>MIN(X103,U103)</f>
        <v/>
      </c>
      <c r="E103" s="104">
        <f>MIN((V103+AN103+AR103),U103)</f>
        <v/>
      </c>
      <c r="F103" s="104">
        <f>MAX(MIN((V103+AO103+AR103),R103),0)</f>
        <v/>
      </c>
      <c r="G103" s="104">
        <f>MAX(MIN(AP103,AL103),0)</f>
        <v/>
      </c>
      <c r="H103" s="104">
        <f>MAX(MIN(AQ103,AM103),0)</f>
        <v/>
      </c>
      <c r="I103" s="105" t="inlineStr">
        <is>
          <t>KAMLESH SINGH</t>
        </is>
      </c>
      <c r="J103" s="106" t="inlineStr">
        <is>
          <t>FOOTWEAR</t>
        </is>
      </c>
      <c r="K103" s="107" t="inlineStr">
        <is>
          <t>FW_LADIES FOOTWEAR</t>
        </is>
      </c>
      <c r="L103" s="107" t="inlineStr">
        <is>
          <t>FW_L_SLIPPER</t>
        </is>
      </c>
      <c r="M103" s="107" t="inlineStr">
        <is>
          <t>CSL SHET HL 199-[FWL04]</t>
        </is>
      </c>
      <c r="N103" s="107" t="inlineStr">
        <is>
          <t>ACTIVE</t>
        </is>
      </c>
      <c r="O103" s="108" t="n">
        <v>0.09669844641369529</v>
      </c>
      <c r="P103" s="108" t="n">
        <v>0.0831082889326813</v>
      </c>
      <c r="Q103" s="109" t="n">
        <v>20</v>
      </c>
      <c r="R103" s="110" t="n">
        <v>2496</v>
      </c>
      <c r="S103" s="110" t="n">
        <v>1917.13807774792</v>
      </c>
      <c r="T103" s="110" t="n">
        <v>2135.31711166114</v>
      </c>
      <c r="U103" s="110" t="n">
        <v>6548.45518940906</v>
      </c>
      <c r="V103" s="104" t="n">
        <v>2880</v>
      </c>
      <c r="W103" s="104" t="n">
        <v>0</v>
      </c>
      <c r="X103" s="104">
        <f>$V103+W103</f>
        <v/>
      </c>
      <c r="Y103" s="111">
        <f>IFERROR(A103/R103,0)</f>
        <v/>
      </c>
      <c r="Z103" s="111">
        <f>IFERROR(B103/U103,0)</f>
        <v/>
      </c>
      <c r="AA103" s="111">
        <f>IFERROR(C103/R103,0)</f>
        <v/>
      </c>
      <c r="AB103" s="111">
        <f>IFERROR(D103/U103,0)</f>
        <v/>
      </c>
      <c r="AD103" s="111">
        <f>IF(U103&gt;0,IFERROR(E103/U103,0),1)</f>
        <v/>
      </c>
      <c r="AE103" s="111">
        <f>IF(R103&gt;0,IFERROR(F103/R103,0),1)</f>
        <v/>
      </c>
      <c r="AF103" s="111">
        <f>IF(AL103&gt;0,IFERROR(G103/AL103,0),1)</f>
        <v/>
      </c>
      <c r="AG103" s="111">
        <f>IF(AM103&gt;0,IFERROR(H103/AM103,0),1)</f>
        <v/>
      </c>
      <c r="AH103" s="104">
        <f>U103-(V103+AN103+AR103)</f>
        <v/>
      </c>
      <c r="AI103" s="104">
        <f>R103-(V103+AO103+AR103)</f>
        <v/>
      </c>
      <c r="AJ103" s="104">
        <f>(AL103-AP103)</f>
        <v/>
      </c>
      <c r="AK103" s="104">
        <f>(AM103-AQ103)</f>
        <v/>
      </c>
      <c r="AL103" s="110">
        <f>S103+AI103</f>
        <v/>
      </c>
      <c r="AM103" s="110">
        <f>T103+AJ103</f>
        <v/>
      </c>
      <c r="AN103" s="104" t="n">
        <v>4800</v>
      </c>
      <c r="AO103" s="104" t="n">
        <v>4800</v>
      </c>
      <c r="AP103" s="104" t="n">
        <v>0</v>
      </c>
      <c r="AQ103" s="104" t="n">
        <v>0</v>
      </c>
      <c r="AR103" s="104" t="n">
        <v>0</v>
      </c>
      <c r="AS103" s="104" t="n"/>
      <c r="AT103" s="104" t="n"/>
    </row>
    <row r="104" ht="12.65" customHeight="1" s="79">
      <c r="A104" s="104">
        <f>MIN(V104,R104)</f>
        <v/>
      </c>
      <c r="B104" s="104">
        <f>MIN(V104,U104)</f>
        <v/>
      </c>
      <c r="C104" s="104">
        <f>MIN(X104,R104)</f>
        <v/>
      </c>
      <c r="D104" s="104">
        <f>MIN(X104,U104)</f>
        <v/>
      </c>
      <c r="E104" s="104">
        <f>MIN((V104+AN104+AR104),U104)</f>
        <v/>
      </c>
      <c r="F104" s="104">
        <f>MAX(MIN((V104+AO104+AR104),R104),0)</f>
        <v/>
      </c>
      <c r="G104" s="104">
        <f>MAX(MIN(AP104,AL104),0)</f>
        <v/>
      </c>
      <c r="H104" s="104">
        <f>MAX(MIN(AQ104,AM104),0)</f>
        <v/>
      </c>
      <c r="I104" s="105" t="inlineStr">
        <is>
          <t>KAMLESH SINGH</t>
        </is>
      </c>
      <c r="J104" s="106" t="inlineStr">
        <is>
          <t>FOOTWEAR</t>
        </is>
      </c>
      <c r="K104" s="107" t="inlineStr">
        <is>
          <t>FW_LADIES FOOTWEAR</t>
        </is>
      </c>
      <c r="L104" s="107" t="inlineStr">
        <is>
          <t>FW_L_SLIPPER</t>
        </is>
      </c>
      <c r="M104" s="107" t="inlineStr">
        <is>
          <t>CSL PU 199-[FWL04]</t>
        </is>
      </c>
      <c r="N104" s="107" t="inlineStr">
        <is>
          <t>ACTIVE</t>
        </is>
      </c>
      <c r="O104" s="108" t="n">
        <v>0.150602409638554</v>
      </c>
      <c r="P104" s="108" t="n">
        <v>0.120510120510121</v>
      </c>
      <c r="Q104" s="109" t="n">
        <v>20</v>
      </c>
      <c r="R104" s="110" t="n">
        <v>3156</v>
      </c>
      <c r="S104" s="110" t="n">
        <v>1632.39406098322</v>
      </c>
      <c r="T104" s="110" t="n">
        <v>1512.91508749792</v>
      </c>
      <c r="U104" s="110" t="n">
        <v>6301.30914848114</v>
      </c>
      <c r="V104" s="104" t="n">
        <v>5200</v>
      </c>
      <c r="W104" s="104" t="n">
        <v>0</v>
      </c>
      <c r="X104" s="104">
        <f>$V104+W104</f>
        <v/>
      </c>
      <c r="Y104" s="111">
        <f>IFERROR(A104/R104,0)</f>
        <v/>
      </c>
      <c r="Z104" s="111">
        <f>IFERROR(B104/U104,0)</f>
        <v/>
      </c>
      <c r="AA104" s="111">
        <f>IFERROR(C104/R104,0)</f>
        <v/>
      </c>
      <c r="AB104" s="111">
        <f>IFERROR(D104/U104,0)</f>
        <v/>
      </c>
      <c r="AD104" s="111">
        <f>IF(U104&gt;0,IFERROR(E104/U104,0),1)</f>
        <v/>
      </c>
      <c r="AE104" s="111">
        <f>IF(R104&gt;0,IFERROR(F104/R104,0),1)</f>
        <v/>
      </c>
      <c r="AF104" s="111">
        <f>IF(AL104&gt;0,IFERROR(G104/AL104,0),1)</f>
        <v/>
      </c>
      <c r="AG104" s="111">
        <f>IF(AM104&gt;0,IFERROR(H104/AM104,0),1)</f>
        <v/>
      </c>
      <c r="AH104" s="104">
        <f>U104-(V104+AN104+AR104)</f>
        <v/>
      </c>
      <c r="AI104" s="104">
        <f>R104-(V104+AO104+AR104)</f>
        <v/>
      </c>
      <c r="AJ104" s="104">
        <f>(AL104-AP104)</f>
        <v/>
      </c>
      <c r="AK104" s="104">
        <f>(AM104-AQ104)</f>
        <v/>
      </c>
      <c r="AL104" s="110">
        <f>S104+AI104</f>
        <v/>
      </c>
      <c r="AM104" s="110">
        <f>T104+AJ104</f>
        <v/>
      </c>
      <c r="AN104" s="104" t="n">
        <v>7200</v>
      </c>
      <c r="AO104" s="104" t="n">
        <v>3600</v>
      </c>
      <c r="AP104" s="104" t="n">
        <v>3600</v>
      </c>
      <c r="AQ104" s="104" t="n">
        <v>0</v>
      </c>
      <c r="AR104" s="104" t="n">
        <v>0</v>
      </c>
      <c r="AS104" s="104" t="n"/>
      <c r="AT104" s="104" t="n"/>
    </row>
    <row r="105" ht="12.65" customHeight="1" s="79">
      <c r="A105" s="104">
        <f>MIN(V105,R105)</f>
        <v/>
      </c>
      <c r="B105" s="104">
        <f>MIN(V105,U105)</f>
        <v/>
      </c>
      <c r="C105" s="104">
        <f>MIN(X105,R105)</f>
        <v/>
      </c>
      <c r="D105" s="104">
        <f>MIN(X105,U105)</f>
        <v/>
      </c>
      <c r="E105" s="104">
        <f>MIN((V105+AN105+AR105),U105)</f>
        <v/>
      </c>
      <c r="F105" s="104">
        <f>MAX(MIN((V105+AO105+AR105),R105),0)</f>
        <v/>
      </c>
      <c r="G105" s="104">
        <f>MAX(MIN(AP105,AL105),0)</f>
        <v/>
      </c>
      <c r="H105" s="104">
        <f>MAX(MIN(AQ105,AM105),0)</f>
        <v/>
      </c>
      <c r="I105" s="105" t="inlineStr">
        <is>
          <t>KAMLESH SINGH</t>
        </is>
      </c>
      <c r="J105" s="106" t="inlineStr">
        <is>
          <t>FOOTWEAR</t>
        </is>
      </c>
      <c r="K105" s="107" t="inlineStr">
        <is>
          <t>FW_MENS FOOTWEAR</t>
        </is>
      </c>
      <c r="L105" s="107" t="inlineStr">
        <is>
          <t>FW_M_CASUAL SANDAL</t>
        </is>
      </c>
      <c r="M105" s="107" t="inlineStr">
        <is>
          <t>CSL CROCS 249-[FWM01]</t>
        </is>
      </c>
      <c r="N105" s="107" t="inlineStr">
        <is>
          <t>ACTIVE</t>
        </is>
      </c>
      <c r="O105" s="108" t="n">
        <v>0.126704695361045</v>
      </c>
      <c r="P105" s="108" t="n">
        <v>0.111856867689986</v>
      </c>
      <c r="Q105" s="109" t="n">
        <v>78</v>
      </c>
      <c r="R105" s="110" t="n">
        <v>1579</v>
      </c>
      <c r="S105" s="110" t="n">
        <v>1496.63133113567</v>
      </c>
      <c r="T105" s="110" t="n">
        <v>166.84765558936</v>
      </c>
      <c r="U105" s="110" t="n">
        <v>3242.47898672504</v>
      </c>
      <c r="V105" s="104" t="n">
        <v>2336</v>
      </c>
      <c r="W105" s="104" t="n">
        <v>0</v>
      </c>
      <c r="X105" s="104">
        <f>$V105+W105</f>
        <v/>
      </c>
      <c r="Y105" s="111">
        <f>IFERROR(A105/R105,0)</f>
        <v/>
      </c>
      <c r="Z105" s="111">
        <f>IFERROR(B105/U105,0)</f>
        <v/>
      </c>
      <c r="AA105" s="111">
        <f>IFERROR(C105/R105,0)</f>
        <v/>
      </c>
      <c r="AB105" s="111">
        <f>IFERROR(D105/U105,0)</f>
        <v/>
      </c>
      <c r="AD105" s="111">
        <f>IF(U105&gt;0,IFERROR(E105/U105,0),1)</f>
        <v/>
      </c>
      <c r="AE105" s="111">
        <f>IF(R105&gt;0,IFERROR(F105/R105,0),1)</f>
        <v/>
      </c>
      <c r="AF105" s="111">
        <f>IF(AL105&gt;0,IFERROR(G105/AL105,0),1)</f>
        <v/>
      </c>
      <c r="AG105" s="111">
        <f>IF(AM105&gt;0,IFERROR(H105/AM105,0),1)</f>
        <v/>
      </c>
      <c r="AH105" s="104">
        <f>U105-(V105+AN105+AR105)</f>
        <v/>
      </c>
      <c r="AI105" s="104">
        <f>R105-(V105+AO105+AR105)</f>
        <v/>
      </c>
      <c r="AJ105" s="104">
        <f>(AL105-AP105)</f>
        <v/>
      </c>
      <c r="AK105" s="104">
        <f>(AM105-AQ105)</f>
        <v/>
      </c>
      <c r="AL105" s="110">
        <f>S105+AI105</f>
        <v/>
      </c>
      <c r="AM105" s="110">
        <f>T105+AJ105</f>
        <v/>
      </c>
      <c r="AN105" s="104" t="n">
        <v>64</v>
      </c>
      <c r="AO105" s="104" t="n">
        <v>0</v>
      </c>
      <c r="AP105" s="104" t="n">
        <v>64</v>
      </c>
      <c r="AQ105" s="104" t="n">
        <v>0</v>
      </c>
      <c r="AR105" s="104" t="n">
        <v>0</v>
      </c>
      <c r="AS105" s="104" t="n"/>
      <c r="AT105" s="104" t="n"/>
    </row>
    <row r="106" ht="12.65" customHeight="1" s="79">
      <c r="A106" s="104">
        <f>MIN(V106,R106)</f>
        <v/>
      </c>
      <c r="B106" s="104">
        <f>MIN(V106,U106)</f>
        <v/>
      </c>
      <c r="C106" s="104">
        <f>MIN(X106,R106)</f>
        <v/>
      </c>
      <c r="D106" s="104">
        <f>MIN(X106,U106)</f>
        <v/>
      </c>
      <c r="E106" s="104">
        <f>MIN((V106+AN106+AR106),U106)</f>
        <v/>
      </c>
      <c r="F106" s="104">
        <f>MAX(MIN((V106+AO106+AR106),R106),0)</f>
        <v/>
      </c>
      <c r="G106" s="104">
        <f>MAX(MIN(AP106,AL106),0)</f>
        <v/>
      </c>
      <c r="H106" s="104">
        <f>MAX(MIN(AQ106,AM106),0)</f>
        <v/>
      </c>
      <c r="I106" s="105" t="inlineStr">
        <is>
          <t>KAMLESH SINGH</t>
        </is>
      </c>
      <c r="J106" s="106" t="inlineStr">
        <is>
          <t>FOOTWEAR</t>
        </is>
      </c>
      <c r="K106" s="107" t="inlineStr">
        <is>
          <t>FW_MENS FOOTWEAR</t>
        </is>
      </c>
      <c r="L106" s="107" t="inlineStr">
        <is>
          <t>FW_M_CASUAL SANDAL</t>
        </is>
      </c>
      <c r="M106" s="107" t="inlineStr">
        <is>
          <t>CSL EVA 299-[FWM01]</t>
        </is>
      </c>
      <c r="N106" s="107" t="inlineStr">
        <is>
          <t>ACTIVE</t>
        </is>
      </c>
      <c r="O106" s="108" t="n">
        <v>0.107818930041152</v>
      </c>
      <c r="P106" s="108" t="n">
        <v>0.103199036273591</v>
      </c>
      <c r="Q106" s="109" t="n">
        <v>78</v>
      </c>
      <c r="R106" s="110" t="n">
        <v>497</v>
      </c>
      <c r="S106" s="110" t="n">
        <v>273.819331150967</v>
      </c>
      <c r="T106" s="110" t="n">
        <v>234.141489457254</v>
      </c>
      <c r="U106" s="110" t="n">
        <v>1004.96082060822</v>
      </c>
      <c r="V106" s="104" t="n">
        <v>0</v>
      </c>
      <c r="W106" s="104" t="n">
        <v>1360</v>
      </c>
      <c r="X106" s="104">
        <f>$V106+W106</f>
        <v/>
      </c>
      <c r="Y106" s="111">
        <f>IFERROR(A106/R106,0)</f>
        <v/>
      </c>
      <c r="Z106" s="111">
        <f>IFERROR(B106/U106,0)</f>
        <v/>
      </c>
      <c r="AA106" s="111">
        <f>IFERROR(C106/R106,0)</f>
        <v/>
      </c>
      <c r="AB106" s="111">
        <f>IFERROR(D106/U106,0)</f>
        <v/>
      </c>
      <c r="AD106" s="111">
        <f>IF(U106&gt;0,IFERROR(E106/U106,0),1)</f>
        <v/>
      </c>
      <c r="AE106" s="111">
        <f>IF(R106&gt;0,IFERROR(F106/R106,0),1)</f>
        <v/>
      </c>
      <c r="AF106" s="111">
        <f>IF(AL106&gt;0,IFERROR(G106/AL106,0),1)</f>
        <v/>
      </c>
      <c r="AG106" s="111">
        <f>IF(AM106&gt;0,IFERROR(H106/AM106,0),1)</f>
        <v/>
      </c>
      <c r="AH106" s="104">
        <f>U106-(V106+AN106+AR106)</f>
        <v/>
      </c>
      <c r="AI106" s="104">
        <f>R106-(V106+AO106+AR106)</f>
        <v/>
      </c>
      <c r="AJ106" s="104">
        <f>(AL106-AP106)</f>
        <v/>
      </c>
      <c r="AK106" s="104">
        <f>(AM106-AQ106)</f>
        <v/>
      </c>
      <c r="AL106" s="110">
        <f>S106+AI106</f>
        <v/>
      </c>
      <c r="AM106" s="110">
        <f>T106+AJ106</f>
        <v/>
      </c>
      <c r="AN106" s="104" t="n">
        <v>1440</v>
      </c>
      <c r="AO106" s="104" t="n">
        <v>1440</v>
      </c>
      <c r="AP106" s="104" t="n">
        <v>0</v>
      </c>
      <c r="AQ106" s="104" t="n">
        <v>0</v>
      </c>
      <c r="AR106" s="104" t="n">
        <v>0</v>
      </c>
      <c r="AS106" s="104" t="n"/>
      <c r="AT106" s="104" t="n"/>
    </row>
    <row r="107" ht="12.65" customHeight="1" s="79">
      <c r="A107" s="104">
        <f>MIN(V107,R107)</f>
        <v/>
      </c>
      <c r="B107" s="104">
        <f>MIN(V107,U107)</f>
        <v/>
      </c>
      <c r="C107" s="104">
        <f>MIN(X107,R107)</f>
        <v/>
      </c>
      <c r="D107" s="104">
        <f>MIN(X107,U107)</f>
        <v/>
      </c>
      <c r="E107" s="104">
        <f>MIN((V107+AN107+AR107),U107)</f>
        <v/>
      </c>
      <c r="F107" s="104">
        <f>MAX(MIN((V107+AO107+AR107),R107),0)</f>
        <v/>
      </c>
      <c r="G107" s="104">
        <f>MAX(MIN(AP107,AL107),0)</f>
        <v/>
      </c>
      <c r="H107" s="104">
        <f>MAX(MIN(AQ107,AM107),0)</f>
        <v/>
      </c>
      <c r="I107" s="105" t="inlineStr">
        <is>
          <t>KAMLESH SINGH</t>
        </is>
      </c>
      <c r="J107" s="106" t="inlineStr">
        <is>
          <t>FOOTWEAR</t>
        </is>
      </c>
      <c r="K107" s="107" t="inlineStr">
        <is>
          <t>FW_MENS FOOTWEAR</t>
        </is>
      </c>
      <c r="L107" s="107" t="inlineStr">
        <is>
          <t>FW_M_SHOES</t>
        </is>
      </c>
      <c r="M107" s="107" t="inlineStr">
        <is>
          <t>SPRT EVA 499-[FWM02]</t>
        </is>
      </c>
      <c r="N107" s="107" t="inlineStr">
        <is>
          <t>ACTIVE</t>
        </is>
      </c>
      <c r="O107" s="108" t="n">
        <v>0.060306971245197</v>
      </c>
      <c r="P107" s="108" t="n">
        <v>0.0387019831881047</v>
      </c>
      <c r="Q107" s="109" t="n">
        <v>15</v>
      </c>
      <c r="R107" s="110" t="n">
        <v>16335</v>
      </c>
      <c r="S107" s="110" t="n">
        <v>16344.8366851684</v>
      </c>
      <c r="T107" s="110" t="n">
        <v>8993.80900904587</v>
      </c>
      <c r="U107" s="110" t="n">
        <v>41673.6456942143</v>
      </c>
      <c r="V107" s="104" t="n">
        <v>7408</v>
      </c>
      <c r="W107" s="104" t="n">
        <v>4320</v>
      </c>
      <c r="X107" s="104">
        <f>$V107+W107</f>
        <v/>
      </c>
      <c r="Y107" s="111">
        <f>IFERROR(A107/R107,0)</f>
        <v/>
      </c>
      <c r="Z107" s="111">
        <f>IFERROR(B107/U107,0)</f>
        <v/>
      </c>
      <c r="AA107" s="111">
        <f>IFERROR(C107/R107,0)</f>
        <v/>
      </c>
      <c r="AB107" s="111">
        <f>IFERROR(D107/U107,0)</f>
        <v/>
      </c>
      <c r="AD107" s="111">
        <f>IF(U107&gt;0,IFERROR(E107/U107,0),1)</f>
        <v/>
      </c>
      <c r="AE107" s="111">
        <f>IF(R107&gt;0,IFERROR(F107/R107,0),1)</f>
        <v/>
      </c>
      <c r="AF107" s="111">
        <f>IF(AL107&gt;0,IFERROR(G107/AL107,0),1)</f>
        <v/>
      </c>
      <c r="AG107" s="111">
        <f>IF(AM107&gt;0,IFERROR(H107/AM107,0),1)</f>
        <v/>
      </c>
      <c r="AH107" s="104">
        <f>U107-(V107+AN107+AR107)</f>
        <v/>
      </c>
      <c r="AI107" s="104">
        <f>R107-(V107+AO107+AR107)</f>
        <v/>
      </c>
      <c r="AJ107" s="104">
        <f>(AL107-AP107)</f>
        <v/>
      </c>
      <c r="AK107" s="104">
        <f>(AM107-AQ107)</f>
        <v/>
      </c>
      <c r="AL107" s="110">
        <f>S107+AI107</f>
        <v/>
      </c>
      <c r="AM107" s="110">
        <f>T107+AJ107</f>
        <v/>
      </c>
      <c r="AN107" s="104" t="n">
        <v>24480</v>
      </c>
      <c r="AO107" s="104" t="n">
        <v>10320</v>
      </c>
      <c r="AP107" s="104" t="n">
        <v>7440</v>
      </c>
      <c r="AQ107" s="104" t="n">
        <v>6720</v>
      </c>
      <c r="AR107" s="104" t="n">
        <v>0</v>
      </c>
      <c r="AS107" s="104" t="n"/>
      <c r="AT107" s="104" t="n"/>
    </row>
    <row r="108" ht="12.65" customHeight="1" s="79">
      <c r="A108" s="104">
        <f>MIN(V108,R108)</f>
        <v/>
      </c>
      <c r="B108" s="104">
        <f>MIN(V108,U108)</f>
        <v/>
      </c>
      <c r="C108" s="104">
        <f>MIN(X108,R108)</f>
        <v/>
      </c>
      <c r="D108" s="104">
        <f>MIN(X108,U108)</f>
        <v/>
      </c>
      <c r="E108" s="104">
        <f>MIN((V108+AN108+AR108),U108)</f>
        <v/>
      </c>
      <c r="F108" s="104">
        <f>MAX(MIN((V108+AO108+AR108),R108),0)</f>
        <v/>
      </c>
      <c r="G108" s="104">
        <f>MAX(MIN(AP108,AL108),0)</f>
        <v/>
      </c>
      <c r="H108" s="104">
        <f>MAX(MIN(AQ108,AM108),0)</f>
        <v/>
      </c>
      <c r="I108" s="105" t="inlineStr">
        <is>
          <t>KAMLESH SINGH</t>
        </is>
      </c>
      <c r="J108" s="106" t="inlineStr">
        <is>
          <t>FOOTWEAR</t>
        </is>
      </c>
      <c r="K108" s="107" t="inlineStr">
        <is>
          <t>FW_MENS FOOTWEAR</t>
        </is>
      </c>
      <c r="L108" s="107" t="inlineStr">
        <is>
          <t>FW_M_SHOES</t>
        </is>
      </c>
      <c r="M108" s="107" t="inlineStr">
        <is>
          <t>SPRT PVC 399-[FWM02]</t>
        </is>
      </c>
      <c r="N108" s="107" t="inlineStr">
        <is>
          <t>INACTIVE</t>
        </is>
      </c>
      <c r="O108" s="108" t="n">
        <v>0</v>
      </c>
      <c r="P108" s="108" t="n">
        <v>0</v>
      </c>
      <c r="Q108" s="109" t="n">
        <v>15</v>
      </c>
      <c r="R108" s="110" t="n">
        <v>0</v>
      </c>
      <c r="S108" s="110" t="n">
        <v>0</v>
      </c>
      <c r="T108" s="110" t="n">
        <v>0</v>
      </c>
      <c r="U108" s="110" t="n">
        <v>0</v>
      </c>
      <c r="V108" s="104" t="n">
        <v>3232</v>
      </c>
      <c r="W108" s="104" t="n">
        <v>0</v>
      </c>
      <c r="X108" s="104">
        <f>$V108+W108</f>
        <v/>
      </c>
      <c r="Y108" s="111">
        <f>IFERROR(A108/R108,0)</f>
        <v/>
      </c>
      <c r="Z108" s="111">
        <f>IFERROR(B108/U108,0)</f>
        <v/>
      </c>
      <c r="AA108" s="111">
        <f>IFERROR(C108/R108,0)</f>
        <v/>
      </c>
      <c r="AB108" s="111">
        <f>IFERROR(D108/U108,0)</f>
        <v/>
      </c>
      <c r="AD108" s="111">
        <f>IF(U108&gt;0,IFERROR(E108/U108,0),1)</f>
        <v/>
      </c>
      <c r="AE108" s="111">
        <f>IF(R108&gt;0,IFERROR(F108/R108,0),1)</f>
        <v/>
      </c>
      <c r="AF108" s="111">
        <f>IF(AL108&gt;0,IFERROR(G108/AL108,0),1)</f>
        <v/>
      </c>
      <c r="AG108" s="111">
        <f>IF(AM108&gt;0,IFERROR(H108/AM108,0),1)</f>
        <v/>
      </c>
      <c r="AH108" s="104">
        <f>U108-(V108+AN108+AR108)</f>
        <v/>
      </c>
      <c r="AI108" s="104">
        <f>R108-(V108+AO108+AR108)</f>
        <v/>
      </c>
      <c r="AJ108" s="104">
        <f>(AL108-AP108)</f>
        <v/>
      </c>
      <c r="AK108" s="104">
        <f>(AM108-AQ108)</f>
        <v/>
      </c>
      <c r="AL108" s="110">
        <f>S108+AI108</f>
        <v/>
      </c>
      <c r="AM108" s="110">
        <f>T108+AJ108</f>
        <v/>
      </c>
      <c r="AN108" s="104" t="n">
        <v>18000</v>
      </c>
      <c r="AO108" s="104" t="n">
        <v>0</v>
      </c>
      <c r="AP108" s="104" t="n">
        <v>3600</v>
      </c>
      <c r="AQ108" s="104" t="n">
        <v>14400</v>
      </c>
      <c r="AR108" s="104" t="n">
        <v>0</v>
      </c>
      <c r="AS108" s="104" t="n"/>
      <c r="AT108" s="104" t="n"/>
    </row>
    <row r="109" ht="12.65" customHeight="1" s="79">
      <c r="A109" s="104">
        <f>MIN(V109,R109)</f>
        <v/>
      </c>
      <c r="B109" s="104">
        <f>MIN(V109,U109)</f>
        <v/>
      </c>
      <c r="C109" s="104">
        <f>MIN(X109,R109)</f>
        <v/>
      </c>
      <c r="D109" s="104">
        <f>MIN(X109,U109)</f>
        <v/>
      </c>
      <c r="E109" s="104">
        <f>MIN((V109+AN109+AR109),U109)</f>
        <v/>
      </c>
      <c r="F109" s="104">
        <f>MAX(MIN((V109+AO109+AR109),R109),0)</f>
        <v/>
      </c>
      <c r="G109" s="104">
        <f>MAX(MIN(AP109,AL109),0)</f>
        <v/>
      </c>
      <c r="H109" s="104">
        <f>MAX(MIN(AQ109,AM109),0)</f>
        <v/>
      </c>
      <c r="I109" s="105" t="inlineStr">
        <is>
          <t>KAMLESH SINGH</t>
        </is>
      </c>
      <c r="J109" s="106" t="inlineStr">
        <is>
          <t>FOOTWEAR</t>
        </is>
      </c>
      <c r="K109" s="107" t="inlineStr">
        <is>
          <t>FW_MENS FOOTWEAR</t>
        </is>
      </c>
      <c r="L109" s="107" t="inlineStr">
        <is>
          <t>FW_M_SHOES</t>
        </is>
      </c>
      <c r="M109" s="107" t="inlineStr">
        <is>
          <t>BRND SPRT EVA 749-[FWM02]</t>
        </is>
      </c>
      <c r="N109" s="107" t="inlineStr">
        <is>
          <t>INACTIVE</t>
        </is>
      </c>
      <c r="O109" s="108" t="n">
        <v>0.0586621062678969</v>
      </c>
      <c r="P109" s="108" t="n">
        <v>0.03176837237358</v>
      </c>
      <c r="Q109" s="109" t="n">
        <v>15</v>
      </c>
      <c r="R109" s="110" t="n">
        <v>0</v>
      </c>
      <c r="S109" s="110" t="n">
        <v>0</v>
      </c>
      <c r="T109" s="110" t="n">
        <v>0</v>
      </c>
      <c r="U109" s="110" t="n">
        <v>0</v>
      </c>
      <c r="V109" s="104" t="n">
        <v>0</v>
      </c>
      <c r="W109" s="104" t="n">
        <v>0</v>
      </c>
      <c r="X109" s="104">
        <f>$V109+W109</f>
        <v/>
      </c>
      <c r="Y109" s="111">
        <f>IFERROR(A109/R109,0)</f>
        <v/>
      </c>
      <c r="Z109" s="111">
        <f>IFERROR(B109/U109,0)</f>
        <v/>
      </c>
      <c r="AA109" s="111">
        <f>IFERROR(C109/R109,0)</f>
        <v/>
      </c>
      <c r="AB109" s="111">
        <f>IFERROR(D109/U109,0)</f>
        <v/>
      </c>
      <c r="AD109" s="111">
        <f>IF(U109&gt;0,IFERROR(E109/U109,0),1)</f>
        <v/>
      </c>
      <c r="AE109" s="111">
        <f>IF(R109&gt;0,IFERROR(F109/R109,0),1)</f>
        <v/>
      </c>
      <c r="AF109" s="111">
        <f>IF(AL109&gt;0,IFERROR(G109/AL109,0),1)</f>
        <v/>
      </c>
      <c r="AG109" s="111">
        <f>IF(AM109&gt;0,IFERROR(H109/AM109,0),1)</f>
        <v/>
      </c>
      <c r="AH109" s="104">
        <f>U109-(V109+AN109+AR109)</f>
        <v/>
      </c>
      <c r="AI109" s="104">
        <f>R109-(V109+AO109+AR109)</f>
        <v/>
      </c>
      <c r="AJ109" s="104">
        <f>(AL109-AP109)</f>
        <v/>
      </c>
      <c r="AK109" s="104">
        <f>(AM109-AQ109)</f>
        <v/>
      </c>
      <c r="AL109" s="110">
        <f>S109+AI109</f>
        <v/>
      </c>
      <c r="AM109" s="110">
        <f>T109+AJ109</f>
        <v/>
      </c>
      <c r="AN109" s="104" t="n">
        <v>0</v>
      </c>
      <c r="AO109" s="104" t="n">
        <v>0</v>
      </c>
      <c r="AP109" s="104" t="n">
        <v>0</v>
      </c>
      <c r="AQ109" s="104" t="n">
        <v>0</v>
      </c>
      <c r="AR109" s="104" t="n">
        <v>0</v>
      </c>
      <c r="AS109" s="104" t="n"/>
      <c r="AT109" s="104" t="n"/>
    </row>
    <row r="110" ht="12.65" customHeight="1" s="79">
      <c r="A110" s="104">
        <f>MIN(V110,R110)</f>
        <v/>
      </c>
      <c r="B110" s="104">
        <f>MIN(V110,U110)</f>
        <v/>
      </c>
      <c r="C110" s="104">
        <f>MIN(X110,R110)</f>
        <v/>
      </c>
      <c r="D110" s="104">
        <f>MIN(X110,U110)</f>
        <v/>
      </c>
      <c r="E110" s="104">
        <f>MIN((V110+AN110+AR110),U110)</f>
        <v/>
      </c>
      <c r="F110" s="104">
        <f>MAX(MIN((V110+AO110+AR110),R110),0)</f>
        <v/>
      </c>
      <c r="G110" s="104">
        <f>MAX(MIN(AP110,AL110),0)</f>
        <v/>
      </c>
      <c r="H110" s="104">
        <f>MAX(MIN(AQ110,AM110),0)</f>
        <v/>
      </c>
      <c r="I110" s="105" t="inlineStr">
        <is>
          <t>KAMLESH SINGH</t>
        </is>
      </c>
      <c r="J110" s="106" t="inlineStr">
        <is>
          <t>FOOTWEAR</t>
        </is>
      </c>
      <c r="K110" s="107" t="inlineStr">
        <is>
          <t>FW_MENS FOOTWEAR</t>
        </is>
      </c>
      <c r="L110" s="107" t="inlineStr">
        <is>
          <t>FW_M_SLIPPER</t>
        </is>
      </c>
      <c r="M110" s="107" t="inlineStr">
        <is>
          <t>CSL EVA 249-[FWM03]</t>
        </is>
      </c>
      <c r="N110" s="107" t="inlineStr">
        <is>
          <t>ACTIVE</t>
        </is>
      </c>
      <c r="O110" s="108" t="n">
        <v>0.151990895118358</v>
      </c>
      <c r="P110" s="108" t="n">
        <v>0.119349107419837</v>
      </c>
      <c r="Q110" s="109" t="n">
        <v>30</v>
      </c>
      <c r="R110" s="110" t="n">
        <v>5616</v>
      </c>
      <c r="S110" s="110" t="n">
        <v>5786.31841094523</v>
      </c>
      <c r="T110" s="110" t="n">
        <v>5454.80992857314</v>
      </c>
      <c r="U110" s="110" t="n">
        <v>16857.1283395184</v>
      </c>
      <c r="V110" s="104" t="n">
        <v>9600</v>
      </c>
      <c r="W110" s="104" t="n">
        <v>0</v>
      </c>
      <c r="X110" s="104">
        <f>$V110+W110</f>
        <v/>
      </c>
      <c r="Y110" s="111">
        <f>IFERROR(A110/R110,0)</f>
        <v/>
      </c>
      <c r="Z110" s="111">
        <f>IFERROR(B110/U110,0)</f>
        <v/>
      </c>
      <c r="AA110" s="111">
        <f>IFERROR(C110/R110,0)</f>
        <v/>
      </c>
      <c r="AB110" s="111">
        <f>IFERROR(D110/U110,0)</f>
        <v/>
      </c>
      <c r="AD110" s="111">
        <f>IF(U110&gt;0,IFERROR(E110/U110,0),1)</f>
        <v/>
      </c>
      <c r="AE110" s="111">
        <f>IF(R110&gt;0,IFERROR(F110/R110,0),1)</f>
        <v/>
      </c>
      <c r="AF110" s="111">
        <f>IF(AL110&gt;0,IFERROR(G110/AL110,0),1)</f>
        <v/>
      </c>
      <c r="AG110" s="111">
        <f>IF(AM110&gt;0,IFERROR(H110/AM110,0),1)</f>
        <v/>
      </c>
      <c r="AH110" s="104">
        <f>U110-(V110+AN110+AR110)</f>
        <v/>
      </c>
      <c r="AI110" s="104">
        <f>R110-(V110+AO110+AR110)</f>
        <v/>
      </c>
      <c r="AJ110" s="104">
        <f>(AL110-AP110)</f>
        <v/>
      </c>
      <c r="AK110" s="104">
        <f>(AM110-AQ110)</f>
        <v/>
      </c>
      <c r="AL110" s="110">
        <f>S110+AI110</f>
        <v/>
      </c>
      <c r="AM110" s="110">
        <f>T110+AJ110</f>
        <v/>
      </c>
      <c r="AN110" s="104" t="n">
        <v>19440</v>
      </c>
      <c r="AO110" s="104" t="n">
        <v>8880</v>
      </c>
      <c r="AP110" s="104" t="n">
        <v>6960</v>
      </c>
      <c r="AQ110" s="104" t="n">
        <v>3600</v>
      </c>
      <c r="AR110" s="104" t="n">
        <v>0</v>
      </c>
      <c r="AS110" s="104" t="n"/>
      <c r="AT110" s="104" t="n"/>
    </row>
    <row r="111" ht="12.65" customHeight="1" s="79">
      <c r="A111" s="104">
        <f>MIN(V111,R111)</f>
        <v/>
      </c>
      <c r="B111" s="104">
        <f>MIN(V111,U111)</f>
        <v/>
      </c>
      <c r="C111" s="104">
        <f>MIN(X111,R111)</f>
        <v/>
      </c>
      <c r="D111" s="104">
        <f>MIN(X111,U111)</f>
        <v/>
      </c>
      <c r="E111" s="104">
        <f>MIN((V111+AN111+AR111),U111)</f>
        <v/>
      </c>
      <c r="F111" s="104">
        <f>MAX(MIN((V111+AO111+AR111),R111),0)</f>
        <v/>
      </c>
      <c r="G111" s="104">
        <f>MAX(MIN(AP111,AL111),0)</f>
        <v/>
      </c>
      <c r="H111" s="104">
        <f>MAX(MIN(AQ111,AM111),0)</f>
        <v/>
      </c>
      <c r="I111" s="105" t="inlineStr">
        <is>
          <t>KAMLESH SINGH</t>
        </is>
      </c>
      <c r="J111" s="106" t="inlineStr">
        <is>
          <t>FOOTWEAR</t>
        </is>
      </c>
      <c r="K111" s="107" t="inlineStr">
        <is>
          <t>FW_MENS FOOTWEAR</t>
        </is>
      </c>
      <c r="L111" s="107" t="inlineStr">
        <is>
          <t>FW_M_SLIPPER</t>
        </is>
      </c>
      <c r="M111" s="107" t="inlineStr">
        <is>
          <t>CSL HWI 149-[FWM03]</t>
        </is>
      </c>
      <c r="N111" s="107" t="inlineStr">
        <is>
          <t>ACTIVE</t>
        </is>
      </c>
      <c r="O111" s="108" t="n">
        <v>0.146387989726607</v>
      </c>
      <c r="P111" s="108" t="n">
        <v>0.104960746073226</v>
      </c>
      <c r="Q111" s="109" t="n">
        <v>30</v>
      </c>
      <c r="R111" s="110" t="n">
        <v>1508</v>
      </c>
      <c r="S111" s="110" t="n">
        <v>3223.14192394</v>
      </c>
      <c r="T111" s="110" t="n">
        <v>2960.08649154862</v>
      </c>
      <c r="U111" s="110" t="n">
        <v>7691.22841548862</v>
      </c>
      <c r="V111" s="104" t="n">
        <v>7200</v>
      </c>
      <c r="W111" s="104" t="n">
        <v>0</v>
      </c>
      <c r="X111" s="104">
        <f>$V111+W111</f>
        <v/>
      </c>
      <c r="Y111" s="111">
        <f>IFERROR(A111/R111,0)</f>
        <v/>
      </c>
      <c r="Z111" s="111">
        <f>IFERROR(B111/U111,0)</f>
        <v/>
      </c>
      <c r="AA111" s="111">
        <f>IFERROR(C111/R111,0)</f>
        <v/>
      </c>
      <c r="AB111" s="111">
        <f>IFERROR(D111/U111,0)</f>
        <v/>
      </c>
      <c r="AD111" s="111">
        <f>IF(U111&gt;0,IFERROR(E111/U111,0),1)</f>
        <v/>
      </c>
      <c r="AE111" s="111">
        <f>IF(R111&gt;0,IFERROR(F111/R111,0),1)</f>
        <v/>
      </c>
      <c r="AF111" s="111">
        <f>IF(AL111&gt;0,IFERROR(G111/AL111,0),1)</f>
        <v/>
      </c>
      <c r="AG111" s="111">
        <f>IF(AM111&gt;0,IFERROR(H111/AM111,0),1)</f>
        <v/>
      </c>
      <c r="AH111" s="104">
        <f>U111-(V111+AN111+AR111)</f>
        <v/>
      </c>
      <c r="AI111" s="104">
        <f>R111-(V111+AO111+AR111)</f>
        <v/>
      </c>
      <c r="AJ111" s="104">
        <f>(AL111-AP111)</f>
        <v/>
      </c>
      <c r="AK111" s="104">
        <f>(AM111-AQ111)</f>
        <v/>
      </c>
      <c r="AL111" s="110">
        <f>S111+AI111</f>
        <v/>
      </c>
      <c r="AM111" s="110">
        <f>T111+AJ111</f>
        <v/>
      </c>
      <c r="AN111" s="104" t="n">
        <v>14400</v>
      </c>
      <c r="AO111" s="104" t="n">
        <v>7200</v>
      </c>
      <c r="AP111" s="104" t="n">
        <v>0</v>
      </c>
      <c r="AQ111" s="104" t="n">
        <v>7200</v>
      </c>
      <c r="AR111" s="104" t="n">
        <v>0</v>
      </c>
      <c r="AS111" s="104" t="n"/>
      <c r="AT111" s="104" t="n"/>
    </row>
    <row r="112" ht="12.65" customHeight="1" s="79">
      <c r="A112" s="104">
        <f>MIN(V112,R112)</f>
        <v/>
      </c>
      <c r="B112" s="104">
        <f>MIN(V112,U112)</f>
        <v/>
      </c>
      <c r="C112" s="104">
        <f>MIN(X112,R112)</f>
        <v/>
      </c>
      <c r="D112" s="104">
        <f>MIN(X112,U112)</f>
        <v/>
      </c>
      <c r="E112" s="104">
        <f>MIN((V112+AN112+AR112),U112)</f>
        <v/>
      </c>
      <c r="F112" s="104">
        <f>MAX(MIN((V112+AO112+AR112),R112),0)</f>
        <v/>
      </c>
      <c r="G112" s="104">
        <f>MAX(MIN(AP112,AL112),0)</f>
        <v/>
      </c>
      <c r="H112" s="104">
        <f>MAX(MIN(AQ112,AM112),0)</f>
        <v/>
      </c>
      <c r="I112" s="105" t="inlineStr">
        <is>
          <t>KAMLESH SINGH</t>
        </is>
      </c>
      <c r="J112" s="106" t="inlineStr">
        <is>
          <t>FOOTWEAR</t>
        </is>
      </c>
      <c r="K112" s="107" t="inlineStr">
        <is>
          <t>FW_MENS FOOTWEAR</t>
        </is>
      </c>
      <c r="L112" s="107" t="inlineStr">
        <is>
          <t>FW_M_SLIPPER</t>
        </is>
      </c>
      <c r="M112" s="107" t="inlineStr">
        <is>
          <t>CSL PU 199-[FWM03]</t>
        </is>
      </c>
      <c r="N112" s="107" t="inlineStr">
        <is>
          <t>ACTIVE</t>
        </is>
      </c>
      <c r="O112" s="108" t="n">
        <v>0.0897891107040899</v>
      </c>
      <c r="P112" s="108" t="n">
        <v>0.09460958944110261</v>
      </c>
      <c r="Q112" s="109" t="n">
        <v>30</v>
      </c>
      <c r="R112" s="110" t="n">
        <v>97</v>
      </c>
      <c r="S112" s="110" t="n">
        <v>0</v>
      </c>
      <c r="T112" s="110" t="n">
        <v>0</v>
      </c>
      <c r="U112" s="110" t="n">
        <v>97</v>
      </c>
      <c r="V112" s="104" t="n">
        <v>2992</v>
      </c>
      <c r="W112" s="104" t="n">
        <v>0</v>
      </c>
      <c r="X112" s="104">
        <f>$V112+W112</f>
        <v/>
      </c>
      <c r="Y112" s="111">
        <f>IFERROR(A112/R112,0)</f>
        <v/>
      </c>
      <c r="Z112" s="111">
        <f>IFERROR(B112/U112,0)</f>
        <v/>
      </c>
      <c r="AA112" s="111">
        <f>IFERROR(C112/R112,0)</f>
        <v/>
      </c>
      <c r="AB112" s="111">
        <f>IFERROR(D112/U112,0)</f>
        <v/>
      </c>
      <c r="AD112" s="111">
        <f>IF(U112&gt;0,IFERROR(E112/U112,0),1)</f>
        <v/>
      </c>
      <c r="AE112" s="111">
        <f>IF(R112&gt;0,IFERROR(F112/R112,0),1)</f>
        <v/>
      </c>
      <c r="AF112" s="111">
        <f>IF(AL112&gt;0,IFERROR(G112/AL112,0),1)</f>
        <v/>
      </c>
      <c r="AG112" s="111">
        <f>IF(AM112&gt;0,IFERROR(H112/AM112,0),1)</f>
        <v/>
      </c>
      <c r="AH112" s="104">
        <f>U112-(V112+AN112+AR112)</f>
        <v/>
      </c>
      <c r="AI112" s="104">
        <f>R112-(V112+AO112+AR112)</f>
        <v/>
      </c>
      <c r="AJ112" s="104">
        <f>(AL112-AP112)</f>
        <v/>
      </c>
      <c r="AK112" s="104">
        <f>(AM112-AQ112)</f>
        <v/>
      </c>
      <c r="AL112" s="110">
        <f>S112+AI112</f>
        <v/>
      </c>
      <c r="AM112" s="110">
        <f>T112+AJ112</f>
        <v/>
      </c>
      <c r="AN112" s="104" t="n">
        <v>3008</v>
      </c>
      <c r="AO112" s="104" t="n">
        <v>608</v>
      </c>
      <c r="AP112" s="104" t="n">
        <v>2400</v>
      </c>
      <c r="AQ112" s="104" t="n">
        <v>0</v>
      </c>
      <c r="AR112" s="104" t="n">
        <v>0</v>
      </c>
      <c r="AS112" s="104" t="n"/>
      <c r="AT112" s="104" t="n"/>
    </row>
    <row r="113" ht="12.65" customHeight="1" s="79">
      <c r="A113" s="104">
        <f>MIN(V113,R113)</f>
        <v/>
      </c>
      <c r="B113" s="104">
        <f>MIN(V113,U113)</f>
        <v/>
      </c>
      <c r="C113" s="104">
        <f>MIN(X113,R113)</f>
        <v/>
      </c>
      <c r="D113" s="104">
        <f>MIN(X113,U113)</f>
        <v/>
      </c>
      <c r="E113" s="104">
        <f>MIN((V113+AN113+AR113),U113)</f>
        <v/>
      </c>
      <c r="F113" s="104">
        <f>MAX(MIN((V113+AO113+AR113),R113),0)</f>
        <v/>
      </c>
      <c r="G113" s="104">
        <f>MAX(MIN(AP113,AL113),0)</f>
        <v/>
      </c>
      <c r="H113" s="104">
        <f>MAX(MIN(AQ113,AM113),0)</f>
        <v/>
      </c>
      <c r="I113" s="105" t="inlineStr">
        <is>
          <t>MAHIMA VOHRA</t>
        </is>
      </c>
      <c r="J113" s="106" t="inlineStr">
        <is>
          <t>HOME FURNISHING</t>
        </is>
      </c>
      <c r="K113" s="107" t="inlineStr">
        <is>
          <t>HF_BEDROOM FURNISHING</t>
        </is>
      </c>
      <c r="L113" s="107" t="inlineStr">
        <is>
          <t>HF_BF_DOUB BEDSHEET</t>
        </is>
      </c>
      <c r="M113" s="107" t="inlineStr">
        <is>
          <t>BF 599-[HFBF02]</t>
        </is>
      </c>
      <c r="N113" s="107" t="inlineStr">
        <is>
          <t>ACTIVE</t>
        </is>
      </c>
      <c r="O113" s="108" t="n">
        <v>0.104896522853928</v>
      </c>
      <c r="P113" s="108" t="n">
        <v>0.0731738891226253</v>
      </c>
      <c r="Q113" s="109" t="n">
        <v>3</v>
      </c>
      <c r="R113" s="110" t="n">
        <v>20440</v>
      </c>
      <c r="S113" s="110" t="n">
        <v>6910.4435903427</v>
      </c>
      <c r="T113" s="110" t="n">
        <v>5502.43815129688</v>
      </c>
      <c r="U113" s="110" t="n">
        <v>32852.8817416396</v>
      </c>
      <c r="V113" s="104" t="n">
        <v>16320</v>
      </c>
      <c r="W113" s="104" t="n">
        <v>4788</v>
      </c>
      <c r="X113" s="104">
        <f>$V113+W113</f>
        <v/>
      </c>
      <c r="Y113" s="111">
        <f>IFERROR(A113/R113,0)</f>
        <v/>
      </c>
      <c r="Z113" s="111">
        <f>IFERROR(B113/U113,0)</f>
        <v/>
      </c>
      <c r="AA113" s="111">
        <f>IFERROR(C113/R113,0)</f>
        <v/>
      </c>
      <c r="AB113" s="111">
        <f>IFERROR(D113/U113,0)</f>
        <v/>
      </c>
      <c r="AD113" s="111">
        <f>IF(U113&gt;0,IFERROR(E113/U113,0),1)</f>
        <v/>
      </c>
      <c r="AE113" s="111">
        <f>IF(R113&gt;0,IFERROR(F113/R113,0),1)</f>
        <v/>
      </c>
      <c r="AF113" s="111">
        <f>IF(AL113&gt;0,IFERROR(G113/AL113,0),1)</f>
        <v/>
      </c>
      <c r="AG113" s="111">
        <f>IF(AM113&gt;0,IFERROR(H113/AM113,0),1)</f>
        <v/>
      </c>
      <c r="AH113" s="104">
        <f>U113-(V113+AN113+AR113)</f>
        <v/>
      </c>
      <c r="AI113" s="104">
        <f>R113-(V113+AO113+AR113)</f>
        <v/>
      </c>
      <c r="AJ113" s="104">
        <f>(AL113-AP113)</f>
        <v/>
      </c>
      <c r="AK113" s="104">
        <f>(AM113-AQ113)</f>
        <v/>
      </c>
      <c r="AL113" s="110">
        <f>S113+AI113</f>
        <v/>
      </c>
      <c r="AM113" s="110">
        <f>T113+AJ113</f>
        <v/>
      </c>
      <c r="AN113" s="104" t="n">
        <v>39576</v>
      </c>
      <c r="AO113" s="104" t="n">
        <v>22176</v>
      </c>
      <c r="AP113" s="104" t="n">
        <v>12600</v>
      </c>
      <c r="AQ113" s="104" t="n">
        <v>4800</v>
      </c>
      <c r="AR113" s="104" t="n">
        <v>0</v>
      </c>
      <c r="AS113" s="104" t="n"/>
      <c r="AT113" s="104" t="n"/>
    </row>
    <row r="114" ht="12.65" customHeight="1" s="79">
      <c r="A114" s="104">
        <f>MIN(V114,R114)</f>
        <v/>
      </c>
      <c r="B114" s="104">
        <f>MIN(V114,U114)</f>
        <v/>
      </c>
      <c r="C114" s="104">
        <f>MIN(X114,R114)</f>
        <v/>
      </c>
      <c r="D114" s="104">
        <f>MIN(X114,U114)</f>
        <v/>
      </c>
      <c r="E114" s="104">
        <f>MIN((V114+AN114+AR114),U114)</f>
        <v/>
      </c>
      <c r="F114" s="104">
        <f>MAX(MIN((V114+AO114+AR114),R114),0)</f>
        <v/>
      </c>
      <c r="G114" s="104">
        <f>MAX(MIN(AP114,AL114),0)</f>
        <v/>
      </c>
      <c r="H114" s="104">
        <f>MAX(MIN(AQ114,AM114),0)</f>
        <v/>
      </c>
      <c r="I114" s="105" t="inlineStr">
        <is>
          <t>MAHIMA VOHRA</t>
        </is>
      </c>
      <c r="J114" s="106" t="inlineStr">
        <is>
          <t>HOME FURNISHING</t>
        </is>
      </c>
      <c r="K114" s="107" t="inlineStr">
        <is>
          <t>HF_BEDROOM FURNISHING</t>
        </is>
      </c>
      <c r="L114" s="107" t="inlineStr">
        <is>
          <t>HF_BF_DOUB BEDSHEET</t>
        </is>
      </c>
      <c r="M114" s="107" t="inlineStr">
        <is>
          <t>POUCH 499-[HFBF02]</t>
        </is>
      </c>
      <c r="N114" s="107" t="inlineStr">
        <is>
          <t>ACTIVE</t>
        </is>
      </c>
      <c r="O114" s="108" t="n">
        <v>0.0992503305016036</v>
      </c>
      <c r="P114" s="108" t="n">
        <v>0.0960878733515878</v>
      </c>
      <c r="Q114" s="109" t="n">
        <v>3</v>
      </c>
      <c r="R114" s="110" t="n">
        <v>10092</v>
      </c>
      <c r="S114" s="110" t="n">
        <v>3365.85837456594</v>
      </c>
      <c r="T114" s="110" t="n">
        <v>2597.43047737291</v>
      </c>
      <c r="U114" s="110" t="n">
        <v>16055.2888519389</v>
      </c>
      <c r="V114" s="104" t="n">
        <v>2400</v>
      </c>
      <c r="W114" s="104" t="n">
        <v>2400</v>
      </c>
      <c r="X114" s="104">
        <f>$V114+W114</f>
        <v/>
      </c>
      <c r="Y114" s="111">
        <f>IFERROR(A114/R114,0)</f>
        <v/>
      </c>
      <c r="Z114" s="111">
        <f>IFERROR(B114/U114,0)</f>
        <v/>
      </c>
      <c r="AA114" s="111">
        <f>IFERROR(C114/R114,0)</f>
        <v/>
      </c>
      <c r="AB114" s="111">
        <f>IFERROR(D114/U114,0)</f>
        <v/>
      </c>
      <c r="AD114" s="111">
        <f>IF(U114&gt;0,IFERROR(E114/U114,0),1)</f>
        <v/>
      </c>
      <c r="AE114" s="111">
        <f>IF(R114&gt;0,IFERROR(F114/R114,0),1)</f>
        <v/>
      </c>
      <c r="AF114" s="111">
        <f>IF(AL114&gt;0,IFERROR(G114/AL114,0),1)</f>
        <v/>
      </c>
      <c r="AG114" s="111">
        <f>IF(AM114&gt;0,IFERROR(H114/AM114,0),1)</f>
        <v/>
      </c>
      <c r="AH114" s="104">
        <f>U114-(V114+AN114+AR114)</f>
        <v/>
      </c>
      <c r="AI114" s="104">
        <f>R114-(V114+AO114+AR114)</f>
        <v/>
      </c>
      <c r="AJ114" s="104">
        <f>(AL114-AP114)</f>
        <v/>
      </c>
      <c r="AK114" s="104">
        <f>(AM114-AQ114)</f>
        <v/>
      </c>
      <c r="AL114" s="110">
        <f>S114+AI114</f>
        <v/>
      </c>
      <c r="AM114" s="110">
        <f>T114+AJ114</f>
        <v/>
      </c>
      <c r="AN114" s="104" t="n">
        <v>13512</v>
      </c>
      <c r="AO114" s="104" t="n">
        <v>13512</v>
      </c>
      <c r="AP114" s="104" t="n">
        <v>0</v>
      </c>
      <c r="AQ114" s="104" t="n">
        <v>0</v>
      </c>
      <c r="AR114" s="104" t="n">
        <v>0</v>
      </c>
      <c r="AS114" s="104" t="n"/>
      <c r="AT114" s="104" t="n"/>
    </row>
    <row r="115" ht="12.65" customHeight="1" s="79">
      <c r="A115" s="104">
        <f>MIN(V115,R115)</f>
        <v/>
      </c>
      <c r="B115" s="104">
        <f>MIN(V115,U115)</f>
        <v/>
      </c>
      <c r="C115" s="104">
        <f>MIN(X115,R115)</f>
        <v/>
      </c>
      <c r="D115" s="104">
        <f>MIN(X115,U115)</f>
        <v/>
      </c>
      <c r="E115" s="104">
        <f>MIN((V115+AN115+AR115),U115)</f>
        <v/>
      </c>
      <c r="F115" s="104">
        <f>MAX(MIN((V115+AO115+AR115),R115),0)</f>
        <v/>
      </c>
      <c r="G115" s="104">
        <f>MAX(MIN(AP115,AL115),0)</f>
        <v/>
      </c>
      <c r="H115" s="104">
        <f>MAX(MIN(AQ115,AM115),0)</f>
        <v/>
      </c>
      <c r="I115" s="105" t="inlineStr">
        <is>
          <t>MAHIMA VOHRA</t>
        </is>
      </c>
      <c r="J115" s="106" t="inlineStr">
        <is>
          <t>HOME FURNISHING</t>
        </is>
      </c>
      <c r="K115" s="107" t="inlineStr">
        <is>
          <t>HF_BEDROOM FURNISHING</t>
        </is>
      </c>
      <c r="L115" s="107" t="inlineStr">
        <is>
          <t>HF_BF_PILLOW</t>
        </is>
      </c>
      <c r="M115" s="107" t="inlineStr">
        <is>
          <t>PILLOW 199-[HFBF03]</t>
        </is>
      </c>
      <c r="N115" s="107" t="inlineStr">
        <is>
          <t>ACTIVE</t>
        </is>
      </c>
      <c r="O115" s="108" t="n">
        <v>0.167186178567114</v>
      </c>
      <c r="P115" s="108" t="n">
        <v>0.167773265433293</v>
      </c>
      <c r="Q115" s="109" t="n">
        <v>90</v>
      </c>
      <c r="R115" s="110" t="n">
        <v>4751</v>
      </c>
      <c r="S115" s="110" t="n">
        <v>2701.5582942441</v>
      </c>
      <c r="T115" s="110" t="n">
        <v>3087.23898042783</v>
      </c>
      <c r="U115" s="110" t="n">
        <v>10539.7972746719</v>
      </c>
      <c r="V115" s="104" t="n">
        <v>9600</v>
      </c>
      <c r="W115" s="104" t="n">
        <v>0</v>
      </c>
      <c r="X115" s="104">
        <f>$V115+W115</f>
        <v/>
      </c>
      <c r="Y115" s="111">
        <f>IFERROR(A115/R115,0)</f>
        <v/>
      </c>
      <c r="Z115" s="111">
        <f>IFERROR(B115/U115,0)</f>
        <v/>
      </c>
      <c r="AA115" s="111">
        <f>IFERROR(C115/R115,0)</f>
        <v/>
      </c>
      <c r="AB115" s="111">
        <f>IFERROR(D115/U115,0)</f>
        <v/>
      </c>
      <c r="AD115" s="111">
        <f>IF(U115&gt;0,IFERROR(E115/U115,0),1)</f>
        <v/>
      </c>
      <c r="AE115" s="111">
        <f>IF(R115&gt;0,IFERROR(F115/R115,0),1)</f>
        <v/>
      </c>
      <c r="AF115" s="111">
        <f>IF(AL115&gt;0,IFERROR(G115/AL115,0),1)</f>
        <v/>
      </c>
      <c r="AG115" s="111">
        <f>IF(AM115&gt;0,IFERROR(H115/AM115,0),1)</f>
        <v/>
      </c>
      <c r="AH115" s="104">
        <f>U115-(V115+AN115+AR115)</f>
        <v/>
      </c>
      <c r="AI115" s="104">
        <f>R115-(V115+AO115+AR115)</f>
        <v/>
      </c>
      <c r="AJ115" s="104">
        <f>(AL115-AP115)</f>
        <v/>
      </c>
      <c r="AK115" s="104">
        <f>(AM115-AQ115)</f>
        <v/>
      </c>
      <c r="AL115" s="110">
        <f>S115+AI115</f>
        <v/>
      </c>
      <c r="AM115" s="110">
        <f>T115+AJ115</f>
        <v/>
      </c>
      <c r="AN115" s="104" t="n">
        <v>9600</v>
      </c>
      <c r="AO115" s="104" t="n">
        <v>0</v>
      </c>
      <c r="AP115" s="104" t="n">
        <v>4800</v>
      </c>
      <c r="AQ115" s="104" t="n">
        <v>4800</v>
      </c>
      <c r="AR115" s="104" t="n">
        <v>0</v>
      </c>
      <c r="AS115" s="104" t="n"/>
      <c r="AT115" s="104" t="n"/>
    </row>
    <row r="116" ht="12.65" customHeight="1" s="79">
      <c r="A116" s="104">
        <f>MIN(V116,R116)</f>
        <v/>
      </c>
      <c r="B116" s="104">
        <f>MIN(V116,U116)</f>
        <v/>
      </c>
      <c r="C116" s="104">
        <f>MIN(X116,R116)</f>
        <v/>
      </c>
      <c r="D116" s="104">
        <f>MIN(X116,U116)</f>
        <v/>
      </c>
      <c r="E116" s="104">
        <f>MIN((V116+AN116+AR116),U116)</f>
        <v/>
      </c>
      <c r="F116" s="104">
        <f>MAX(MIN((V116+AO116+AR116),R116),0)</f>
        <v/>
      </c>
      <c r="G116" s="104">
        <f>MAX(MIN(AP116,AL116),0)</f>
        <v/>
      </c>
      <c r="H116" s="104">
        <f>MAX(MIN(AQ116,AM116),0)</f>
        <v/>
      </c>
      <c r="I116" s="105" t="inlineStr">
        <is>
          <t>MAHIMA VOHRA</t>
        </is>
      </c>
      <c r="J116" s="106" t="inlineStr">
        <is>
          <t>HOME FURNISHING</t>
        </is>
      </c>
      <c r="K116" s="107" t="inlineStr">
        <is>
          <t>HF_BEDROOM FURNISHING</t>
        </is>
      </c>
      <c r="L116" s="107" t="inlineStr">
        <is>
          <t>HF_BF_SINGLE BEDSHEET</t>
        </is>
      </c>
      <c r="M116" s="107" t="inlineStr">
        <is>
          <t>SHEET 249-[HFBF05]</t>
        </is>
      </c>
      <c r="N116" s="107" t="inlineStr">
        <is>
          <t>ACTIVE</t>
        </is>
      </c>
      <c r="O116" s="108" t="n">
        <v>0.110887884368547</v>
      </c>
      <c r="P116" s="108" t="n">
        <v>0.0916357260726073</v>
      </c>
      <c r="Q116" s="109" t="n">
        <v>61</v>
      </c>
      <c r="R116" s="110" t="n">
        <v>4019</v>
      </c>
      <c r="S116" s="110" t="n">
        <v>1019.3893729608</v>
      </c>
      <c r="T116" s="110" t="n">
        <v>738.896773436499</v>
      </c>
      <c r="U116" s="110" t="n">
        <v>5777.2861463973</v>
      </c>
      <c r="V116" s="104" t="n">
        <v>2400</v>
      </c>
      <c r="W116" s="104" t="n">
        <v>0</v>
      </c>
      <c r="X116" s="104">
        <f>$V116+W116</f>
        <v/>
      </c>
      <c r="Y116" s="111">
        <f>IFERROR(A116/R116,0)</f>
        <v/>
      </c>
      <c r="Z116" s="111">
        <f>IFERROR(B116/U116,0)</f>
        <v/>
      </c>
      <c r="AA116" s="111">
        <f>IFERROR(C116/R116,0)</f>
        <v/>
      </c>
      <c r="AB116" s="111">
        <f>IFERROR(D116/U116,0)</f>
        <v/>
      </c>
      <c r="AD116" s="111">
        <f>IF(U116&gt;0,IFERROR(E116/U116,0),1)</f>
        <v/>
      </c>
      <c r="AE116" s="111">
        <f>IF(R116&gt;0,IFERROR(F116/R116,0),1)</f>
        <v/>
      </c>
      <c r="AF116" s="111">
        <f>IF(AL116&gt;0,IFERROR(G116/AL116,0),1)</f>
        <v/>
      </c>
      <c r="AG116" s="111">
        <f>IF(AM116&gt;0,IFERROR(H116/AM116,0),1)</f>
        <v/>
      </c>
      <c r="AH116" s="104">
        <f>U116-(V116+AN116+AR116)</f>
        <v/>
      </c>
      <c r="AI116" s="104">
        <f>R116-(V116+AO116+AR116)</f>
        <v/>
      </c>
      <c r="AJ116" s="104">
        <f>(AL116-AP116)</f>
        <v/>
      </c>
      <c r="AK116" s="104">
        <f>(AM116-AQ116)</f>
        <v/>
      </c>
      <c r="AL116" s="110">
        <f>S116+AI116</f>
        <v/>
      </c>
      <c r="AM116" s="110">
        <f>T116+AJ116</f>
        <v/>
      </c>
      <c r="AN116" s="104" t="n">
        <v>0</v>
      </c>
      <c r="AO116" s="104" t="n">
        <v>0</v>
      </c>
      <c r="AP116" s="104" t="n">
        <v>0</v>
      </c>
      <c r="AQ116" s="104" t="n">
        <v>0</v>
      </c>
      <c r="AR116" s="104" t="n">
        <v>0</v>
      </c>
      <c r="AS116" s="104" t="n"/>
      <c r="AT116" s="104" t="n"/>
    </row>
    <row r="117" ht="12.65" customHeight="1" s="79">
      <c r="A117" s="104">
        <f>MIN(V117,R117)</f>
        <v/>
      </c>
      <c r="B117" s="104">
        <f>MIN(V117,U117)</f>
        <v/>
      </c>
      <c r="C117" s="104">
        <f>MIN(X117,R117)</f>
        <v/>
      </c>
      <c r="D117" s="104">
        <f>MIN(X117,U117)</f>
        <v/>
      </c>
      <c r="E117" s="104">
        <f>MIN((V117+AN117+AR117),U117)</f>
        <v/>
      </c>
      <c r="F117" s="104">
        <f>MAX(MIN((V117+AO117+AR117),R117),0)</f>
        <v/>
      </c>
      <c r="G117" s="104">
        <f>MAX(MIN(AP117,AL117),0)</f>
        <v/>
      </c>
      <c r="H117" s="104">
        <f>MAX(MIN(AQ117,AM117),0)</f>
        <v/>
      </c>
      <c r="I117" s="105" t="inlineStr">
        <is>
          <t>MAHIMA VOHRA</t>
        </is>
      </c>
      <c r="J117" s="106" t="inlineStr">
        <is>
          <t>HOME FURNISHING</t>
        </is>
      </c>
      <c r="K117" s="107" t="inlineStr">
        <is>
          <t>HF_BEDROOM FURNISHING</t>
        </is>
      </c>
      <c r="L117" s="107" t="inlineStr">
        <is>
          <t>HF_BF_SINGLE BEDSHEET</t>
        </is>
      </c>
      <c r="M117" s="107" t="inlineStr">
        <is>
          <t>ENV 249-[HFBF05]</t>
        </is>
      </c>
      <c r="N117" s="107" t="inlineStr">
        <is>
          <t>ACTIVE</t>
        </is>
      </c>
      <c r="O117" s="108" t="n">
        <v>0.13407070793678</v>
      </c>
      <c r="P117" s="108" t="n">
        <v>0.134854827819041</v>
      </c>
      <c r="Q117" s="109" t="n">
        <v>61</v>
      </c>
      <c r="R117" s="110" t="n">
        <v>3271</v>
      </c>
      <c r="S117" s="110" t="n">
        <v>70.19076858093921</v>
      </c>
      <c r="T117" s="110" t="n">
        <v>0</v>
      </c>
      <c r="U117" s="110" t="n">
        <v>3341.19076858094</v>
      </c>
      <c r="V117" s="104" t="n">
        <v>0</v>
      </c>
      <c r="W117" s="104" t="n">
        <v>3600</v>
      </c>
      <c r="X117" s="104">
        <f>$V117+W117</f>
        <v/>
      </c>
      <c r="Y117" s="111">
        <f>IFERROR(A117/R117,0)</f>
        <v/>
      </c>
      <c r="Z117" s="111">
        <f>IFERROR(B117/U117,0)</f>
        <v/>
      </c>
      <c r="AA117" s="111">
        <f>IFERROR(C117/R117,0)</f>
        <v/>
      </c>
      <c r="AB117" s="111">
        <f>IFERROR(D117/U117,0)</f>
        <v/>
      </c>
      <c r="AD117" s="111">
        <f>IF(U117&gt;0,IFERROR(E117/U117,0),1)</f>
        <v/>
      </c>
      <c r="AE117" s="111">
        <f>IF(R117&gt;0,IFERROR(F117/R117,0),1)</f>
        <v/>
      </c>
      <c r="AF117" s="111">
        <f>IF(AL117&gt;0,IFERROR(G117/AL117,0),1)</f>
        <v/>
      </c>
      <c r="AG117" s="111">
        <f>IF(AM117&gt;0,IFERROR(H117/AM117,0),1)</f>
        <v/>
      </c>
      <c r="AH117" s="104">
        <f>U117-(V117+AN117+AR117)</f>
        <v/>
      </c>
      <c r="AI117" s="104">
        <f>R117-(V117+AO117+AR117)</f>
        <v/>
      </c>
      <c r="AJ117" s="104">
        <f>(AL117-AP117)</f>
        <v/>
      </c>
      <c r="AK117" s="104">
        <f>(AM117-AQ117)</f>
        <v/>
      </c>
      <c r="AL117" s="110">
        <f>S117+AI117</f>
        <v/>
      </c>
      <c r="AM117" s="110">
        <f>T117+AJ117</f>
        <v/>
      </c>
      <c r="AN117" s="104" t="n">
        <v>8400</v>
      </c>
      <c r="AO117" s="104" t="n">
        <v>8400</v>
      </c>
      <c r="AP117" s="104" t="n">
        <v>0</v>
      </c>
      <c r="AQ117" s="104" t="n">
        <v>0</v>
      </c>
      <c r="AR117" s="104" t="n">
        <v>0</v>
      </c>
      <c r="AS117" s="104" t="n"/>
      <c r="AT117" s="104" t="n"/>
    </row>
    <row r="118" ht="12.65" customHeight="1" s="79">
      <c r="A118" s="104">
        <f>MIN(V118,R118)</f>
        <v/>
      </c>
      <c r="B118" s="104">
        <f>MIN(V118,U118)</f>
        <v/>
      </c>
      <c r="C118" s="104">
        <f>MIN(X118,R118)</f>
        <v/>
      </c>
      <c r="D118" s="104">
        <f>MIN(X118,U118)</f>
        <v/>
      </c>
      <c r="E118" s="104">
        <f>MIN((V118+AN118+AR118),U118)</f>
        <v/>
      </c>
      <c r="F118" s="104">
        <f>MAX(MIN((V118+AO118+AR118),R118),0)</f>
        <v/>
      </c>
      <c r="G118" s="104">
        <f>MAX(MIN(AP118,AL118),0)</f>
        <v/>
      </c>
      <c r="H118" s="104">
        <f>MAX(MIN(AQ118,AM118),0)</f>
        <v/>
      </c>
      <c r="I118" s="105" t="inlineStr">
        <is>
          <t>MAHIMA VOHRA</t>
        </is>
      </c>
      <c r="J118" s="106" t="inlineStr">
        <is>
          <t>HOME FURNISHING</t>
        </is>
      </c>
      <c r="K118" s="107" t="inlineStr">
        <is>
          <t>HF_DRAWINGROOM FURNISHING</t>
        </is>
      </c>
      <c r="L118" s="107" t="inlineStr">
        <is>
          <t>HF_DF_CURTAIN</t>
        </is>
      </c>
      <c r="M118" s="107" t="inlineStr">
        <is>
          <t>PUNCH EMBOS-[HFDF01]</t>
        </is>
      </c>
      <c r="N118" s="107" t="inlineStr">
        <is>
          <t>ACTIVE</t>
        </is>
      </c>
      <c r="O118" s="108" t="n">
        <v>0.0818784570567392</v>
      </c>
      <c r="P118" s="108" t="n">
        <v>0.0659395600325902</v>
      </c>
      <c r="Q118" s="109" t="n">
        <v>7</v>
      </c>
      <c r="R118" s="110" t="n">
        <v>14571</v>
      </c>
      <c r="S118" s="110" t="n">
        <v>1631.96248927489</v>
      </c>
      <c r="T118" s="110" t="n">
        <v>2299.16331275647</v>
      </c>
      <c r="U118" s="110" t="n">
        <v>18502.1258020314</v>
      </c>
      <c r="V118" s="104" t="n">
        <v>3000</v>
      </c>
      <c r="W118" s="104" t="n">
        <v>5880</v>
      </c>
      <c r="X118" s="104">
        <f>$V118+W118</f>
        <v/>
      </c>
      <c r="Y118" s="111">
        <f>IFERROR(A118/R118,0)</f>
        <v/>
      </c>
      <c r="Z118" s="111">
        <f>IFERROR(B118/U118,0)</f>
        <v/>
      </c>
      <c r="AA118" s="111">
        <f>IFERROR(C118/R118,0)</f>
        <v/>
      </c>
      <c r="AB118" s="111">
        <f>IFERROR(D118/U118,0)</f>
        <v/>
      </c>
      <c r="AD118" s="111">
        <f>IF(U118&gt;0,IFERROR(E118/U118,0),1)</f>
        <v/>
      </c>
      <c r="AE118" s="111">
        <f>IF(R118&gt;0,IFERROR(F118/R118,0),1)</f>
        <v/>
      </c>
      <c r="AF118" s="111">
        <f>IF(AL118&gt;0,IFERROR(G118/AL118,0),1)</f>
        <v/>
      </c>
      <c r="AG118" s="111">
        <f>IF(AM118&gt;0,IFERROR(H118/AM118,0),1)</f>
        <v/>
      </c>
      <c r="AH118" s="104">
        <f>U118-(V118+AN118+AR118)</f>
        <v/>
      </c>
      <c r="AI118" s="104">
        <f>R118-(V118+AO118+AR118)</f>
        <v/>
      </c>
      <c r="AJ118" s="104">
        <f>(AL118-AP118)</f>
        <v/>
      </c>
      <c r="AK118" s="104">
        <f>(AM118-AQ118)</f>
        <v/>
      </c>
      <c r="AL118" s="110">
        <f>S118+AI118</f>
        <v/>
      </c>
      <c r="AM118" s="110">
        <f>T118+AJ118</f>
        <v/>
      </c>
      <c r="AN118" s="104" t="n">
        <v>11880</v>
      </c>
      <c r="AO118" s="104" t="n">
        <v>11880</v>
      </c>
      <c r="AP118" s="104" t="n">
        <v>0</v>
      </c>
      <c r="AQ118" s="104" t="n">
        <v>0</v>
      </c>
      <c r="AR118" s="104" t="n">
        <v>0</v>
      </c>
      <c r="AS118" s="104" t="n"/>
      <c r="AT118" s="104" t="n"/>
    </row>
    <row r="119" ht="12.65" customHeight="1" s="79">
      <c r="A119" s="104">
        <f>MIN(V119,R119)</f>
        <v/>
      </c>
      <c r="B119" s="104">
        <f>MIN(V119,U119)</f>
        <v/>
      </c>
      <c r="C119" s="104">
        <f>MIN(X119,R119)</f>
        <v/>
      </c>
      <c r="D119" s="104">
        <f>MIN(X119,U119)</f>
        <v/>
      </c>
      <c r="E119" s="104">
        <f>MIN((V119+AN119+AR119),U119)</f>
        <v/>
      </c>
      <c r="F119" s="104">
        <f>MAX(MIN((V119+AO119+AR119),R119),0)</f>
        <v/>
      </c>
      <c r="G119" s="104">
        <f>MAX(MIN(AP119,AL119),0)</f>
        <v/>
      </c>
      <c r="H119" s="104">
        <f>MAX(MIN(AQ119,AM119),0)</f>
        <v/>
      </c>
      <c r="I119" s="105" t="inlineStr">
        <is>
          <t>MAHIMA VOHRA</t>
        </is>
      </c>
      <c r="J119" s="106" t="inlineStr">
        <is>
          <t>HOME FURNISHING</t>
        </is>
      </c>
      <c r="K119" s="107" t="inlineStr">
        <is>
          <t>HF_DRAWINGROOM FURNISHING</t>
        </is>
      </c>
      <c r="L119" s="107" t="inlineStr">
        <is>
          <t>HF_DF_CURTAIN</t>
        </is>
      </c>
      <c r="M119" s="107" t="inlineStr">
        <is>
          <t>PATCH-[HFDF01]</t>
        </is>
      </c>
      <c r="N119" s="107" t="inlineStr">
        <is>
          <t>ACTIVE</t>
        </is>
      </c>
      <c r="O119" s="108" t="n">
        <v>0.0715834970838677</v>
      </c>
      <c r="P119" s="108" t="n">
        <v>0.0536709152776977</v>
      </c>
      <c r="Q119" s="109" t="n">
        <v>7</v>
      </c>
      <c r="R119" s="110" t="n">
        <v>17828</v>
      </c>
      <c r="S119" s="110" t="n">
        <v>0</v>
      </c>
      <c r="T119" s="110" t="n">
        <v>0</v>
      </c>
      <c r="U119" s="110" t="n">
        <v>17828</v>
      </c>
      <c r="V119" s="104" t="n">
        <v>6000</v>
      </c>
      <c r="W119" s="104" t="n">
        <v>0</v>
      </c>
      <c r="X119" s="104">
        <f>$V119+W119</f>
        <v/>
      </c>
      <c r="Y119" s="111">
        <f>IFERROR(A119/R119,0)</f>
        <v/>
      </c>
      <c r="Z119" s="111">
        <f>IFERROR(B119/U119,0)</f>
        <v/>
      </c>
      <c r="AA119" s="111">
        <f>IFERROR(C119/R119,0)</f>
        <v/>
      </c>
      <c r="AB119" s="111">
        <f>IFERROR(D119/U119,0)</f>
        <v/>
      </c>
      <c r="AD119" s="111">
        <f>IF(U119&gt;0,IFERROR(E119/U119,0),1)</f>
        <v/>
      </c>
      <c r="AE119" s="111">
        <f>IF(R119&gt;0,IFERROR(F119/R119,0),1)</f>
        <v/>
      </c>
      <c r="AF119" s="111">
        <f>IF(AL119&gt;0,IFERROR(G119/AL119,0),1)</f>
        <v/>
      </c>
      <c r="AG119" s="111">
        <f>IF(AM119&gt;0,IFERROR(H119/AM119,0),1)</f>
        <v/>
      </c>
      <c r="AH119" s="104">
        <f>U119-(V119+AN119+AR119)</f>
        <v/>
      </c>
      <c r="AI119" s="104">
        <f>R119-(V119+AO119+AR119)</f>
        <v/>
      </c>
      <c r="AJ119" s="104">
        <f>(AL119-AP119)</f>
        <v/>
      </c>
      <c r="AK119" s="104">
        <f>(AM119-AQ119)</f>
        <v/>
      </c>
      <c r="AL119" s="110">
        <f>S119+AI119</f>
        <v/>
      </c>
      <c r="AM119" s="110">
        <f>T119+AJ119</f>
        <v/>
      </c>
      <c r="AN119" s="104" t="n">
        <v>6960</v>
      </c>
      <c r="AO119" s="104" t="n">
        <v>6960</v>
      </c>
      <c r="AP119" s="104" t="n">
        <v>0</v>
      </c>
      <c r="AQ119" s="104" t="n">
        <v>0</v>
      </c>
      <c r="AR119" s="104" t="n">
        <v>0</v>
      </c>
      <c r="AS119" s="104" t="n"/>
      <c r="AT119" s="104" t="n"/>
    </row>
    <row r="120" ht="12.65" customHeight="1" s="79">
      <c r="A120" s="104">
        <f>MIN(V120,R120)</f>
        <v/>
      </c>
      <c r="B120" s="104">
        <f>MIN(V120,U120)</f>
        <v/>
      </c>
      <c r="C120" s="104">
        <f>MIN(X120,R120)</f>
        <v/>
      </c>
      <c r="D120" s="104">
        <f>MIN(X120,U120)</f>
        <v/>
      </c>
      <c r="E120" s="104">
        <f>MIN((V120+AN120+AR120),U120)</f>
        <v/>
      </c>
      <c r="F120" s="104">
        <f>MAX(MIN((V120+AO120+AR120),R120),0)</f>
        <v/>
      </c>
      <c r="G120" s="104">
        <f>MAX(MIN(AP120,AL120),0)</f>
        <v/>
      </c>
      <c r="H120" s="104">
        <f>MAX(MIN(AQ120,AM120),0)</f>
        <v/>
      </c>
      <c r="I120" s="105" t="inlineStr">
        <is>
          <t>MAHIMA VOHRA</t>
        </is>
      </c>
      <c r="J120" s="106" t="inlineStr">
        <is>
          <t>HOME FURNISHING</t>
        </is>
      </c>
      <c r="K120" s="107" t="inlineStr">
        <is>
          <t>HF_DRAWINGROOM FURNISHING</t>
        </is>
      </c>
      <c r="L120" s="107" t="inlineStr">
        <is>
          <t>HF_DF_CURTAIN</t>
        </is>
      </c>
      <c r="M120" s="107" t="inlineStr">
        <is>
          <t>PRT-[HFDF01]</t>
        </is>
      </c>
      <c r="N120" s="107" t="inlineStr">
        <is>
          <t>ACTIVE</t>
        </is>
      </c>
      <c r="O120" s="108" t="n">
        <v>0.0676967217267937</v>
      </c>
      <c r="P120" s="108" t="n">
        <v>0.0574360341151386</v>
      </c>
      <c r="Q120" s="109" t="n">
        <v>7</v>
      </c>
      <c r="R120" s="110" t="n">
        <v>13777</v>
      </c>
      <c r="S120" s="110" t="n">
        <v>1272.37330523502</v>
      </c>
      <c r="T120" s="110" t="n">
        <v>1957.61396792668</v>
      </c>
      <c r="U120" s="110" t="n">
        <v>17006.9872731617</v>
      </c>
      <c r="V120" s="104" t="n">
        <v>13439</v>
      </c>
      <c r="W120" s="104" t="n">
        <v>6024</v>
      </c>
      <c r="X120" s="104">
        <f>$V120+W120</f>
        <v/>
      </c>
      <c r="Y120" s="111">
        <f>IFERROR(A120/R120,0)</f>
        <v/>
      </c>
      <c r="Z120" s="111">
        <f>IFERROR(B120/U120,0)</f>
        <v/>
      </c>
      <c r="AA120" s="111">
        <f>IFERROR(C120/R120,0)</f>
        <v/>
      </c>
      <c r="AB120" s="111">
        <f>IFERROR(D120/U120,0)</f>
        <v/>
      </c>
      <c r="AD120" s="111">
        <f>IF(U120&gt;0,IFERROR(E120/U120,0),1)</f>
        <v/>
      </c>
      <c r="AE120" s="111">
        <f>IF(R120&gt;0,IFERROR(F120/R120,0),1)</f>
        <v/>
      </c>
      <c r="AF120" s="111">
        <f>IF(AL120&gt;0,IFERROR(G120/AL120,0),1)</f>
        <v/>
      </c>
      <c r="AG120" s="111">
        <f>IF(AM120&gt;0,IFERROR(H120/AM120,0),1)</f>
        <v/>
      </c>
      <c r="AH120" s="104">
        <f>U120-(V120+AN120+AR120)</f>
        <v/>
      </c>
      <c r="AI120" s="104">
        <f>R120-(V120+AO120+AR120)</f>
        <v/>
      </c>
      <c r="AJ120" s="104">
        <f>(AL120-AP120)</f>
        <v/>
      </c>
      <c r="AK120" s="104">
        <f>(AM120-AQ120)</f>
        <v/>
      </c>
      <c r="AL120" s="110">
        <f>S120+AI120</f>
        <v/>
      </c>
      <c r="AM120" s="110">
        <f>T120+AJ120</f>
        <v/>
      </c>
      <c r="AN120" s="104" t="n">
        <v>15457</v>
      </c>
      <c r="AO120" s="104" t="n">
        <v>15457</v>
      </c>
      <c r="AP120" s="104" t="n">
        <v>0</v>
      </c>
      <c r="AQ120" s="104" t="n">
        <v>0</v>
      </c>
      <c r="AR120" s="104" t="n">
        <v>0</v>
      </c>
      <c r="AS120" s="104" t="n"/>
      <c r="AT120" s="104" t="n"/>
    </row>
    <row r="121" ht="12.65" customHeight="1" s="79">
      <c r="A121" s="104">
        <f>MIN(V121,R121)</f>
        <v/>
      </c>
      <c r="B121" s="104">
        <f>MIN(V121,U121)</f>
        <v/>
      </c>
      <c r="C121" s="104">
        <f>MIN(X121,R121)</f>
        <v/>
      </c>
      <c r="D121" s="104">
        <f>MIN(X121,U121)</f>
        <v/>
      </c>
      <c r="E121" s="104">
        <f>MIN((V121+AN121+AR121),U121)</f>
        <v/>
      </c>
      <c r="F121" s="104">
        <f>MAX(MIN((V121+AO121+AR121),R121),0)</f>
        <v/>
      </c>
      <c r="G121" s="104">
        <f>MAX(MIN(AP121,AL121),0)</f>
        <v/>
      </c>
      <c r="H121" s="104">
        <f>MAX(MIN(AQ121,AM121),0)</f>
        <v/>
      </c>
      <c r="I121" s="105" t="inlineStr">
        <is>
          <t>MAHIMA VOHRA</t>
        </is>
      </c>
      <c r="J121" s="106" t="inlineStr">
        <is>
          <t>HOME FURNISHING</t>
        </is>
      </c>
      <c r="K121" s="107" t="inlineStr">
        <is>
          <t>HF_DRAWINGROOM FURNISHING</t>
        </is>
      </c>
      <c r="L121" s="107" t="inlineStr">
        <is>
          <t>HF_DF_DURRIE</t>
        </is>
      </c>
      <c r="M121" s="107" t="inlineStr">
        <is>
          <t>BRAIDED-[HFDF03]</t>
        </is>
      </c>
      <c r="N121" s="107" t="inlineStr">
        <is>
          <t>ACTIVE</t>
        </is>
      </c>
      <c r="O121" s="108" t="n">
        <v>0.13005021619272</v>
      </c>
      <c r="P121" s="108" t="n">
        <v>0.125132238627478</v>
      </c>
      <c r="Q121" s="109" t="n">
        <v>5</v>
      </c>
      <c r="R121" s="110" t="n">
        <v>24183</v>
      </c>
      <c r="S121" s="110" t="n">
        <v>14810.2029211867</v>
      </c>
      <c r="T121" s="110" t="n">
        <v>13853.3219091178</v>
      </c>
      <c r="U121" s="110" t="n">
        <v>52846.5248303045</v>
      </c>
      <c r="V121" s="104" t="n">
        <v>14399</v>
      </c>
      <c r="W121" s="104" t="n">
        <v>4800</v>
      </c>
      <c r="X121" s="104">
        <f>$V121+W121</f>
        <v/>
      </c>
      <c r="Y121" s="111">
        <f>IFERROR(A121/R121,0)</f>
        <v/>
      </c>
      <c r="Z121" s="111">
        <f>IFERROR(B121/U121,0)</f>
        <v/>
      </c>
      <c r="AA121" s="111">
        <f>IFERROR(C121/R121,0)</f>
        <v/>
      </c>
      <c r="AB121" s="111">
        <f>IFERROR(D121/U121,0)</f>
        <v/>
      </c>
      <c r="AD121" s="111">
        <f>IF(U121&gt;0,IFERROR(E121/U121,0),1)</f>
        <v/>
      </c>
      <c r="AE121" s="111">
        <f>IF(R121&gt;0,IFERROR(F121/R121,0),1)</f>
        <v/>
      </c>
      <c r="AF121" s="111">
        <f>IF(AL121&gt;0,IFERROR(G121/AL121,0),1)</f>
        <v/>
      </c>
      <c r="AG121" s="111">
        <f>IF(AM121&gt;0,IFERROR(H121/AM121,0),1)</f>
        <v/>
      </c>
      <c r="AH121" s="104">
        <f>U121-(V121+AN121+AR121)</f>
        <v/>
      </c>
      <c r="AI121" s="104">
        <f>R121-(V121+AO121+AR121)</f>
        <v/>
      </c>
      <c r="AJ121" s="104">
        <f>(AL121-AP121)</f>
        <v/>
      </c>
      <c r="AK121" s="104">
        <f>(AM121-AQ121)</f>
        <v/>
      </c>
      <c r="AL121" s="110">
        <f>S121+AI121</f>
        <v/>
      </c>
      <c r="AM121" s="110">
        <f>T121+AJ121</f>
        <v/>
      </c>
      <c r="AN121" s="104" t="n">
        <v>33600</v>
      </c>
      <c r="AO121" s="104" t="n">
        <v>4800</v>
      </c>
      <c r="AP121" s="104" t="n">
        <v>16800</v>
      </c>
      <c r="AQ121" s="104" t="n">
        <v>12000</v>
      </c>
      <c r="AR121" s="104" t="n">
        <v>0</v>
      </c>
      <c r="AS121" s="104" t="n"/>
      <c r="AT121" s="104" t="n"/>
    </row>
    <row r="122" ht="12.65" customHeight="1" s="79">
      <c r="A122" s="104">
        <f>MIN(V122,R122)</f>
        <v/>
      </c>
      <c r="B122" s="104">
        <f>MIN(V122,U122)</f>
        <v/>
      </c>
      <c r="C122" s="104">
        <f>MIN(X122,R122)</f>
        <v/>
      </c>
      <c r="D122" s="104">
        <f>MIN(X122,U122)</f>
        <v/>
      </c>
      <c r="E122" s="104">
        <f>MIN((V122+AN122+AR122),U122)</f>
        <v/>
      </c>
      <c r="F122" s="104">
        <f>MAX(MIN((V122+AO122+AR122),R122),0)</f>
        <v/>
      </c>
      <c r="G122" s="104">
        <f>MAX(MIN(AP122,AL122),0)</f>
        <v/>
      </c>
      <c r="H122" s="104">
        <f>MAX(MIN(AQ122,AM122),0)</f>
        <v/>
      </c>
      <c r="I122" s="105" t="inlineStr">
        <is>
          <t>MAHIMA VOHRA</t>
        </is>
      </c>
      <c r="J122" s="106" t="inlineStr">
        <is>
          <t>HOME FURNISHING</t>
        </is>
      </c>
      <c r="K122" s="107" t="inlineStr">
        <is>
          <t>HF_DRAWINGROOM FURNISHING</t>
        </is>
      </c>
      <c r="L122" s="107" t="inlineStr">
        <is>
          <t>HF_DF_DURRIE</t>
        </is>
      </c>
      <c r="M122" s="107" t="inlineStr">
        <is>
          <t>CTN-[HFDF03]</t>
        </is>
      </c>
      <c r="N122" s="107" t="inlineStr">
        <is>
          <t>ACTIVE</t>
        </is>
      </c>
      <c r="O122" s="108" t="n">
        <v>0.108032477663844</v>
      </c>
      <c r="P122" s="108" t="n">
        <v>0.115558487627617</v>
      </c>
      <c r="Q122" s="109" t="n">
        <v>5</v>
      </c>
      <c r="R122" s="110" t="n">
        <v>24471</v>
      </c>
      <c r="S122" s="110" t="n">
        <v>8684.189506544401</v>
      </c>
      <c r="T122" s="110" t="n">
        <v>7870.02101878948</v>
      </c>
      <c r="U122" s="110" t="n">
        <v>41025.2105253339</v>
      </c>
      <c r="V122" s="104" t="n">
        <v>7200</v>
      </c>
      <c r="W122" s="104" t="n">
        <v>6456</v>
      </c>
      <c r="X122" s="104">
        <f>$V122+W122</f>
        <v/>
      </c>
      <c r="Y122" s="111">
        <f>IFERROR(A122/R122,0)</f>
        <v/>
      </c>
      <c r="Z122" s="111">
        <f>IFERROR(B122/U122,0)</f>
        <v/>
      </c>
      <c r="AA122" s="111">
        <f>IFERROR(C122/R122,0)</f>
        <v/>
      </c>
      <c r="AB122" s="111">
        <f>IFERROR(D122/U122,0)</f>
        <v/>
      </c>
      <c r="AD122" s="111">
        <f>IF(U122&gt;0,IFERROR(E122/U122,0),1)</f>
        <v/>
      </c>
      <c r="AE122" s="111">
        <f>IF(R122&gt;0,IFERROR(F122/R122,0),1)</f>
        <v/>
      </c>
      <c r="AF122" s="111">
        <f>IF(AL122&gt;0,IFERROR(G122/AL122,0),1)</f>
        <v/>
      </c>
      <c r="AG122" s="111">
        <f>IF(AM122&gt;0,IFERROR(H122/AM122,0),1)</f>
        <v/>
      </c>
      <c r="AH122" s="104">
        <f>U122-(V122+AN122+AR122)</f>
        <v/>
      </c>
      <c r="AI122" s="104">
        <f>R122-(V122+AO122+AR122)</f>
        <v/>
      </c>
      <c r="AJ122" s="104">
        <f>(AL122-AP122)</f>
        <v/>
      </c>
      <c r="AK122" s="104">
        <f>(AM122-AQ122)</f>
        <v/>
      </c>
      <c r="AL122" s="110">
        <f>S122+AI122</f>
        <v/>
      </c>
      <c r="AM122" s="110">
        <f>T122+AJ122</f>
        <v/>
      </c>
      <c r="AN122" s="104" t="n">
        <v>22800</v>
      </c>
      <c r="AO122" s="104" t="n">
        <v>8400</v>
      </c>
      <c r="AP122" s="104" t="n">
        <v>9600</v>
      </c>
      <c r="AQ122" s="104" t="n">
        <v>4800</v>
      </c>
      <c r="AR122" s="104" t="n">
        <v>0</v>
      </c>
      <c r="AS122" s="104" t="n"/>
      <c r="AT122" s="104" t="n"/>
    </row>
    <row r="123" ht="12.65" customHeight="1" s="79">
      <c r="A123" s="104">
        <f>MIN(V123,R123)</f>
        <v/>
      </c>
      <c r="B123" s="104">
        <f>MIN(V123,U123)</f>
        <v/>
      </c>
      <c r="C123" s="104">
        <f>MIN(X123,R123)</f>
        <v/>
      </c>
      <c r="D123" s="104">
        <f>MIN(X123,U123)</f>
        <v/>
      </c>
      <c r="E123" s="104">
        <f>MIN((V123+AN123+AR123),U123)</f>
        <v/>
      </c>
      <c r="F123" s="104">
        <f>MAX(MIN((V123+AO123+AR123),R123),0)</f>
        <v/>
      </c>
      <c r="G123" s="104">
        <f>MAX(MIN(AP123,AL123),0)</f>
        <v/>
      </c>
      <c r="H123" s="104">
        <f>MAX(MIN(AQ123,AM123),0)</f>
        <v/>
      </c>
      <c r="I123" s="105" t="inlineStr">
        <is>
          <t>MAHIMA VOHRA</t>
        </is>
      </c>
      <c r="J123" s="106" t="inlineStr">
        <is>
          <t>HOME FURNISHING</t>
        </is>
      </c>
      <c r="K123" s="107" t="inlineStr">
        <is>
          <t>HF_DRAWINGROOM FURNISHING</t>
        </is>
      </c>
      <c r="L123" s="107" t="inlineStr">
        <is>
          <t>HF_DF_DURRIE</t>
        </is>
      </c>
      <c r="M123" s="107" t="inlineStr">
        <is>
          <t>WLCM MAT-[HFDF03]</t>
        </is>
      </c>
      <c r="N123" s="107" t="inlineStr">
        <is>
          <t>ACTIVE</t>
        </is>
      </c>
      <c r="O123" s="108" t="n">
        <v>0.114228493289931</v>
      </c>
      <c r="P123" s="108" t="n">
        <v>0.122654523093287</v>
      </c>
      <c r="Q123" s="109" t="n">
        <v>5</v>
      </c>
      <c r="R123" s="110" t="n">
        <v>18387</v>
      </c>
      <c r="S123" s="110" t="n">
        <v>10120.1622085892</v>
      </c>
      <c r="T123" s="110" t="n">
        <v>9439.62172083425</v>
      </c>
      <c r="U123" s="110" t="n">
        <v>37946.7839294234</v>
      </c>
      <c r="V123" s="104" t="n">
        <v>7200</v>
      </c>
      <c r="W123" s="104" t="n">
        <v>2880</v>
      </c>
      <c r="X123" s="104">
        <f>$V123+W123</f>
        <v/>
      </c>
      <c r="Y123" s="111">
        <f>IFERROR(A123/R123,0)</f>
        <v/>
      </c>
      <c r="Z123" s="111">
        <f>IFERROR(B123/U123,0)</f>
        <v/>
      </c>
      <c r="AA123" s="111">
        <f>IFERROR(C123/R123,0)</f>
        <v/>
      </c>
      <c r="AB123" s="111">
        <f>IFERROR(D123/U123,0)</f>
        <v/>
      </c>
      <c r="AD123" s="111">
        <f>IF(U123&gt;0,IFERROR(E123/U123,0),1)</f>
        <v/>
      </c>
      <c r="AE123" s="111">
        <f>IF(R123&gt;0,IFERROR(F123/R123,0),1)</f>
        <v/>
      </c>
      <c r="AF123" s="111">
        <f>IF(AL123&gt;0,IFERROR(G123/AL123,0),1)</f>
        <v/>
      </c>
      <c r="AG123" s="111">
        <f>IF(AM123&gt;0,IFERROR(H123/AM123,0),1)</f>
        <v/>
      </c>
      <c r="AH123" s="104">
        <f>U123-(V123+AN123+AR123)</f>
        <v/>
      </c>
      <c r="AI123" s="104">
        <f>R123-(V123+AO123+AR123)</f>
        <v/>
      </c>
      <c r="AJ123" s="104">
        <f>(AL123-AP123)</f>
        <v/>
      </c>
      <c r="AK123" s="104">
        <f>(AM123-AQ123)</f>
        <v/>
      </c>
      <c r="AL123" s="110">
        <f>S123+AI123</f>
        <v/>
      </c>
      <c r="AM123" s="110">
        <f>T123+AJ123</f>
        <v/>
      </c>
      <c r="AN123" s="104" t="n">
        <v>34800</v>
      </c>
      <c r="AO123" s="104" t="n">
        <v>13200</v>
      </c>
      <c r="AP123" s="104" t="n">
        <v>7200</v>
      </c>
      <c r="AQ123" s="104" t="n">
        <v>14400</v>
      </c>
      <c r="AR123" s="104" t="n">
        <v>0</v>
      </c>
      <c r="AS123" s="104" t="n"/>
      <c r="AT123" s="112" t="n"/>
    </row>
    <row r="124" ht="12.65" customHeight="1" s="79">
      <c r="A124" s="104">
        <f>MIN(V124,R124)</f>
        <v/>
      </c>
      <c r="B124" s="104">
        <f>MIN(V124,U124)</f>
        <v/>
      </c>
      <c r="C124" s="104">
        <f>MIN(X124,R124)</f>
        <v/>
      </c>
      <c r="D124" s="104">
        <f>MIN(X124,U124)</f>
        <v/>
      </c>
      <c r="E124" s="104">
        <f>MIN((V124+AN124+AR124),U124)</f>
        <v/>
      </c>
      <c r="F124" s="104">
        <f>MAX(MIN((V124+AO124+AR124),R124),0)</f>
        <v/>
      </c>
      <c r="G124" s="104">
        <f>MAX(MIN(AP124,AL124),0)</f>
        <v/>
      </c>
      <c r="H124" s="104">
        <f>MAX(MIN(AQ124,AM124),0)</f>
        <v/>
      </c>
      <c r="I124" s="105" t="inlineStr">
        <is>
          <t>MAHIMA VOHRA</t>
        </is>
      </c>
      <c r="J124" s="106" t="inlineStr">
        <is>
          <t>HOME FURNISHING</t>
        </is>
      </c>
      <c r="K124" s="107" t="inlineStr">
        <is>
          <t>HF_DRAWINGROOM FURNISHING</t>
        </is>
      </c>
      <c r="L124" s="107" t="inlineStr">
        <is>
          <t>HF_DF_DURRIE</t>
        </is>
      </c>
      <c r="M124" s="107" t="inlineStr">
        <is>
          <t>SHGY-[HFDF03]</t>
        </is>
      </c>
      <c r="N124" s="107" t="inlineStr">
        <is>
          <t>ACTIVE</t>
        </is>
      </c>
      <c r="O124" s="108" t="n">
        <v>0.107554541145721</v>
      </c>
      <c r="P124" s="108" t="n">
        <v>0.106759324854659</v>
      </c>
      <c r="Q124" s="109" t="n">
        <v>5</v>
      </c>
      <c r="R124" s="110" t="n">
        <v>11356</v>
      </c>
      <c r="S124" s="110" t="n">
        <v>7046.08281837353</v>
      </c>
      <c r="T124" s="110" t="n">
        <v>6701.96468058786</v>
      </c>
      <c r="U124" s="110" t="n">
        <v>25104.0474989614</v>
      </c>
      <c r="V124" s="104" t="n">
        <v>10906</v>
      </c>
      <c r="W124" s="104" t="n">
        <v>5784</v>
      </c>
      <c r="X124" s="104">
        <f>$V124+W124</f>
        <v/>
      </c>
      <c r="Y124" s="111">
        <f>IFERROR(A124/R124,0)</f>
        <v/>
      </c>
      <c r="Z124" s="111">
        <f>IFERROR(B124/U124,0)</f>
        <v/>
      </c>
      <c r="AA124" s="111">
        <f>IFERROR(C124/R124,0)</f>
        <v/>
      </c>
      <c r="AB124" s="111">
        <f>IFERROR(D124/U124,0)</f>
        <v/>
      </c>
      <c r="AD124" s="111">
        <f>IF(U124&gt;0,IFERROR(E124/U124,0),1)</f>
        <v/>
      </c>
      <c r="AE124" s="111">
        <f>IF(R124&gt;0,IFERROR(F124/R124,0),1)</f>
        <v/>
      </c>
      <c r="AF124" s="111">
        <f>IF(AL124&gt;0,IFERROR(G124/AL124,0),1)</f>
        <v/>
      </c>
      <c r="AG124" s="111">
        <f>IF(AM124&gt;0,IFERROR(H124/AM124,0),1)</f>
        <v/>
      </c>
      <c r="AH124" s="104">
        <f>U124-(V124+AN124+AR124)</f>
        <v/>
      </c>
      <c r="AI124" s="104">
        <f>R124-(V124+AO124+AR124)</f>
        <v/>
      </c>
      <c r="AJ124" s="104">
        <f>(AL124-AP124)</f>
        <v/>
      </c>
      <c r="AK124" s="104">
        <f>(AM124-AQ124)</f>
        <v/>
      </c>
      <c r="AL124" s="110">
        <f>S124+AI124</f>
        <v/>
      </c>
      <c r="AM124" s="110">
        <f>T124+AJ124</f>
        <v/>
      </c>
      <c r="AN124" s="104" t="n">
        <v>31454</v>
      </c>
      <c r="AO124" s="104" t="n">
        <v>11054</v>
      </c>
      <c r="AP124" s="104" t="n">
        <v>10800</v>
      </c>
      <c r="AQ124" s="104" t="n">
        <v>9600</v>
      </c>
      <c r="AR124" s="104" t="n">
        <v>0</v>
      </c>
      <c r="AS124" s="104" t="n"/>
      <c r="AT124" s="104" t="n"/>
    </row>
    <row r="125" ht="12.65" customHeight="1" s="79">
      <c r="A125" s="104">
        <f>MIN(V125,R125)</f>
        <v/>
      </c>
      <c r="B125" s="104">
        <f>MIN(V125,U125)</f>
        <v/>
      </c>
      <c r="C125" s="104">
        <f>MIN(X125,R125)</f>
        <v/>
      </c>
      <c r="D125" s="104">
        <f>MIN(X125,U125)</f>
        <v/>
      </c>
      <c r="E125" s="104">
        <f>MIN((V125+AN125+AR125),U125)</f>
        <v/>
      </c>
      <c r="F125" s="104">
        <f>MAX(MIN((V125+AO125+AR125),R125),0)</f>
        <v/>
      </c>
      <c r="G125" s="104">
        <f>MAX(MIN(AP125,AL125),0)</f>
        <v/>
      </c>
      <c r="H125" s="104">
        <f>MAX(MIN(AQ125,AM125),0)</f>
        <v/>
      </c>
      <c r="I125" s="105" t="inlineStr">
        <is>
          <t>MAHIMA VOHRA</t>
        </is>
      </c>
      <c r="J125" s="106" t="inlineStr">
        <is>
          <t>HOME FURNISHING</t>
        </is>
      </c>
      <c r="K125" s="107" t="inlineStr">
        <is>
          <t>HF_DRAWINGROOM FURNISHING</t>
        </is>
      </c>
      <c r="L125" s="107" t="inlineStr">
        <is>
          <t>HF_DF_DURRIE</t>
        </is>
      </c>
      <c r="M125" s="107" t="inlineStr">
        <is>
          <t>MICRO-[HFDF03]</t>
        </is>
      </c>
      <c r="N125" s="107" t="inlineStr">
        <is>
          <t>ACTIVE</t>
        </is>
      </c>
      <c r="O125" s="108" t="n">
        <v>0.116344613437234</v>
      </c>
      <c r="P125" s="108" t="n">
        <v>0.0963486975424634</v>
      </c>
      <c r="Q125" s="109" t="n">
        <v>5</v>
      </c>
      <c r="R125" s="110" t="n">
        <v>10317</v>
      </c>
      <c r="S125" s="110" t="n">
        <v>5850.6367088373</v>
      </c>
      <c r="T125" s="110" t="n">
        <v>5497.81913146153</v>
      </c>
      <c r="U125" s="110" t="n">
        <v>21665.4558402988</v>
      </c>
      <c r="V125" s="104" t="n">
        <v>0</v>
      </c>
      <c r="W125" s="104" t="n">
        <v>8400</v>
      </c>
      <c r="X125" s="104">
        <f>$V125+W125</f>
        <v/>
      </c>
      <c r="Y125" s="111">
        <f>IFERROR(A125/R125,0)</f>
        <v/>
      </c>
      <c r="Z125" s="111">
        <f>IFERROR(B125/U125,0)</f>
        <v/>
      </c>
      <c r="AA125" s="111">
        <f>IFERROR(C125/R125,0)</f>
        <v/>
      </c>
      <c r="AB125" s="111">
        <f>IFERROR(D125/U125,0)</f>
        <v/>
      </c>
      <c r="AD125" s="111">
        <f>IF(U125&gt;0,IFERROR(E125/U125,0),1)</f>
        <v/>
      </c>
      <c r="AE125" s="111">
        <f>IF(R125&gt;0,IFERROR(F125/R125,0),1)</f>
        <v/>
      </c>
      <c r="AF125" s="111">
        <f>IF(AL125&gt;0,IFERROR(G125/AL125,0),1)</f>
        <v/>
      </c>
      <c r="AG125" s="111">
        <f>IF(AM125&gt;0,IFERROR(H125/AM125,0),1)</f>
        <v/>
      </c>
      <c r="AH125" s="104">
        <f>U125-(V125+AN125+AR125)</f>
        <v/>
      </c>
      <c r="AI125" s="104">
        <f>R125-(V125+AO125+AR125)</f>
        <v/>
      </c>
      <c r="AJ125" s="104">
        <f>(AL125-AP125)</f>
        <v/>
      </c>
      <c r="AK125" s="104">
        <f>(AM125-AQ125)</f>
        <v/>
      </c>
      <c r="AL125" s="110">
        <f>S125+AI125</f>
        <v/>
      </c>
      <c r="AM125" s="110">
        <f>T125+AJ125</f>
        <v/>
      </c>
      <c r="AN125" s="104" t="n">
        <v>20400</v>
      </c>
      <c r="AO125" s="104" t="n">
        <v>8400</v>
      </c>
      <c r="AP125" s="104" t="n">
        <v>7200</v>
      </c>
      <c r="AQ125" s="104" t="n">
        <v>4800</v>
      </c>
      <c r="AR125" s="104" t="n">
        <v>0</v>
      </c>
      <c r="AS125" s="104" t="n"/>
      <c r="AT125" s="104" t="n"/>
    </row>
    <row r="126" ht="12.65" customHeight="1" s="79">
      <c r="A126" s="104">
        <f>MIN(V126,R126)</f>
        <v/>
      </c>
      <c r="B126" s="104">
        <f>MIN(V126,U126)</f>
        <v/>
      </c>
      <c r="C126" s="104">
        <f>MIN(X126,R126)</f>
        <v/>
      </c>
      <c r="D126" s="104">
        <f>MIN(X126,U126)</f>
        <v/>
      </c>
      <c r="E126" s="104">
        <f>MIN((V126+AN126+AR126),U126)</f>
        <v/>
      </c>
      <c r="F126" s="104">
        <f>MAX(MIN((V126+AO126+AR126),R126),0)</f>
        <v/>
      </c>
      <c r="G126" s="104">
        <f>MAX(MIN(AP126,AL126),0)</f>
        <v/>
      </c>
      <c r="H126" s="104">
        <f>MAX(MIN(AQ126,AM126),0)</f>
        <v/>
      </c>
      <c r="I126" s="105" t="inlineStr">
        <is>
          <t>MAHIMA VOHRA</t>
        </is>
      </c>
      <c r="J126" s="106" t="inlineStr">
        <is>
          <t>HOME FURNISHING</t>
        </is>
      </c>
      <c r="K126" s="107" t="inlineStr">
        <is>
          <t>HF_TOWEL LINEN</t>
        </is>
      </c>
      <c r="L126" s="107" t="inlineStr">
        <is>
          <t>HF_TL_BABY TOWEL</t>
        </is>
      </c>
      <c r="M126" s="107" t="inlineStr">
        <is>
          <t>MICRO 199-[HFTL01]</t>
        </is>
      </c>
      <c r="N126" s="107" t="inlineStr">
        <is>
          <t>ACTIVE</t>
        </is>
      </c>
      <c r="O126" s="108" t="n">
        <v>0.118857819019742</v>
      </c>
      <c r="P126" s="108" t="n">
        <v>0.118680961002502</v>
      </c>
      <c r="Q126" s="109" t="n">
        <v>147</v>
      </c>
      <c r="R126" s="110" t="n">
        <v>2977</v>
      </c>
      <c r="S126" s="110" t="n">
        <v>652.543473010621</v>
      </c>
      <c r="T126" s="110" t="n">
        <v>1112.0035602228</v>
      </c>
      <c r="U126" s="110" t="n">
        <v>4741.54703323342</v>
      </c>
      <c r="V126" s="104" t="n">
        <v>0</v>
      </c>
      <c r="W126" s="104" t="n">
        <v>0</v>
      </c>
      <c r="X126" s="104">
        <f>$V126+W126</f>
        <v/>
      </c>
      <c r="Y126" s="111">
        <f>IFERROR(A126/R126,0)</f>
        <v/>
      </c>
      <c r="Z126" s="111">
        <f>IFERROR(B126/U126,0)</f>
        <v/>
      </c>
      <c r="AA126" s="111">
        <f>IFERROR(C126/R126,0)</f>
        <v/>
      </c>
      <c r="AB126" s="111">
        <f>IFERROR(D126/U126,0)</f>
        <v/>
      </c>
      <c r="AD126" s="111">
        <f>IF(U126&gt;0,IFERROR(E126/U126,0),1)</f>
        <v/>
      </c>
      <c r="AE126" s="111">
        <f>IF(R126&gt;0,IFERROR(F126/R126,0),1)</f>
        <v/>
      </c>
      <c r="AF126" s="111">
        <f>IF(AL126&gt;0,IFERROR(G126/AL126,0),1)</f>
        <v/>
      </c>
      <c r="AG126" s="111">
        <f>IF(AM126&gt;0,IFERROR(H126/AM126,0),1)</f>
        <v/>
      </c>
      <c r="AH126" s="104">
        <f>U126-(V126+AN126+AR126)</f>
        <v/>
      </c>
      <c r="AI126" s="104">
        <f>R126-(V126+AO126+AR126)</f>
        <v/>
      </c>
      <c r="AJ126" s="104">
        <f>(AL126-AP126)</f>
        <v/>
      </c>
      <c r="AK126" s="104">
        <f>(AM126-AQ126)</f>
        <v/>
      </c>
      <c r="AL126" s="110">
        <f>S126+AI126</f>
        <v/>
      </c>
      <c r="AM126" s="110">
        <f>T126+AJ126</f>
        <v/>
      </c>
      <c r="AN126" s="104" t="n">
        <v>3000</v>
      </c>
      <c r="AO126" s="104" t="n">
        <v>3000</v>
      </c>
      <c r="AP126" s="104" t="n">
        <v>0</v>
      </c>
      <c r="AQ126" s="104" t="n">
        <v>0</v>
      </c>
      <c r="AR126" s="104" t="n">
        <v>0</v>
      </c>
      <c r="AS126" s="104" t="n"/>
      <c r="AT126" s="104" t="n"/>
    </row>
    <row r="127" ht="12.65" customHeight="1" s="79">
      <c r="A127" s="104">
        <f>MIN(V127,R127)</f>
        <v/>
      </c>
      <c r="B127" s="104">
        <f>MIN(V127,U127)</f>
        <v/>
      </c>
      <c r="C127" s="104">
        <f>MIN(X127,R127)</f>
        <v/>
      </c>
      <c r="D127" s="104">
        <f>MIN(X127,U127)</f>
        <v/>
      </c>
      <c r="E127" s="104">
        <f>MIN((V127+AN127+AR127),U127)</f>
        <v/>
      </c>
      <c r="F127" s="104">
        <f>MAX(MIN((V127+AO127+AR127),R127),0)</f>
        <v/>
      </c>
      <c r="G127" s="104">
        <f>MAX(MIN(AP127,AL127),0)</f>
        <v/>
      </c>
      <c r="H127" s="104">
        <f>MAX(MIN(AQ127,AM127),0)</f>
        <v/>
      </c>
      <c r="I127" s="105" t="inlineStr">
        <is>
          <t>MAHIMA VOHRA</t>
        </is>
      </c>
      <c r="J127" s="106" t="inlineStr">
        <is>
          <t>HOME FURNISHING</t>
        </is>
      </c>
      <c r="K127" s="107" t="inlineStr">
        <is>
          <t>HF_TOWEL LINEN</t>
        </is>
      </c>
      <c r="L127" s="107" t="inlineStr">
        <is>
          <t>HF_TL_BATH TOWEL</t>
        </is>
      </c>
      <c r="M127" s="107" t="inlineStr">
        <is>
          <t>MICRO-[HFTL02]</t>
        </is>
      </c>
      <c r="N127" s="107" t="inlineStr">
        <is>
          <t>ACTIVE</t>
        </is>
      </c>
      <c r="O127" s="108" t="n">
        <v>0.115132984319902</v>
      </c>
      <c r="P127" s="108" t="n">
        <v>0.0887293218379238</v>
      </c>
      <c r="Q127" s="109" t="n">
        <v>9</v>
      </c>
      <c r="R127" s="110" t="n">
        <v>20037</v>
      </c>
      <c r="S127" s="110" t="n">
        <v>17384.8890090029</v>
      </c>
      <c r="T127" s="110" t="n">
        <v>19745.3344617588</v>
      </c>
      <c r="U127" s="110" t="n">
        <v>57167.2234707616</v>
      </c>
      <c r="V127" s="104" t="n">
        <v>23166</v>
      </c>
      <c r="W127" s="104" t="n">
        <v>7500</v>
      </c>
      <c r="X127" s="104">
        <f>$V127+W127</f>
        <v/>
      </c>
      <c r="Y127" s="111">
        <f>IFERROR(A127/R127,0)</f>
        <v/>
      </c>
      <c r="Z127" s="111">
        <f>IFERROR(B127/U127,0)</f>
        <v/>
      </c>
      <c r="AA127" s="111">
        <f>IFERROR(C127/R127,0)</f>
        <v/>
      </c>
      <c r="AB127" s="111">
        <f>IFERROR(D127/U127,0)</f>
        <v/>
      </c>
      <c r="AD127" s="111">
        <f>IF(U127&gt;0,IFERROR(E127/U127,0),1)</f>
        <v/>
      </c>
      <c r="AE127" s="111">
        <f>IF(R127&gt;0,IFERROR(F127/R127,0),1)</f>
        <v/>
      </c>
      <c r="AF127" s="111">
        <f>IF(AL127&gt;0,IFERROR(G127/AL127,0),1)</f>
        <v/>
      </c>
      <c r="AG127" s="111">
        <f>IF(AM127&gt;0,IFERROR(H127/AM127,0),1)</f>
        <v/>
      </c>
      <c r="AH127" s="104">
        <f>U127-(V127+AN127+AR127)</f>
        <v/>
      </c>
      <c r="AI127" s="104">
        <f>R127-(V127+AO127+AR127)</f>
        <v/>
      </c>
      <c r="AJ127" s="104">
        <f>(AL127-AP127)</f>
        <v/>
      </c>
      <c r="AK127" s="104">
        <f>(AM127-AQ127)</f>
        <v/>
      </c>
      <c r="AL127" s="110">
        <f>S127+AI127</f>
        <v/>
      </c>
      <c r="AM127" s="110">
        <f>T127+AJ127</f>
        <v/>
      </c>
      <c r="AN127" s="104" t="n">
        <v>7500</v>
      </c>
      <c r="AO127" s="104" t="n">
        <v>7500</v>
      </c>
      <c r="AP127" s="104" t="n">
        <v>0</v>
      </c>
      <c r="AQ127" s="104" t="n">
        <v>0</v>
      </c>
      <c r="AR127" s="104" t="n">
        <v>0</v>
      </c>
      <c r="AS127" s="104" t="n"/>
      <c r="AT127" s="104" t="n"/>
    </row>
    <row r="128" ht="12.65" customHeight="1" s="79">
      <c r="A128" s="104">
        <f>MIN(V128,R128)</f>
        <v/>
      </c>
      <c r="B128" s="104">
        <f>MIN(V128,U128)</f>
        <v/>
      </c>
      <c r="C128" s="104">
        <f>MIN(X128,R128)</f>
        <v/>
      </c>
      <c r="D128" s="104">
        <f>MIN(X128,U128)</f>
        <v/>
      </c>
      <c r="E128" s="104">
        <f>MIN((V128+AN128+AR128),U128)</f>
        <v/>
      </c>
      <c r="F128" s="104">
        <f>MAX(MIN((V128+AO128+AR128),R128),0)</f>
        <v/>
      </c>
      <c r="G128" s="104">
        <f>MAX(MIN(AP128,AL128),0)</f>
        <v/>
      </c>
      <c r="H128" s="104">
        <f>MAX(MIN(AQ128,AM128),0)</f>
        <v/>
      </c>
      <c r="I128" s="105" t="inlineStr">
        <is>
          <t>MAHIMA VOHRA</t>
        </is>
      </c>
      <c r="J128" s="106" t="inlineStr">
        <is>
          <t>HOME FURNISHING</t>
        </is>
      </c>
      <c r="K128" s="107" t="inlineStr">
        <is>
          <t>HF_TOWEL LINEN</t>
        </is>
      </c>
      <c r="L128" s="107" t="inlineStr">
        <is>
          <t>HF_TL_BATH TOWEL</t>
        </is>
      </c>
      <c r="M128" s="107" t="inlineStr">
        <is>
          <t>WAFFEL-[HFTL02]</t>
        </is>
      </c>
      <c r="N128" s="107" t="inlineStr">
        <is>
          <t>ACTIVE</t>
        </is>
      </c>
      <c r="O128" s="108" t="n">
        <v>0.118468089823291</v>
      </c>
      <c r="P128" s="108" t="n">
        <v>0.152224824355972</v>
      </c>
      <c r="Q128" s="109" t="n">
        <v>9</v>
      </c>
      <c r="R128" s="110" t="n">
        <v>14990</v>
      </c>
      <c r="S128" s="110" t="n">
        <v>5412.50668701843</v>
      </c>
      <c r="T128" s="110" t="n">
        <v>5734.79535722732</v>
      </c>
      <c r="U128" s="110" t="n">
        <v>26137.3020442458</v>
      </c>
      <c r="V128" s="104" t="n">
        <v>7200</v>
      </c>
      <c r="W128" s="104" t="n">
        <v>0</v>
      </c>
      <c r="X128" s="104">
        <f>$V128+W128</f>
        <v/>
      </c>
      <c r="Y128" s="111">
        <f>IFERROR(A128/R128,0)</f>
        <v/>
      </c>
      <c r="Z128" s="111">
        <f>IFERROR(B128/U128,0)</f>
        <v/>
      </c>
      <c r="AA128" s="111">
        <f>IFERROR(C128/R128,0)</f>
        <v/>
      </c>
      <c r="AB128" s="111">
        <f>IFERROR(D128/U128,0)</f>
        <v/>
      </c>
      <c r="AD128" s="111">
        <f>IF(U128&gt;0,IFERROR(E128/U128,0),1)</f>
        <v/>
      </c>
      <c r="AE128" s="111">
        <f>IF(R128&gt;0,IFERROR(F128/R128,0),1)</f>
        <v/>
      </c>
      <c r="AF128" s="111">
        <f>IF(AL128&gt;0,IFERROR(G128/AL128,0),1)</f>
        <v/>
      </c>
      <c r="AG128" s="111">
        <f>IF(AM128&gt;0,IFERROR(H128/AM128,0),1)</f>
        <v/>
      </c>
      <c r="AH128" s="104">
        <f>U128-(V128+AN128+AR128)</f>
        <v/>
      </c>
      <c r="AI128" s="104">
        <f>R128-(V128+AO128+AR128)</f>
        <v/>
      </c>
      <c r="AJ128" s="104">
        <f>(AL128-AP128)</f>
        <v/>
      </c>
      <c r="AK128" s="104">
        <f>(AM128-AQ128)</f>
        <v/>
      </c>
      <c r="AL128" s="110">
        <f>S128+AI128</f>
        <v/>
      </c>
      <c r="AM128" s="110">
        <f>T128+AJ128</f>
        <v/>
      </c>
      <c r="AN128" s="104" t="n">
        <v>10080</v>
      </c>
      <c r="AO128" s="104" t="n">
        <v>5040</v>
      </c>
      <c r="AP128" s="104" t="n">
        <v>5040</v>
      </c>
      <c r="AQ128" s="104" t="n">
        <v>0</v>
      </c>
      <c r="AR128" s="104" t="n">
        <v>0</v>
      </c>
      <c r="AS128" s="104" t="n"/>
      <c r="AT128" s="104" t="n"/>
    </row>
    <row r="129" ht="12.65" customHeight="1" s="79">
      <c r="A129" s="104">
        <f>MIN(V129,R129)</f>
        <v/>
      </c>
      <c r="B129" s="104">
        <f>MIN(V129,U129)</f>
        <v/>
      </c>
      <c r="C129" s="104">
        <f>MIN(X129,R129)</f>
        <v/>
      </c>
      <c r="D129" s="104">
        <f>MIN(X129,U129)</f>
        <v/>
      </c>
      <c r="E129" s="104">
        <f>MIN((V129+AN129+AR129),U129)</f>
        <v/>
      </c>
      <c r="F129" s="104">
        <f>MAX(MIN((V129+AO129+AR129),R129),0)</f>
        <v/>
      </c>
      <c r="G129" s="104">
        <f>MAX(MIN(AP129,AL129),0)</f>
        <v/>
      </c>
      <c r="H129" s="104">
        <f>MAX(MIN(AQ129,AM129),0)</f>
        <v/>
      </c>
      <c r="I129" s="105" t="inlineStr">
        <is>
          <t>MAHIMA VOHRA</t>
        </is>
      </c>
      <c r="J129" s="106" t="inlineStr">
        <is>
          <t>HOME FURNISHING</t>
        </is>
      </c>
      <c r="K129" s="107" t="inlineStr">
        <is>
          <t>HF_TOWEL LINEN</t>
        </is>
      </c>
      <c r="L129" s="107" t="inlineStr">
        <is>
          <t>HF_TL_BATH TOWEL</t>
        </is>
      </c>
      <c r="M129" s="107" t="inlineStr">
        <is>
          <t>CTN-[HFTL02]</t>
        </is>
      </c>
      <c r="N129" s="107" t="inlineStr">
        <is>
          <t>ACTIVE</t>
        </is>
      </c>
      <c r="O129" s="108" t="n">
        <v>0.0633579655370362</v>
      </c>
      <c r="P129" s="108" t="n">
        <v>0.0611564230969786</v>
      </c>
      <c r="Q129" s="109" t="n">
        <v>9</v>
      </c>
      <c r="R129" s="110" t="n">
        <v>3671</v>
      </c>
      <c r="S129" s="110" t="n">
        <v>2656.20262063965</v>
      </c>
      <c r="T129" s="110" t="n">
        <v>3138.02926577854</v>
      </c>
      <c r="U129" s="110" t="n">
        <v>9465.23188641818</v>
      </c>
      <c r="V129" s="104" t="n">
        <v>3600</v>
      </c>
      <c r="W129" s="104" t="n">
        <v>2400</v>
      </c>
      <c r="X129" s="104">
        <f>$V129+W129</f>
        <v/>
      </c>
      <c r="Y129" s="111">
        <f>IFERROR(A129/R129,0)</f>
        <v/>
      </c>
      <c r="Z129" s="111">
        <f>IFERROR(B129/U129,0)</f>
        <v/>
      </c>
      <c r="AA129" s="111">
        <f>IFERROR(C129/R129,0)</f>
        <v/>
      </c>
      <c r="AB129" s="111">
        <f>IFERROR(D129/U129,0)</f>
        <v/>
      </c>
      <c r="AD129" s="111">
        <f>IF(U129&gt;0,IFERROR(E129/U129,0),1)</f>
        <v/>
      </c>
      <c r="AE129" s="111">
        <f>IF(R129&gt;0,IFERROR(F129/R129,0),1)</f>
        <v/>
      </c>
      <c r="AF129" s="111">
        <f>IF(AL129&gt;0,IFERROR(G129/AL129,0),1)</f>
        <v/>
      </c>
      <c r="AG129" s="111">
        <f>IF(AM129&gt;0,IFERROR(H129/AM129,0),1)</f>
        <v/>
      </c>
      <c r="AH129" s="104">
        <f>U129-(V129+AN129+AR129)</f>
        <v/>
      </c>
      <c r="AI129" s="104">
        <f>R129-(V129+AO129+AR129)</f>
        <v/>
      </c>
      <c r="AJ129" s="104">
        <f>(AL129-AP129)</f>
        <v/>
      </c>
      <c r="AK129" s="104">
        <f>(AM129-AQ129)</f>
        <v/>
      </c>
      <c r="AL129" s="110">
        <f>S129+AI129</f>
        <v/>
      </c>
      <c r="AM129" s="110">
        <f>T129+AJ129</f>
        <v/>
      </c>
      <c r="AN129" s="104" t="n">
        <v>12000</v>
      </c>
      <c r="AO129" s="104" t="n">
        <v>2400</v>
      </c>
      <c r="AP129" s="104" t="n">
        <v>4800</v>
      </c>
      <c r="AQ129" s="104" t="n">
        <v>4800</v>
      </c>
      <c r="AR129" s="104" t="n">
        <v>0</v>
      </c>
      <c r="AS129" s="104" t="n"/>
      <c r="AT129" s="104" t="n"/>
    </row>
    <row r="130" ht="12.65" customHeight="1" s="79">
      <c r="A130" s="104">
        <f>MIN(V130,R130)</f>
        <v/>
      </c>
      <c r="B130" s="104">
        <f>MIN(V130,U130)</f>
        <v/>
      </c>
      <c r="C130" s="104">
        <f>MIN(X130,R130)</f>
        <v/>
      </c>
      <c r="D130" s="104">
        <f>MIN(X130,U130)</f>
        <v/>
      </c>
      <c r="E130" s="104">
        <f>MIN((V130+AN130+AR130),U130)</f>
        <v/>
      </c>
      <c r="F130" s="104">
        <f>MAX(MIN((V130+AO130+AR130),R130),0)</f>
        <v/>
      </c>
      <c r="G130" s="104">
        <f>MAX(MIN(AP130,AL130),0)</f>
        <v/>
      </c>
      <c r="H130" s="104">
        <f>MAX(MIN(AQ130,AM130),0)</f>
        <v/>
      </c>
      <c r="I130" s="105" t="inlineStr">
        <is>
          <t>MAHIMA VOHRA</t>
        </is>
      </c>
      <c r="J130" s="106" t="inlineStr">
        <is>
          <t>HOME FURNISHING</t>
        </is>
      </c>
      <c r="K130" s="107" t="inlineStr">
        <is>
          <t>HF_TOWEL LINEN</t>
        </is>
      </c>
      <c r="L130" s="107" t="inlineStr">
        <is>
          <t>HF_TL_FACE TOWEL</t>
        </is>
      </c>
      <c r="M130" s="107" t="inlineStr">
        <is>
          <t>FACE TWL 69-[HFTL03]</t>
        </is>
      </c>
      <c r="N130" s="107" t="inlineStr">
        <is>
          <t>ACTIVE</t>
        </is>
      </c>
      <c r="O130" s="108" t="n">
        <v>0.0647639566267342</v>
      </c>
      <c r="P130" s="108" t="n">
        <v>0.0645648528602332</v>
      </c>
      <c r="Q130" s="109" t="n">
        <v>136</v>
      </c>
      <c r="R130" s="110" t="n">
        <v>6575</v>
      </c>
      <c r="S130" s="110" t="n">
        <v>4086.54694080885</v>
      </c>
      <c r="T130" s="110" t="n">
        <v>3905.13227198795</v>
      </c>
      <c r="U130" s="110" t="n">
        <v>14566.6792127968</v>
      </c>
      <c r="V130" s="104" t="n">
        <v>3600</v>
      </c>
      <c r="W130" s="104" t="n">
        <v>4800</v>
      </c>
      <c r="X130" s="104">
        <f>$V130+W130</f>
        <v/>
      </c>
      <c r="Y130" s="111">
        <f>IFERROR(A130/R130,0)</f>
        <v/>
      </c>
      <c r="Z130" s="111">
        <f>IFERROR(B130/U130,0)</f>
        <v/>
      </c>
      <c r="AA130" s="111">
        <f>IFERROR(C130/R130,0)</f>
        <v/>
      </c>
      <c r="AB130" s="111">
        <f>IFERROR(D130/U130,0)</f>
        <v/>
      </c>
      <c r="AD130" s="111">
        <f>IF(U130&gt;0,IFERROR(E130/U130,0),1)</f>
        <v/>
      </c>
      <c r="AE130" s="111">
        <f>IF(R130&gt;0,IFERROR(F130/R130,0),1)</f>
        <v/>
      </c>
      <c r="AF130" s="111">
        <f>IF(AL130&gt;0,IFERROR(G130/AL130,0),1)</f>
        <v/>
      </c>
      <c r="AG130" s="111">
        <f>IF(AM130&gt;0,IFERROR(H130/AM130,0),1)</f>
        <v/>
      </c>
      <c r="AH130" s="104">
        <f>U130-(V130+AN130+AR130)</f>
        <v/>
      </c>
      <c r="AI130" s="104">
        <f>R130-(V130+AO130+AR130)</f>
        <v/>
      </c>
      <c r="AJ130" s="104">
        <f>(AL130-AP130)</f>
        <v/>
      </c>
      <c r="AK130" s="104">
        <f>(AM130-AQ130)</f>
        <v/>
      </c>
      <c r="AL130" s="110">
        <f>S130+AI130</f>
        <v/>
      </c>
      <c r="AM130" s="110">
        <f>T130+AJ130</f>
        <v/>
      </c>
      <c r="AN130" s="104" t="n">
        <v>13200</v>
      </c>
      <c r="AO130" s="104" t="n">
        <v>4800</v>
      </c>
      <c r="AP130" s="104" t="n">
        <v>3600</v>
      </c>
      <c r="AQ130" s="104" t="n">
        <v>4800</v>
      </c>
      <c r="AR130" s="104" t="n">
        <v>0</v>
      </c>
      <c r="AS130" s="104" t="n"/>
      <c r="AT130" s="104" t="n"/>
    </row>
    <row r="131" ht="12.65" customHeight="1" s="79">
      <c r="A131" s="104">
        <f>MIN(V131,R131)</f>
        <v/>
      </c>
      <c r="B131" s="104">
        <f>MIN(V131,U131)</f>
        <v/>
      </c>
      <c r="C131" s="104">
        <f>MIN(X131,R131)</f>
        <v/>
      </c>
      <c r="D131" s="104">
        <f>MIN(X131,U131)</f>
        <v/>
      </c>
      <c r="E131" s="104">
        <f>MIN((V131+AN131+AR131),U131)</f>
        <v/>
      </c>
      <c r="F131" s="104">
        <f>MAX(MIN((V131+AO131+AR131),R131),0)</f>
        <v/>
      </c>
      <c r="G131" s="104">
        <f>MAX(MIN(AP131,AL131),0)</f>
        <v/>
      </c>
      <c r="H131" s="104">
        <f>MAX(MIN(AQ131,AM131),0)</f>
        <v/>
      </c>
      <c r="I131" s="105" t="inlineStr">
        <is>
          <t>MAHIMA VOHRA</t>
        </is>
      </c>
      <c r="J131" s="106" t="inlineStr">
        <is>
          <t>HOME FURNISHING</t>
        </is>
      </c>
      <c r="K131" s="107" t="inlineStr">
        <is>
          <t>HF_TOWEL LINEN</t>
        </is>
      </c>
      <c r="L131" s="107" t="inlineStr">
        <is>
          <t>HF_TL_HAND TOWEL</t>
        </is>
      </c>
      <c r="M131" s="107" t="inlineStr">
        <is>
          <t>HND TWL 49-[HFTL05]</t>
        </is>
      </c>
      <c r="N131" s="107" t="inlineStr">
        <is>
          <t>ACTIVE</t>
        </is>
      </c>
      <c r="O131" s="108" t="n">
        <v>0.0794241876019606</v>
      </c>
      <c r="P131" s="108" t="n">
        <v>0.101409698950342</v>
      </c>
      <c r="Q131" s="109" t="n">
        <v>95</v>
      </c>
      <c r="R131" s="110" t="n">
        <v>10225</v>
      </c>
      <c r="S131" s="110" t="n">
        <v>7020.17196225498</v>
      </c>
      <c r="T131" s="110" t="n">
        <v>9311.928652398999</v>
      </c>
      <c r="U131" s="110" t="n">
        <v>26557.100614654</v>
      </c>
      <c r="V131" s="104" t="n">
        <v>10800</v>
      </c>
      <c r="W131" s="104" t="n">
        <v>0</v>
      </c>
      <c r="X131" s="104">
        <f>$V131+W131</f>
        <v/>
      </c>
      <c r="Y131" s="111">
        <f>IFERROR(A131/R131,0)</f>
        <v/>
      </c>
      <c r="Z131" s="111">
        <f>IFERROR(B131/U131,0)</f>
        <v/>
      </c>
      <c r="AA131" s="111">
        <f>IFERROR(C131/R131,0)</f>
        <v/>
      </c>
      <c r="AB131" s="111">
        <f>IFERROR(D131/U131,0)</f>
        <v/>
      </c>
      <c r="AD131" s="111">
        <f>IF(U131&gt;0,IFERROR(E131/U131,0),1)</f>
        <v/>
      </c>
      <c r="AE131" s="111">
        <f>IF(R131&gt;0,IFERROR(F131/R131,0),1)</f>
        <v/>
      </c>
      <c r="AF131" s="111">
        <f>IF(AL131&gt;0,IFERROR(G131/AL131,0),1)</f>
        <v/>
      </c>
      <c r="AG131" s="111">
        <f>IF(AM131&gt;0,IFERROR(H131/AM131,0),1)</f>
        <v/>
      </c>
      <c r="AH131" s="104">
        <f>U131-(V131+AN131+AR131)</f>
        <v/>
      </c>
      <c r="AI131" s="104">
        <f>R131-(V131+AO131+AR131)</f>
        <v/>
      </c>
      <c r="AJ131" s="104">
        <f>(AL131-AP131)</f>
        <v/>
      </c>
      <c r="AK131" s="104">
        <f>(AM131-AQ131)</f>
        <v/>
      </c>
      <c r="AL131" s="110">
        <f>S131+AI131</f>
        <v/>
      </c>
      <c r="AM131" s="110">
        <f>T131+AJ131</f>
        <v/>
      </c>
      <c r="AN131" s="104" t="n">
        <v>16800</v>
      </c>
      <c r="AO131" s="104" t="n">
        <v>0</v>
      </c>
      <c r="AP131" s="104" t="n">
        <v>7200</v>
      </c>
      <c r="AQ131" s="104" t="n">
        <v>9600</v>
      </c>
      <c r="AR131" s="104" t="n">
        <v>0</v>
      </c>
      <c r="AS131" s="104" t="n"/>
      <c r="AT131" s="104" t="n"/>
    </row>
    <row r="132" ht="12.65" customHeight="1" s="79">
      <c r="A132" s="104">
        <f>MIN(V132,R132)</f>
        <v/>
      </c>
      <c r="B132" s="104">
        <f>MIN(V132,U132)</f>
        <v/>
      </c>
      <c r="C132" s="104">
        <f>MIN(X132,R132)</f>
        <v/>
      </c>
      <c r="D132" s="104">
        <f>MIN(X132,U132)</f>
        <v/>
      </c>
      <c r="E132" s="104">
        <f>MIN((V132+AN132+AR132),U132)</f>
        <v/>
      </c>
      <c r="F132" s="104">
        <f>MAX(MIN((V132+AO132+AR132),R132),0)</f>
        <v/>
      </c>
      <c r="G132" s="104">
        <f>MAX(MIN(AP132,AL132),0)</f>
        <v/>
      </c>
      <c r="H132" s="104">
        <f>MAX(MIN(AQ132,AM132),0)</f>
        <v/>
      </c>
      <c r="I132" s="105" t="inlineStr">
        <is>
          <t>MAHIMA VOHRA</t>
        </is>
      </c>
      <c r="J132" s="106" t="inlineStr">
        <is>
          <t>HOME FURNISHING</t>
        </is>
      </c>
      <c r="K132" s="107" t="inlineStr">
        <is>
          <t>HF_TOWEL LINEN</t>
        </is>
      </c>
      <c r="L132" s="107" t="inlineStr">
        <is>
          <t>HF_TL_KITCHEN NAPKIN</t>
        </is>
      </c>
      <c r="M132" s="107" t="inlineStr">
        <is>
          <t>KTCHN NPKN 49-[HFKF01]</t>
        </is>
      </c>
      <c r="N132" s="107" t="inlineStr">
        <is>
          <t>ACTIVE</t>
        </is>
      </c>
      <c r="O132" s="108" t="n">
        <v>0.07861821354831</v>
      </c>
      <c r="P132" s="108" t="n">
        <v>0.0737303954815824</v>
      </c>
      <c r="Q132" s="109" t="n">
        <v>107</v>
      </c>
      <c r="R132" s="110" t="n">
        <v>9525</v>
      </c>
      <c r="S132" s="110" t="n">
        <v>5966.45665345459</v>
      </c>
      <c r="T132" s="110" t="n">
        <v>6477.15471950923</v>
      </c>
      <c r="U132" s="110" t="n">
        <v>21968.6113729638</v>
      </c>
      <c r="V132" s="104" t="n">
        <v>8400</v>
      </c>
      <c r="W132" s="104" t="n">
        <v>0</v>
      </c>
      <c r="X132" s="104">
        <f>$V132+W132</f>
        <v/>
      </c>
      <c r="Y132" s="111">
        <f>IFERROR(A132/R132,0)</f>
        <v/>
      </c>
      <c r="Z132" s="111">
        <f>IFERROR(B132/U132,0)</f>
        <v/>
      </c>
      <c r="AA132" s="111">
        <f>IFERROR(C132/R132,0)</f>
        <v/>
      </c>
      <c r="AB132" s="111">
        <f>IFERROR(D132/U132,0)</f>
        <v/>
      </c>
      <c r="AD132" s="111">
        <f>IF(U132&gt;0,IFERROR(E132/U132,0),1)</f>
        <v/>
      </c>
      <c r="AE132" s="111">
        <f>IF(R132&gt;0,IFERROR(F132/R132,0),1)</f>
        <v/>
      </c>
      <c r="AF132" s="111">
        <f>IF(AL132&gt;0,IFERROR(G132/AL132,0),1)</f>
        <v/>
      </c>
      <c r="AG132" s="111">
        <f>IF(AM132&gt;0,IFERROR(H132/AM132,0),1)</f>
        <v/>
      </c>
      <c r="AH132" s="104">
        <f>U132-(V132+AN132+AR132)</f>
        <v/>
      </c>
      <c r="AI132" s="104">
        <f>R132-(V132+AO132+AR132)</f>
        <v/>
      </c>
      <c r="AJ132" s="104">
        <f>(AL132-AP132)</f>
        <v/>
      </c>
      <c r="AK132" s="104">
        <f>(AM132-AQ132)</f>
        <v/>
      </c>
      <c r="AL132" s="110">
        <f>S132+AI132</f>
        <v/>
      </c>
      <c r="AM132" s="110">
        <f>T132+AJ132</f>
        <v/>
      </c>
      <c r="AN132" s="104" t="n">
        <v>15000</v>
      </c>
      <c r="AO132" s="104" t="n">
        <v>0</v>
      </c>
      <c r="AP132" s="104" t="n">
        <v>7200</v>
      </c>
      <c r="AQ132" s="104" t="n">
        <v>7800</v>
      </c>
      <c r="AR132" s="104" t="n">
        <v>0</v>
      </c>
      <c r="AS132" s="104" t="n"/>
      <c r="AT132" s="104" t="n"/>
    </row>
    <row r="133" ht="12.65" customHeight="1" s="79">
      <c r="A133" s="104">
        <f>MIN(V133,R133)</f>
        <v/>
      </c>
      <c r="B133" s="104">
        <f>MIN(V133,U133)</f>
        <v/>
      </c>
      <c r="C133" s="104">
        <f>MIN(X133,R133)</f>
        <v/>
      </c>
      <c r="D133" s="104">
        <f>MIN(X133,U133)</f>
        <v/>
      </c>
      <c r="E133" s="104">
        <f>MIN((V133+AN133+AR133),U133)</f>
        <v/>
      </c>
      <c r="F133" s="104">
        <f>MAX(MIN((V133+AO133+AR133),R133),0)</f>
        <v/>
      </c>
      <c r="G133" s="104">
        <f>MAX(MIN(AP133,AL133),0)</f>
        <v/>
      </c>
      <c r="H133" s="104">
        <f>MAX(MIN(AQ133,AM133),0)</f>
        <v/>
      </c>
      <c r="I133" s="105" t="inlineStr">
        <is>
          <t>MAHIMA VOHRA</t>
        </is>
      </c>
      <c r="J133" s="106" t="inlineStr">
        <is>
          <t>NON FOOD</t>
        </is>
      </c>
      <c r="K133" s="107" t="inlineStr">
        <is>
          <t>NF_BEAUTY CARE</t>
        </is>
      </c>
      <c r="L133" s="107" t="inlineStr">
        <is>
          <t>NF_B_FACEWASH</t>
        </is>
      </c>
      <c r="M133" s="107" t="inlineStr">
        <is>
          <t>JOY FACEWASH 129-[LSB04]</t>
        </is>
      </c>
      <c r="N133" s="107" t="inlineStr">
        <is>
          <t>ACTIVE</t>
        </is>
      </c>
      <c r="O133" s="108" t="n">
        <v>0.122345447911835</v>
      </c>
      <c r="P133" s="108" t="n">
        <v>0.124872956154271</v>
      </c>
      <c r="Q133" s="109" t="n">
        <v>23</v>
      </c>
      <c r="R133" s="110" t="n">
        <v>30267</v>
      </c>
      <c r="S133" s="110" t="n">
        <v>13249.8566288849</v>
      </c>
      <c r="T133" s="110" t="n">
        <v>12088.543541477</v>
      </c>
      <c r="U133" s="110" t="n">
        <v>55605.400170362</v>
      </c>
      <c r="V133" s="104" t="n">
        <v>14688</v>
      </c>
      <c r="W133" s="104" t="n">
        <v>0</v>
      </c>
      <c r="X133" s="104">
        <f>$V133+W133</f>
        <v/>
      </c>
      <c r="Y133" s="111">
        <f>IFERROR(A133/R133,0)</f>
        <v/>
      </c>
      <c r="Z133" s="111">
        <f>IFERROR(B133/U133,0)</f>
        <v/>
      </c>
      <c r="AA133" s="111">
        <f>IFERROR(C133/R133,0)</f>
        <v/>
      </c>
      <c r="AB133" s="111">
        <f>IFERROR(D133/U133,0)</f>
        <v/>
      </c>
      <c r="AD133" s="111">
        <f>IF(U133&gt;0,IFERROR(E133/U133,0),1)</f>
        <v/>
      </c>
      <c r="AE133" s="111">
        <f>IF(R133&gt;0,IFERROR(F133/R133,0),1)</f>
        <v/>
      </c>
      <c r="AF133" s="111">
        <f>IF(AL133&gt;0,IFERROR(G133/AL133,0),1)</f>
        <v/>
      </c>
      <c r="AG133" s="111">
        <f>IF(AM133&gt;0,IFERROR(H133/AM133,0),1)</f>
        <v/>
      </c>
      <c r="AH133" s="104">
        <f>U133-(V133+AN133+AR133)</f>
        <v/>
      </c>
      <c r="AI133" s="104">
        <f>R133-(V133+AO133+AR133)</f>
        <v/>
      </c>
      <c r="AJ133" s="104">
        <f>(AL133-AP133)</f>
        <v/>
      </c>
      <c r="AK133" s="104">
        <f>(AM133-AQ133)</f>
        <v/>
      </c>
      <c r="AL133" s="110">
        <f>S133+AI133</f>
        <v/>
      </c>
      <c r="AM133" s="110">
        <f>T133+AJ133</f>
        <v/>
      </c>
      <c r="AN133" s="104" t="n">
        <v>18000</v>
      </c>
      <c r="AO133" s="104" t="n">
        <v>18000</v>
      </c>
      <c r="AP133" s="104" t="n">
        <v>0</v>
      </c>
      <c r="AQ133" s="104" t="n">
        <v>0</v>
      </c>
      <c r="AR133" s="104" t="n">
        <v>0</v>
      </c>
      <c r="AS133" s="104" t="n"/>
      <c r="AT133" s="104" t="n"/>
    </row>
    <row r="134" ht="12.65" customHeight="1" s="79">
      <c r="A134" s="104">
        <f>MIN(V134,R134)</f>
        <v/>
      </c>
      <c r="B134" s="104">
        <f>MIN(V134,U134)</f>
        <v/>
      </c>
      <c r="C134" s="104">
        <f>MIN(X134,R134)</f>
        <v/>
      </c>
      <c r="D134" s="104">
        <f>MIN(X134,U134)</f>
        <v/>
      </c>
      <c r="E134" s="104">
        <f>MIN((V134+AN134+AR134),U134)</f>
        <v/>
      </c>
      <c r="F134" s="104">
        <f>MAX(MIN((V134+AO134+AR134),R134),0)</f>
        <v/>
      </c>
      <c r="G134" s="104">
        <f>MAX(MIN(AP134,AL134),0)</f>
        <v/>
      </c>
      <c r="H134" s="104">
        <f>MAX(MIN(AQ134,AM134),0)</f>
        <v/>
      </c>
      <c r="I134" s="105" t="inlineStr">
        <is>
          <t>MAHIMA VOHRA</t>
        </is>
      </c>
      <c r="J134" s="106" t="inlineStr">
        <is>
          <t>NON FOOD</t>
        </is>
      </c>
      <c r="K134" s="107" t="inlineStr">
        <is>
          <t>NF_BEAUTY CARE</t>
        </is>
      </c>
      <c r="L134" s="107" t="inlineStr">
        <is>
          <t>NF_B_FACEWASH</t>
        </is>
      </c>
      <c r="M134" s="107" t="inlineStr">
        <is>
          <t>FACEWASH 99-[LSB04]</t>
        </is>
      </c>
      <c r="N134" s="107" t="inlineStr">
        <is>
          <t>ACTIVE</t>
        </is>
      </c>
      <c r="O134" s="108" t="n">
        <v>0.0782216198162734</v>
      </c>
      <c r="P134" s="108" t="n">
        <v>0.0925243695940689</v>
      </c>
      <c r="Q134" s="109" t="n">
        <v>23</v>
      </c>
      <c r="R134" s="110" t="n">
        <v>14444</v>
      </c>
      <c r="S134" s="110" t="n">
        <v>0</v>
      </c>
      <c r="T134" s="110" t="n">
        <v>0</v>
      </c>
      <c r="U134" s="110" t="n">
        <v>14444</v>
      </c>
      <c r="V134" s="104" t="n">
        <v>14496</v>
      </c>
      <c r="W134" s="104" t="n">
        <v>0</v>
      </c>
      <c r="X134" s="104">
        <f>$V134+W134</f>
        <v/>
      </c>
      <c r="Y134" s="111">
        <f>IFERROR(A134/R134,0)</f>
        <v/>
      </c>
      <c r="Z134" s="111">
        <f>IFERROR(B134/U134,0)</f>
        <v/>
      </c>
      <c r="AA134" s="111">
        <f>IFERROR(C134/R134,0)</f>
        <v/>
      </c>
      <c r="AB134" s="111">
        <f>IFERROR(D134/U134,0)</f>
        <v/>
      </c>
      <c r="AD134" s="111">
        <f>IF(U134&gt;0,IFERROR(E134/U134,0),1)</f>
        <v/>
      </c>
      <c r="AE134" s="111">
        <f>IF(R134&gt;0,IFERROR(F134/R134,0),1)</f>
        <v/>
      </c>
      <c r="AF134" s="111">
        <f>IF(AL134&gt;0,IFERROR(G134/AL134,0),1)</f>
        <v/>
      </c>
      <c r="AG134" s="111">
        <f>IF(AM134&gt;0,IFERROR(H134/AM134,0),1)</f>
        <v/>
      </c>
      <c r="AH134" s="104">
        <f>U134-(V134+AN134+AR134)</f>
        <v/>
      </c>
      <c r="AI134" s="104">
        <f>R134-(V134+AO134+AR134)</f>
        <v/>
      </c>
      <c r="AJ134" s="104">
        <f>(AL134-AP134)</f>
        <v/>
      </c>
      <c r="AK134" s="104">
        <f>(AM134-AQ134)</f>
        <v/>
      </c>
      <c r="AL134" s="110">
        <f>S134+AI134</f>
        <v/>
      </c>
      <c r="AM134" s="110">
        <f>T134+AJ134</f>
        <v/>
      </c>
      <c r="AN134" s="104" t="n">
        <v>19200</v>
      </c>
      <c r="AO134" s="104" t="n">
        <v>0</v>
      </c>
      <c r="AP134" s="104" t="n">
        <v>9600</v>
      </c>
      <c r="AQ134" s="104" t="n">
        <v>9600</v>
      </c>
      <c r="AR134" s="104" t="n">
        <v>0</v>
      </c>
      <c r="AS134" s="104" t="n"/>
      <c r="AT134" s="104" t="n"/>
    </row>
    <row r="135" ht="12.65" customHeight="1" s="79">
      <c r="A135" s="104">
        <f>MIN(V135,R135)</f>
        <v/>
      </c>
      <c r="B135" s="104">
        <f>MIN(V135,U135)</f>
        <v/>
      </c>
      <c r="C135" s="104">
        <f>MIN(X135,R135)</f>
        <v/>
      </c>
      <c r="D135" s="104">
        <f>MIN(X135,U135)</f>
        <v/>
      </c>
      <c r="E135" s="104">
        <f>MIN((V135+AN135+AR135),U135)</f>
        <v/>
      </c>
      <c r="F135" s="104">
        <f>MAX(MIN((V135+AO135+AR135),R135),0)</f>
        <v/>
      </c>
      <c r="G135" s="104">
        <f>MAX(MIN(AP135,AL135),0)</f>
        <v/>
      </c>
      <c r="H135" s="104">
        <f>MAX(MIN(AQ135,AM135),0)</f>
        <v/>
      </c>
      <c r="I135" s="105" t="inlineStr">
        <is>
          <t>MAHIMA VOHRA</t>
        </is>
      </c>
      <c r="J135" s="106" t="inlineStr">
        <is>
          <t>NON FOOD</t>
        </is>
      </c>
      <c r="K135" s="107" t="inlineStr">
        <is>
          <t>NF_BEAUTY CARE</t>
        </is>
      </c>
      <c r="L135" s="107" t="inlineStr">
        <is>
          <t>NF_B_HANDWASH</t>
        </is>
      </c>
      <c r="M135" s="107" t="inlineStr">
        <is>
          <t>HANDWASH 99-[LSB06]</t>
        </is>
      </c>
      <c r="N135" s="107" t="inlineStr">
        <is>
          <t>ACTIVE</t>
        </is>
      </c>
      <c r="O135" s="108" t="n">
        <v>0.13445706908404</v>
      </c>
      <c r="P135" s="108" t="n">
        <v>0.150988005535907</v>
      </c>
      <c r="Q135" s="109" t="n">
        <v>48</v>
      </c>
      <c r="R135" s="110" t="n">
        <v>7315</v>
      </c>
      <c r="S135" s="110" t="n">
        <v>5351.12627390461</v>
      </c>
      <c r="T135" s="110" t="n">
        <v>5040.47076871685</v>
      </c>
      <c r="U135" s="110" t="n">
        <v>17706.5970426215</v>
      </c>
      <c r="V135" s="104" t="n">
        <v>7360</v>
      </c>
      <c r="W135" s="104" t="n">
        <v>0</v>
      </c>
      <c r="X135" s="104">
        <f>$V135+W135</f>
        <v/>
      </c>
      <c r="Y135" s="111">
        <f>IFERROR(A135/R135,0)</f>
        <v/>
      </c>
      <c r="Z135" s="111">
        <f>IFERROR(B135/U135,0)</f>
        <v/>
      </c>
      <c r="AA135" s="111">
        <f>IFERROR(C135/R135,0)</f>
        <v/>
      </c>
      <c r="AB135" s="111">
        <f>IFERROR(D135/U135,0)</f>
        <v/>
      </c>
      <c r="AD135" s="111">
        <f>IF(U135&gt;0,IFERROR(E135/U135,0),1)</f>
        <v/>
      </c>
      <c r="AE135" s="111">
        <f>IF(R135&gt;0,IFERROR(F135/R135,0),1)</f>
        <v/>
      </c>
      <c r="AF135" s="111">
        <f>IF(AL135&gt;0,IFERROR(G135/AL135,0),1)</f>
        <v/>
      </c>
      <c r="AG135" s="111">
        <f>IF(AM135&gt;0,IFERROR(H135/AM135,0),1)</f>
        <v/>
      </c>
      <c r="AH135" s="104">
        <f>U135-(V135+AN135+AR135)</f>
        <v/>
      </c>
      <c r="AI135" s="104">
        <f>R135-(V135+AO135+AR135)</f>
        <v/>
      </c>
      <c r="AJ135" s="104">
        <f>(AL135-AP135)</f>
        <v/>
      </c>
      <c r="AK135" s="104">
        <f>(AM135-AQ135)</f>
        <v/>
      </c>
      <c r="AL135" s="110">
        <f>S135+AI135</f>
        <v/>
      </c>
      <c r="AM135" s="110">
        <f>T135+AJ135</f>
        <v/>
      </c>
      <c r="AN135" s="104" t="n">
        <v>10752</v>
      </c>
      <c r="AO135" s="104" t="n">
        <v>0</v>
      </c>
      <c r="AP135" s="104" t="n">
        <v>5760</v>
      </c>
      <c r="AQ135" s="104" t="n">
        <v>4992</v>
      </c>
      <c r="AR135" s="104" t="n">
        <v>0</v>
      </c>
      <c r="AS135" s="104" t="n"/>
      <c r="AT135" s="104" t="n"/>
    </row>
    <row r="136" ht="12.65" customHeight="1" s="79">
      <c r="A136" s="104">
        <f>MIN(V136,R136)</f>
        <v/>
      </c>
      <c r="B136" s="104">
        <f>MIN(V136,U136)</f>
        <v/>
      </c>
      <c r="C136" s="104">
        <f>MIN(X136,R136)</f>
        <v/>
      </c>
      <c r="D136" s="104">
        <f>MIN(X136,U136)</f>
        <v/>
      </c>
      <c r="E136" s="104">
        <f>MIN((V136+AN136+AR136),U136)</f>
        <v/>
      </c>
      <c r="F136" s="104">
        <f>MAX(MIN((V136+AO136+AR136),R136),0)</f>
        <v/>
      </c>
      <c r="G136" s="104">
        <f>MAX(MIN(AP136,AL136),0)</f>
        <v/>
      </c>
      <c r="H136" s="104">
        <f>MAX(MIN(AQ136,AM136),0)</f>
        <v/>
      </c>
      <c r="I136" s="105" t="inlineStr">
        <is>
          <t>MAHIMA VOHRA</t>
        </is>
      </c>
      <c r="J136" s="106" t="inlineStr">
        <is>
          <t>NON FOOD</t>
        </is>
      </c>
      <c r="K136" s="107" t="inlineStr">
        <is>
          <t>NF_BEAUTY CARE</t>
        </is>
      </c>
      <c r="L136" s="107" t="inlineStr">
        <is>
          <t>NF_B_HANDWASH</t>
        </is>
      </c>
      <c r="M136" s="107" t="inlineStr">
        <is>
          <t>POUCH 99-[LSB06]</t>
        </is>
      </c>
      <c r="N136" s="107" t="inlineStr">
        <is>
          <t>ACTIVE</t>
        </is>
      </c>
      <c r="O136" s="108" t="n">
        <v>0.139396709323583</v>
      </c>
      <c r="P136" s="108" t="n">
        <v>0.155188197598676</v>
      </c>
      <c r="Q136" s="109" t="n">
        <v>48</v>
      </c>
      <c r="R136" s="110" t="n">
        <v>6730</v>
      </c>
      <c r="S136" s="110" t="n">
        <v>5410.98557403033</v>
      </c>
      <c r="T136" s="110" t="n">
        <v>5256.26124999462</v>
      </c>
      <c r="U136" s="110" t="n">
        <v>17397.2468240249</v>
      </c>
      <c r="V136" s="104" t="n">
        <v>7200</v>
      </c>
      <c r="W136" s="104" t="n">
        <v>0</v>
      </c>
      <c r="X136" s="104">
        <f>$V136+W136</f>
        <v/>
      </c>
      <c r="Y136" s="111">
        <f>IFERROR(A136/R136,0)</f>
        <v/>
      </c>
      <c r="Z136" s="111">
        <f>IFERROR(B136/U136,0)</f>
        <v/>
      </c>
      <c r="AA136" s="111">
        <f>IFERROR(C136/R136,0)</f>
        <v/>
      </c>
      <c r="AB136" s="111">
        <f>IFERROR(D136/U136,0)</f>
        <v/>
      </c>
      <c r="AD136" s="111">
        <f>IF(U136&gt;0,IFERROR(E136/U136,0),1)</f>
        <v/>
      </c>
      <c r="AE136" s="111">
        <f>IF(R136&gt;0,IFERROR(F136/R136,0),1)</f>
        <v/>
      </c>
      <c r="AF136" s="111">
        <f>IF(AL136&gt;0,IFERROR(G136/AL136,0),1)</f>
        <v/>
      </c>
      <c r="AG136" s="111">
        <f>IF(AM136&gt;0,IFERROR(H136/AM136,0),1)</f>
        <v/>
      </c>
      <c r="AH136" s="104">
        <f>U136-(V136+AN136+AR136)</f>
        <v/>
      </c>
      <c r="AI136" s="104">
        <f>R136-(V136+AO136+AR136)</f>
        <v/>
      </c>
      <c r="AJ136" s="104">
        <f>(AL136-AP136)</f>
        <v/>
      </c>
      <c r="AK136" s="104">
        <f>(AM136-AQ136)</f>
        <v/>
      </c>
      <c r="AL136" s="110">
        <f>S136+AI136</f>
        <v/>
      </c>
      <c r="AM136" s="110">
        <f>T136+AJ136</f>
        <v/>
      </c>
      <c r="AN136" s="104" t="n">
        <v>11040</v>
      </c>
      <c r="AO136" s="104" t="n">
        <v>0</v>
      </c>
      <c r="AP136" s="104" t="n">
        <v>5760</v>
      </c>
      <c r="AQ136" s="104" t="n">
        <v>5280</v>
      </c>
      <c r="AR136" s="104" t="n">
        <v>0</v>
      </c>
      <c r="AS136" s="104" t="n"/>
      <c r="AT136" s="104" t="n"/>
    </row>
    <row r="137" ht="12.65" customHeight="1" s="79">
      <c r="A137" s="104">
        <f>MIN(V137,R137)</f>
        <v/>
      </c>
      <c r="B137" s="104">
        <f>MIN(V137,U137)</f>
        <v/>
      </c>
      <c r="C137" s="104">
        <f>MIN(X137,R137)</f>
        <v/>
      </c>
      <c r="D137" s="104">
        <f>MIN(X137,U137)</f>
        <v/>
      </c>
      <c r="E137" s="104">
        <f>MIN((V137+AN137+AR137),U137)</f>
        <v/>
      </c>
      <c r="F137" s="104">
        <f>MAX(MIN((V137+AO137+AR137),R137),0)</f>
        <v/>
      </c>
      <c r="G137" s="104">
        <f>MAX(MIN(AP137,AL137),0)</f>
        <v/>
      </c>
      <c r="H137" s="104">
        <f>MAX(MIN(AQ137,AM137),0)</f>
        <v/>
      </c>
      <c r="I137" s="105" t="inlineStr">
        <is>
          <t>MAHIMA VOHRA</t>
        </is>
      </c>
      <c r="J137" s="106" t="inlineStr">
        <is>
          <t>NON FOOD</t>
        </is>
      </c>
      <c r="K137" s="107" t="inlineStr">
        <is>
          <t>NF_BEAUTY CARE</t>
        </is>
      </c>
      <c r="L137" s="107" t="inlineStr">
        <is>
          <t>NF_B_SCRUB</t>
        </is>
      </c>
      <c r="M137" s="107" t="inlineStr">
        <is>
          <t>JOY SCRUB 149-[LSB05]</t>
        </is>
      </c>
      <c r="N137" s="107" t="inlineStr">
        <is>
          <t>ACTIVE</t>
        </is>
      </c>
      <c r="O137" s="108" t="n">
        <v>0.0856688200646019</v>
      </c>
      <c r="P137" s="108" t="n">
        <v>0.0931816422877486</v>
      </c>
      <c r="Q137" s="109" t="n">
        <v>173</v>
      </c>
      <c r="R137" s="110" t="n">
        <v>914</v>
      </c>
      <c r="S137" s="110" t="n">
        <v>442.4443889336</v>
      </c>
      <c r="T137" s="110" t="n">
        <v>305.921982256769</v>
      </c>
      <c r="U137" s="110" t="n">
        <v>1662.36637119037</v>
      </c>
      <c r="V137" s="104" t="n">
        <v>0</v>
      </c>
      <c r="W137" s="104" t="n">
        <v>0</v>
      </c>
      <c r="X137" s="104">
        <f>$V137+W137</f>
        <v/>
      </c>
      <c r="Y137" s="111">
        <f>IFERROR(A137/R137,0)</f>
        <v/>
      </c>
      <c r="Z137" s="111">
        <f>IFERROR(B137/U137,0)</f>
        <v/>
      </c>
      <c r="AA137" s="111">
        <f>IFERROR(C137/R137,0)</f>
        <v/>
      </c>
      <c r="AB137" s="111">
        <f>IFERROR(D137/U137,0)</f>
        <v/>
      </c>
      <c r="AD137" s="111">
        <f>IF(U137&gt;0,IFERROR(E137/U137,0),1)</f>
        <v/>
      </c>
      <c r="AE137" s="111">
        <f>IF(R137&gt;0,IFERROR(F137/R137,0),1)</f>
        <v/>
      </c>
      <c r="AF137" s="111">
        <f>IF(AL137&gt;0,IFERROR(G137/AL137,0),1)</f>
        <v/>
      </c>
      <c r="AG137" s="111">
        <f>IF(AM137&gt;0,IFERROR(H137/AM137,0),1)</f>
        <v/>
      </c>
      <c r="AH137" s="104">
        <f>U137-(V137+AN137+AR137)</f>
        <v/>
      </c>
      <c r="AI137" s="104">
        <f>R137-(V137+AO137+AR137)</f>
        <v/>
      </c>
      <c r="AJ137" s="104">
        <f>(AL137-AP137)</f>
        <v/>
      </c>
      <c r="AK137" s="104">
        <f>(AM137-AQ137)</f>
        <v/>
      </c>
      <c r="AL137" s="110">
        <f>S137+AI137</f>
        <v/>
      </c>
      <c r="AM137" s="110">
        <f>T137+AJ137</f>
        <v/>
      </c>
      <c r="AN137" s="104" t="n">
        <v>0</v>
      </c>
      <c r="AO137" s="104" t="n">
        <v>0</v>
      </c>
      <c r="AP137" s="104" t="n">
        <v>0</v>
      </c>
      <c r="AQ137" s="104" t="n">
        <v>0</v>
      </c>
      <c r="AR137" s="104" t="n">
        <v>0</v>
      </c>
      <c r="AS137" s="104" t="n"/>
      <c r="AT137" s="104" t="n"/>
    </row>
    <row r="138" ht="12.65" customHeight="1" s="79">
      <c r="A138" s="104">
        <f>MIN(V138,R138)</f>
        <v/>
      </c>
      <c r="B138" s="104">
        <f>MIN(V138,U138)</f>
        <v/>
      </c>
      <c r="C138" s="104">
        <f>MIN(X138,R138)</f>
        <v/>
      </c>
      <c r="D138" s="104">
        <f>MIN(X138,U138)</f>
        <v/>
      </c>
      <c r="E138" s="104">
        <f>MIN((V138+AN138+AR138),U138)</f>
        <v/>
      </c>
      <c r="F138" s="104">
        <f>MAX(MIN((V138+AO138+AR138),R138),0)</f>
        <v/>
      </c>
      <c r="G138" s="104">
        <f>MAX(MIN(AP138,AL138),0)</f>
        <v/>
      </c>
      <c r="H138" s="104">
        <f>MAX(MIN(AQ138,AM138),0)</f>
        <v/>
      </c>
      <c r="I138" s="105" t="inlineStr">
        <is>
          <t>MAHIMA VOHRA</t>
        </is>
      </c>
      <c r="J138" s="106" t="inlineStr">
        <is>
          <t>NON FOOD</t>
        </is>
      </c>
      <c r="K138" s="107" t="inlineStr">
        <is>
          <t>NF_BEAUTY CARE</t>
        </is>
      </c>
      <c r="L138" s="107" t="inlineStr">
        <is>
          <t>NF_B_SHAMPOO</t>
        </is>
      </c>
      <c r="M138" s="107" t="inlineStr">
        <is>
          <t>JOY SHMP 129-[LSB01]</t>
        </is>
      </c>
      <c r="N138" s="107" t="inlineStr">
        <is>
          <t>ACTIVE</t>
        </is>
      </c>
      <c r="O138" s="108" t="n">
        <v>0.110772570048982</v>
      </c>
      <c r="P138" s="108" t="n">
        <v>0.12490765171504</v>
      </c>
      <c r="Q138" s="109" t="n">
        <v>84</v>
      </c>
      <c r="R138" s="110" t="n">
        <v>2204</v>
      </c>
      <c r="S138" s="110" t="n">
        <v>753.748144995773</v>
      </c>
      <c r="T138" s="110" t="n">
        <v>516.899673846314</v>
      </c>
      <c r="U138" s="110" t="n">
        <v>3474.64781884209</v>
      </c>
      <c r="V138" s="104" t="n">
        <v>0</v>
      </c>
      <c r="W138" s="104" t="n">
        <v>0</v>
      </c>
      <c r="X138" s="104">
        <f>$V138+W138</f>
        <v/>
      </c>
      <c r="Y138" s="111">
        <f>IFERROR(A138/R138,0)</f>
        <v/>
      </c>
      <c r="Z138" s="111">
        <f>IFERROR(B138/U138,0)</f>
        <v/>
      </c>
      <c r="AA138" s="111">
        <f>IFERROR(C138/R138,0)</f>
        <v/>
      </c>
      <c r="AB138" s="111">
        <f>IFERROR(D138/U138,0)</f>
        <v/>
      </c>
      <c r="AD138" s="111">
        <f>IF(U138&gt;0,IFERROR(E138/U138,0),1)</f>
        <v/>
      </c>
      <c r="AE138" s="111">
        <f>IF(R138&gt;0,IFERROR(F138/R138,0),1)</f>
        <v/>
      </c>
      <c r="AF138" s="111">
        <f>IF(AL138&gt;0,IFERROR(G138/AL138,0),1)</f>
        <v/>
      </c>
      <c r="AG138" s="111">
        <f>IF(AM138&gt;0,IFERROR(H138/AM138,0),1)</f>
        <v/>
      </c>
      <c r="AH138" s="104">
        <f>U138-(V138+AN138+AR138)</f>
        <v/>
      </c>
      <c r="AI138" s="104">
        <f>R138-(V138+AO138+AR138)</f>
        <v/>
      </c>
      <c r="AJ138" s="104">
        <f>(AL138-AP138)</f>
        <v/>
      </c>
      <c r="AK138" s="104">
        <f>(AM138-AQ138)</f>
        <v/>
      </c>
      <c r="AL138" s="110">
        <f>S138+AI138</f>
        <v/>
      </c>
      <c r="AM138" s="110">
        <f>T138+AJ138</f>
        <v/>
      </c>
      <c r="AN138" s="104" t="n">
        <v>5520</v>
      </c>
      <c r="AO138" s="104" t="n">
        <v>5520</v>
      </c>
      <c r="AP138" s="104" t="n">
        <v>0</v>
      </c>
      <c r="AQ138" s="104" t="n">
        <v>0</v>
      </c>
      <c r="AR138" s="104" t="n">
        <v>0</v>
      </c>
      <c r="AS138" s="104" t="n"/>
      <c r="AT138" s="104" t="n"/>
    </row>
    <row r="139" ht="12.65" customHeight="1" s="79">
      <c r="A139" s="104">
        <f>MIN(V139,R139)</f>
        <v/>
      </c>
      <c r="B139" s="104">
        <f>MIN(V139,U139)</f>
        <v/>
      </c>
      <c r="C139" s="104">
        <f>MIN(X139,R139)</f>
        <v/>
      </c>
      <c r="D139" s="104">
        <f>MIN(X139,U139)</f>
        <v/>
      </c>
      <c r="E139" s="104">
        <f>MIN((V139+AN139+AR139),U139)</f>
        <v/>
      </c>
      <c r="F139" s="104">
        <f>MAX(MIN((V139+AO139+AR139),R139),0)</f>
        <v/>
      </c>
      <c r="G139" s="104">
        <f>MAX(MIN(AP139,AL139),0)</f>
        <v/>
      </c>
      <c r="H139" s="104">
        <f>MAX(MIN(AQ139,AM139),0)</f>
        <v/>
      </c>
      <c r="I139" s="105" t="inlineStr">
        <is>
          <t>MAHIMA VOHRA</t>
        </is>
      </c>
      <c r="J139" s="106" t="inlineStr">
        <is>
          <t>NON FOOD</t>
        </is>
      </c>
      <c r="K139" s="107" t="inlineStr">
        <is>
          <t>NF_BEAUTY CARE</t>
        </is>
      </c>
      <c r="L139" s="107" t="inlineStr">
        <is>
          <t>NF_B_SHAMPOO</t>
        </is>
      </c>
      <c r="M139" s="107" t="inlineStr">
        <is>
          <t>SHMP 99-[LSB01]</t>
        </is>
      </c>
      <c r="N139" s="107" t="inlineStr">
        <is>
          <t>ACTIVE</t>
        </is>
      </c>
      <c r="O139" s="108" t="n">
        <v>0.06280268527658001</v>
      </c>
      <c r="P139" s="108" t="n">
        <v>0.0674502302871668</v>
      </c>
      <c r="Q139" s="109" t="n">
        <v>84</v>
      </c>
      <c r="R139" s="110" t="n">
        <v>3179</v>
      </c>
      <c r="S139" s="110" t="n">
        <v>0</v>
      </c>
      <c r="T139" s="110" t="n">
        <v>0</v>
      </c>
      <c r="U139" s="110" t="n">
        <v>3179</v>
      </c>
      <c r="V139" s="104" t="n">
        <v>4290</v>
      </c>
      <c r="W139" s="104" t="n">
        <v>0</v>
      </c>
      <c r="X139" s="104">
        <f>$V139+W139</f>
        <v/>
      </c>
      <c r="Y139" s="111">
        <f>IFERROR(A139/R139,0)</f>
        <v/>
      </c>
      <c r="Z139" s="111">
        <f>IFERROR(B139/U139,0)</f>
        <v/>
      </c>
      <c r="AA139" s="111">
        <f>IFERROR(C139/R139,0)</f>
        <v/>
      </c>
      <c r="AB139" s="111">
        <f>IFERROR(D139/U139,0)</f>
        <v/>
      </c>
      <c r="AD139" s="111">
        <f>IF(U139&gt;0,IFERROR(E139/U139,0),1)</f>
        <v/>
      </c>
      <c r="AE139" s="111">
        <f>IF(R139&gt;0,IFERROR(F139/R139,0),1)</f>
        <v/>
      </c>
      <c r="AF139" s="111">
        <f>IF(AL139&gt;0,IFERROR(G139/AL139,0),1)</f>
        <v/>
      </c>
      <c r="AG139" s="111">
        <f>IF(AM139&gt;0,IFERROR(H139/AM139,0),1)</f>
        <v/>
      </c>
      <c r="AH139" s="104">
        <f>U139-(V139+AN139+AR139)</f>
        <v/>
      </c>
      <c r="AI139" s="104">
        <f>R139-(V139+AO139+AR139)</f>
        <v/>
      </c>
      <c r="AJ139" s="104">
        <f>(AL139-AP139)</f>
        <v/>
      </c>
      <c r="AK139" s="104">
        <f>(AM139-AQ139)</f>
        <v/>
      </c>
      <c r="AL139" s="110">
        <f>S139+AI139</f>
        <v/>
      </c>
      <c r="AM139" s="110">
        <f>T139+AJ139</f>
        <v/>
      </c>
      <c r="AN139" s="104" t="n">
        <v>0</v>
      </c>
      <c r="AO139" s="104" t="n">
        <v>0</v>
      </c>
      <c r="AP139" s="104" t="n">
        <v>0</v>
      </c>
      <c r="AQ139" s="104" t="n">
        <v>0</v>
      </c>
      <c r="AR139" s="104" t="n">
        <v>0</v>
      </c>
      <c r="AS139" s="104" t="n"/>
      <c r="AT139" s="104" t="n"/>
    </row>
    <row r="140" ht="12.65" customHeight="1" s="79">
      <c r="A140" s="104">
        <f>MIN(V140,R140)</f>
        <v/>
      </c>
      <c r="B140" s="104">
        <f>MIN(V140,U140)</f>
        <v/>
      </c>
      <c r="C140" s="104">
        <f>MIN(X140,R140)</f>
        <v/>
      </c>
      <c r="D140" s="104">
        <f>MIN(X140,U140)</f>
        <v/>
      </c>
      <c r="E140" s="104">
        <f>MIN((V140+AN140+AR140),U140)</f>
        <v/>
      </c>
      <c r="F140" s="104">
        <f>MAX(MIN((V140+AO140+AR140),R140),0)</f>
        <v/>
      </c>
      <c r="G140" s="104">
        <f>MAX(MIN(AP140,AL140),0)</f>
        <v/>
      </c>
      <c r="H140" s="104">
        <f>MAX(MIN(AQ140,AM140),0)</f>
        <v/>
      </c>
      <c r="I140" s="105" t="inlineStr">
        <is>
          <t>MAHIMA VOHRA</t>
        </is>
      </c>
      <c r="J140" s="106" t="inlineStr">
        <is>
          <t>NON FOOD</t>
        </is>
      </c>
      <c r="K140" s="107" t="inlineStr">
        <is>
          <t>NF_BEAUTY CARE</t>
        </is>
      </c>
      <c r="L140" s="107" t="inlineStr">
        <is>
          <t>NF_B_SHOWER GEL</t>
        </is>
      </c>
      <c r="M140" s="107" t="inlineStr">
        <is>
          <t>SHOWER 99-[LSB07]</t>
        </is>
      </c>
      <c r="N140" s="107" t="inlineStr">
        <is>
          <t>ACTIVE</t>
        </is>
      </c>
      <c r="O140" s="108" t="n">
        <v>0.102705969871676</v>
      </c>
      <c r="P140" s="108" t="n">
        <v>0.09370494954348869</v>
      </c>
      <c r="Q140" s="109" t="n">
        <v>100</v>
      </c>
      <c r="R140" s="110" t="n">
        <v>11337</v>
      </c>
      <c r="S140" s="110" t="n">
        <v>4082.83718827033</v>
      </c>
      <c r="T140" s="110" t="n">
        <v>2936.55283638161</v>
      </c>
      <c r="U140" s="110" t="n">
        <v>18356.3900246519</v>
      </c>
      <c r="V140" s="104" t="n">
        <v>0</v>
      </c>
      <c r="W140" s="104" t="n">
        <v>0</v>
      </c>
      <c r="X140" s="104">
        <f>$V140+W140</f>
        <v/>
      </c>
      <c r="Y140" s="111">
        <f>IFERROR(A140/R140,0)</f>
        <v/>
      </c>
      <c r="Z140" s="111">
        <f>IFERROR(B140/U140,0)</f>
        <v/>
      </c>
      <c r="AA140" s="111">
        <f>IFERROR(C140/R140,0)</f>
        <v/>
      </c>
      <c r="AB140" s="111">
        <f>IFERROR(D140/U140,0)</f>
        <v/>
      </c>
      <c r="AD140" s="111">
        <f>IF(U140&gt;0,IFERROR(E140/U140,0),1)</f>
        <v/>
      </c>
      <c r="AE140" s="111">
        <f>IF(R140&gt;0,IFERROR(F140/R140,0),1)</f>
        <v/>
      </c>
      <c r="AF140" s="111">
        <f>IF(AL140&gt;0,IFERROR(G140/AL140,0),1)</f>
        <v/>
      </c>
      <c r="AG140" s="111">
        <f>IF(AM140&gt;0,IFERROR(H140/AM140,0),1)</f>
        <v/>
      </c>
      <c r="AH140" s="104">
        <f>U140-(V140+AN140+AR140)</f>
        <v/>
      </c>
      <c r="AI140" s="104">
        <f>R140-(V140+AO140+AR140)</f>
        <v/>
      </c>
      <c r="AJ140" s="104">
        <f>(AL140-AP140)</f>
        <v/>
      </c>
      <c r="AK140" s="104">
        <f>(AM140-AQ140)</f>
        <v/>
      </c>
      <c r="AL140" s="110">
        <f>S140+AI140</f>
        <v/>
      </c>
      <c r="AM140" s="110">
        <f>T140+AJ140</f>
        <v/>
      </c>
      <c r="AN140" s="104" t="n">
        <v>28800</v>
      </c>
      <c r="AO140" s="104" t="n">
        <v>28800</v>
      </c>
      <c r="AP140" s="104" t="n">
        <v>0</v>
      </c>
      <c r="AQ140" s="104" t="n">
        <v>0</v>
      </c>
      <c r="AR140" s="104" t="n">
        <v>0</v>
      </c>
      <c r="AS140" s="104" t="n"/>
      <c r="AT140" s="104" t="n"/>
    </row>
    <row r="141" ht="12.65" customHeight="1" s="79">
      <c r="A141" s="104">
        <f>MIN(V141,R141)</f>
        <v/>
      </c>
      <c r="B141" s="104">
        <f>MIN(V141,U141)</f>
        <v/>
      </c>
      <c r="C141" s="104">
        <f>MIN(X141,R141)</f>
        <v/>
      </c>
      <c r="D141" s="104">
        <f>MIN(X141,U141)</f>
        <v/>
      </c>
      <c r="E141" s="104">
        <f>MIN((V141+AN141+AR141),U141)</f>
        <v/>
      </c>
      <c r="F141" s="104">
        <f>MAX(MIN((V141+AO141+AR141),R141),0)</f>
        <v/>
      </c>
      <c r="G141" s="104">
        <f>MAX(MIN(AP141,AL141),0)</f>
        <v/>
      </c>
      <c r="H141" s="104">
        <f>MAX(MIN(AQ141,AM141),0)</f>
        <v/>
      </c>
      <c r="I141" s="105" t="inlineStr">
        <is>
          <t>MAHIMA VOHRA</t>
        </is>
      </c>
      <c r="J141" s="106" t="inlineStr">
        <is>
          <t>NON FOOD</t>
        </is>
      </c>
      <c r="K141" s="107" t="inlineStr">
        <is>
          <t>NF_BEAUTY CARE</t>
        </is>
      </c>
      <c r="L141" s="107" t="inlineStr">
        <is>
          <t>NF_B_SHOWER GEL</t>
        </is>
      </c>
      <c r="M141" s="107" t="inlineStr">
        <is>
          <t>JOY SHOWER 99-[LSB07]</t>
        </is>
      </c>
      <c r="N141" s="107" t="inlineStr">
        <is>
          <t>ACTIVE</t>
        </is>
      </c>
      <c r="O141" s="108" t="n">
        <v>0.162070773263434</v>
      </c>
      <c r="P141" s="108" t="n">
        <v>0.16699217660123</v>
      </c>
      <c r="Q141" s="109" t="n">
        <v>100</v>
      </c>
      <c r="R141" s="110" t="n">
        <v>2589</v>
      </c>
      <c r="S141" s="110" t="n">
        <v>3129.22906254839</v>
      </c>
      <c r="T141" s="110" t="n">
        <v>2660.02276453567</v>
      </c>
      <c r="U141" s="110" t="n">
        <v>8378.25182708405</v>
      </c>
      <c r="V141" s="104" t="n">
        <v>0</v>
      </c>
      <c r="W141" s="104" t="n">
        <v>0</v>
      </c>
      <c r="X141" s="104">
        <f>$V141+W141</f>
        <v/>
      </c>
      <c r="Y141" s="111">
        <f>IFERROR(A141/R141,0)</f>
        <v/>
      </c>
      <c r="Z141" s="111">
        <f>IFERROR(B141/U141,0)</f>
        <v/>
      </c>
      <c r="AA141" s="111">
        <f>IFERROR(C141/R141,0)</f>
        <v/>
      </c>
      <c r="AB141" s="111">
        <f>IFERROR(D141/U141,0)</f>
        <v/>
      </c>
      <c r="AD141" s="111">
        <f>IF(U141&gt;0,IFERROR(E141/U141,0),1)</f>
        <v/>
      </c>
      <c r="AE141" s="111">
        <f>IF(R141&gt;0,IFERROR(F141/R141,0),1)</f>
        <v/>
      </c>
      <c r="AF141" s="111">
        <f>IF(AL141&gt;0,IFERROR(G141/AL141,0),1)</f>
        <v/>
      </c>
      <c r="AG141" s="111">
        <f>IF(AM141&gt;0,IFERROR(H141/AM141,0),1)</f>
        <v/>
      </c>
      <c r="AH141" s="104">
        <f>U141-(V141+AN141+AR141)</f>
        <v/>
      </c>
      <c r="AI141" s="104">
        <f>R141-(V141+AO141+AR141)</f>
        <v/>
      </c>
      <c r="AJ141" s="104">
        <f>(AL141-AP141)</f>
        <v/>
      </c>
      <c r="AK141" s="104">
        <f>(AM141-AQ141)</f>
        <v/>
      </c>
      <c r="AL141" s="110">
        <f>S141+AI141</f>
        <v/>
      </c>
      <c r="AM141" s="110">
        <f>T141+AJ141</f>
        <v/>
      </c>
      <c r="AN141" s="104" t="n">
        <v>13080</v>
      </c>
      <c r="AO141" s="104" t="n">
        <v>13080</v>
      </c>
      <c r="AP141" s="104" t="n">
        <v>0</v>
      </c>
      <c r="AQ141" s="104" t="n">
        <v>0</v>
      </c>
      <c r="AR141" s="104" t="n">
        <v>0</v>
      </c>
      <c r="AS141" s="104" t="n"/>
      <c r="AT141" s="104" t="n"/>
    </row>
    <row r="142" ht="12.65" customHeight="1" s="79">
      <c r="A142" s="104">
        <f>MIN(V142,R142)</f>
        <v/>
      </c>
      <c r="B142" s="104">
        <f>MIN(V142,U142)</f>
        <v/>
      </c>
      <c r="C142" s="104">
        <f>MIN(X142,R142)</f>
        <v/>
      </c>
      <c r="D142" s="104">
        <f>MIN(X142,U142)</f>
        <v/>
      </c>
      <c r="E142" s="104">
        <f>MIN((V142+AN142+AR142),U142)</f>
        <v/>
      </c>
      <c r="F142" s="104">
        <f>MAX(MIN((V142+AO142+AR142),R142),0)</f>
        <v/>
      </c>
      <c r="G142" s="104">
        <f>MAX(MIN(AP142,AL142),0)</f>
        <v/>
      </c>
      <c r="H142" s="104">
        <f>MAX(MIN(AQ142,AM142),0)</f>
        <v/>
      </c>
      <c r="I142" s="105" t="inlineStr">
        <is>
          <t>MAHIMA VOHRA</t>
        </is>
      </c>
      <c r="J142" s="106" t="inlineStr">
        <is>
          <t>NON FOOD</t>
        </is>
      </c>
      <c r="K142" s="107" t="inlineStr">
        <is>
          <t>NF_BEAUTY CARE</t>
        </is>
      </c>
      <c r="L142" s="107" t="inlineStr">
        <is>
          <t>NF_B_SOAP</t>
        </is>
      </c>
      <c r="M142" s="107" t="inlineStr">
        <is>
          <t>SOAP 49-[LSB14]</t>
        </is>
      </c>
      <c r="N142" s="107" t="inlineStr">
        <is>
          <t>ACTIVE</t>
        </is>
      </c>
      <c r="O142" s="108" t="n">
        <v>0.0946371974543712</v>
      </c>
      <c r="P142" s="108" t="n">
        <v>0.1119143401591</v>
      </c>
      <c r="Q142" s="109" t="n">
        <v>150</v>
      </c>
      <c r="R142" s="110" t="n">
        <v>104</v>
      </c>
      <c r="S142" s="110" t="n">
        <v>108.14240063069</v>
      </c>
      <c r="T142" s="110" t="n">
        <v>333.151607207414</v>
      </c>
      <c r="U142" s="110" t="n">
        <v>545.294007838104</v>
      </c>
      <c r="V142" s="104" t="n">
        <v>0</v>
      </c>
      <c r="W142" s="104" t="n">
        <v>0</v>
      </c>
      <c r="X142" s="104">
        <f>$V142+W142</f>
        <v/>
      </c>
      <c r="Y142" s="111">
        <f>IFERROR(A142/R142,0)</f>
        <v/>
      </c>
      <c r="Z142" s="111">
        <f>IFERROR(B142/U142,0)</f>
        <v/>
      </c>
      <c r="AA142" s="111">
        <f>IFERROR(C142/R142,0)</f>
        <v/>
      </c>
      <c r="AB142" s="111">
        <f>IFERROR(D142/U142,0)</f>
        <v/>
      </c>
      <c r="AD142" s="111">
        <f>IF(U142&gt;0,IFERROR(E142/U142,0),1)</f>
        <v/>
      </c>
      <c r="AE142" s="111">
        <f>IF(R142&gt;0,IFERROR(F142/R142,0),1)</f>
        <v/>
      </c>
      <c r="AF142" s="111">
        <f>IF(AL142&gt;0,IFERROR(G142/AL142,0),1)</f>
        <v/>
      </c>
      <c r="AG142" s="111">
        <f>IF(AM142&gt;0,IFERROR(H142/AM142,0),1)</f>
        <v/>
      </c>
      <c r="AH142" s="104">
        <f>U142-(V142+AN142+AR142)</f>
        <v/>
      </c>
      <c r="AI142" s="104">
        <f>R142-(V142+AO142+AR142)</f>
        <v/>
      </c>
      <c r="AJ142" s="104">
        <f>(AL142-AP142)</f>
        <v/>
      </c>
      <c r="AK142" s="104">
        <f>(AM142-AQ142)</f>
        <v/>
      </c>
      <c r="AL142" s="110">
        <f>S142+AI142</f>
        <v/>
      </c>
      <c r="AM142" s="110">
        <f>T142+AJ142</f>
        <v/>
      </c>
      <c r="AN142" s="104" t="n">
        <v>0</v>
      </c>
      <c r="AO142" s="104" t="n">
        <v>0</v>
      </c>
      <c r="AP142" s="104" t="n">
        <v>0</v>
      </c>
      <c r="AQ142" s="104" t="n">
        <v>0</v>
      </c>
      <c r="AR142" s="104" t="n">
        <v>0</v>
      </c>
      <c r="AS142" s="104" t="n"/>
      <c r="AT142" s="104" t="n"/>
    </row>
    <row r="143" ht="12.65" customHeight="1" s="79">
      <c r="A143" s="104">
        <f>MIN(V143,R143)</f>
        <v/>
      </c>
      <c r="B143" s="104">
        <f>MIN(V143,U143)</f>
        <v/>
      </c>
      <c r="C143" s="104">
        <f>MIN(X143,R143)</f>
        <v/>
      </c>
      <c r="D143" s="104">
        <f>MIN(X143,U143)</f>
        <v/>
      </c>
      <c r="E143" s="104">
        <f>MIN((V143+AN143+AR143),U143)</f>
        <v/>
      </c>
      <c r="F143" s="104">
        <f>MAX(MIN((V143+AO143+AR143),R143),0)</f>
        <v/>
      </c>
      <c r="G143" s="104">
        <f>MAX(MIN(AP143,AL143),0)</f>
        <v/>
      </c>
      <c r="H143" s="104">
        <f>MAX(MIN(AQ143,AM143),0)</f>
        <v/>
      </c>
      <c r="I143" s="105" t="inlineStr">
        <is>
          <t>MAHIMA VOHRA</t>
        </is>
      </c>
      <c r="J143" s="106" t="inlineStr">
        <is>
          <t>NON FOOD</t>
        </is>
      </c>
      <c r="K143" s="107" t="inlineStr">
        <is>
          <t>NF_BEAUTY CARE</t>
        </is>
      </c>
      <c r="L143" s="107" t="inlineStr">
        <is>
          <t>NF_B_SUNSCREEN</t>
        </is>
      </c>
      <c r="M143" s="107" t="inlineStr">
        <is>
          <t>SUNSCREEN KIT 249-[LSB10]</t>
        </is>
      </c>
      <c r="N143" s="107" t="inlineStr">
        <is>
          <t>ACTIVE</t>
        </is>
      </c>
      <c r="O143" s="108" t="n">
        <v>0.102174159904264</v>
      </c>
      <c r="P143" s="108" t="n">
        <v>0.0596932475466303</v>
      </c>
      <c r="Q143" s="109" t="n">
        <v>179</v>
      </c>
      <c r="R143" s="110" t="n">
        <v>0</v>
      </c>
      <c r="S143" s="110" t="n">
        <v>0</v>
      </c>
      <c r="T143" s="110" t="n">
        <v>0</v>
      </c>
      <c r="U143" s="110" t="n">
        <v>0</v>
      </c>
      <c r="V143" s="104" t="n">
        <v>0</v>
      </c>
      <c r="W143" s="104" t="n">
        <v>0</v>
      </c>
      <c r="X143" s="104">
        <f>$V143+W143</f>
        <v/>
      </c>
      <c r="Y143" s="111">
        <f>IFERROR(A143/R143,0)</f>
        <v/>
      </c>
      <c r="Z143" s="111">
        <f>IFERROR(B143/U143,0)</f>
        <v/>
      </c>
      <c r="AA143" s="111">
        <f>IFERROR(C143/R143,0)</f>
        <v/>
      </c>
      <c r="AB143" s="111">
        <f>IFERROR(D143/U143,0)</f>
        <v/>
      </c>
      <c r="AD143" s="111">
        <f>IF(U143&gt;0,IFERROR(E143/U143,0),1)</f>
        <v/>
      </c>
      <c r="AE143" s="111">
        <f>IF(R143&gt;0,IFERROR(F143/R143,0),1)</f>
        <v/>
      </c>
      <c r="AF143" s="111">
        <f>IF(AL143&gt;0,IFERROR(G143/AL143,0),1)</f>
        <v/>
      </c>
      <c r="AG143" s="111">
        <f>IF(AM143&gt;0,IFERROR(H143/AM143,0),1)</f>
        <v/>
      </c>
      <c r="AH143" s="104">
        <f>U143-(V143+AN143+AR143)</f>
        <v/>
      </c>
      <c r="AI143" s="104">
        <f>R143-(V143+AO143+AR143)</f>
        <v/>
      </c>
      <c r="AJ143" s="104">
        <f>(AL143-AP143)</f>
        <v/>
      </c>
      <c r="AK143" s="104">
        <f>(AM143-AQ143)</f>
        <v/>
      </c>
      <c r="AL143" s="110">
        <f>S143+AI143</f>
        <v/>
      </c>
      <c r="AM143" s="110">
        <f>T143+AJ143</f>
        <v/>
      </c>
      <c r="AN143" s="104" t="n">
        <v>0</v>
      </c>
      <c r="AO143" s="104" t="n">
        <v>0</v>
      </c>
      <c r="AP143" s="104" t="n">
        <v>0</v>
      </c>
      <c r="AQ143" s="104" t="n">
        <v>0</v>
      </c>
      <c r="AR143" s="104" t="n">
        <v>0</v>
      </c>
      <c r="AS143" s="104" t="n"/>
      <c r="AT143" s="104" t="n"/>
    </row>
    <row r="144" ht="12.65" customHeight="1" s="79">
      <c r="A144" s="104">
        <f>MIN(V144,R144)</f>
        <v/>
      </c>
      <c r="B144" s="104">
        <f>MIN(V144,U144)</f>
        <v/>
      </c>
      <c r="C144" s="104">
        <f>MIN(X144,R144)</f>
        <v/>
      </c>
      <c r="D144" s="104">
        <f>MIN(X144,U144)</f>
        <v/>
      </c>
      <c r="E144" s="104">
        <f>MIN((V144+AN144+AR144),U144)</f>
        <v/>
      </c>
      <c r="F144" s="104">
        <f>MAX(MIN((V144+AO144+AR144),R144),0)</f>
        <v/>
      </c>
      <c r="G144" s="104">
        <f>MAX(MIN(AP144,AL144),0)</f>
        <v/>
      </c>
      <c r="H144" s="104">
        <f>MAX(MIN(AQ144,AM144),0)</f>
        <v/>
      </c>
      <c r="I144" s="105" t="inlineStr">
        <is>
          <t>MAHIMA VOHRA</t>
        </is>
      </c>
      <c r="J144" s="106" t="inlineStr">
        <is>
          <t>NON FOOD</t>
        </is>
      </c>
      <c r="K144" s="107" t="inlineStr">
        <is>
          <t>NF_BEAUTY CARE</t>
        </is>
      </c>
      <c r="L144" s="107" t="inlineStr">
        <is>
          <t>NF_B_SUNSCREEN</t>
        </is>
      </c>
      <c r="M144" s="107" t="inlineStr">
        <is>
          <t>SUNSCREEN SPF 199-[LSB10]</t>
        </is>
      </c>
      <c r="N144" s="107" t="inlineStr">
        <is>
          <t>ACTIVE</t>
        </is>
      </c>
      <c r="O144" s="108" t="n">
        <v>0.0796881633758099</v>
      </c>
      <c r="P144" s="108" t="n">
        <v>0.0486635347480966</v>
      </c>
      <c r="Q144" s="109" t="n">
        <v>179</v>
      </c>
      <c r="R144" s="110" t="n">
        <v>0</v>
      </c>
      <c r="S144" s="110" t="n">
        <v>0</v>
      </c>
      <c r="T144" s="110" t="n">
        <v>0</v>
      </c>
      <c r="U144" s="110" t="n">
        <v>0</v>
      </c>
      <c r="V144" s="104" t="n">
        <v>0</v>
      </c>
      <c r="W144" s="104" t="n">
        <v>0</v>
      </c>
      <c r="X144" s="104">
        <f>$V144+W144</f>
        <v/>
      </c>
      <c r="Y144" s="111">
        <f>IFERROR(A144/R144,0)</f>
        <v/>
      </c>
      <c r="Z144" s="111">
        <f>IFERROR(B144/U144,0)</f>
        <v/>
      </c>
      <c r="AA144" s="111">
        <f>IFERROR(C144/R144,0)</f>
        <v/>
      </c>
      <c r="AB144" s="111">
        <f>IFERROR(D144/U144,0)</f>
        <v/>
      </c>
      <c r="AD144" s="111">
        <f>IF(U144&gt;0,IFERROR(E144/U144,0),1)</f>
        <v/>
      </c>
      <c r="AE144" s="111">
        <f>IF(R144&gt;0,IFERROR(F144/R144,0),1)</f>
        <v/>
      </c>
      <c r="AF144" s="111">
        <f>IF(AL144&gt;0,IFERROR(G144/AL144,0),1)</f>
        <v/>
      </c>
      <c r="AG144" s="111">
        <f>IF(AM144&gt;0,IFERROR(H144/AM144,0),1)</f>
        <v/>
      </c>
      <c r="AH144" s="104">
        <f>U144-(V144+AN144+AR144)</f>
        <v/>
      </c>
      <c r="AI144" s="104">
        <f>R144-(V144+AO144+AR144)</f>
        <v/>
      </c>
      <c r="AJ144" s="104">
        <f>(AL144-AP144)</f>
        <v/>
      </c>
      <c r="AK144" s="104">
        <f>(AM144-AQ144)</f>
        <v/>
      </c>
      <c r="AL144" s="110">
        <f>S144+AI144</f>
        <v/>
      </c>
      <c r="AM144" s="110">
        <f>T144+AJ144</f>
        <v/>
      </c>
      <c r="AN144" s="104" t="n">
        <v>0</v>
      </c>
      <c r="AO144" s="104" t="n">
        <v>0</v>
      </c>
      <c r="AP144" s="104" t="n">
        <v>0</v>
      </c>
      <c r="AQ144" s="104" t="n">
        <v>0</v>
      </c>
      <c r="AR144" s="104" t="n">
        <v>0</v>
      </c>
      <c r="AS144" s="104" t="n"/>
      <c r="AT144" s="104" t="n"/>
    </row>
    <row r="145" ht="12.65" customHeight="1" s="79">
      <c r="A145" s="104">
        <f>MIN(V145,R145)</f>
        <v/>
      </c>
      <c r="B145" s="104">
        <f>MIN(V145,U145)</f>
        <v/>
      </c>
      <c r="C145" s="104">
        <f>MIN(X145,R145)</f>
        <v/>
      </c>
      <c r="D145" s="104">
        <f>MIN(X145,U145)</f>
        <v/>
      </c>
      <c r="E145" s="104">
        <f>MIN((V145+AN145+AR145),U145)</f>
        <v/>
      </c>
      <c r="F145" s="104">
        <f>MAX(MIN((V145+AO145+AR145),R145),0)</f>
        <v/>
      </c>
      <c r="G145" s="104">
        <f>MAX(MIN(AP145,AL145),0)</f>
        <v/>
      </c>
      <c r="H145" s="104">
        <f>MAX(MIN(AQ145,AM145),0)</f>
        <v/>
      </c>
      <c r="I145" s="105" t="inlineStr">
        <is>
          <t>MAHIMA VOHRA</t>
        </is>
      </c>
      <c r="J145" s="106" t="inlineStr">
        <is>
          <t>NON FOOD</t>
        </is>
      </c>
      <c r="K145" s="107" t="inlineStr">
        <is>
          <t>NF_CLEANING AIDS</t>
        </is>
      </c>
      <c r="L145" s="107" t="inlineStr">
        <is>
          <t>NF_C_BATHROOM CLEANER</t>
        </is>
      </c>
      <c r="M145" s="107" t="inlineStr">
        <is>
          <t>BC 99-[LSB13]</t>
        </is>
      </c>
      <c r="N145" s="107" t="inlineStr">
        <is>
          <t>ACTIVE</t>
        </is>
      </c>
      <c r="O145" s="108" t="n">
        <v>0.119573975592962</v>
      </c>
      <c r="P145" s="108" t="n">
        <v>0.118107192396025</v>
      </c>
      <c r="Q145" s="109" t="n">
        <v>108</v>
      </c>
      <c r="R145" s="110" t="n">
        <v>4717</v>
      </c>
      <c r="S145" s="110" t="n">
        <v>3936.03875031193</v>
      </c>
      <c r="T145" s="110" t="n">
        <v>3543.32055738945</v>
      </c>
      <c r="U145" s="110" t="n">
        <v>12196.3593077014</v>
      </c>
      <c r="V145" s="104" t="n">
        <v>8400</v>
      </c>
      <c r="W145" s="104" t="n">
        <v>0</v>
      </c>
      <c r="X145" s="104">
        <f>$V145+W145</f>
        <v/>
      </c>
      <c r="Y145" s="111">
        <f>IFERROR(A145/R145,0)</f>
        <v/>
      </c>
      <c r="Z145" s="111">
        <f>IFERROR(B145/U145,0)</f>
        <v/>
      </c>
      <c r="AA145" s="111">
        <f>IFERROR(C145/R145,0)</f>
        <v/>
      </c>
      <c r="AB145" s="111">
        <f>IFERROR(D145/U145,0)</f>
        <v/>
      </c>
      <c r="AD145" s="111">
        <f>IF(U145&gt;0,IFERROR(E145/U145,0),1)</f>
        <v/>
      </c>
      <c r="AE145" s="111">
        <f>IF(R145&gt;0,IFERROR(F145/R145,0),1)</f>
        <v/>
      </c>
      <c r="AF145" s="111">
        <f>IF(AL145&gt;0,IFERROR(G145/AL145,0),1)</f>
        <v/>
      </c>
      <c r="AG145" s="111">
        <f>IF(AM145&gt;0,IFERROR(H145/AM145,0),1)</f>
        <v/>
      </c>
      <c r="AH145" s="104">
        <f>U145-(V145+AN145+AR145)</f>
        <v/>
      </c>
      <c r="AI145" s="104">
        <f>R145-(V145+AO145+AR145)</f>
        <v/>
      </c>
      <c r="AJ145" s="104">
        <f>(AL145-AP145)</f>
        <v/>
      </c>
      <c r="AK145" s="104">
        <f>(AM145-AQ145)</f>
        <v/>
      </c>
      <c r="AL145" s="110">
        <f>S145+AI145</f>
        <v/>
      </c>
      <c r="AM145" s="110">
        <f>T145+AJ145</f>
        <v/>
      </c>
      <c r="AN145" s="104" t="n">
        <v>7200</v>
      </c>
      <c r="AO145" s="104" t="n">
        <v>0</v>
      </c>
      <c r="AP145" s="104" t="n">
        <v>7200</v>
      </c>
      <c r="AQ145" s="104" t="n">
        <v>0</v>
      </c>
      <c r="AR145" s="104" t="n">
        <v>0</v>
      </c>
      <c r="AS145" s="104" t="n"/>
      <c r="AT145" s="104" t="n"/>
    </row>
    <row r="146" ht="12.65" customHeight="1" s="79">
      <c r="A146" s="104">
        <f>MIN(V146,R146)</f>
        <v/>
      </c>
      <c r="B146" s="104">
        <f>MIN(V146,U146)</f>
        <v/>
      </c>
      <c r="C146" s="104">
        <f>MIN(X146,R146)</f>
        <v/>
      </c>
      <c r="D146" s="104">
        <f>MIN(X146,U146)</f>
        <v/>
      </c>
      <c r="E146" s="104">
        <f>MIN((V146+AN146+AR146),U146)</f>
        <v/>
      </c>
      <c r="F146" s="104">
        <f>MAX(MIN((V146+AO146+AR146),R146),0)</f>
        <v/>
      </c>
      <c r="G146" s="104">
        <f>MAX(MIN(AP146,AL146),0)</f>
        <v/>
      </c>
      <c r="H146" s="104">
        <f>MAX(MIN(AQ146,AM146),0)</f>
        <v/>
      </c>
      <c r="I146" s="105" t="inlineStr">
        <is>
          <t>MAHIMA VOHRA</t>
        </is>
      </c>
      <c r="J146" s="106" t="inlineStr">
        <is>
          <t>NON FOOD</t>
        </is>
      </c>
      <c r="K146" s="107" t="inlineStr">
        <is>
          <t>NF_CLEANING AIDS</t>
        </is>
      </c>
      <c r="L146" s="107" t="inlineStr">
        <is>
          <t>NF_C_DETERGENT</t>
        </is>
      </c>
      <c r="M146" s="107" t="inlineStr">
        <is>
          <t>BAR 59-[LSC01]</t>
        </is>
      </c>
      <c r="N146" s="107" t="inlineStr">
        <is>
          <t>ACTIVE</t>
        </is>
      </c>
      <c r="O146" s="108" t="n">
        <v>0</v>
      </c>
      <c r="P146" s="108" t="n">
        <v>0</v>
      </c>
      <c r="Q146" s="109" t="n">
        <v>179</v>
      </c>
      <c r="R146" s="110" t="n">
        <v>0</v>
      </c>
      <c r="S146" s="110" t="n">
        <v>0</v>
      </c>
      <c r="T146" s="110" t="n">
        <v>0</v>
      </c>
      <c r="U146" s="110" t="n">
        <v>0</v>
      </c>
      <c r="V146" s="104" t="n">
        <v>0</v>
      </c>
      <c r="W146" s="104" t="n">
        <v>0</v>
      </c>
      <c r="X146" s="104">
        <f>$V146+W146</f>
        <v/>
      </c>
      <c r="Y146" s="111">
        <f>IFERROR(A146/R146,0)</f>
        <v/>
      </c>
      <c r="Z146" s="111">
        <f>IFERROR(B146/U146,0)</f>
        <v/>
      </c>
      <c r="AA146" s="111">
        <f>IFERROR(C146/R146,0)</f>
        <v/>
      </c>
      <c r="AB146" s="111">
        <f>IFERROR(D146/U146,0)</f>
        <v/>
      </c>
      <c r="AD146" s="111">
        <f>IF(U146&gt;0,IFERROR(E146/U146,0),1)</f>
        <v/>
      </c>
      <c r="AE146" s="111">
        <f>IF(R146&gt;0,IFERROR(F146/R146,0),1)</f>
        <v/>
      </c>
      <c r="AF146" s="111">
        <f>IF(AL146&gt;0,IFERROR(G146/AL146,0),1)</f>
        <v/>
      </c>
      <c r="AG146" s="111">
        <f>IF(AM146&gt;0,IFERROR(H146/AM146,0),1)</f>
        <v/>
      </c>
      <c r="AH146" s="104">
        <f>U146-(V146+AN146+AR146)</f>
        <v/>
      </c>
      <c r="AI146" s="104">
        <f>R146-(V146+AO146+AR146)</f>
        <v/>
      </c>
      <c r="AJ146" s="104">
        <f>(AL146-AP146)</f>
        <v/>
      </c>
      <c r="AK146" s="104">
        <f>(AM146-AQ146)</f>
        <v/>
      </c>
      <c r="AL146" s="110">
        <f>S146+AI146</f>
        <v/>
      </c>
      <c r="AM146" s="110">
        <f>T146+AJ146</f>
        <v/>
      </c>
      <c r="AN146" s="104" t="n">
        <v>0</v>
      </c>
      <c r="AO146" s="104" t="n">
        <v>0</v>
      </c>
      <c r="AP146" s="104" t="n">
        <v>0</v>
      </c>
      <c r="AQ146" s="104" t="n">
        <v>0</v>
      </c>
      <c r="AR146" s="104" t="n">
        <v>0</v>
      </c>
      <c r="AS146" s="104" t="n"/>
      <c r="AT146" s="104" t="n"/>
    </row>
    <row r="147" ht="12.65" customHeight="1" s="79">
      <c r="A147" s="104">
        <f>MIN(V147,R147)</f>
        <v/>
      </c>
      <c r="B147" s="104">
        <f>MIN(V147,U147)</f>
        <v/>
      </c>
      <c r="C147" s="104">
        <f>MIN(X147,R147)</f>
        <v/>
      </c>
      <c r="D147" s="104">
        <f>MIN(X147,U147)</f>
        <v/>
      </c>
      <c r="E147" s="104">
        <f>MIN((V147+AN147+AR147),U147)</f>
        <v/>
      </c>
      <c r="F147" s="104">
        <f>MAX(MIN((V147+AO147+AR147),R147),0)</f>
        <v/>
      </c>
      <c r="G147" s="104">
        <f>MAX(MIN(AP147,AL147),0)</f>
        <v/>
      </c>
      <c r="H147" s="104">
        <f>MAX(MIN(AQ147,AM147),0)</f>
        <v/>
      </c>
      <c r="I147" s="105" t="inlineStr">
        <is>
          <t>MAHIMA VOHRA</t>
        </is>
      </c>
      <c r="J147" s="106" t="inlineStr">
        <is>
          <t>NON FOOD</t>
        </is>
      </c>
      <c r="K147" s="107" t="inlineStr">
        <is>
          <t>NF_CLEANING AIDS</t>
        </is>
      </c>
      <c r="L147" s="107" t="inlineStr">
        <is>
          <t>NF_C_DETERGENT</t>
        </is>
      </c>
      <c r="M147" s="107" t="inlineStr">
        <is>
          <t>DETERGENT 179-[LSC01]</t>
        </is>
      </c>
      <c r="N147" s="107" t="inlineStr">
        <is>
          <t>INACTIVE</t>
        </is>
      </c>
      <c r="O147" s="108" t="n">
        <v>0.0307410203861504</v>
      </c>
      <c r="P147" s="108" t="n">
        <v>0.0327780181739507</v>
      </c>
      <c r="Q147" s="109" t="n">
        <v>179</v>
      </c>
      <c r="R147" s="110" t="n">
        <v>0</v>
      </c>
      <c r="S147" s="110" t="n">
        <v>0</v>
      </c>
      <c r="T147" s="110" t="n">
        <v>0</v>
      </c>
      <c r="U147" s="110" t="n">
        <v>0</v>
      </c>
      <c r="V147" s="104" t="n">
        <v>13100</v>
      </c>
      <c r="W147" s="104" t="n">
        <v>3600</v>
      </c>
      <c r="X147" s="104">
        <f>$V147+W147</f>
        <v/>
      </c>
      <c r="Y147" s="111">
        <f>IFERROR(A147/R147,0)</f>
        <v/>
      </c>
      <c r="Z147" s="111">
        <f>IFERROR(B147/U147,0)</f>
        <v/>
      </c>
      <c r="AA147" s="111">
        <f>IFERROR(C147/R147,0)</f>
        <v/>
      </c>
      <c r="AB147" s="111">
        <f>IFERROR(D147/U147,0)</f>
        <v/>
      </c>
      <c r="AD147" s="111">
        <f>IF(U147&gt;0,IFERROR(E147/U147,0),1)</f>
        <v/>
      </c>
      <c r="AE147" s="111">
        <f>IF(R147&gt;0,IFERROR(F147/R147,0),1)</f>
        <v/>
      </c>
      <c r="AF147" s="111">
        <f>IF(AL147&gt;0,IFERROR(G147/AL147,0),1)</f>
        <v/>
      </c>
      <c r="AG147" s="111">
        <f>IF(AM147&gt;0,IFERROR(H147/AM147,0),1)</f>
        <v/>
      </c>
      <c r="AH147" s="104">
        <f>U147-(V147+AN147+AR147)</f>
        <v/>
      </c>
      <c r="AI147" s="104">
        <f>R147-(V147+AO147+AR147)</f>
        <v/>
      </c>
      <c r="AJ147" s="104">
        <f>(AL147-AP147)</f>
        <v/>
      </c>
      <c r="AK147" s="104">
        <f>(AM147-AQ147)</f>
        <v/>
      </c>
      <c r="AL147" s="110">
        <f>S147+AI147</f>
        <v/>
      </c>
      <c r="AM147" s="110">
        <f>T147+AJ147</f>
        <v/>
      </c>
      <c r="AN147" s="104" t="n">
        <v>40825</v>
      </c>
      <c r="AO147" s="104" t="n">
        <v>4825</v>
      </c>
      <c r="AP147" s="104" t="n">
        <v>18000</v>
      </c>
      <c r="AQ147" s="104" t="n">
        <v>18000</v>
      </c>
      <c r="AR147" s="104" t="n">
        <v>0</v>
      </c>
      <c r="AS147" s="104" t="n"/>
      <c r="AT147" s="104" t="n"/>
    </row>
    <row r="148" ht="12.65" customHeight="1" s="79">
      <c r="A148" s="104">
        <f>MIN(V148,R148)</f>
        <v/>
      </c>
      <c r="B148" s="104">
        <f>MIN(V148,U148)</f>
        <v/>
      </c>
      <c r="C148" s="104">
        <f>MIN(X148,R148)</f>
        <v/>
      </c>
      <c r="D148" s="104">
        <f>MIN(X148,U148)</f>
        <v/>
      </c>
      <c r="E148" s="104">
        <f>MIN((V148+AN148+AR148),U148)</f>
        <v/>
      </c>
      <c r="F148" s="104">
        <f>MAX(MIN((V148+AO148+AR148),R148),0)</f>
        <v/>
      </c>
      <c r="G148" s="104">
        <f>MAX(MIN(AP148,AL148),0)</f>
        <v/>
      </c>
      <c r="H148" s="104">
        <f>MAX(MIN(AQ148,AM148),0)</f>
        <v/>
      </c>
      <c r="I148" s="105" t="inlineStr">
        <is>
          <t>MAHIMA VOHRA</t>
        </is>
      </c>
      <c r="J148" s="106" t="inlineStr">
        <is>
          <t>NON FOOD</t>
        </is>
      </c>
      <c r="K148" s="107" t="inlineStr">
        <is>
          <t>NF_CLEANING AIDS</t>
        </is>
      </c>
      <c r="L148" s="107" t="inlineStr">
        <is>
          <t>NF_C_DISHWASHER</t>
        </is>
      </c>
      <c r="M148" s="107" t="inlineStr">
        <is>
          <t>DSHW 99-[LSB11]</t>
        </is>
      </c>
      <c r="N148" s="107" t="inlineStr">
        <is>
          <t>ACTIVE</t>
        </is>
      </c>
      <c r="O148" s="108" t="n">
        <v>0.15487676035898</v>
      </c>
      <c r="P148" s="108" t="n">
        <v>0.201355518898372</v>
      </c>
      <c r="Q148" s="109" t="n">
        <v>87</v>
      </c>
      <c r="R148" s="110" t="n">
        <v>4320</v>
      </c>
      <c r="S148" s="110" t="n">
        <v>1973.13592625063</v>
      </c>
      <c r="T148" s="110" t="n">
        <v>552.237504921194</v>
      </c>
      <c r="U148" s="110" t="n">
        <v>6845.37343117183</v>
      </c>
      <c r="V148" s="104" t="n">
        <v>0</v>
      </c>
      <c r="W148" s="104" t="n">
        <v>0</v>
      </c>
      <c r="X148" s="104">
        <f>$V148+W148</f>
        <v/>
      </c>
      <c r="Y148" s="111">
        <f>IFERROR(A148/R148,0)</f>
        <v/>
      </c>
      <c r="Z148" s="111">
        <f>IFERROR(B148/U148,0)</f>
        <v/>
      </c>
      <c r="AA148" s="111">
        <f>IFERROR(C148/R148,0)</f>
        <v/>
      </c>
      <c r="AB148" s="111">
        <f>IFERROR(D148/U148,0)</f>
        <v/>
      </c>
      <c r="AD148" s="111">
        <f>IF(U148&gt;0,IFERROR(E148/U148,0),1)</f>
        <v/>
      </c>
      <c r="AE148" s="111">
        <f>IF(R148&gt;0,IFERROR(F148/R148,0),1)</f>
        <v/>
      </c>
      <c r="AF148" s="111">
        <f>IF(AL148&gt;0,IFERROR(G148/AL148,0),1)</f>
        <v/>
      </c>
      <c r="AG148" s="111">
        <f>IF(AM148&gt;0,IFERROR(H148/AM148,0),1)</f>
        <v/>
      </c>
      <c r="AH148" s="104">
        <f>U148-(V148+AN148+AR148)</f>
        <v/>
      </c>
      <c r="AI148" s="104">
        <f>R148-(V148+AO148+AR148)</f>
        <v/>
      </c>
      <c r="AJ148" s="104">
        <f>(AL148-AP148)</f>
        <v/>
      </c>
      <c r="AK148" s="104">
        <f>(AM148-AQ148)</f>
        <v/>
      </c>
      <c r="AL148" s="110">
        <f>S148+AI148</f>
        <v/>
      </c>
      <c r="AM148" s="110">
        <f>T148+AJ148</f>
        <v/>
      </c>
      <c r="AN148" s="104" t="n">
        <v>21600</v>
      </c>
      <c r="AO148" s="104" t="n">
        <v>12000</v>
      </c>
      <c r="AP148" s="104" t="n">
        <v>9600</v>
      </c>
      <c r="AQ148" s="104" t="n">
        <v>0</v>
      </c>
      <c r="AR148" s="104" t="n">
        <v>0</v>
      </c>
      <c r="AS148" s="104" t="n"/>
      <c r="AT148" s="104" t="n"/>
    </row>
    <row r="149" ht="12.65" customHeight="1" s="79">
      <c r="A149" s="104">
        <f>MIN(V149,R149)</f>
        <v/>
      </c>
      <c r="B149" s="104">
        <f>MIN(V149,U149)</f>
        <v/>
      </c>
      <c r="C149" s="104">
        <f>MIN(X149,R149)</f>
        <v/>
      </c>
      <c r="D149" s="104">
        <f>MIN(X149,U149)</f>
        <v/>
      </c>
      <c r="E149" s="104">
        <f>MIN((V149+AN149+AR149),U149)</f>
        <v/>
      </c>
      <c r="F149" s="104">
        <f>MAX(MIN((V149+AO149+AR149),R149),0)</f>
        <v/>
      </c>
      <c r="G149" s="104">
        <f>MAX(MIN(AP149,AL149),0)</f>
        <v/>
      </c>
      <c r="H149" s="104">
        <f>MAX(MIN(AQ149,AM149),0)</f>
        <v/>
      </c>
      <c r="I149" s="105" t="inlineStr">
        <is>
          <t>MAHIMA VOHRA</t>
        </is>
      </c>
      <c r="J149" s="106" t="inlineStr">
        <is>
          <t>NON FOOD</t>
        </is>
      </c>
      <c r="K149" s="107" t="inlineStr">
        <is>
          <t>NF_CLEANING AIDS</t>
        </is>
      </c>
      <c r="L149" s="107" t="inlineStr">
        <is>
          <t>NF_C_DISHWASHER</t>
        </is>
      </c>
      <c r="M149" s="107" t="inlineStr">
        <is>
          <t>BAR 59-[LSB11]</t>
        </is>
      </c>
      <c r="N149" s="107" t="inlineStr">
        <is>
          <t>ACTIVE</t>
        </is>
      </c>
      <c r="O149" s="108" t="n">
        <v>0</v>
      </c>
      <c r="P149" s="108" t="n">
        <v>0.29950563032134</v>
      </c>
      <c r="Q149" s="109" t="n">
        <v>87</v>
      </c>
      <c r="R149" s="110" t="n">
        <v>275</v>
      </c>
      <c r="S149" s="110" t="n">
        <v>325.972042602369</v>
      </c>
      <c r="T149" s="110" t="n">
        <v>286.350228428427</v>
      </c>
      <c r="U149" s="110" t="n">
        <v>887.322271030797</v>
      </c>
      <c r="V149" s="104" t="n">
        <v>16644</v>
      </c>
      <c r="W149" s="104" t="n">
        <v>9196</v>
      </c>
      <c r="X149" s="104">
        <f>$V149+W149</f>
        <v/>
      </c>
      <c r="Y149" s="111">
        <f>IFERROR(A149/R149,0)</f>
        <v/>
      </c>
      <c r="Z149" s="111">
        <f>IFERROR(B149/U149,0)</f>
        <v/>
      </c>
      <c r="AA149" s="111">
        <f>IFERROR(C149/R149,0)</f>
        <v/>
      </c>
      <c r="AB149" s="111">
        <f>IFERROR(D149/U149,0)</f>
        <v/>
      </c>
      <c r="AD149" s="111">
        <f>IF(U149&gt;0,IFERROR(E149/U149,0),1)</f>
        <v/>
      </c>
      <c r="AE149" s="111">
        <f>IF(R149&gt;0,IFERROR(F149/R149,0),1)</f>
        <v/>
      </c>
      <c r="AF149" s="111">
        <f>IF(AL149&gt;0,IFERROR(G149/AL149,0),1)</f>
        <v/>
      </c>
      <c r="AG149" s="111">
        <f>IF(AM149&gt;0,IFERROR(H149/AM149,0),1)</f>
        <v/>
      </c>
      <c r="AH149" s="104">
        <f>U149-(V149+AN149+AR149)</f>
        <v/>
      </c>
      <c r="AI149" s="104">
        <f>R149-(V149+AO149+AR149)</f>
        <v/>
      </c>
      <c r="AJ149" s="104">
        <f>(AL149-AP149)</f>
        <v/>
      </c>
      <c r="AK149" s="104">
        <f>(AM149-AQ149)</f>
        <v/>
      </c>
      <c r="AL149" s="110">
        <f>S149+AI149</f>
        <v/>
      </c>
      <c r="AM149" s="110">
        <f>T149+AJ149</f>
        <v/>
      </c>
      <c r="AN149" s="104" t="n">
        <v>88800</v>
      </c>
      <c r="AO149" s="104" t="n">
        <v>16800</v>
      </c>
      <c r="AP149" s="104" t="n">
        <v>48000</v>
      </c>
      <c r="AQ149" s="104" t="n">
        <v>24000</v>
      </c>
      <c r="AR149" s="104" t="n">
        <v>0</v>
      </c>
      <c r="AS149" s="104" t="n"/>
      <c r="AT149" s="104" t="n"/>
    </row>
    <row r="150" ht="12.65" customHeight="1" s="79">
      <c r="A150" s="104">
        <f>MIN(V150,R150)</f>
        <v/>
      </c>
      <c r="B150" s="104">
        <f>MIN(V150,U150)</f>
        <v/>
      </c>
      <c r="C150" s="104">
        <f>MIN(X150,R150)</f>
        <v/>
      </c>
      <c r="D150" s="104">
        <f>MIN(X150,U150)</f>
        <v/>
      </c>
      <c r="E150" s="104">
        <f>MIN((V150+AN150+AR150),U150)</f>
        <v/>
      </c>
      <c r="F150" s="104">
        <f>MAX(MIN((V150+AO150+AR150),R150),0)</f>
        <v/>
      </c>
      <c r="G150" s="104">
        <f>MAX(MIN(AP150,AL150),0)</f>
        <v/>
      </c>
      <c r="H150" s="104">
        <f>MAX(MIN(AQ150,AM150),0)</f>
        <v/>
      </c>
      <c r="I150" s="105" t="inlineStr">
        <is>
          <t>MAHIMA VOHRA</t>
        </is>
      </c>
      <c r="J150" s="106" t="inlineStr">
        <is>
          <t>NON FOOD</t>
        </is>
      </c>
      <c r="K150" s="107" t="inlineStr">
        <is>
          <t>NF_CLEANING AIDS</t>
        </is>
      </c>
      <c r="L150" s="107" t="inlineStr">
        <is>
          <t>NF_C_FABRIC CONDITIONER</t>
        </is>
      </c>
      <c r="M150" s="107" t="inlineStr">
        <is>
          <t>FC 179-[LSB14]</t>
        </is>
      </c>
      <c r="N150" s="107" t="inlineStr">
        <is>
          <t>ACTIVE</t>
        </is>
      </c>
      <c r="O150" s="108" t="n">
        <v>0.0595759003702457</v>
      </c>
      <c r="P150" s="108" t="n">
        <v>0.08197363268502809</v>
      </c>
      <c r="Q150" s="109" t="n">
        <v>179</v>
      </c>
      <c r="R150" s="110" t="n">
        <v>0</v>
      </c>
      <c r="S150" s="110" t="n">
        <v>0</v>
      </c>
      <c r="T150" s="110" t="n">
        <v>0</v>
      </c>
      <c r="U150" s="110" t="n">
        <v>0</v>
      </c>
      <c r="V150" s="104" t="n">
        <v>0</v>
      </c>
      <c r="W150" s="104" t="n">
        <v>0</v>
      </c>
      <c r="X150" s="104">
        <f>$V150+W150</f>
        <v/>
      </c>
      <c r="Y150" s="111">
        <f>IFERROR(A150/R150,0)</f>
        <v/>
      </c>
      <c r="Z150" s="111">
        <f>IFERROR(B150/U150,0)</f>
        <v/>
      </c>
      <c r="AA150" s="111">
        <f>IFERROR(C150/R150,0)</f>
        <v/>
      </c>
      <c r="AB150" s="111">
        <f>IFERROR(D150/U150,0)</f>
        <v/>
      </c>
      <c r="AD150" s="111">
        <f>IF(U150&gt;0,IFERROR(E150/U150,0),1)</f>
        <v/>
      </c>
      <c r="AE150" s="111">
        <f>IF(R150&gt;0,IFERROR(F150/R150,0),1)</f>
        <v/>
      </c>
      <c r="AF150" s="111">
        <f>IF(AL150&gt;0,IFERROR(G150/AL150,0),1)</f>
        <v/>
      </c>
      <c r="AG150" s="111">
        <f>IF(AM150&gt;0,IFERROR(H150/AM150,0),1)</f>
        <v/>
      </c>
      <c r="AH150" s="104">
        <f>U150-(V150+AN150+AR150)</f>
        <v/>
      </c>
      <c r="AI150" s="104">
        <f>R150-(V150+AO150+AR150)</f>
        <v/>
      </c>
      <c r="AJ150" s="104">
        <f>(AL150-AP150)</f>
        <v/>
      </c>
      <c r="AK150" s="104">
        <f>(AM150-AQ150)</f>
        <v/>
      </c>
      <c r="AL150" s="110">
        <f>S150+AI150</f>
        <v/>
      </c>
      <c r="AM150" s="110">
        <f>T150+AJ150</f>
        <v/>
      </c>
      <c r="AN150" s="104" t="n">
        <v>0</v>
      </c>
      <c r="AO150" s="104" t="n">
        <v>0</v>
      </c>
      <c r="AP150" s="104" t="n">
        <v>0</v>
      </c>
      <c r="AQ150" s="104" t="n">
        <v>0</v>
      </c>
      <c r="AR150" s="104" t="n">
        <v>0</v>
      </c>
      <c r="AS150" s="104" t="n"/>
      <c r="AT150" s="104" t="n"/>
    </row>
    <row r="151" ht="12.65" customHeight="1" s="79">
      <c r="A151" s="104">
        <f>MIN(V151,R151)</f>
        <v/>
      </c>
      <c r="B151" s="104">
        <f>MIN(V151,U151)</f>
        <v/>
      </c>
      <c r="C151" s="104">
        <f>MIN(X151,R151)</f>
        <v/>
      </c>
      <c r="D151" s="104">
        <f>MIN(X151,U151)</f>
        <v/>
      </c>
      <c r="E151" s="104">
        <f>MIN((V151+AN151+AR151),U151)</f>
        <v/>
      </c>
      <c r="F151" s="104">
        <f>MAX(MIN((V151+AO151+AR151),R151),0)</f>
        <v/>
      </c>
      <c r="G151" s="104">
        <f>MAX(MIN(AP151,AL151),0)</f>
        <v/>
      </c>
      <c r="H151" s="104">
        <f>MAX(MIN(AQ151,AM151),0)</f>
        <v/>
      </c>
      <c r="I151" s="105" t="inlineStr">
        <is>
          <t>MAHIMA VOHRA</t>
        </is>
      </c>
      <c r="J151" s="106" t="inlineStr">
        <is>
          <t>NON FOOD</t>
        </is>
      </c>
      <c r="K151" s="107" t="inlineStr">
        <is>
          <t>NF_CLEANING AIDS</t>
        </is>
      </c>
      <c r="L151" s="107" t="inlineStr">
        <is>
          <t>NF_C_FLOOR CLEANER</t>
        </is>
      </c>
      <c r="M151" s="107" t="inlineStr">
        <is>
          <t>PHENYL FC 79-[LSB10]</t>
        </is>
      </c>
      <c r="N151" s="107" t="inlineStr">
        <is>
          <t>ACTIVE</t>
        </is>
      </c>
      <c r="O151" s="108" t="n">
        <v>0.204938065456312</v>
      </c>
      <c r="P151" s="108" t="n">
        <v>0.196118219165403</v>
      </c>
      <c r="Q151" s="109" t="n">
        <v>22</v>
      </c>
      <c r="R151" s="110" t="n">
        <v>33543</v>
      </c>
      <c r="S151" s="110" t="n">
        <v>9414.931480061079</v>
      </c>
      <c r="T151" s="110" t="n">
        <v>6758.8029013527</v>
      </c>
      <c r="U151" s="110" t="n">
        <v>49716.7343814138</v>
      </c>
      <c r="V151" s="104" t="n">
        <v>7200</v>
      </c>
      <c r="W151" s="104" t="n">
        <v>0</v>
      </c>
      <c r="X151" s="104">
        <f>$V151+W151</f>
        <v/>
      </c>
      <c r="Y151" s="111">
        <f>IFERROR(A151/R151,0)</f>
        <v/>
      </c>
      <c r="Z151" s="111">
        <f>IFERROR(B151/U151,0)</f>
        <v/>
      </c>
      <c r="AA151" s="111">
        <f>IFERROR(C151/R151,0)</f>
        <v/>
      </c>
      <c r="AB151" s="111">
        <f>IFERROR(D151/U151,0)</f>
        <v/>
      </c>
      <c r="AD151" s="111">
        <f>IF(U151&gt;0,IFERROR(E151/U151,0),1)</f>
        <v/>
      </c>
      <c r="AE151" s="111">
        <f>IF(R151&gt;0,IFERROR(F151/R151,0),1)</f>
        <v/>
      </c>
      <c r="AF151" s="111">
        <f>IF(AL151&gt;0,IFERROR(G151/AL151,0),1)</f>
        <v/>
      </c>
      <c r="AG151" s="111">
        <f>IF(AM151&gt;0,IFERROR(H151/AM151,0),1)</f>
        <v/>
      </c>
      <c r="AH151" s="104">
        <f>U151-(V151+AN151+AR151)</f>
        <v/>
      </c>
      <c r="AI151" s="104">
        <f>R151-(V151+AO151+AR151)</f>
        <v/>
      </c>
      <c r="AJ151" s="104">
        <f>(AL151-AP151)</f>
        <v/>
      </c>
      <c r="AK151" s="104">
        <f>(AM151-AQ151)</f>
        <v/>
      </c>
      <c r="AL151" s="110">
        <f>S151+AI151</f>
        <v/>
      </c>
      <c r="AM151" s="110">
        <f>T151+AJ151</f>
        <v/>
      </c>
      <c r="AN151" s="104" t="n">
        <v>67736</v>
      </c>
      <c r="AO151" s="104" t="n">
        <v>24800</v>
      </c>
      <c r="AP151" s="104" t="n">
        <v>21600</v>
      </c>
      <c r="AQ151" s="104" t="n">
        <v>21336</v>
      </c>
      <c r="AR151" s="104" t="n">
        <v>0</v>
      </c>
      <c r="AS151" s="104" t="n"/>
      <c r="AT151" s="104" t="n"/>
    </row>
    <row r="152" ht="12.65" customHeight="1" s="79">
      <c r="A152" s="104">
        <f>MIN(V152,R152)</f>
        <v/>
      </c>
      <c r="B152" s="104">
        <f>MIN(V152,U152)</f>
        <v/>
      </c>
      <c r="C152" s="104">
        <f>MIN(X152,R152)</f>
        <v/>
      </c>
      <c r="D152" s="104">
        <f>MIN(X152,U152)</f>
        <v/>
      </c>
      <c r="E152" s="104">
        <f>MIN((V152+AN152+AR152),U152)</f>
        <v/>
      </c>
      <c r="F152" s="104">
        <f>MAX(MIN((V152+AO152+AR152),R152),0)</f>
        <v/>
      </c>
      <c r="G152" s="104">
        <f>MAX(MIN(AP152,AL152),0)</f>
        <v/>
      </c>
      <c r="H152" s="104">
        <f>MAX(MIN(AQ152,AM152),0)</f>
        <v/>
      </c>
      <c r="I152" s="105" t="inlineStr">
        <is>
          <t>MAHIMA VOHRA</t>
        </is>
      </c>
      <c r="J152" s="106" t="inlineStr">
        <is>
          <t>NON FOOD</t>
        </is>
      </c>
      <c r="K152" s="107" t="inlineStr">
        <is>
          <t>NF_CLEANING AIDS</t>
        </is>
      </c>
      <c r="L152" s="107" t="inlineStr">
        <is>
          <t>NF_C_FLOOR CLEANER</t>
        </is>
      </c>
      <c r="M152" s="107" t="inlineStr">
        <is>
          <t>FC KIT 149-[LSB10]</t>
        </is>
      </c>
      <c r="N152" s="107" t="inlineStr">
        <is>
          <t>ACTIVE</t>
        </is>
      </c>
      <c r="O152" s="108" t="n">
        <v>0.187639114134324</v>
      </c>
      <c r="P152" s="108" t="n">
        <v>0.189486015522038</v>
      </c>
      <c r="Q152" s="109" t="n">
        <v>22</v>
      </c>
      <c r="R152" s="110" t="n">
        <v>18405</v>
      </c>
      <c r="S152" s="110" t="n">
        <v>7022.93714978084</v>
      </c>
      <c r="T152" s="110" t="n">
        <v>5995.84280526922</v>
      </c>
      <c r="U152" s="110" t="n">
        <v>31423.7799550501</v>
      </c>
      <c r="V152" s="104" t="n">
        <v>0</v>
      </c>
      <c r="W152" s="104" t="n">
        <v>5600</v>
      </c>
      <c r="X152" s="104">
        <f>$V152+W152</f>
        <v/>
      </c>
      <c r="Y152" s="111">
        <f>IFERROR(A152/R152,0)</f>
        <v/>
      </c>
      <c r="Z152" s="111">
        <f>IFERROR(B152/U152,0)</f>
        <v/>
      </c>
      <c r="AA152" s="111">
        <f>IFERROR(C152/R152,0)</f>
        <v/>
      </c>
      <c r="AB152" s="111">
        <f>IFERROR(D152/U152,0)</f>
        <v/>
      </c>
      <c r="AD152" s="111">
        <f>IF(U152&gt;0,IFERROR(E152/U152,0),1)</f>
        <v/>
      </c>
      <c r="AE152" s="111">
        <f>IF(R152&gt;0,IFERROR(F152/R152,0),1)</f>
        <v/>
      </c>
      <c r="AF152" s="111">
        <f>IF(AL152&gt;0,IFERROR(G152/AL152,0),1)</f>
        <v/>
      </c>
      <c r="AG152" s="111">
        <f>IF(AM152&gt;0,IFERROR(H152/AM152,0),1)</f>
        <v/>
      </c>
      <c r="AH152" s="104">
        <f>U152-(V152+AN152+AR152)</f>
        <v/>
      </c>
      <c r="AI152" s="104">
        <f>R152-(V152+AO152+AR152)</f>
        <v/>
      </c>
      <c r="AJ152" s="104">
        <f>(AL152-AP152)</f>
        <v/>
      </c>
      <c r="AK152" s="104">
        <f>(AM152-AQ152)</f>
        <v/>
      </c>
      <c r="AL152" s="110">
        <f>S152+AI152</f>
        <v/>
      </c>
      <c r="AM152" s="110">
        <f>T152+AJ152</f>
        <v/>
      </c>
      <c r="AN152" s="104" t="n">
        <v>30400</v>
      </c>
      <c r="AO152" s="104" t="n">
        <v>18400</v>
      </c>
      <c r="AP152" s="104" t="n">
        <v>7200</v>
      </c>
      <c r="AQ152" s="104" t="n">
        <v>4800</v>
      </c>
      <c r="AR152" s="104" t="n">
        <v>0</v>
      </c>
      <c r="AS152" s="104" t="n"/>
      <c r="AT152" s="104" t="n"/>
    </row>
    <row r="153" ht="12.65" customHeight="1" s="79">
      <c r="A153" s="104">
        <f>MIN(V153,R153)</f>
        <v/>
      </c>
      <c r="B153" s="104">
        <f>MIN(V153,U153)</f>
        <v/>
      </c>
      <c r="C153" s="104">
        <f>MIN(X153,R153)</f>
        <v/>
      </c>
      <c r="D153" s="104">
        <f>MIN(X153,U153)</f>
        <v/>
      </c>
      <c r="E153" s="104">
        <f>MIN((V153+AN153+AR153),U153)</f>
        <v/>
      </c>
      <c r="F153" s="104">
        <f>MAX(MIN((V153+AO153+AR153),R153),0)</f>
        <v/>
      </c>
      <c r="G153" s="104">
        <f>MAX(MIN(AP153,AL153),0)</f>
        <v/>
      </c>
      <c r="H153" s="104">
        <f>MAX(MIN(AQ153,AM153),0)</f>
        <v/>
      </c>
      <c r="I153" s="105" t="inlineStr">
        <is>
          <t>MAHIMA VOHRA</t>
        </is>
      </c>
      <c r="J153" s="106" t="inlineStr">
        <is>
          <t>NON FOOD</t>
        </is>
      </c>
      <c r="K153" s="107" t="inlineStr">
        <is>
          <t>NF_CLEANING AIDS</t>
        </is>
      </c>
      <c r="L153" s="107" t="inlineStr">
        <is>
          <t>NF_C_FLOOR CLEANER</t>
        </is>
      </c>
      <c r="M153" s="107" t="inlineStr">
        <is>
          <t>FC KIT 249-[LSB10]</t>
        </is>
      </c>
      <c r="N153" s="107" t="inlineStr">
        <is>
          <t>ACTIVE</t>
        </is>
      </c>
      <c r="O153" s="108" t="n">
        <v>0.102751630260981</v>
      </c>
      <c r="P153" s="108" t="n">
        <v>0.147156934166635</v>
      </c>
      <c r="Q153" s="109" t="n">
        <v>22</v>
      </c>
      <c r="R153" s="110" t="n">
        <v>3577</v>
      </c>
      <c r="S153" s="110" t="n">
        <v>1442.81255834943</v>
      </c>
      <c r="T153" s="110" t="n">
        <v>1251.65640571231</v>
      </c>
      <c r="U153" s="110" t="n">
        <v>6271.46896406174</v>
      </c>
      <c r="V153" s="104" t="n">
        <v>0</v>
      </c>
      <c r="W153" s="104" t="n">
        <v>0</v>
      </c>
      <c r="X153" s="104">
        <f>$V153+W153</f>
        <v/>
      </c>
      <c r="Y153" s="111">
        <f>IFERROR(A153/R153,0)</f>
        <v/>
      </c>
      <c r="Z153" s="111">
        <f>IFERROR(B153/U153,0)</f>
        <v/>
      </c>
      <c r="AA153" s="111">
        <f>IFERROR(C153/R153,0)</f>
        <v/>
      </c>
      <c r="AB153" s="111">
        <f>IFERROR(D153/U153,0)</f>
        <v/>
      </c>
      <c r="AD153" s="111">
        <f>IF(U153&gt;0,IFERROR(E153/U153,0),1)</f>
        <v/>
      </c>
      <c r="AE153" s="111">
        <f>IF(R153&gt;0,IFERROR(F153/R153,0),1)</f>
        <v/>
      </c>
      <c r="AF153" s="111">
        <f>IF(AL153&gt;0,IFERROR(G153/AL153,0),1)</f>
        <v/>
      </c>
      <c r="AG153" s="111">
        <f>IF(AM153&gt;0,IFERROR(H153/AM153,0),1)</f>
        <v/>
      </c>
      <c r="AH153" s="104">
        <f>U153-(V153+AN153+AR153)</f>
        <v/>
      </c>
      <c r="AI153" s="104">
        <f>R153-(V153+AO153+AR153)</f>
        <v/>
      </c>
      <c r="AJ153" s="104">
        <f>(AL153-AP153)</f>
        <v/>
      </c>
      <c r="AK153" s="104">
        <f>(AM153-AQ153)</f>
        <v/>
      </c>
      <c r="AL153" s="110">
        <f>S153+AI153</f>
        <v/>
      </c>
      <c r="AM153" s="110">
        <f>T153+AJ153</f>
        <v/>
      </c>
      <c r="AN153" s="104" t="n">
        <v>9600</v>
      </c>
      <c r="AO153" s="104" t="n">
        <v>4800</v>
      </c>
      <c r="AP153" s="104" t="n">
        <v>2400</v>
      </c>
      <c r="AQ153" s="104" t="n">
        <v>2400</v>
      </c>
      <c r="AR153" s="104" t="n">
        <v>0</v>
      </c>
      <c r="AS153" s="104" t="n"/>
      <c r="AT153" s="104" t="n"/>
    </row>
    <row r="154" ht="12.65" customHeight="1" s="79">
      <c r="A154" s="104">
        <f>MIN(V154,R154)</f>
        <v/>
      </c>
      <c r="B154" s="104">
        <f>MIN(V154,U154)</f>
        <v/>
      </c>
      <c r="C154" s="104">
        <f>MIN(X154,R154)</f>
        <v/>
      </c>
      <c r="D154" s="104">
        <f>MIN(X154,U154)</f>
        <v/>
      </c>
      <c r="E154" s="104">
        <f>MIN((V154+AN154+AR154),U154)</f>
        <v/>
      </c>
      <c r="F154" s="104">
        <f>MAX(MIN((V154+AO154+AR154),R154),0)</f>
        <v/>
      </c>
      <c r="G154" s="104">
        <f>MAX(MIN(AP154,AL154),0)</f>
        <v/>
      </c>
      <c r="H154" s="104">
        <f>MAX(MIN(AQ154,AM154),0)</f>
        <v/>
      </c>
      <c r="I154" s="105" t="inlineStr">
        <is>
          <t>MAHIMA VOHRA</t>
        </is>
      </c>
      <c r="J154" s="106" t="inlineStr">
        <is>
          <t>NON FOOD</t>
        </is>
      </c>
      <c r="K154" s="107" t="inlineStr">
        <is>
          <t>NF_CLEANING AIDS</t>
        </is>
      </c>
      <c r="L154" s="107" t="inlineStr">
        <is>
          <t>NF_C_GLASS CLEANER</t>
        </is>
      </c>
      <c r="M154" s="107" t="inlineStr">
        <is>
          <t>GC 49-[LSB12]</t>
        </is>
      </c>
      <c r="N154" s="107" t="inlineStr">
        <is>
          <t>ACTIVE</t>
        </is>
      </c>
      <c r="O154" s="108" t="n">
        <v>0.132524367144017</v>
      </c>
      <c r="P154" s="108" t="n">
        <v>0.1544965718512</v>
      </c>
      <c r="Q154" s="109" t="n">
        <v>101</v>
      </c>
      <c r="R154" s="110" t="n">
        <v>8575</v>
      </c>
      <c r="S154" s="110" t="n">
        <v>1647.50337951118</v>
      </c>
      <c r="T154" s="110" t="n">
        <v>2631.03664338603</v>
      </c>
      <c r="U154" s="110" t="n">
        <v>12853.5400228972</v>
      </c>
      <c r="V154" s="104" t="n">
        <v>7558</v>
      </c>
      <c r="W154" s="104" t="n">
        <v>0</v>
      </c>
      <c r="X154" s="104">
        <f>$V154+W154</f>
        <v/>
      </c>
      <c r="Y154" s="111">
        <f>IFERROR(A154/R154,0)</f>
        <v/>
      </c>
      <c r="Z154" s="111">
        <f>IFERROR(B154/U154,0)</f>
        <v/>
      </c>
      <c r="AA154" s="111">
        <f>IFERROR(C154/R154,0)</f>
        <v/>
      </c>
      <c r="AB154" s="111">
        <f>IFERROR(D154/U154,0)</f>
        <v/>
      </c>
      <c r="AD154" s="111">
        <f>IF(U154&gt;0,IFERROR(E154/U154,0),1)</f>
        <v/>
      </c>
      <c r="AE154" s="111">
        <f>IF(R154&gt;0,IFERROR(F154/R154,0),1)</f>
        <v/>
      </c>
      <c r="AF154" s="111">
        <f>IF(AL154&gt;0,IFERROR(G154/AL154,0),1)</f>
        <v/>
      </c>
      <c r="AG154" s="111">
        <f>IF(AM154&gt;0,IFERROR(H154/AM154,0),1)</f>
        <v/>
      </c>
      <c r="AH154" s="104">
        <f>U154-(V154+AN154+AR154)</f>
        <v/>
      </c>
      <c r="AI154" s="104">
        <f>R154-(V154+AO154+AR154)</f>
        <v/>
      </c>
      <c r="AJ154" s="104">
        <f>(AL154-AP154)</f>
        <v/>
      </c>
      <c r="AK154" s="104">
        <f>(AM154-AQ154)</f>
        <v/>
      </c>
      <c r="AL154" s="110">
        <f>S154+AI154</f>
        <v/>
      </c>
      <c r="AM154" s="110">
        <f>T154+AJ154</f>
        <v/>
      </c>
      <c r="AN154" s="104" t="n">
        <v>33000</v>
      </c>
      <c r="AO154" s="104" t="n">
        <v>7200</v>
      </c>
      <c r="AP154" s="104" t="n">
        <v>12600</v>
      </c>
      <c r="AQ154" s="104" t="n">
        <v>13200</v>
      </c>
      <c r="AR154" s="104" t="n">
        <v>0</v>
      </c>
      <c r="AS154" s="104" t="n"/>
      <c r="AT154" s="104" t="n"/>
    </row>
    <row r="155" ht="12.65" customHeight="1" s="79">
      <c r="A155" s="104">
        <f>MIN(V155,R155)</f>
        <v/>
      </c>
      <c r="B155" s="104">
        <f>MIN(V155,U155)</f>
        <v/>
      </c>
      <c r="C155" s="104">
        <f>MIN(X155,R155)</f>
        <v/>
      </c>
      <c r="D155" s="104">
        <f>MIN(X155,U155)</f>
        <v/>
      </c>
      <c r="E155" s="104">
        <f>MIN((V155+AN155+AR155),U155)</f>
        <v/>
      </c>
      <c r="F155" s="104">
        <f>MAX(MIN((V155+AO155+AR155),R155),0)</f>
        <v/>
      </c>
      <c r="G155" s="104">
        <f>MAX(MIN(AP155,AL155),0)</f>
        <v/>
      </c>
      <c r="H155" s="104">
        <f>MAX(MIN(AQ155,AM155),0)</f>
        <v/>
      </c>
      <c r="I155" s="105" t="inlineStr">
        <is>
          <t>MAHIMA VOHRA</t>
        </is>
      </c>
      <c r="J155" s="106" t="inlineStr">
        <is>
          <t>NON FOOD</t>
        </is>
      </c>
      <c r="K155" s="107" t="inlineStr">
        <is>
          <t>NF_CLEANING AIDS</t>
        </is>
      </c>
      <c r="L155" s="107" t="inlineStr">
        <is>
          <t>NF_C_TOILET CLEANER</t>
        </is>
      </c>
      <c r="M155" s="107" t="inlineStr">
        <is>
          <t>TC KIT 149-[LSB09]</t>
        </is>
      </c>
      <c r="N155" s="107" t="inlineStr">
        <is>
          <t>ACTIVE</t>
        </is>
      </c>
      <c r="O155" s="108" t="n">
        <v>0.132513728585051</v>
      </c>
      <c r="P155" s="108" t="n">
        <v>0.159530146323934</v>
      </c>
      <c r="Q155" s="109" t="n">
        <v>34</v>
      </c>
      <c r="R155" s="110" t="n">
        <v>15764</v>
      </c>
      <c r="S155" s="110" t="n">
        <v>8341.803239383549</v>
      </c>
      <c r="T155" s="110" t="n">
        <v>6647.83619768535</v>
      </c>
      <c r="U155" s="110" t="n">
        <v>30753.6394370689</v>
      </c>
      <c r="V155" s="104" t="n">
        <v>4200</v>
      </c>
      <c r="W155" s="104" t="n">
        <v>11400</v>
      </c>
      <c r="X155" s="104">
        <f>$V155+W155</f>
        <v/>
      </c>
      <c r="Y155" s="111">
        <f>IFERROR(A155/R155,0)</f>
        <v/>
      </c>
      <c r="Z155" s="111">
        <f>IFERROR(B155/U155,0)</f>
        <v/>
      </c>
      <c r="AA155" s="111">
        <f>IFERROR(C155/R155,0)</f>
        <v/>
      </c>
      <c r="AB155" s="111">
        <f>IFERROR(D155/U155,0)</f>
        <v/>
      </c>
      <c r="AD155" s="111">
        <f>IF(U155&gt;0,IFERROR(E155/U155,0),1)</f>
        <v/>
      </c>
      <c r="AE155" s="111">
        <f>IF(R155&gt;0,IFERROR(F155/R155,0),1)</f>
        <v/>
      </c>
      <c r="AF155" s="111">
        <f>IF(AL155&gt;0,IFERROR(G155/AL155,0),1)</f>
        <v/>
      </c>
      <c r="AG155" s="111">
        <f>IF(AM155&gt;0,IFERROR(H155/AM155,0),1)</f>
        <v/>
      </c>
      <c r="AH155" s="104">
        <f>U155-(V155+AN155+AR155)</f>
        <v/>
      </c>
      <c r="AI155" s="104">
        <f>R155-(V155+AO155+AR155)</f>
        <v/>
      </c>
      <c r="AJ155" s="104">
        <f>(AL155-AP155)</f>
        <v/>
      </c>
      <c r="AK155" s="104">
        <f>(AM155-AQ155)</f>
        <v/>
      </c>
      <c r="AL155" s="110">
        <f>S155+AI155</f>
        <v/>
      </c>
      <c r="AM155" s="110">
        <f>T155+AJ155</f>
        <v/>
      </c>
      <c r="AN155" s="104" t="n">
        <v>25800</v>
      </c>
      <c r="AO155" s="104" t="n">
        <v>11400</v>
      </c>
      <c r="AP155" s="104" t="n">
        <v>7200</v>
      </c>
      <c r="AQ155" s="104" t="n">
        <v>7200</v>
      </c>
      <c r="AR155" s="104" t="n">
        <v>0</v>
      </c>
      <c r="AS155" s="104" t="n"/>
      <c r="AT155" s="104" t="n"/>
    </row>
    <row r="156" ht="12.65" customHeight="1" s="79">
      <c r="A156" s="104">
        <f>MIN(V156,R156)</f>
        <v/>
      </c>
      <c r="B156" s="104">
        <f>MIN(V156,U156)</f>
        <v/>
      </c>
      <c r="C156" s="104">
        <f>MIN(X156,R156)</f>
        <v/>
      </c>
      <c r="D156" s="104">
        <f>MIN(X156,U156)</f>
        <v/>
      </c>
      <c r="E156" s="104">
        <f>MIN((V156+AN156+AR156),U156)</f>
        <v/>
      </c>
      <c r="F156" s="104">
        <f>MAX(MIN((V156+AO156+AR156),R156),0)</f>
        <v/>
      </c>
      <c r="G156" s="104">
        <f>MAX(MIN(AP156,AL156),0)</f>
        <v/>
      </c>
      <c r="H156" s="104">
        <f>MAX(MIN(AQ156,AM156),0)</f>
        <v/>
      </c>
      <c r="I156" s="105" t="inlineStr">
        <is>
          <t>MAHIMA VOHRA</t>
        </is>
      </c>
      <c r="J156" s="106" t="inlineStr">
        <is>
          <t>NON FOOD</t>
        </is>
      </c>
      <c r="K156" s="107" t="inlineStr">
        <is>
          <t>NF_CLEANING AIDS</t>
        </is>
      </c>
      <c r="L156" s="107" t="inlineStr">
        <is>
          <t>NF_C_TOILET CLEANER</t>
        </is>
      </c>
      <c r="M156" s="107" t="inlineStr">
        <is>
          <t>TC 79-[LSB09]</t>
        </is>
      </c>
      <c r="N156" s="107" t="inlineStr">
        <is>
          <t>ACTIVE</t>
        </is>
      </c>
      <c r="O156" s="108" t="n">
        <v>0.173258656863935</v>
      </c>
      <c r="P156" s="108" t="n">
        <v>0.157114654517844</v>
      </c>
      <c r="Q156" s="109" t="n">
        <v>34</v>
      </c>
      <c r="R156" s="110" t="n">
        <v>7547</v>
      </c>
      <c r="S156" s="110" t="n">
        <v>3997.95394761672</v>
      </c>
      <c r="T156" s="110" t="n">
        <v>3989.71604591128</v>
      </c>
      <c r="U156" s="110" t="n">
        <v>15534.669993528</v>
      </c>
      <c r="V156" s="104" t="n">
        <v>0</v>
      </c>
      <c r="W156" s="104" t="n">
        <v>9000</v>
      </c>
      <c r="X156" s="104">
        <f>$V156+W156</f>
        <v/>
      </c>
      <c r="Y156" s="111">
        <f>IFERROR(A156/R156,0)</f>
        <v/>
      </c>
      <c r="Z156" s="111">
        <f>IFERROR(B156/U156,0)</f>
        <v/>
      </c>
      <c r="AA156" s="111">
        <f>IFERROR(C156/R156,0)</f>
        <v/>
      </c>
      <c r="AB156" s="111">
        <f>IFERROR(D156/U156,0)</f>
        <v/>
      </c>
      <c r="AD156" s="111">
        <f>IF(U156&gt;0,IFERROR(E156/U156,0),1)</f>
        <v/>
      </c>
      <c r="AE156" s="111">
        <f>IF(R156&gt;0,IFERROR(F156/R156,0),1)</f>
        <v/>
      </c>
      <c r="AF156" s="111">
        <f>IF(AL156&gt;0,IFERROR(G156/AL156,0),1)</f>
        <v/>
      </c>
      <c r="AG156" s="111">
        <f>IF(AM156&gt;0,IFERROR(H156/AM156,0),1)</f>
        <v/>
      </c>
      <c r="AH156" s="104">
        <f>U156-(V156+AN156+AR156)</f>
        <v/>
      </c>
      <c r="AI156" s="104">
        <f>R156-(V156+AO156+AR156)</f>
        <v/>
      </c>
      <c r="AJ156" s="104">
        <f>(AL156-AP156)</f>
        <v/>
      </c>
      <c r="AK156" s="104">
        <f>(AM156-AQ156)</f>
        <v/>
      </c>
      <c r="AL156" s="110">
        <f>S156+AI156</f>
        <v/>
      </c>
      <c r="AM156" s="110">
        <f>T156+AJ156</f>
        <v/>
      </c>
      <c r="AN156" s="104" t="n">
        <v>37200</v>
      </c>
      <c r="AO156" s="104" t="n">
        <v>10000</v>
      </c>
      <c r="AP156" s="104" t="n">
        <v>13600</v>
      </c>
      <c r="AQ156" s="104" t="n">
        <v>13600</v>
      </c>
      <c r="AR156" s="104" t="n">
        <v>0</v>
      </c>
      <c r="AS156" s="104" t="n"/>
      <c r="AT156" s="104" t="n"/>
    </row>
    <row r="157" ht="12.65" customHeight="1" s="79">
      <c r="A157" s="104">
        <f>MIN(V157,R157)</f>
        <v/>
      </c>
      <c r="B157" s="104">
        <f>MIN(V157,U157)</f>
        <v/>
      </c>
      <c r="C157" s="104">
        <f>MIN(X157,R157)</f>
        <v/>
      </c>
      <c r="D157" s="104">
        <f>MIN(X157,U157)</f>
        <v/>
      </c>
      <c r="E157" s="104">
        <f>MIN((V157+AN157+AR157),U157)</f>
        <v/>
      </c>
      <c r="F157" s="104">
        <f>MAX(MIN((V157+AO157+AR157),R157),0)</f>
        <v/>
      </c>
      <c r="G157" s="104">
        <f>MAX(MIN(AP157,AL157),0)</f>
        <v/>
      </c>
      <c r="H157" s="104">
        <f>MAX(MIN(AQ157,AM157),0)</f>
        <v/>
      </c>
      <c r="I157" s="105" t="inlineStr">
        <is>
          <t>MAHIMA VOHRA</t>
        </is>
      </c>
      <c r="J157" s="106" t="inlineStr">
        <is>
          <t>NON FOOD</t>
        </is>
      </c>
      <c r="K157" s="107" t="inlineStr">
        <is>
          <t>NF_COLOR COSMETIC</t>
        </is>
      </c>
      <c r="L157" s="107" t="inlineStr">
        <is>
          <t>NF_CC_ACCESSORIES</t>
        </is>
      </c>
      <c r="M157" s="107" t="inlineStr">
        <is>
          <t>ACCESSORIES 99-[LSCC06]</t>
        </is>
      </c>
      <c r="N157" s="107" t="inlineStr">
        <is>
          <t>ACTIVE</t>
        </is>
      </c>
      <c r="O157" s="108" t="n">
        <v>0.0729218404298551</v>
      </c>
      <c r="P157" s="108" t="n">
        <v>0.0759357871535296</v>
      </c>
      <c r="Q157" s="109" t="n">
        <v>177</v>
      </c>
      <c r="R157" s="110" t="n">
        <v>98</v>
      </c>
      <c r="S157" s="110" t="n">
        <v>0</v>
      </c>
      <c r="T157" s="110" t="n">
        <v>0</v>
      </c>
      <c r="U157" s="110" t="n">
        <v>98</v>
      </c>
      <c r="V157" s="104" t="n">
        <v>57084</v>
      </c>
      <c r="W157" s="104" t="n">
        <v>0</v>
      </c>
      <c r="X157" s="104">
        <f>$V157+W157</f>
        <v/>
      </c>
      <c r="Y157" s="111">
        <f>IFERROR(A157/R157,0)</f>
        <v/>
      </c>
      <c r="Z157" s="111">
        <f>IFERROR(B157/U157,0)</f>
        <v/>
      </c>
      <c r="AA157" s="111">
        <f>IFERROR(C157/R157,0)</f>
        <v/>
      </c>
      <c r="AB157" s="111">
        <f>IFERROR(D157/U157,0)</f>
        <v/>
      </c>
      <c r="AD157" s="111">
        <f>IF(U157&gt;0,IFERROR(E157/U157,0),1)</f>
        <v/>
      </c>
      <c r="AE157" s="111">
        <f>IF(R157&gt;0,IFERROR(F157/R157,0),1)</f>
        <v/>
      </c>
      <c r="AF157" s="111">
        <f>IF(AL157&gt;0,IFERROR(G157/AL157,0),1)</f>
        <v/>
      </c>
      <c r="AG157" s="111">
        <f>IF(AM157&gt;0,IFERROR(H157/AM157,0),1)</f>
        <v/>
      </c>
      <c r="AH157" s="104">
        <f>U157-(V157+AN157+AR157)</f>
        <v/>
      </c>
      <c r="AI157" s="104">
        <f>R157-(V157+AO157+AR157)</f>
        <v/>
      </c>
      <c r="AJ157" s="104">
        <f>(AL157-AP157)</f>
        <v/>
      </c>
      <c r="AK157" s="104">
        <f>(AM157-AQ157)</f>
        <v/>
      </c>
      <c r="AL157" s="110">
        <f>S157+AI157</f>
        <v/>
      </c>
      <c r="AM157" s="110">
        <f>T157+AJ157</f>
        <v/>
      </c>
      <c r="AN157" s="104" t="n">
        <v>37680</v>
      </c>
      <c r="AO157" s="104" t="n">
        <v>17040</v>
      </c>
      <c r="AP157" s="104" t="n">
        <v>20640</v>
      </c>
      <c r="AQ157" s="104" t="n">
        <v>0</v>
      </c>
      <c r="AR157" s="104" t="n">
        <v>0</v>
      </c>
      <c r="AS157" s="104" t="n"/>
      <c r="AT157" s="104" t="n"/>
    </row>
    <row r="158" ht="12.65" customHeight="1" s="79">
      <c r="A158" s="104">
        <f>MIN(V158,R158)</f>
        <v/>
      </c>
      <c r="B158" s="104">
        <f>MIN(V158,U158)</f>
        <v/>
      </c>
      <c r="C158" s="104">
        <f>MIN(X158,R158)</f>
        <v/>
      </c>
      <c r="D158" s="104">
        <f>MIN(X158,U158)</f>
        <v/>
      </c>
      <c r="E158" s="104">
        <f>MIN((V158+AN158+AR158),U158)</f>
        <v/>
      </c>
      <c r="F158" s="104">
        <f>MAX(MIN((V158+AO158+AR158),R158),0)</f>
        <v/>
      </c>
      <c r="G158" s="104">
        <f>MAX(MIN(AP158,AL158),0)</f>
        <v/>
      </c>
      <c r="H158" s="104">
        <f>MAX(MIN(AQ158,AM158),0)</f>
        <v/>
      </c>
      <c r="I158" s="105" t="inlineStr">
        <is>
          <t>MAHIMA VOHRA</t>
        </is>
      </c>
      <c r="J158" s="106" t="inlineStr">
        <is>
          <t>NON FOOD</t>
        </is>
      </c>
      <c r="K158" s="107" t="inlineStr">
        <is>
          <t>NF_COLOR COSMETIC</t>
        </is>
      </c>
      <c r="L158" s="107" t="inlineStr">
        <is>
          <t>NF_CC_EYE</t>
        </is>
      </c>
      <c r="M158" s="107" t="inlineStr">
        <is>
          <t>KAJAL 100-[LSCC01]</t>
        </is>
      </c>
      <c r="N158" s="107" t="inlineStr">
        <is>
          <t>ACTIVE</t>
        </is>
      </c>
      <c r="O158" s="108" t="n">
        <v>0.0269933554817276</v>
      </c>
      <c r="P158" s="108" t="n">
        <v>0.0514853103420096</v>
      </c>
      <c r="Q158" s="109" t="n">
        <v>175</v>
      </c>
      <c r="R158" s="110" t="n">
        <v>2471</v>
      </c>
      <c r="S158" s="110" t="n">
        <v>76.2857199050903</v>
      </c>
      <c r="T158" s="110" t="n">
        <v>25.7135640938699</v>
      </c>
      <c r="U158" s="110" t="n">
        <v>2572.99928399896</v>
      </c>
      <c r="V158" s="104" t="n">
        <v>0</v>
      </c>
      <c r="W158" s="104" t="n">
        <v>0</v>
      </c>
      <c r="X158" s="104">
        <f>$V158+W158</f>
        <v/>
      </c>
      <c r="Y158" s="111">
        <f>IFERROR(A158/R158,0)</f>
        <v/>
      </c>
      <c r="Z158" s="111">
        <f>IFERROR(B158/U158,0)</f>
        <v/>
      </c>
      <c r="AA158" s="111">
        <f>IFERROR(C158/R158,0)</f>
        <v/>
      </c>
      <c r="AB158" s="111">
        <f>IFERROR(D158/U158,0)</f>
        <v/>
      </c>
      <c r="AD158" s="111">
        <f>IF(U158&gt;0,IFERROR(E158/U158,0),1)</f>
        <v/>
      </c>
      <c r="AE158" s="111">
        <f>IF(R158&gt;0,IFERROR(F158/R158,0),1)</f>
        <v/>
      </c>
      <c r="AF158" s="111">
        <f>IF(AL158&gt;0,IFERROR(G158/AL158,0),1)</f>
        <v/>
      </c>
      <c r="AG158" s="111">
        <f>IF(AM158&gt;0,IFERROR(H158/AM158,0),1)</f>
        <v/>
      </c>
      <c r="AH158" s="104">
        <f>U158-(V158+AN158+AR158)</f>
        <v/>
      </c>
      <c r="AI158" s="104">
        <f>R158-(V158+AO158+AR158)</f>
        <v/>
      </c>
      <c r="AJ158" s="104">
        <f>(AL158-AP158)</f>
        <v/>
      </c>
      <c r="AK158" s="104">
        <f>(AM158-AQ158)</f>
        <v/>
      </c>
      <c r="AL158" s="110">
        <f>S158+AI158</f>
        <v/>
      </c>
      <c r="AM158" s="110">
        <f>T158+AJ158</f>
        <v/>
      </c>
      <c r="AN158" s="104" t="n">
        <v>13440</v>
      </c>
      <c r="AO158" s="104" t="n">
        <v>11040</v>
      </c>
      <c r="AP158" s="104" t="n">
        <v>2400</v>
      </c>
      <c r="AQ158" s="104" t="n">
        <v>0</v>
      </c>
      <c r="AR158" s="104" t="n">
        <v>0</v>
      </c>
      <c r="AS158" s="104" t="n"/>
      <c r="AT158" s="104" t="n"/>
    </row>
    <row r="159" ht="12.65" customHeight="1" s="79">
      <c r="A159" s="104">
        <f>MIN(V159,R159)</f>
        <v/>
      </c>
      <c r="B159" s="104">
        <f>MIN(V159,U159)</f>
        <v/>
      </c>
      <c r="C159" s="104">
        <f>MIN(X159,R159)</f>
        <v/>
      </c>
      <c r="D159" s="104">
        <f>MIN(X159,U159)</f>
        <v/>
      </c>
      <c r="E159" s="104">
        <f>MIN((V159+AN159+AR159),U159)</f>
        <v/>
      </c>
      <c r="F159" s="104">
        <f>MAX(MIN((V159+AO159+AR159),R159),0)</f>
        <v/>
      </c>
      <c r="G159" s="104">
        <f>MAX(MIN(AP159,AL159),0)</f>
        <v/>
      </c>
      <c r="H159" s="104">
        <f>MAX(MIN(AQ159,AM159),0)</f>
        <v/>
      </c>
      <c r="I159" s="105" t="inlineStr">
        <is>
          <t>MAHIMA VOHRA</t>
        </is>
      </c>
      <c r="J159" s="106" t="inlineStr">
        <is>
          <t>NON FOOD</t>
        </is>
      </c>
      <c r="K159" s="107" t="inlineStr">
        <is>
          <t>NF_COLOR COSMETIC</t>
        </is>
      </c>
      <c r="L159" s="107" t="inlineStr">
        <is>
          <t>NF_CC_EYE</t>
        </is>
      </c>
      <c r="M159" s="107" t="inlineStr">
        <is>
          <t>MASCARA 135-[LSCC01]</t>
        </is>
      </c>
      <c r="N159" s="107" t="inlineStr">
        <is>
          <t>ACTIVE</t>
        </is>
      </c>
      <c r="O159" s="108" t="n">
        <v>0.00714686098654709</v>
      </c>
      <c r="P159" s="108" t="n">
        <v>0.0126905171864039</v>
      </c>
      <c r="Q159" s="109" t="n">
        <v>175</v>
      </c>
      <c r="R159" s="110" t="n">
        <v>447</v>
      </c>
      <c r="S159" s="110" t="n">
        <v>0</v>
      </c>
      <c r="T159" s="110" t="n">
        <v>0</v>
      </c>
      <c r="U159" s="110" t="n">
        <v>447</v>
      </c>
      <c r="V159" s="104" t="n">
        <v>0</v>
      </c>
      <c r="W159" s="104" t="n">
        <v>0</v>
      </c>
      <c r="X159" s="104">
        <f>$V159+W159</f>
        <v/>
      </c>
      <c r="Y159" s="111">
        <f>IFERROR(A159/R159,0)</f>
        <v/>
      </c>
      <c r="Z159" s="111">
        <f>IFERROR(B159/U159,0)</f>
        <v/>
      </c>
      <c r="AA159" s="111">
        <f>IFERROR(C159/R159,0)</f>
        <v/>
      </c>
      <c r="AB159" s="111">
        <f>IFERROR(D159/U159,0)</f>
        <v/>
      </c>
      <c r="AD159" s="111">
        <f>IF(U159&gt;0,IFERROR(E159/U159,0),1)</f>
        <v/>
      </c>
      <c r="AE159" s="111">
        <f>IF(R159&gt;0,IFERROR(F159/R159,0),1)</f>
        <v/>
      </c>
      <c r="AF159" s="111">
        <f>IF(AL159&gt;0,IFERROR(G159/AL159,0),1)</f>
        <v/>
      </c>
      <c r="AG159" s="111">
        <f>IF(AM159&gt;0,IFERROR(H159/AM159,0),1)</f>
        <v/>
      </c>
      <c r="AH159" s="104">
        <f>U159-(V159+AN159+AR159)</f>
        <v/>
      </c>
      <c r="AI159" s="104">
        <f>R159-(V159+AO159+AR159)</f>
        <v/>
      </c>
      <c r="AJ159" s="104">
        <f>(AL159-AP159)</f>
        <v/>
      </c>
      <c r="AK159" s="104">
        <f>(AM159-AQ159)</f>
        <v/>
      </c>
      <c r="AL159" s="110">
        <f>S159+AI159</f>
        <v/>
      </c>
      <c r="AM159" s="110">
        <f>T159+AJ159</f>
        <v/>
      </c>
      <c r="AN159" s="104" t="n">
        <v>0</v>
      </c>
      <c r="AO159" s="104" t="n">
        <v>0</v>
      </c>
      <c r="AP159" s="104" t="n">
        <v>0</v>
      </c>
      <c r="AQ159" s="104" t="n">
        <v>0</v>
      </c>
      <c r="AR159" s="104" t="n">
        <v>0</v>
      </c>
      <c r="AS159" s="104" t="n"/>
      <c r="AT159" s="104" t="n"/>
    </row>
    <row r="160" ht="12.65" customHeight="1" s="79">
      <c r="A160" s="104">
        <f>MIN(V160,R160)</f>
        <v/>
      </c>
      <c r="B160" s="104">
        <f>MIN(V160,U160)</f>
        <v/>
      </c>
      <c r="C160" s="104">
        <f>MIN(X160,R160)</f>
        <v/>
      </c>
      <c r="D160" s="104">
        <f>MIN(X160,U160)</f>
        <v/>
      </c>
      <c r="E160" s="104">
        <f>MIN((V160+AN160+AR160),U160)</f>
        <v/>
      </c>
      <c r="F160" s="104">
        <f>MAX(MIN((V160+AO160+AR160),R160),0)</f>
        <v/>
      </c>
      <c r="G160" s="104">
        <f>MAX(MIN(AP160,AL160),0)</f>
        <v/>
      </c>
      <c r="H160" s="104">
        <f>MAX(MIN(AQ160,AM160),0)</f>
        <v/>
      </c>
      <c r="I160" s="105" t="inlineStr">
        <is>
          <t>MAHIMA VOHRA</t>
        </is>
      </c>
      <c r="J160" s="106" t="inlineStr">
        <is>
          <t>NON FOOD</t>
        </is>
      </c>
      <c r="K160" s="107" t="inlineStr">
        <is>
          <t>NF_COLOR COSMETIC</t>
        </is>
      </c>
      <c r="L160" s="107" t="inlineStr">
        <is>
          <t>NF_CC_EYE</t>
        </is>
      </c>
      <c r="M160" s="107" t="inlineStr">
        <is>
          <t>LINER 79-[LSCC01]</t>
        </is>
      </c>
      <c r="N160" s="107" t="inlineStr">
        <is>
          <t>ACTIVE</t>
        </is>
      </c>
      <c r="O160" s="108" t="n">
        <v>0</v>
      </c>
      <c r="P160" s="108" t="n">
        <v>0</v>
      </c>
      <c r="Q160" s="109" t="n">
        <v>175</v>
      </c>
      <c r="R160" s="110" t="n">
        <v>258</v>
      </c>
      <c r="S160" s="110" t="n">
        <v>35.6571171722711</v>
      </c>
      <c r="T160" s="110" t="n">
        <v>0</v>
      </c>
      <c r="U160" s="110" t="n">
        <v>293.657117172271</v>
      </c>
      <c r="V160" s="104" t="n">
        <v>0</v>
      </c>
      <c r="W160" s="104" t="n">
        <v>0</v>
      </c>
      <c r="X160" s="104">
        <f>$V160+W160</f>
        <v/>
      </c>
      <c r="Y160" s="111">
        <f>IFERROR(A160/R160,0)</f>
        <v/>
      </c>
      <c r="Z160" s="111">
        <f>IFERROR(B160/U160,0)</f>
        <v/>
      </c>
      <c r="AA160" s="111">
        <f>IFERROR(C160/R160,0)</f>
        <v/>
      </c>
      <c r="AB160" s="111">
        <f>IFERROR(D160/U160,0)</f>
        <v/>
      </c>
      <c r="AD160" s="111">
        <f>IF(U160&gt;0,IFERROR(E160/U160,0),1)</f>
        <v/>
      </c>
      <c r="AE160" s="111">
        <f>IF(R160&gt;0,IFERROR(F160/R160,0),1)</f>
        <v/>
      </c>
      <c r="AF160" s="111">
        <f>IF(AL160&gt;0,IFERROR(G160/AL160,0),1)</f>
        <v/>
      </c>
      <c r="AG160" s="111">
        <f>IF(AM160&gt;0,IFERROR(H160/AM160,0),1)</f>
        <v/>
      </c>
      <c r="AH160" s="104">
        <f>U160-(V160+AN160+AR160)</f>
        <v/>
      </c>
      <c r="AI160" s="104">
        <f>R160-(V160+AO160+AR160)</f>
        <v/>
      </c>
      <c r="AJ160" s="104">
        <f>(AL160-AP160)</f>
        <v/>
      </c>
      <c r="AK160" s="104">
        <f>(AM160-AQ160)</f>
        <v/>
      </c>
      <c r="AL160" s="110">
        <f>S160+AI160</f>
        <v/>
      </c>
      <c r="AM160" s="110">
        <f>T160+AJ160</f>
        <v/>
      </c>
      <c r="AN160" s="104" t="n">
        <v>0</v>
      </c>
      <c r="AO160" s="104" t="n">
        <v>0</v>
      </c>
      <c r="AP160" s="104" t="n">
        <v>0</v>
      </c>
      <c r="AQ160" s="104" t="n">
        <v>0</v>
      </c>
      <c r="AR160" s="104" t="n">
        <v>0</v>
      </c>
      <c r="AS160" s="104" t="n"/>
      <c r="AT160" s="104" t="n"/>
    </row>
    <row r="161" ht="12.65" customHeight="1" s="79">
      <c r="A161" s="104">
        <f>MIN(V161,R161)</f>
        <v/>
      </c>
      <c r="B161" s="104">
        <f>MIN(V161,U161)</f>
        <v/>
      </c>
      <c r="C161" s="104">
        <f>MIN(X161,R161)</f>
        <v/>
      </c>
      <c r="D161" s="104">
        <f>MIN(X161,U161)</f>
        <v/>
      </c>
      <c r="E161" s="104">
        <f>MIN((V161+AN161+AR161),U161)</f>
        <v/>
      </c>
      <c r="F161" s="104">
        <f>MAX(MIN((V161+AO161+AR161),R161),0)</f>
        <v/>
      </c>
      <c r="G161" s="104">
        <f>MAX(MIN(AP161,AL161),0)</f>
        <v/>
      </c>
      <c r="H161" s="104">
        <f>MAX(MIN(AQ161,AM161),0)</f>
        <v/>
      </c>
      <c r="I161" s="105" t="inlineStr">
        <is>
          <t>MAHIMA VOHRA</t>
        </is>
      </c>
      <c r="J161" s="106" t="inlineStr">
        <is>
          <t>NON FOOD</t>
        </is>
      </c>
      <c r="K161" s="107" t="inlineStr">
        <is>
          <t>NF_COLOR COSMETIC</t>
        </is>
      </c>
      <c r="L161" s="107" t="inlineStr">
        <is>
          <t>NF_CC_FACE</t>
        </is>
      </c>
      <c r="M161" s="107" t="inlineStr">
        <is>
          <t>FND 99-[LSCC02]</t>
        </is>
      </c>
      <c r="N161" s="107" t="inlineStr">
        <is>
          <t>ACTIVE</t>
        </is>
      </c>
      <c r="O161" s="108" t="n">
        <v>0.013924946896389</v>
      </c>
      <c r="P161" s="108" t="n">
        <v>0.0248777744126682</v>
      </c>
      <c r="Q161" s="109" t="n">
        <v>169</v>
      </c>
      <c r="R161" s="110" t="n">
        <v>10576</v>
      </c>
      <c r="S161" s="110" t="n">
        <v>0</v>
      </c>
      <c r="T161" s="110" t="n">
        <v>0</v>
      </c>
      <c r="U161" s="110" t="n">
        <v>10576</v>
      </c>
      <c r="V161" s="104" t="n">
        <v>0</v>
      </c>
      <c r="W161" s="104" t="n">
        <v>0</v>
      </c>
      <c r="X161" s="104">
        <f>$V161+W161</f>
        <v/>
      </c>
      <c r="Y161" s="111">
        <f>IFERROR(A161/R161,0)</f>
        <v/>
      </c>
      <c r="Z161" s="111">
        <f>IFERROR(B161/U161,0)</f>
        <v/>
      </c>
      <c r="AA161" s="111">
        <f>IFERROR(C161/R161,0)</f>
        <v/>
      </c>
      <c r="AB161" s="111">
        <f>IFERROR(D161/U161,0)</f>
        <v/>
      </c>
      <c r="AD161" s="111">
        <f>IF(U161&gt;0,IFERROR(E161/U161,0),1)</f>
        <v/>
      </c>
      <c r="AE161" s="111">
        <f>IF(R161&gt;0,IFERROR(F161/R161,0),1)</f>
        <v/>
      </c>
      <c r="AF161" s="111">
        <f>IF(AL161&gt;0,IFERROR(G161/AL161,0),1)</f>
        <v/>
      </c>
      <c r="AG161" s="111">
        <f>IF(AM161&gt;0,IFERROR(H161/AM161,0),1)</f>
        <v/>
      </c>
      <c r="AH161" s="104">
        <f>U161-(V161+AN161+AR161)</f>
        <v/>
      </c>
      <c r="AI161" s="104">
        <f>R161-(V161+AO161+AR161)</f>
        <v/>
      </c>
      <c r="AJ161" s="104">
        <f>(AL161-AP161)</f>
        <v/>
      </c>
      <c r="AK161" s="104">
        <f>(AM161-AQ161)</f>
        <v/>
      </c>
      <c r="AL161" s="110">
        <f>S161+AI161</f>
        <v/>
      </c>
      <c r="AM161" s="110">
        <f>T161+AJ161</f>
        <v/>
      </c>
      <c r="AN161" s="104" t="n">
        <v>0</v>
      </c>
      <c r="AO161" s="104" t="n">
        <v>0</v>
      </c>
      <c r="AP161" s="104" t="n">
        <v>0</v>
      </c>
      <c r="AQ161" s="104" t="n">
        <v>0</v>
      </c>
      <c r="AR161" s="104" t="n">
        <v>0</v>
      </c>
      <c r="AS161" s="104" t="n"/>
      <c r="AT161" s="104" t="n"/>
    </row>
    <row r="162" ht="12.65" customHeight="1" s="79">
      <c r="A162" s="104">
        <f>MIN(V162,R162)</f>
        <v/>
      </c>
      <c r="B162" s="104">
        <f>MIN(V162,U162)</f>
        <v/>
      </c>
      <c r="C162" s="104">
        <f>MIN(X162,R162)</f>
        <v/>
      </c>
      <c r="D162" s="104">
        <f>MIN(X162,U162)</f>
        <v/>
      </c>
      <c r="E162" s="104">
        <f>MIN((V162+AN162+AR162),U162)</f>
        <v/>
      </c>
      <c r="F162" s="104">
        <f>MAX(MIN((V162+AO162+AR162),R162),0)</f>
        <v/>
      </c>
      <c r="G162" s="104">
        <f>MAX(MIN(AP162,AL162),0)</f>
        <v/>
      </c>
      <c r="H162" s="104">
        <f>MAX(MIN(AQ162,AM162),0)</f>
        <v/>
      </c>
      <c r="I162" s="105" t="inlineStr">
        <is>
          <t>MAHIMA VOHRA</t>
        </is>
      </c>
      <c r="J162" s="106" t="inlineStr">
        <is>
          <t>NON FOOD</t>
        </is>
      </c>
      <c r="K162" s="107" t="inlineStr">
        <is>
          <t>NF_COLOR COSMETIC</t>
        </is>
      </c>
      <c r="L162" s="107" t="inlineStr">
        <is>
          <t>NF_CC_LIPS</t>
        </is>
      </c>
      <c r="M162" s="107" t="inlineStr">
        <is>
          <t>DRY 99-[LSCC03]</t>
        </is>
      </c>
      <c r="N162" s="107" t="inlineStr">
        <is>
          <t>ACTIVE</t>
        </is>
      </c>
      <c r="O162" s="108" t="n">
        <v>0.0268813955362179</v>
      </c>
      <c r="P162" s="108" t="n">
        <v>0.0392935023654642</v>
      </c>
      <c r="Q162" s="109" t="n">
        <v>104</v>
      </c>
      <c r="R162" s="110" t="n">
        <v>3162</v>
      </c>
      <c r="S162" s="110" t="n">
        <v>908.673634289564</v>
      </c>
      <c r="T162" s="110" t="n">
        <v>536.2047046234881</v>
      </c>
      <c r="U162" s="110" t="n">
        <v>4606.87833891305</v>
      </c>
      <c r="V162" s="104" t="n">
        <v>0</v>
      </c>
      <c r="W162" s="104" t="n">
        <v>0</v>
      </c>
      <c r="X162" s="104">
        <f>$V162+W162</f>
        <v/>
      </c>
      <c r="Y162" s="111">
        <f>IFERROR(A162/R162,0)</f>
        <v/>
      </c>
      <c r="Z162" s="111">
        <f>IFERROR(B162/U162,0)</f>
        <v/>
      </c>
      <c r="AA162" s="111">
        <f>IFERROR(C162/R162,0)</f>
        <v/>
      </c>
      <c r="AB162" s="111">
        <f>IFERROR(D162/U162,0)</f>
        <v/>
      </c>
      <c r="AD162" s="111">
        <f>IF(U162&gt;0,IFERROR(E162/U162,0),1)</f>
        <v/>
      </c>
      <c r="AE162" s="111">
        <f>IF(R162&gt;0,IFERROR(F162/R162,0),1)</f>
        <v/>
      </c>
      <c r="AF162" s="111">
        <f>IF(AL162&gt;0,IFERROR(G162/AL162,0),1)</f>
        <v/>
      </c>
      <c r="AG162" s="111">
        <f>IF(AM162&gt;0,IFERROR(H162/AM162,0),1)</f>
        <v/>
      </c>
      <c r="AH162" s="104">
        <f>U162-(V162+AN162+AR162)</f>
        <v/>
      </c>
      <c r="AI162" s="104">
        <f>R162-(V162+AO162+AR162)</f>
        <v/>
      </c>
      <c r="AJ162" s="104">
        <f>(AL162-AP162)</f>
        <v/>
      </c>
      <c r="AK162" s="104">
        <f>(AM162-AQ162)</f>
        <v/>
      </c>
      <c r="AL162" s="110">
        <f>S162+AI162</f>
        <v/>
      </c>
      <c r="AM162" s="110">
        <f>T162+AJ162</f>
        <v/>
      </c>
      <c r="AN162" s="104" t="n">
        <v>0</v>
      </c>
      <c r="AO162" s="104" t="n">
        <v>0</v>
      </c>
      <c r="AP162" s="104" t="n">
        <v>0</v>
      </c>
      <c r="AQ162" s="104" t="n">
        <v>0</v>
      </c>
      <c r="AR162" s="104" t="n">
        <v>0</v>
      </c>
      <c r="AS162" s="104" t="n"/>
      <c r="AT162" s="104" t="n"/>
    </row>
    <row r="163" ht="12.65" customHeight="1" s="79">
      <c r="A163" s="104">
        <f>MIN(V163,R163)</f>
        <v/>
      </c>
      <c r="B163" s="104">
        <f>MIN(V163,U163)</f>
        <v/>
      </c>
      <c r="C163" s="104">
        <f>MIN(X163,R163)</f>
        <v/>
      </c>
      <c r="D163" s="104">
        <f>MIN(X163,U163)</f>
        <v/>
      </c>
      <c r="E163" s="104">
        <f>MIN((V163+AN163+AR163),U163)</f>
        <v/>
      </c>
      <c r="F163" s="104">
        <f>MAX(MIN((V163+AO163+AR163),R163),0)</f>
        <v/>
      </c>
      <c r="G163" s="104">
        <f>MAX(MIN(AP163,AL163),0)</f>
        <v/>
      </c>
      <c r="H163" s="104">
        <f>MAX(MIN(AQ163,AM163),0)</f>
        <v/>
      </c>
      <c r="I163" s="105" t="inlineStr">
        <is>
          <t>MAHIMA VOHRA</t>
        </is>
      </c>
      <c r="J163" s="106" t="inlineStr">
        <is>
          <t>NON FOOD</t>
        </is>
      </c>
      <c r="K163" s="107" t="inlineStr">
        <is>
          <t>NF_COLOR COSMETIC</t>
        </is>
      </c>
      <c r="L163" s="107" t="inlineStr">
        <is>
          <t>NF_CC_LIPS</t>
        </is>
      </c>
      <c r="M163" s="107" t="inlineStr">
        <is>
          <t>DBL 99-[LSCC03]</t>
        </is>
      </c>
      <c r="N163" s="107" t="inlineStr">
        <is>
          <t>ACTIVE</t>
        </is>
      </c>
      <c r="O163" s="108" t="n">
        <v>0.0526192363054131</v>
      </c>
      <c r="P163" s="108" t="n">
        <v>0.0706739297656238</v>
      </c>
      <c r="Q163" s="109" t="n">
        <v>104</v>
      </c>
      <c r="R163" s="110" t="n">
        <v>2133</v>
      </c>
      <c r="S163" s="110" t="n">
        <v>1282.99865619476</v>
      </c>
      <c r="T163" s="110" t="n">
        <v>837.551531423213</v>
      </c>
      <c r="U163" s="110" t="n">
        <v>4253.55018761797</v>
      </c>
      <c r="V163" s="104" t="n">
        <v>0</v>
      </c>
      <c r="W163" s="104" t="n">
        <v>14400</v>
      </c>
      <c r="X163" s="104">
        <f>$V163+W163</f>
        <v/>
      </c>
      <c r="Y163" s="111">
        <f>IFERROR(A163/R163,0)</f>
        <v/>
      </c>
      <c r="Z163" s="111">
        <f>IFERROR(B163/U163,0)</f>
        <v/>
      </c>
      <c r="AA163" s="111">
        <f>IFERROR(C163/R163,0)</f>
        <v/>
      </c>
      <c r="AB163" s="111">
        <f>IFERROR(D163/U163,0)</f>
        <v/>
      </c>
      <c r="AD163" s="111">
        <f>IF(U163&gt;0,IFERROR(E163/U163,0),1)</f>
        <v/>
      </c>
      <c r="AE163" s="111">
        <f>IF(R163&gt;0,IFERROR(F163/R163,0),1)</f>
        <v/>
      </c>
      <c r="AF163" s="111">
        <f>IF(AL163&gt;0,IFERROR(G163/AL163,0),1)</f>
        <v/>
      </c>
      <c r="AG163" s="111">
        <f>IF(AM163&gt;0,IFERROR(H163/AM163,0),1)</f>
        <v/>
      </c>
      <c r="AH163" s="104">
        <f>U163-(V163+AN163+AR163)</f>
        <v/>
      </c>
      <c r="AI163" s="104">
        <f>R163-(V163+AO163+AR163)</f>
        <v/>
      </c>
      <c r="AJ163" s="104">
        <f>(AL163-AP163)</f>
        <v/>
      </c>
      <c r="AK163" s="104">
        <f>(AM163-AQ163)</f>
        <v/>
      </c>
      <c r="AL163" s="110">
        <f>S163+AI163</f>
        <v/>
      </c>
      <c r="AM163" s="110">
        <f>T163+AJ163</f>
        <v/>
      </c>
      <c r="AN163" s="104" t="n">
        <v>72000</v>
      </c>
      <c r="AO163" s="104" t="n">
        <v>36000</v>
      </c>
      <c r="AP163" s="104" t="n">
        <v>36000</v>
      </c>
      <c r="AQ163" s="104" t="n">
        <v>0</v>
      </c>
      <c r="AR163" s="104" t="n">
        <v>0</v>
      </c>
      <c r="AS163" s="104" t="n"/>
      <c r="AT163" s="104" t="n"/>
    </row>
    <row r="164" ht="12.65" customHeight="1" s="79">
      <c r="A164" s="104">
        <f>MIN(V164,R164)</f>
        <v/>
      </c>
      <c r="B164" s="104">
        <f>MIN(V164,U164)</f>
        <v/>
      </c>
      <c r="C164" s="104">
        <f>MIN(X164,R164)</f>
        <v/>
      </c>
      <c r="D164" s="104">
        <f>MIN(X164,U164)</f>
        <v/>
      </c>
      <c r="E164" s="104">
        <f>MIN((V164+AN164+AR164),U164)</f>
        <v/>
      </c>
      <c r="F164" s="104">
        <f>MAX(MIN((V164+AO164+AR164),R164),0)</f>
        <v/>
      </c>
      <c r="G164" s="104">
        <f>MAX(MIN(AP164,AL164),0)</f>
        <v/>
      </c>
      <c r="H164" s="104">
        <f>MAX(MIN(AQ164,AM164),0)</f>
        <v/>
      </c>
      <c r="I164" s="105" t="inlineStr">
        <is>
          <t>MAHIMA VOHRA</t>
        </is>
      </c>
      <c r="J164" s="106" t="inlineStr">
        <is>
          <t>NON FOOD</t>
        </is>
      </c>
      <c r="K164" s="107" t="inlineStr">
        <is>
          <t>NF_COLOR COSMETIC</t>
        </is>
      </c>
      <c r="L164" s="107" t="inlineStr">
        <is>
          <t>NF_CC_LIPS</t>
        </is>
      </c>
      <c r="M164" s="107" t="inlineStr">
        <is>
          <t>LQD 99-[LSCC03]</t>
        </is>
      </c>
      <c r="N164" s="107" t="inlineStr">
        <is>
          <t>INACTIVE</t>
        </is>
      </c>
      <c r="O164" s="108" t="n">
        <v>0</v>
      </c>
      <c r="P164" s="108" t="n">
        <v>0</v>
      </c>
      <c r="Q164" s="109" t="n">
        <v>104</v>
      </c>
      <c r="R164" s="110" t="n">
        <v>0</v>
      </c>
      <c r="S164" s="110" t="n">
        <v>0</v>
      </c>
      <c r="T164" s="110" t="n">
        <v>0</v>
      </c>
      <c r="U164" s="110" t="n">
        <v>0</v>
      </c>
      <c r="V164" s="104" t="n">
        <v>0</v>
      </c>
      <c r="W164" s="104" t="n">
        <v>0</v>
      </c>
      <c r="X164" s="104">
        <f>$V164+W164</f>
        <v/>
      </c>
      <c r="Y164" s="111">
        <f>IFERROR(A164/R164,0)</f>
        <v/>
      </c>
      <c r="Z164" s="111">
        <f>IFERROR(B164/U164,0)</f>
        <v/>
      </c>
      <c r="AA164" s="111">
        <f>IFERROR(C164/R164,0)</f>
        <v/>
      </c>
      <c r="AB164" s="111">
        <f>IFERROR(D164/U164,0)</f>
        <v/>
      </c>
      <c r="AD164" s="111">
        <f>IF(U164&gt;0,IFERROR(E164/U164,0),1)</f>
        <v/>
      </c>
      <c r="AE164" s="111">
        <f>IF(R164&gt;0,IFERROR(F164/R164,0),1)</f>
        <v/>
      </c>
      <c r="AF164" s="111">
        <f>IF(AL164&gt;0,IFERROR(G164/AL164,0),1)</f>
        <v/>
      </c>
      <c r="AG164" s="111">
        <f>IF(AM164&gt;0,IFERROR(H164/AM164,0),1)</f>
        <v/>
      </c>
      <c r="AH164" s="104">
        <f>U164-(V164+AN164+AR164)</f>
        <v/>
      </c>
      <c r="AI164" s="104">
        <f>R164-(V164+AO164+AR164)</f>
        <v/>
      </c>
      <c r="AJ164" s="104">
        <f>(AL164-AP164)</f>
        <v/>
      </c>
      <c r="AK164" s="104">
        <f>(AM164-AQ164)</f>
        <v/>
      </c>
      <c r="AL164" s="110">
        <f>S164+AI164</f>
        <v/>
      </c>
      <c r="AM164" s="110">
        <f>T164+AJ164</f>
        <v/>
      </c>
      <c r="AN164" s="104" t="n">
        <v>57600</v>
      </c>
      <c r="AO164" s="104" t="n">
        <v>28800</v>
      </c>
      <c r="AP164" s="104" t="n">
        <v>28800</v>
      </c>
      <c r="AQ164" s="104" t="n">
        <v>0</v>
      </c>
      <c r="AR164" s="104" t="n">
        <v>0</v>
      </c>
      <c r="AS164" s="104" t="n"/>
      <c r="AT164" s="104" t="n"/>
    </row>
    <row r="165" ht="12.65" customHeight="1" s="79">
      <c r="A165" s="104">
        <f>MIN(V165,R165)</f>
        <v/>
      </c>
      <c r="B165" s="104">
        <f>MIN(V165,U165)</f>
        <v/>
      </c>
      <c r="C165" s="104">
        <f>MIN(X165,R165)</f>
        <v/>
      </c>
      <c r="D165" s="104">
        <f>MIN(X165,U165)</f>
        <v/>
      </c>
      <c r="E165" s="104">
        <f>MIN((V165+AN165+AR165),U165)</f>
        <v/>
      </c>
      <c r="F165" s="104">
        <f>MAX(MIN((V165+AO165+AR165),R165),0)</f>
        <v/>
      </c>
      <c r="G165" s="104">
        <f>MAX(MIN(AP165,AL165),0)</f>
        <v/>
      </c>
      <c r="H165" s="104">
        <f>MAX(MIN(AQ165,AM165),0)</f>
        <v/>
      </c>
      <c r="I165" s="105" t="inlineStr">
        <is>
          <t>MAHIMA VOHRA</t>
        </is>
      </c>
      <c r="J165" s="106" t="inlineStr">
        <is>
          <t>NON FOOD</t>
        </is>
      </c>
      <c r="K165" s="107" t="inlineStr">
        <is>
          <t>NF_COLOR COSMETIC</t>
        </is>
      </c>
      <c r="L165" s="107" t="inlineStr">
        <is>
          <t>NF_CC_NAILS</t>
        </is>
      </c>
      <c r="M165" s="107" t="inlineStr">
        <is>
          <t>NAIL PAINT 49-[LSCC04]</t>
        </is>
      </c>
      <c r="N165" s="107" t="inlineStr">
        <is>
          <t>ACTIVE</t>
        </is>
      </c>
      <c r="O165" s="108" t="n">
        <v>0.164795335767817</v>
      </c>
      <c r="P165" s="108" t="n">
        <v>0.127517815048636</v>
      </c>
      <c r="Q165" s="109" t="n">
        <v>42</v>
      </c>
      <c r="R165" s="110" t="n">
        <v>30905</v>
      </c>
      <c r="S165" s="110" t="n">
        <v>25025.2532269331</v>
      </c>
      <c r="T165" s="110" t="n">
        <v>28546.6268293846</v>
      </c>
      <c r="U165" s="110" t="n">
        <v>84476.88005631771</v>
      </c>
      <c r="V165" s="104" t="n">
        <v>26496</v>
      </c>
      <c r="W165" s="104" t="n">
        <v>0</v>
      </c>
      <c r="X165" s="104">
        <f>$V165+W165</f>
        <v/>
      </c>
      <c r="Y165" s="111">
        <f>IFERROR(A165/R165,0)</f>
        <v/>
      </c>
      <c r="Z165" s="111">
        <f>IFERROR(B165/U165,0)</f>
        <v/>
      </c>
      <c r="AA165" s="111">
        <f>IFERROR(C165/R165,0)</f>
        <v/>
      </c>
      <c r="AB165" s="111">
        <f>IFERROR(D165/U165,0)</f>
        <v/>
      </c>
      <c r="AD165" s="111">
        <f>IF(U165&gt;0,IFERROR(E165/U165,0),1)</f>
        <v/>
      </c>
      <c r="AE165" s="111">
        <f>IF(R165&gt;0,IFERROR(F165/R165,0),1)</f>
        <v/>
      </c>
      <c r="AF165" s="111">
        <f>IF(AL165&gt;0,IFERROR(G165/AL165,0),1)</f>
        <v/>
      </c>
      <c r="AG165" s="111">
        <f>IF(AM165&gt;0,IFERROR(H165/AM165,0),1)</f>
        <v/>
      </c>
      <c r="AH165" s="104">
        <f>U165-(V165+AN165+AR165)</f>
        <v/>
      </c>
      <c r="AI165" s="104">
        <f>R165-(V165+AO165+AR165)</f>
        <v/>
      </c>
      <c r="AJ165" s="104">
        <f>(AL165-AP165)</f>
        <v/>
      </c>
      <c r="AK165" s="104">
        <f>(AM165-AQ165)</f>
        <v/>
      </c>
      <c r="AL165" s="110">
        <f>S165+AI165</f>
        <v/>
      </c>
      <c r="AM165" s="110">
        <f>T165+AJ165</f>
        <v/>
      </c>
      <c r="AN165" s="104" t="n">
        <v>52416</v>
      </c>
      <c r="AO165" s="104" t="n">
        <v>26496</v>
      </c>
      <c r="AP165" s="104" t="n">
        <v>25920</v>
      </c>
      <c r="AQ165" s="104" t="n">
        <v>0</v>
      </c>
      <c r="AR165" s="104" t="n">
        <v>0</v>
      </c>
      <c r="AS165" s="104" t="n"/>
      <c r="AT165" s="104" t="n"/>
    </row>
    <row r="166" ht="12.65" customHeight="1" s="79">
      <c r="A166" s="104">
        <f>MIN(V166,R166)</f>
        <v/>
      </c>
      <c r="B166" s="104">
        <f>MIN(V166,U166)</f>
        <v/>
      </c>
      <c r="C166" s="104">
        <f>MIN(X166,R166)</f>
        <v/>
      </c>
      <c r="D166" s="104">
        <f>MIN(X166,U166)</f>
        <v/>
      </c>
      <c r="E166" s="104">
        <f>MIN((V166+AN166+AR166),U166)</f>
        <v/>
      </c>
      <c r="F166" s="104">
        <f>MAX(MIN((V166+AO166+AR166),R166),0)</f>
        <v/>
      </c>
      <c r="G166" s="104">
        <f>MAX(MIN(AP166,AL166),0)</f>
        <v/>
      </c>
      <c r="H166" s="104">
        <f>MAX(MIN(AQ166,AM166),0)</f>
        <v/>
      </c>
      <c r="I166" s="105" t="inlineStr">
        <is>
          <t>MAHIMA VOHRA</t>
        </is>
      </c>
      <c r="J166" s="106" t="inlineStr">
        <is>
          <t>NON FOOD</t>
        </is>
      </c>
      <c r="K166" s="107" t="inlineStr">
        <is>
          <t>NF_COLOR COSMETIC</t>
        </is>
      </c>
      <c r="L166" s="107" t="inlineStr">
        <is>
          <t>NF_CC_NAILS</t>
        </is>
      </c>
      <c r="M166" s="107" t="inlineStr">
        <is>
          <t>NAIL PAINT 39-[LSCC04]</t>
        </is>
      </c>
      <c r="N166" s="107" t="inlineStr">
        <is>
          <t>ACTIVE</t>
        </is>
      </c>
      <c r="O166" s="108" t="n">
        <v>0.135447753745421</v>
      </c>
      <c r="P166" s="108" t="n">
        <v>0.106706326646634</v>
      </c>
      <c r="Q166" s="109" t="n">
        <v>42</v>
      </c>
      <c r="R166" s="110" t="n">
        <v>31631</v>
      </c>
      <c r="S166" s="110" t="n">
        <v>22093.7275553289</v>
      </c>
      <c r="T166" s="110" t="n">
        <v>24738.6973352902</v>
      </c>
      <c r="U166" s="110" t="n">
        <v>78463.42489061911</v>
      </c>
      <c r="V166" s="104" t="n">
        <v>20016</v>
      </c>
      <c r="W166" s="104" t="n">
        <v>0</v>
      </c>
      <c r="X166" s="104">
        <f>$V166+W166</f>
        <v/>
      </c>
      <c r="Y166" s="111">
        <f>IFERROR(A166/R166,0)</f>
        <v/>
      </c>
      <c r="Z166" s="111">
        <f>IFERROR(B166/U166,0)</f>
        <v/>
      </c>
      <c r="AA166" s="111">
        <f>IFERROR(C166/R166,0)</f>
        <v/>
      </c>
      <c r="AB166" s="111">
        <f>IFERROR(D166/U166,0)</f>
        <v/>
      </c>
      <c r="AD166" s="111">
        <f>IF(U166&gt;0,IFERROR(E166/U166,0),1)</f>
        <v/>
      </c>
      <c r="AE166" s="111">
        <f>IF(R166&gt;0,IFERROR(F166/R166,0),1)</f>
        <v/>
      </c>
      <c r="AF166" s="111">
        <f>IF(AL166&gt;0,IFERROR(G166/AL166,0),1)</f>
        <v/>
      </c>
      <c r="AG166" s="111">
        <f>IF(AM166&gt;0,IFERROR(H166/AM166,0),1)</f>
        <v/>
      </c>
      <c r="AH166" s="104">
        <f>U166-(V166+AN166+AR166)</f>
        <v/>
      </c>
      <c r="AI166" s="104">
        <f>R166-(V166+AO166+AR166)</f>
        <v/>
      </c>
      <c r="AJ166" s="104">
        <f>(AL166-AP166)</f>
        <v/>
      </c>
      <c r="AK166" s="104">
        <f>(AM166-AQ166)</f>
        <v/>
      </c>
      <c r="AL166" s="110">
        <f>S166+AI166</f>
        <v/>
      </c>
      <c r="AM166" s="110">
        <f>T166+AJ166</f>
        <v/>
      </c>
      <c r="AN166" s="104" t="n">
        <v>43056</v>
      </c>
      <c r="AO166" s="104" t="n">
        <v>20016</v>
      </c>
      <c r="AP166" s="104" t="n">
        <v>23040</v>
      </c>
      <c r="AQ166" s="104" t="n">
        <v>0</v>
      </c>
      <c r="AR166" s="104" t="n">
        <v>0</v>
      </c>
      <c r="AS166" s="104" t="n"/>
      <c r="AT166" s="104" t="n"/>
    </row>
    <row r="167" ht="12.65" customHeight="1" s="79">
      <c r="A167" s="104">
        <f>MIN(V167,R167)</f>
        <v/>
      </c>
      <c r="B167" s="104">
        <f>MIN(V167,U167)</f>
        <v/>
      </c>
      <c r="C167" s="104">
        <f>MIN(X167,R167)</f>
        <v/>
      </c>
      <c r="D167" s="104">
        <f>MIN(X167,U167)</f>
        <v/>
      </c>
      <c r="E167" s="104">
        <f>MIN((V167+AN167+AR167),U167)</f>
        <v/>
      </c>
      <c r="F167" s="104">
        <f>MAX(MIN((V167+AO167+AR167),R167),0)</f>
        <v/>
      </c>
      <c r="G167" s="104">
        <f>MAX(MIN(AP167,AL167),0)</f>
        <v/>
      </c>
      <c r="H167" s="104">
        <f>MAX(MIN(AQ167,AM167),0)</f>
        <v/>
      </c>
      <c r="I167" s="105" t="inlineStr">
        <is>
          <t>MAHIMA VOHRA</t>
        </is>
      </c>
      <c r="J167" s="106" t="inlineStr">
        <is>
          <t>NON FOOD</t>
        </is>
      </c>
      <c r="K167" s="107" t="inlineStr">
        <is>
          <t>NF_COLOR COSMETIC</t>
        </is>
      </c>
      <c r="L167" s="107" t="inlineStr">
        <is>
          <t>NF_CC_NAILS</t>
        </is>
      </c>
      <c r="M167" s="107" t="inlineStr">
        <is>
          <t>REMOVER 79-[LSCC04]</t>
        </is>
      </c>
      <c r="N167" s="107" t="inlineStr">
        <is>
          <t>ACTIVE</t>
        </is>
      </c>
      <c r="O167" s="108" t="n">
        <v>0.0234303681915002</v>
      </c>
      <c r="P167" s="108" t="n">
        <v>0.0562826420890937</v>
      </c>
      <c r="Q167" s="109" t="n">
        <v>42</v>
      </c>
      <c r="R167" s="110" t="n">
        <v>3182</v>
      </c>
      <c r="S167" s="110" t="n">
        <v>992.201964569663</v>
      </c>
      <c r="T167" s="110" t="n">
        <v>1051.53383960425</v>
      </c>
      <c r="U167" s="110" t="n">
        <v>5225.73580417391</v>
      </c>
      <c r="V167" s="104" t="n">
        <v>0</v>
      </c>
      <c r="W167" s="104" t="n">
        <v>0</v>
      </c>
      <c r="X167" s="104">
        <f>$V167+W167</f>
        <v/>
      </c>
      <c r="Y167" s="111">
        <f>IFERROR(A167/R167,0)</f>
        <v/>
      </c>
      <c r="Z167" s="111">
        <f>IFERROR(B167/U167,0)</f>
        <v/>
      </c>
      <c r="AA167" s="111">
        <f>IFERROR(C167/R167,0)</f>
        <v/>
      </c>
      <c r="AB167" s="111">
        <f>IFERROR(D167/U167,0)</f>
        <v/>
      </c>
      <c r="AD167" s="111">
        <f>IF(U167&gt;0,IFERROR(E167/U167,0),1)</f>
        <v/>
      </c>
      <c r="AE167" s="111">
        <f>IF(R167&gt;0,IFERROR(F167/R167,0),1)</f>
        <v/>
      </c>
      <c r="AF167" s="111">
        <f>IF(AL167&gt;0,IFERROR(G167/AL167,0),1)</f>
        <v/>
      </c>
      <c r="AG167" s="111">
        <f>IF(AM167&gt;0,IFERROR(H167/AM167,0),1)</f>
        <v/>
      </c>
      <c r="AH167" s="104">
        <f>U167-(V167+AN167+AR167)</f>
        <v/>
      </c>
      <c r="AI167" s="104">
        <f>R167-(V167+AO167+AR167)</f>
        <v/>
      </c>
      <c r="AJ167" s="104">
        <f>(AL167-AP167)</f>
        <v/>
      </c>
      <c r="AK167" s="104">
        <f>(AM167-AQ167)</f>
        <v/>
      </c>
      <c r="AL167" s="110">
        <f>S167+AI167</f>
        <v/>
      </c>
      <c r="AM167" s="110">
        <f>T167+AJ167</f>
        <v/>
      </c>
      <c r="AN167" s="104" t="n">
        <v>24312</v>
      </c>
      <c r="AO167" s="104" t="n">
        <v>19512</v>
      </c>
      <c r="AP167" s="104" t="n">
        <v>4800</v>
      </c>
      <c r="AQ167" s="104" t="n">
        <v>0</v>
      </c>
      <c r="AR167" s="104" t="n">
        <v>0</v>
      </c>
      <c r="AS167" s="104" t="n"/>
      <c r="AT167" s="104" t="n"/>
    </row>
    <row r="168" ht="12.65" customHeight="1" s="79">
      <c r="A168" s="104">
        <f>MIN(V168,R168)</f>
        <v/>
      </c>
      <c r="B168" s="104">
        <f>MIN(V168,U168)</f>
        <v/>
      </c>
      <c r="C168" s="104">
        <f>MIN(X168,R168)</f>
        <v/>
      </c>
      <c r="D168" s="104">
        <f>MIN(X168,U168)</f>
        <v/>
      </c>
      <c r="E168" s="104">
        <f>MIN((V168+AN168+AR168),U168)</f>
        <v/>
      </c>
      <c r="F168" s="104">
        <f>MAX(MIN((V168+AO168+AR168),R168),0)</f>
        <v/>
      </c>
      <c r="G168" s="104">
        <f>MAX(MIN(AP168,AL168),0)</f>
        <v/>
      </c>
      <c r="H168" s="104">
        <f>MAX(MIN(AQ168,AM168),0)</f>
        <v/>
      </c>
      <c r="I168" s="105" t="inlineStr">
        <is>
          <t>MAHIMA VOHRA</t>
        </is>
      </c>
      <c r="J168" s="106" t="inlineStr">
        <is>
          <t>NON FOOD</t>
        </is>
      </c>
      <c r="K168" s="107" t="inlineStr">
        <is>
          <t>NF_COLOR COSMETIC</t>
        </is>
      </c>
      <c r="L168" s="107" t="inlineStr">
        <is>
          <t>NF_CC_SANITARY PAD</t>
        </is>
      </c>
      <c r="M168" s="107" t="inlineStr">
        <is>
          <t>STPD 49-[LSCC07]</t>
        </is>
      </c>
      <c r="N168" s="107" t="inlineStr">
        <is>
          <t>ACTIVE</t>
        </is>
      </c>
      <c r="O168" s="108" t="n">
        <v>0.157992565055762</v>
      </c>
      <c r="P168" s="108" t="n">
        <v>0.170332241459991</v>
      </c>
      <c r="Q168" s="109" t="n">
        <v>179</v>
      </c>
      <c r="R168" s="110" t="n">
        <v>0</v>
      </c>
      <c r="S168" s="110" t="n">
        <v>0</v>
      </c>
      <c r="T168" s="110" t="n">
        <v>0</v>
      </c>
      <c r="U168" s="110" t="n">
        <v>0</v>
      </c>
      <c r="V168" s="104" t="n">
        <v>14399</v>
      </c>
      <c r="W168" s="104" t="n">
        <v>0</v>
      </c>
      <c r="X168" s="104">
        <f>$V168+W168</f>
        <v/>
      </c>
      <c r="Y168" s="111">
        <f>IFERROR(A168/R168,0)</f>
        <v/>
      </c>
      <c r="Z168" s="111">
        <f>IFERROR(B168/U168,0)</f>
        <v/>
      </c>
      <c r="AA168" s="111">
        <f>IFERROR(C168/R168,0)</f>
        <v/>
      </c>
      <c r="AB168" s="111">
        <f>IFERROR(D168/U168,0)</f>
        <v/>
      </c>
      <c r="AD168" s="111">
        <f>IF(U168&gt;0,IFERROR(E168/U168,0),1)</f>
        <v/>
      </c>
      <c r="AE168" s="111">
        <f>IF(R168&gt;0,IFERROR(F168/R168,0),1)</f>
        <v/>
      </c>
      <c r="AF168" s="111">
        <f>IF(AL168&gt;0,IFERROR(G168/AL168,0),1)</f>
        <v/>
      </c>
      <c r="AG168" s="111">
        <f>IF(AM168&gt;0,IFERROR(H168/AM168,0),1)</f>
        <v/>
      </c>
      <c r="AH168" s="104">
        <f>U168-(V168+AN168+AR168)</f>
        <v/>
      </c>
      <c r="AI168" s="104">
        <f>R168-(V168+AO168+AR168)</f>
        <v/>
      </c>
      <c r="AJ168" s="104">
        <f>(AL168-AP168)</f>
        <v/>
      </c>
      <c r="AK168" s="104">
        <f>(AM168-AQ168)</f>
        <v/>
      </c>
      <c r="AL168" s="110">
        <f>S168+AI168</f>
        <v/>
      </c>
      <c r="AM168" s="110">
        <f>T168+AJ168</f>
        <v/>
      </c>
      <c r="AN168" s="104" t="n">
        <v>91200</v>
      </c>
      <c r="AO168" s="104" t="n">
        <v>43200</v>
      </c>
      <c r="AP168" s="104" t="n">
        <v>24000</v>
      </c>
      <c r="AQ168" s="104" t="n">
        <v>24000</v>
      </c>
      <c r="AR168" s="104" t="n">
        <v>0</v>
      </c>
      <c r="AS168" s="104" t="n"/>
      <c r="AT168" s="104" t="n"/>
    </row>
    <row r="169" ht="12.65" customHeight="1" s="79">
      <c r="A169" s="104">
        <f>MIN(V169,R169)</f>
        <v/>
      </c>
      <c r="B169" s="104">
        <f>MIN(V169,U169)</f>
        <v/>
      </c>
      <c r="C169" s="104">
        <f>MIN(X169,R169)</f>
        <v/>
      </c>
      <c r="D169" s="104">
        <f>MIN(X169,U169)</f>
        <v/>
      </c>
      <c r="E169" s="104">
        <f>MIN((V169+AN169+AR169),U169)</f>
        <v/>
      </c>
      <c r="F169" s="104">
        <f>MAX(MIN((V169+AO169+AR169),R169),0)</f>
        <v/>
      </c>
      <c r="G169" s="104">
        <f>MAX(MIN(AP169,AL169),0)</f>
        <v/>
      </c>
      <c r="H169" s="104">
        <f>MAX(MIN(AQ169,AM169),0)</f>
        <v/>
      </c>
      <c r="I169" s="105" t="inlineStr">
        <is>
          <t>MAHIMA VOHRA</t>
        </is>
      </c>
      <c r="J169" s="106" t="inlineStr">
        <is>
          <t>NON FOOD</t>
        </is>
      </c>
      <c r="K169" s="107" t="inlineStr">
        <is>
          <t>NF_COLOR COSMETIC</t>
        </is>
      </c>
      <c r="L169" s="107" t="inlineStr">
        <is>
          <t>NF_CC_SHEET MASK</t>
        </is>
      </c>
      <c r="M169" s="107" t="inlineStr">
        <is>
          <t>SHEET MASK 49-[LSCC02]</t>
        </is>
      </c>
      <c r="N169" s="107" t="inlineStr">
        <is>
          <t>ACTIVE</t>
        </is>
      </c>
      <c r="O169" s="108" t="n">
        <v>0.102984071032044</v>
      </c>
      <c r="P169" s="108" t="n">
        <v>0.140009718777016</v>
      </c>
      <c r="Q169" s="109" t="n">
        <v>161</v>
      </c>
      <c r="R169" s="110" t="n">
        <v>118</v>
      </c>
      <c r="S169" s="110" t="n">
        <v>46.1353205381616</v>
      </c>
      <c r="T169" s="110" t="n">
        <v>69.7026308277875</v>
      </c>
      <c r="U169" s="110" t="n">
        <v>233.837951365949</v>
      </c>
      <c r="V169" s="104" t="n">
        <v>14400</v>
      </c>
      <c r="W169" s="104" t="n">
        <v>0</v>
      </c>
      <c r="X169" s="104">
        <f>$V169+W169</f>
        <v/>
      </c>
      <c r="Y169" s="111">
        <f>IFERROR(A169/R169,0)</f>
        <v/>
      </c>
      <c r="Z169" s="111">
        <f>IFERROR(B169/U169,0)</f>
        <v/>
      </c>
      <c r="AA169" s="111">
        <f>IFERROR(C169/R169,0)</f>
        <v/>
      </c>
      <c r="AB169" s="111">
        <f>IFERROR(D169/U169,0)</f>
        <v/>
      </c>
      <c r="AD169" s="111">
        <f>IF(U169&gt;0,IFERROR(E169/U169,0),1)</f>
        <v/>
      </c>
      <c r="AE169" s="111">
        <f>IF(R169&gt;0,IFERROR(F169/R169,0),1)</f>
        <v/>
      </c>
      <c r="AF169" s="111">
        <f>IF(AL169&gt;0,IFERROR(G169/AL169,0),1)</f>
        <v/>
      </c>
      <c r="AG169" s="111">
        <f>IF(AM169&gt;0,IFERROR(H169/AM169,0),1)</f>
        <v/>
      </c>
      <c r="AH169" s="104">
        <f>U169-(V169+AN169+AR169)</f>
        <v/>
      </c>
      <c r="AI169" s="104">
        <f>R169-(V169+AO169+AR169)</f>
        <v/>
      </c>
      <c r="AJ169" s="104">
        <f>(AL169-AP169)</f>
        <v/>
      </c>
      <c r="AK169" s="104">
        <f>(AM169-AQ169)</f>
        <v/>
      </c>
      <c r="AL169" s="110">
        <f>S169+AI169</f>
        <v/>
      </c>
      <c r="AM169" s="110">
        <f>T169+AJ169</f>
        <v/>
      </c>
      <c r="AN169" s="104" t="n">
        <v>175000</v>
      </c>
      <c r="AO169" s="104" t="n">
        <v>75000</v>
      </c>
      <c r="AP169" s="104" t="n">
        <v>50000</v>
      </c>
      <c r="AQ169" s="104" t="n">
        <v>50000</v>
      </c>
      <c r="AR169" s="104" t="n">
        <v>0</v>
      </c>
      <c r="AS169" s="104" t="n"/>
      <c r="AT169" s="104" t="n"/>
    </row>
    <row r="170" ht="12.65" customHeight="1" s="79">
      <c r="A170" s="104">
        <f>MIN(V170,R170)</f>
        <v/>
      </c>
      <c r="B170" s="104">
        <f>MIN(V170,U170)</f>
        <v/>
      </c>
      <c r="C170" s="104">
        <f>MIN(X170,R170)</f>
        <v/>
      </c>
      <c r="D170" s="104">
        <f>MIN(X170,U170)</f>
        <v/>
      </c>
      <c r="E170" s="104">
        <f>MIN((V170+AN170+AR170),U170)</f>
        <v/>
      </c>
      <c r="F170" s="104">
        <f>MAX(MIN((V170+AO170+AR170),R170),0)</f>
        <v/>
      </c>
      <c r="G170" s="104">
        <f>MAX(MIN(AP170,AL170),0)</f>
        <v/>
      </c>
      <c r="H170" s="104">
        <f>MAX(MIN(AQ170,AM170),0)</f>
        <v/>
      </c>
      <c r="I170" s="105" t="inlineStr">
        <is>
          <t>MAHIMA VOHRA</t>
        </is>
      </c>
      <c r="J170" s="106" t="inlineStr">
        <is>
          <t>NON FOOD</t>
        </is>
      </c>
      <c r="K170" s="107" t="inlineStr">
        <is>
          <t>NF_COLOR COSMETIC</t>
        </is>
      </c>
      <c r="L170" s="107" t="inlineStr">
        <is>
          <t>NF_CC_WET WIPES</t>
        </is>
      </c>
      <c r="M170" s="107" t="inlineStr">
        <is>
          <t>WIPES 49-[LSCC02]</t>
        </is>
      </c>
      <c r="N170" s="107" t="inlineStr">
        <is>
          <t>ACTIVE</t>
        </is>
      </c>
      <c r="O170" s="108" t="n">
        <v>0.14557138449426</v>
      </c>
      <c r="P170" s="108" t="n">
        <v>0.138388030929939</v>
      </c>
      <c r="Q170" s="109" t="n">
        <v>158</v>
      </c>
      <c r="R170" s="110" t="n">
        <v>0</v>
      </c>
      <c r="S170" s="110" t="n">
        <v>0</v>
      </c>
      <c r="T170" s="110" t="n">
        <v>0</v>
      </c>
      <c r="U170" s="110" t="n">
        <v>0</v>
      </c>
      <c r="V170" s="104" t="n">
        <v>28800</v>
      </c>
      <c r="W170" s="104" t="n">
        <v>19200</v>
      </c>
      <c r="X170" s="104">
        <f>$V170+W170</f>
        <v/>
      </c>
      <c r="Y170" s="111">
        <f>IFERROR(A170/R170,0)</f>
        <v/>
      </c>
      <c r="Z170" s="111">
        <f>IFERROR(B170/U170,0)</f>
        <v/>
      </c>
      <c r="AA170" s="111">
        <f>IFERROR(C170/R170,0)</f>
        <v/>
      </c>
      <c r="AB170" s="111">
        <f>IFERROR(D170/U170,0)</f>
        <v/>
      </c>
      <c r="AD170" s="111">
        <f>IF(U170&gt;0,IFERROR(E170/U170,0),1)</f>
        <v/>
      </c>
      <c r="AE170" s="111">
        <f>IF(R170&gt;0,IFERROR(F170/R170,0),1)</f>
        <v/>
      </c>
      <c r="AF170" s="111">
        <f>IF(AL170&gt;0,IFERROR(G170/AL170,0),1)</f>
        <v/>
      </c>
      <c r="AG170" s="111">
        <f>IF(AM170&gt;0,IFERROR(H170/AM170,0),1)</f>
        <v/>
      </c>
      <c r="AH170" s="104">
        <f>U170-(V170+AN170+AR170)</f>
        <v/>
      </c>
      <c r="AI170" s="104">
        <f>R170-(V170+AO170+AR170)</f>
        <v/>
      </c>
      <c r="AJ170" s="104">
        <f>(AL170-AP170)</f>
        <v/>
      </c>
      <c r="AK170" s="104">
        <f>(AM170-AQ170)</f>
        <v/>
      </c>
      <c r="AL170" s="110">
        <f>S170+AI170</f>
        <v/>
      </c>
      <c r="AM170" s="110">
        <f>T170+AJ170</f>
        <v/>
      </c>
      <c r="AN170" s="104" t="n">
        <v>134403</v>
      </c>
      <c r="AO170" s="104" t="n">
        <v>3</v>
      </c>
      <c r="AP170" s="104" t="n">
        <v>96000</v>
      </c>
      <c r="AQ170" s="104" t="n">
        <v>38400</v>
      </c>
      <c r="AR170" s="104" t="n">
        <v>0</v>
      </c>
      <c r="AS170" s="104" t="n"/>
      <c r="AT170" s="104" t="n"/>
    </row>
    <row r="171" ht="12.65" customHeight="1" s="79">
      <c r="A171" s="104">
        <f>MIN(V171,R171)</f>
        <v/>
      </c>
      <c r="B171" s="104">
        <f>MIN(V171,U171)</f>
        <v/>
      </c>
      <c r="C171" s="104">
        <f>MIN(X171,R171)</f>
        <v/>
      </c>
      <c r="D171" s="104">
        <f>MIN(X171,U171)</f>
        <v/>
      </c>
      <c r="E171" s="104">
        <f>MIN((V171+AN171+AR171),U171)</f>
        <v/>
      </c>
      <c r="F171" s="104">
        <f>MAX(MIN((V171+AO171+AR171),R171),0)</f>
        <v/>
      </c>
      <c r="G171" s="104">
        <f>MAX(MIN(AP171,AL171),0)</f>
        <v/>
      </c>
      <c r="H171" s="104">
        <f>MAX(MIN(AQ171,AM171),0)</f>
        <v/>
      </c>
      <c r="I171" s="105" t="inlineStr">
        <is>
          <t>MAHIMA VOHRA</t>
        </is>
      </c>
      <c r="J171" s="106" t="inlineStr">
        <is>
          <t>NON FOOD</t>
        </is>
      </c>
      <c r="K171" s="107" t="inlineStr">
        <is>
          <t>NF_FRAGNANCE</t>
        </is>
      </c>
      <c r="L171" s="107" t="inlineStr">
        <is>
          <t>NF_F_DEO</t>
        </is>
      </c>
      <c r="M171" s="107" t="inlineStr">
        <is>
          <t>DEO ARYAN 129-[LSF02]</t>
        </is>
      </c>
      <c r="N171" s="107" t="inlineStr">
        <is>
          <t>ACTIVE</t>
        </is>
      </c>
      <c r="O171" s="108" t="n">
        <v>0.145702612139666</v>
      </c>
      <c r="P171" s="108" t="n">
        <v>0.118312386443834</v>
      </c>
      <c r="Q171" s="109" t="n">
        <v>2</v>
      </c>
      <c r="R171" s="110" t="n">
        <v>30710</v>
      </c>
      <c r="S171" s="110" t="n">
        <v>19272.1401295802</v>
      </c>
      <c r="T171" s="110" t="n">
        <v>15501.0819523376</v>
      </c>
      <c r="U171" s="110" t="n">
        <v>65483.2220819178</v>
      </c>
      <c r="V171" s="104" t="n">
        <v>16800</v>
      </c>
      <c r="W171" s="104" t="n">
        <v>0</v>
      </c>
      <c r="X171" s="104">
        <f>$V171+W171</f>
        <v/>
      </c>
      <c r="Y171" s="111">
        <f>IFERROR(A171/R171,0)</f>
        <v/>
      </c>
      <c r="Z171" s="111">
        <f>IFERROR(B171/U171,0)</f>
        <v/>
      </c>
      <c r="AA171" s="111">
        <f>IFERROR(C171/R171,0)</f>
        <v/>
      </c>
      <c r="AB171" s="111">
        <f>IFERROR(D171/U171,0)</f>
        <v/>
      </c>
      <c r="AD171" s="111">
        <f>IF(U171&gt;0,IFERROR(E171/U171,0),1)</f>
        <v/>
      </c>
      <c r="AE171" s="111">
        <f>IF(R171&gt;0,IFERROR(F171/R171,0),1)</f>
        <v/>
      </c>
      <c r="AF171" s="111">
        <f>IF(AL171&gt;0,IFERROR(G171/AL171,0),1)</f>
        <v/>
      </c>
      <c r="AG171" s="111">
        <f>IF(AM171&gt;0,IFERROR(H171/AM171,0),1)</f>
        <v/>
      </c>
      <c r="AH171" s="104">
        <f>U171-(V171+AN171+AR171)</f>
        <v/>
      </c>
      <c r="AI171" s="104">
        <f>R171-(V171+AO171+AR171)</f>
        <v/>
      </c>
      <c r="AJ171" s="104">
        <f>(AL171-AP171)</f>
        <v/>
      </c>
      <c r="AK171" s="104">
        <f>(AM171-AQ171)</f>
        <v/>
      </c>
      <c r="AL171" s="110">
        <f>S171+AI171</f>
        <v/>
      </c>
      <c r="AM171" s="110">
        <f>T171+AJ171</f>
        <v/>
      </c>
      <c r="AN171" s="104" t="n">
        <v>16800</v>
      </c>
      <c r="AO171" s="104" t="n">
        <v>16800</v>
      </c>
      <c r="AP171" s="104" t="n">
        <v>0</v>
      </c>
      <c r="AQ171" s="104" t="n">
        <v>0</v>
      </c>
      <c r="AR171" s="104" t="n">
        <v>0</v>
      </c>
      <c r="AS171" s="104" t="n"/>
      <c r="AT171" s="104" t="n"/>
    </row>
    <row r="172" ht="12.65" customHeight="1" s="79">
      <c r="A172" s="104">
        <f>MIN(V172,R172)</f>
        <v/>
      </c>
      <c r="B172" s="104">
        <f>MIN(V172,U172)</f>
        <v/>
      </c>
      <c r="C172" s="104">
        <f>MIN(X172,R172)</f>
        <v/>
      </c>
      <c r="D172" s="104">
        <f>MIN(X172,U172)</f>
        <v/>
      </c>
      <c r="E172" s="104">
        <f>MIN((V172+AN172+AR172),U172)</f>
        <v/>
      </c>
      <c r="F172" s="104">
        <f>MAX(MIN((V172+AO172+AR172),R172),0)</f>
        <v/>
      </c>
      <c r="G172" s="104">
        <f>MAX(MIN(AP172,AL172),0)</f>
        <v/>
      </c>
      <c r="H172" s="104">
        <f>MAX(MIN(AQ172,AM172),0)</f>
        <v/>
      </c>
      <c r="I172" s="105" t="inlineStr">
        <is>
          <t>MAHIMA VOHRA</t>
        </is>
      </c>
      <c r="J172" s="106" t="inlineStr">
        <is>
          <t>NON FOOD</t>
        </is>
      </c>
      <c r="K172" s="107" t="inlineStr">
        <is>
          <t>NF_FRAGNANCE</t>
        </is>
      </c>
      <c r="L172" s="107" t="inlineStr">
        <is>
          <t>NF_F_DEO</t>
        </is>
      </c>
      <c r="M172" s="107" t="inlineStr">
        <is>
          <t>DEO 99-[LSF02]</t>
        </is>
      </c>
      <c r="N172" s="107" t="inlineStr">
        <is>
          <t>ACTIVE</t>
        </is>
      </c>
      <c r="O172" s="108" t="n">
        <v>0.10137356392187</v>
      </c>
      <c r="P172" s="108" t="n">
        <v>0.07386462091019361</v>
      </c>
      <c r="Q172" s="109" t="n">
        <v>2</v>
      </c>
      <c r="R172" s="110" t="n">
        <v>24400</v>
      </c>
      <c r="S172" s="110" t="n">
        <v>17179.1725304336</v>
      </c>
      <c r="T172" s="110" t="n">
        <v>13916.9411278022</v>
      </c>
      <c r="U172" s="110" t="n">
        <v>55496.1136582358</v>
      </c>
      <c r="V172" s="104" t="n">
        <v>10800</v>
      </c>
      <c r="W172" s="104" t="n">
        <v>0</v>
      </c>
      <c r="X172" s="104">
        <f>$V172+W172</f>
        <v/>
      </c>
      <c r="Y172" s="111">
        <f>IFERROR(A172/R172,0)</f>
        <v/>
      </c>
      <c r="Z172" s="111">
        <f>IFERROR(B172/U172,0)</f>
        <v/>
      </c>
      <c r="AA172" s="111">
        <f>IFERROR(C172/R172,0)</f>
        <v/>
      </c>
      <c r="AB172" s="111">
        <f>IFERROR(D172/U172,0)</f>
        <v/>
      </c>
      <c r="AD172" s="111">
        <f>IF(U172&gt;0,IFERROR(E172/U172,0),1)</f>
        <v/>
      </c>
      <c r="AE172" s="111">
        <f>IF(R172&gt;0,IFERROR(F172/R172,0),1)</f>
        <v/>
      </c>
      <c r="AF172" s="111">
        <f>IF(AL172&gt;0,IFERROR(G172/AL172,0),1)</f>
        <v/>
      </c>
      <c r="AG172" s="111">
        <f>IF(AM172&gt;0,IFERROR(H172/AM172,0),1)</f>
        <v/>
      </c>
      <c r="AH172" s="104">
        <f>U172-(V172+AN172+AR172)</f>
        <v/>
      </c>
      <c r="AI172" s="104">
        <f>R172-(V172+AO172+AR172)</f>
        <v/>
      </c>
      <c r="AJ172" s="104">
        <f>(AL172-AP172)</f>
        <v/>
      </c>
      <c r="AK172" s="104">
        <f>(AM172-AQ172)</f>
        <v/>
      </c>
      <c r="AL172" s="110">
        <f>S172+AI172</f>
        <v/>
      </c>
      <c r="AM172" s="110">
        <f>T172+AJ172</f>
        <v/>
      </c>
      <c r="AN172" s="104" t="n">
        <v>0</v>
      </c>
      <c r="AO172" s="104" t="n">
        <v>0</v>
      </c>
      <c r="AP172" s="104" t="n">
        <v>0</v>
      </c>
      <c r="AQ172" s="104" t="n">
        <v>0</v>
      </c>
      <c r="AR172" s="104" t="n">
        <v>0</v>
      </c>
      <c r="AS172" s="104" t="n"/>
      <c r="AT172" s="104" t="n"/>
    </row>
    <row r="173" ht="12.65" customHeight="1" s="79">
      <c r="A173" s="104">
        <f>MIN(V173,R173)</f>
        <v/>
      </c>
      <c r="B173" s="104">
        <f>MIN(V173,U173)</f>
        <v/>
      </c>
      <c r="C173" s="104">
        <f>MIN(X173,R173)</f>
        <v/>
      </c>
      <c r="D173" s="104">
        <f>MIN(X173,U173)</f>
        <v/>
      </c>
      <c r="E173" s="104">
        <f>MIN((V173+AN173+AR173),U173)</f>
        <v/>
      </c>
      <c r="F173" s="104">
        <f>MAX(MIN((V173+AO173+AR173),R173),0)</f>
        <v/>
      </c>
      <c r="G173" s="104">
        <f>MAX(MIN(AP173,AL173),0)</f>
        <v/>
      </c>
      <c r="H173" s="104">
        <f>MAX(MIN(AQ173,AM173),0)</f>
        <v/>
      </c>
      <c r="I173" s="105" t="inlineStr">
        <is>
          <t>MAHIMA VOHRA</t>
        </is>
      </c>
      <c r="J173" s="106" t="inlineStr">
        <is>
          <t>NON FOOD</t>
        </is>
      </c>
      <c r="K173" s="107" t="inlineStr">
        <is>
          <t>NF_FRAGNANCE</t>
        </is>
      </c>
      <c r="L173" s="107" t="inlineStr">
        <is>
          <t>NF_F_DEO</t>
        </is>
      </c>
      <c r="M173" s="107" t="inlineStr">
        <is>
          <t>DEO DENVER 220-[LSF02]</t>
        </is>
      </c>
      <c r="N173" s="107" t="inlineStr">
        <is>
          <t>ACTIVE</t>
        </is>
      </c>
      <c r="O173" s="108" t="n">
        <v>0.128601114248435</v>
      </c>
      <c r="P173" s="108" t="n">
        <v>0.105357177656665</v>
      </c>
      <c r="Q173" s="109" t="n">
        <v>2</v>
      </c>
      <c r="R173" s="110" t="n">
        <v>22026</v>
      </c>
      <c r="S173" s="110" t="n">
        <v>10311.7664634752</v>
      </c>
      <c r="T173" s="110" t="n">
        <v>7676.68214994491</v>
      </c>
      <c r="U173" s="110" t="n">
        <v>40014.4486134201</v>
      </c>
      <c r="V173" s="104" t="n">
        <v>14400</v>
      </c>
      <c r="W173" s="104" t="n">
        <v>0</v>
      </c>
      <c r="X173" s="104">
        <f>$V173+W173</f>
        <v/>
      </c>
      <c r="Y173" s="111">
        <f>IFERROR(A173/R173,0)</f>
        <v/>
      </c>
      <c r="Z173" s="111">
        <f>IFERROR(B173/U173,0)</f>
        <v/>
      </c>
      <c r="AA173" s="111">
        <f>IFERROR(C173/R173,0)</f>
        <v/>
      </c>
      <c r="AB173" s="111">
        <f>IFERROR(D173/U173,0)</f>
        <v/>
      </c>
      <c r="AD173" s="111">
        <f>IF(U173&gt;0,IFERROR(E173/U173,0),1)</f>
        <v/>
      </c>
      <c r="AE173" s="111">
        <f>IF(R173&gt;0,IFERROR(F173/R173,0),1)</f>
        <v/>
      </c>
      <c r="AF173" s="111">
        <f>IF(AL173&gt;0,IFERROR(G173/AL173,0),1)</f>
        <v/>
      </c>
      <c r="AG173" s="111">
        <f>IF(AM173&gt;0,IFERROR(H173/AM173,0),1)</f>
        <v/>
      </c>
      <c r="AH173" s="104">
        <f>U173-(V173+AN173+AR173)</f>
        <v/>
      </c>
      <c r="AI173" s="104">
        <f>R173-(V173+AO173+AR173)</f>
        <v/>
      </c>
      <c r="AJ173" s="104">
        <f>(AL173-AP173)</f>
        <v/>
      </c>
      <c r="AK173" s="104">
        <f>(AM173-AQ173)</f>
        <v/>
      </c>
      <c r="AL173" s="110">
        <f>S173+AI173</f>
        <v/>
      </c>
      <c r="AM173" s="110">
        <f>T173+AJ173</f>
        <v/>
      </c>
      <c r="AN173" s="104" t="n">
        <v>14400</v>
      </c>
      <c r="AO173" s="104" t="n">
        <v>7200</v>
      </c>
      <c r="AP173" s="104" t="n">
        <v>7200</v>
      </c>
      <c r="AQ173" s="104" t="n">
        <v>0</v>
      </c>
      <c r="AR173" s="104" t="n">
        <v>0</v>
      </c>
      <c r="AS173" s="104" t="n"/>
      <c r="AT173" s="104" t="n"/>
    </row>
    <row r="174" ht="12.65" customHeight="1" s="79">
      <c r="A174" s="104">
        <f>MIN(V174,R174)</f>
        <v/>
      </c>
      <c r="B174" s="104">
        <f>MIN(V174,U174)</f>
        <v/>
      </c>
      <c r="C174" s="104">
        <f>MIN(X174,R174)</f>
        <v/>
      </c>
      <c r="D174" s="104">
        <f>MIN(X174,U174)</f>
        <v/>
      </c>
      <c r="E174" s="104">
        <f>MIN((V174+AN174+AR174),U174)</f>
        <v/>
      </c>
      <c r="F174" s="104">
        <f>MAX(MIN((V174+AO174+AR174),R174),0)</f>
        <v/>
      </c>
      <c r="G174" s="104">
        <f>MAX(MIN(AP174,AL174),0)</f>
        <v/>
      </c>
      <c r="H174" s="104">
        <f>MAX(MIN(AQ174,AM174),0)</f>
        <v/>
      </c>
      <c r="I174" s="105" t="inlineStr">
        <is>
          <t>MAHIMA VOHRA</t>
        </is>
      </c>
      <c r="J174" s="106" t="inlineStr">
        <is>
          <t>NON FOOD</t>
        </is>
      </c>
      <c r="K174" s="107" t="inlineStr">
        <is>
          <t>NF_FRAGNANCE</t>
        </is>
      </c>
      <c r="L174" s="107" t="inlineStr">
        <is>
          <t>NF_F_DEO</t>
        </is>
      </c>
      <c r="M174" s="107" t="inlineStr">
        <is>
          <t>DEO WS 275-[LSF02]</t>
        </is>
      </c>
      <c r="N174" s="107" t="inlineStr">
        <is>
          <t>ACTIVE</t>
        </is>
      </c>
      <c r="O174" s="108" t="n">
        <v>0.110538459374033</v>
      </c>
      <c r="P174" s="108" t="n">
        <v>0.113481458662251</v>
      </c>
      <c r="Q174" s="109" t="n">
        <v>2</v>
      </c>
      <c r="R174" s="110" t="n">
        <v>9534</v>
      </c>
      <c r="S174" s="110" t="n">
        <v>5056.61627467271</v>
      </c>
      <c r="T174" s="110" t="n">
        <v>3889.05857319549</v>
      </c>
      <c r="U174" s="110" t="n">
        <v>18479.6748478682</v>
      </c>
      <c r="V174" s="104" t="n">
        <v>2400</v>
      </c>
      <c r="W174" s="104" t="n">
        <v>4800</v>
      </c>
      <c r="X174" s="104">
        <f>$V174+W174</f>
        <v/>
      </c>
      <c r="Y174" s="111">
        <f>IFERROR(A174/R174,0)</f>
        <v/>
      </c>
      <c r="Z174" s="111">
        <f>IFERROR(B174/U174,0)</f>
        <v/>
      </c>
      <c r="AA174" s="111">
        <f>IFERROR(C174/R174,0)</f>
        <v/>
      </c>
      <c r="AB174" s="111">
        <f>IFERROR(D174/U174,0)</f>
        <v/>
      </c>
      <c r="AD174" s="111">
        <f>IF(U174&gt;0,IFERROR(E174/U174,0),1)</f>
        <v/>
      </c>
      <c r="AE174" s="111">
        <f>IF(R174&gt;0,IFERROR(F174/R174,0),1)</f>
        <v/>
      </c>
      <c r="AF174" s="111">
        <f>IF(AL174&gt;0,IFERROR(G174/AL174,0),1)</f>
        <v/>
      </c>
      <c r="AG174" s="111">
        <f>IF(AM174&gt;0,IFERROR(H174/AM174,0),1)</f>
        <v/>
      </c>
      <c r="AH174" s="104">
        <f>U174-(V174+AN174+AR174)</f>
        <v/>
      </c>
      <c r="AI174" s="104">
        <f>R174-(V174+AO174+AR174)</f>
        <v/>
      </c>
      <c r="AJ174" s="104">
        <f>(AL174-AP174)</f>
        <v/>
      </c>
      <c r="AK174" s="104">
        <f>(AM174-AQ174)</f>
        <v/>
      </c>
      <c r="AL174" s="110">
        <f>S174+AI174</f>
        <v/>
      </c>
      <c r="AM174" s="110">
        <f>T174+AJ174</f>
        <v/>
      </c>
      <c r="AN174" s="104" t="n">
        <v>9600</v>
      </c>
      <c r="AO174" s="104" t="n">
        <v>4800</v>
      </c>
      <c r="AP174" s="104" t="n">
        <v>4800</v>
      </c>
      <c r="AQ174" s="104" t="n">
        <v>0</v>
      </c>
      <c r="AR174" s="104" t="n">
        <v>0</v>
      </c>
      <c r="AS174" s="104" t="n"/>
      <c r="AT174" s="104" t="n"/>
    </row>
    <row r="175" ht="12.65" customHeight="1" s="79">
      <c r="A175" s="104">
        <f>MIN(V175,R175)</f>
        <v/>
      </c>
      <c r="B175" s="104">
        <f>MIN(V175,U175)</f>
        <v/>
      </c>
      <c r="C175" s="104">
        <f>MIN(X175,R175)</f>
        <v/>
      </c>
      <c r="D175" s="104">
        <f>MIN(X175,U175)</f>
        <v/>
      </c>
      <c r="E175" s="104">
        <f>MIN((V175+AN175+AR175),U175)</f>
        <v/>
      </c>
      <c r="F175" s="104">
        <f>MAX(MIN((V175+AO175+AR175),R175),0)</f>
        <v/>
      </c>
      <c r="G175" s="104">
        <f>MAX(MIN(AP175,AL175),0)</f>
        <v/>
      </c>
      <c r="H175" s="104">
        <f>MAX(MIN(AQ175,AM175),0)</f>
        <v/>
      </c>
      <c r="I175" s="105" t="inlineStr">
        <is>
          <t>MAHIMA VOHRA</t>
        </is>
      </c>
      <c r="J175" s="106" t="inlineStr">
        <is>
          <t>NON FOOD</t>
        </is>
      </c>
      <c r="K175" s="107" t="inlineStr">
        <is>
          <t>NF_FRAGNANCE</t>
        </is>
      </c>
      <c r="L175" s="107" t="inlineStr">
        <is>
          <t>NF_F_DEO</t>
        </is>
      </c>
      <c r="M175" s="107" t="inlineStr">
        <is>
          <t>DEO BRND 220-[LSF02]</t>
        </is>
      </c>
      <c r="N175" s="107" t="inlineStr">
        <is>
          <t>ACTIVE</t>
        </is>
      </c>
      <c r="O175" s="108" t="n">
        <v>0.147419930255355</v>
      </c>
      <c r="P175" s="108" t="n">
        <v>0.108841413311422</v>
      </c>
      <c r="Q175" s="109" t="n">
        <v>2</v>
      </c>
      <c r="R175" s="110" t="n">
        <v>6399</v>
      </c>
      <c r="S175" s="110" t="n">
        <v>3621.04033521284</v>
      </c>
      <c r="T175" s="110" t="n">
        <v>2946.37434052392</v>
      </c>
      <c r="U175" s="110" t="n">
        <v>12966.4146757368</v>
      </c>
      <c r="V175" s="104" t="n">
        <v>14302</v>
      </c>
      <c r="W175" s="104" t="n">
        <v>7200</v>
      </c>
      <c r="X175" s="104">
        <f>$V175+W175</f>
        <v/>
      </c>
      <c r="Y175" s="111">
        <f>IFERROR(A175/R175,0)</f>
        <v/>
      </c>
      <c r="Z175" s="111">
        <f>IFERROR(B175/U175,0)</f>
        <v/>
      </c>
      <c r="AA175" s="111">
        <f>IFERROR(C175/R175,0)</f>
        <v/>
      </c>
      <c r="AB175" s="111">
        <f>IFERROR(D175/U175,0)</f>
        <v/>
      </c>
      <c r="AD175" s="111">
        <f>IF(U175&gt;0,IFERROR(E175/U175,0),1)</f>
        <v/>
      </c>
      <c r="AE175" s="111">
        <f>IF(R175&gt;0,IFERROR(F175/R175,0),1)</f>
        <v/>
      </c>
      <c r="AF175" s="111">
        <f>IF(AL175&gt;0,IFERROR(G175/AL175,0),1)</f>
        <v/>
      </c>
      <c r="AG175" s="111">
        <f>IF(AM175&gt;0,IFERROR(H175/AM175,0),1)</f>
        <v/>
      </c>
      <c r="AH175" s="104">
        <f>U175-(V175+AN175+AR175)</f>
        <v/>
      </c>
      <c r="AI175" s="104">
        <f>R175-(V175+AO175+AR175)</f>
        <v/>
      </c>
      <c r="AJ175" s="104">
        <f>(AL175-AP175)</f>
        <v/>
      </c>
      <c r="AK175" s="104">
        <f>(AM175-AQ175)</f>
        <v/>
      </c>
      <c r="AL175" s="110">
        <f>S175+AI175</f>
        <v/>
      </c>
      <c r="AM175" s="110">
        <f>T175+AJ175</f>
        <v/>
      </c>
      <c r="AN175" s="104" t="n">
        <v>7200</v>
      </c>
      <c r="AO175" s="104" t="n">
        <v>7200</v>
      </c>
      <c r="AP175" s="104" t="n">
        <v>0</v>
      </c>
      <c r="AQ175" s="104" t="n">
        <v>0</v>
      </c>
      <c r="AR175" s="104" t="n">
        <v>0</v>
      </c>
      <c r="AS175" s="104" t="n"/>
      <c r="AT175" s="104" t="n"/>
    </row>
    <row r="176" ht="12.65" customHeight="1" s="79">
      <c r="A176" s="104">
        <f>MIN(V176,R176)</f>
        <v/>
      </c>
      <c r="B176" s="104">
        <f>MIN(V176,U176)</f>
        <v/>
      </c>
      <c r="C176" s="104">
        <f>MIN(X176,R176)</f>
        <v/>
      </c>
      <c r="D176" s="104">
        <f>MIN(X176,U176)</f>
        <v/>
      </c>
      <c r="E176" s="104">
        <f>MIN((V176+AN176+AR176),U176)</f>
        <v/>
      </c>
      <c r="F176" s="104">
        <f>MAX(MIN((V176+AO176+AR176),R176),0)</f>
        <v/>
      </c>
      <c r="G176" s="104">
        <f>MAX(MIN(AP176,AL176),0)</f>
        <v/>
      </c>
      <c r="H176" s="104">
        <f>MAX(MIN(AQ176,AM176),0)</f>
        <v/>
      </c>
      <c r="I176" s="105" t="inlineStr">
        <is>
          <t>MAHIMA VOHRA</t>
        </is>
      </c>
      <c r="J176" s="106" t="inlineStr">
        <is>
          <t>NON FOOD</t>
        </is>
      </c>
      <c r="K176" s="107" t="inlineStr">
        <is>
          <t>NF_FRAGNANCE</t>
        </is>
      </c>
      <c r="L176" s="107" t="inlineStr">
        <is>
          <t>NF_F_DEO</t>
        </is>
      </c>
      <c r="M176" s="107" t="inlineStr">
        <is>
          <t>DEO FOGG 220-[LSF02]</t>
        </is>
      </c>
      <c r="N176" s="107" t="inlineStr">
        <is>
          <t>ACTIVE</t>
        </is>
      </c>
      <c r="O176" s="108" t="n">
        <v>0.09964877339828559</v>
      </c>
      <c r="P176" s="108" t="n">
        <v>0.106330457250957</v>
      </c>
      <c r="Q176" s="109" t="n">
        <v>2</v>
      </c>
      <c r="R176" s="110" t="n">
        <v>8047</v>
      </c>
      <c r="S176" s="110" t="n">
        <v>2636.32728837519</v>
      </c>
      <c r="T176" s="110" t="n">
        <v>2032.5308129715</v>
      </c>
      <c r="U176" s="110" t="n">
        <v>12715.8581013467</v>
      </c>
      <c r="V176" s="104" t="n">
        <v>8000</v>
      </c>
      <c r="W176" s="104" t="n">
        <v>0</v>
      </c>
      <c r="X176" s="104">
        <f>$V176+W176</f>
        <v/>
      </c>
      <c r="Y176" s="111">
        <f>IFERROR(A176/R176,0)</f>
        <v/>
      </c>
      <c r="Z176" s="111">
        <f>IFERROR(B176/U176,0)</f>
        <v/>
      </c>
      <c r="AA176" s="111">
        <f>IFERROR(C176/R176,0)</f>
        <v/>
      </c>
      <c r="AB176" s="111">
        <f>IFERROR(D176/U176,0)</f>
        <v/>
      </c>
      <c r="AD176" s="111">
        <f>IF(U176&gt;0,IFERROR(E176/U176,0),1)</f>
        <v/>
      </c>
      <c r="AE176" s="111">
        <f>IF(R176&gt;0,IFERROR(F176/R176,0),1)</f>
        <v/>
      </c>
      <c r="AF176" s="111">
        <f>IF(AL176&gt;0,IFERROR(G176/AL176,0),1)</f>
        <v/>
      </c>
      <c r="AG176" s="111">
        <f>IF(AM176&gt;0,IFERROR(H176/AM176,0),1)</f>
        <v/>
      </c>
      <c r="AH176" s="104">
        <f>U176-(V176+AN176+AR176)</f>
        <v/>
      </c>
      <c r="AI176" s="104">
        <f>R176-(V176+AO176+AR176)</f>
        <v/>
      </c>
      <c r="AJ176" s="104">
        <f>(AL176-AP176)</f>
        <v/>
      </c>
      <c r="AK176" s="104">
        <f>(AM176-AQ176)</f>
        <v/>
      </c>
      <c r="AL176" s="110">
        <f>S176+AI176</f>
        <v/>
      </c>
      <c r="AM176" s="110">
        <f>T176+AJ176</f>
        <v/>
      </c>
      <c r="AN176" s="104" t="n">
        <v>0</v>
      </c>
      <c r="AO176" s="104" t="n">
        <v>0</v>
      </c>
      <c r="AP176" s="104" t="n">
        <v>0</v>
      </c>
      <c r="AQ176" s="104" t="n">
        <v>0</v>
      </c>
      <c r="AR176" s="104" t="n">
        <v>0</v>
      </c>
      <c r="AS176" s="104" t="n"/>
      <c r="AT176" s="104" t="n"/>
    </row>
    <row r="177" ht="12.65" customHeight="1" s="79">
      <c r="A177" s="104">
        <f>MIN(V177,R177)</f>
        <v/>
      </c>
      <c r="B177" s="104">
        <f>MIN(V177,U177)</f>
        <v/>
      </c>
      <c r="C177" s="104">
        <f>MIN(X177,R177)</f>
        <v/>
      </c>
      <c r="D177" s="104">
        <f>MIN(X177,U177)</f>
        <v/>
      </c>
      <c r="E177" s="104">
        <f>MIN((V177+AN177+AR177),U177)</f>
        <v/>
      </c>
      <c r="F177" s="104">
        <f>MAX(MIN((V177+AO177+AR177),R177),0)</f>
        <v/>
      </c>
      <c r="G177" s="104">
        <f>MAX(MIN(AP177,AL177),0)</f>
        <v/>
      </c>
      <c r="H177" s="104">
        <f>MAX(MIN(AQ177,AM177),0)</f>
        <v/>
      </c>
      <c r="I177" s="105" t="inlineStr">
        <is>
          <t>MAHIMA VOHRA</t>
        </is>
      </c>
      <c r="J177" s="106" t="inlineStr">
        <is>
          <t>NON FOOD</t>
        </is>
      </c>
      <c r="K177" s="107" t="inlineStr">
        <is>
          <t>NF_FRAGNANCE</t>
        </is>
      </c>
      <c r="L177" s="107" t="inlineStr">
        <is>
          <t>NF_F_PERFUME</t>
        </is>
      </c>
      <c r="M177" s="107" t="inlineStr">
        <is>
          <t>BRND 99-[LSF05]</t>
        </is>
      </c>
      <c r="N177" s="107" t="inlineStr">
        <is>
          <t>ACTIVE</t>
        </is>
      </c>
      <c r="O177" s="108" t="n">
        <v>0.120923716819272</v>
      </c>
      <c r="P177" s="108" t="n">
        <v>0.114962610944161</v>
      </c>
      <c r="Q177" s="109" t="n">
        <v>35</v>
      </c>
      <c r="R177" s="110" t="n">
        <v>6403</v>
      </c>
      <c r="S177" s="110" t="n">
        <v>3158.10271288911</v>
      </c>
      <c r="T177" s="110" t="n">
        <v>3773.14276986805</v>
      </c>
      <c r="U177" s="110" t="n">
        <v>13334.2454827572</v>
      </c>
      <c r="V177" s="104" t="n">
        <v>3000</v>
      </c>
      <c r="W177" s="104" t="n">
        <v>4200</v>
      </c>
      <c r="X177" s="104">
        <f>$V177+W177</f>
        <v/>
      </c>
      <c r="Y177" s="111">
        <f>IFERROR(A177/R177,0)</f>
        <v/>
      </c>
      <c r="Z177" s="111">
        <f>IFERROR(B177/U177,0)</f>
        <v/>
      </c>
      <c r="AA177" s="111">
        <f>IFERROR(C177/R177,0)</f>
        <v/>
      </c>
      <c r="AB177" s="111">
        <f>IFERROR(D177/U177,0)</f>
        <v/>
      </c>
      <c r="AD177" s="111">
        <f>IF(U177&gt;0,IFERROR(E177/U177,0),1)</f>
        <v/>
      </c>
      <c r="AE177" s="111">
        <f>IF(R177&gt;0,IFERROR(F177/R177,0),1)</f>
        <v/>
      </c>
      <c r="AF177" s="111">
        <f>IF(AL177&gt;0,IFERROR(G177/AL177,0),1)</f>
        <v/>
      </c>
      <c r="AG177" s="111">
        <f>IF(AM177&gt;0,IFERROR(H177/AM177,0),1)</f>
        <v/>
      </c>
      <c r="AH177" s="104">
        <f>U177-(V177+AN177+AR177)</f>
        <v/>
      </c>
      <c r="AI177" s="104">
        <f>R177-(V177+AO177+AR177)</f>
        <v/>
      </c>
      <c r="AJ177" s="104">
        <f>(AL177-AP177)</f>
        <v/>
      </c>
      <c r="AK177" s="104">
        <f>(AM177-AQ177)</f>
        <v/>
      </c>
      <c r="AL177" s="110">
        <f>S177+AI177</f>
        <v/>
      </c>
      <c r="AM177" s="110">
        <f>T177+AJ177</f>
        <v/>
      </c>
      <c r="AN177" s="104" t="n">
        <v>11400</v>
      </c>
      <c r="AO177" s="104" t="n">
        <v>4200</v>
      </c>
      <c r="AP177" s="104" t="n">
        <v>7200</v>
      </c>
      <c r="AQ177" s="104" t="n">
        <v>0</v>
      </c>
      <c r="AR177" s="104" t="n">
        <v>0</v>
      </c>
      <c r="AS177" s="104" t="n"/>
      <c r="AT177" s="104" t="n"/>
    </row>
    <row r="178" ht="12.65" customHeight="1" s="79">
      <c r="A178" s="104">
        <f>MIN(V178,R178)</f>
        <v/>
      </c>
      <c r="B178" s="104">
        <f>MIN(V178,U178)</f>
        <v/>
      </c>
      <c r="C178" s="104">
        <f>MIN(X178,R178)</f>
        <v/>
      </c>
      <c r="D178" s="104">
        <f>MIN(X178,U178)</f>
        <v/>
      </c>
      <c r="E178" s="104">
        <f>MIN((V178+AN178+AR178),U178)</f>
        <v/>
      </c>
      <c r="F178" s="104">
        <f>MAX(MIN((V178+AO178+AR178),R178),0)</f>
        <v/>
      </c>
      <c r="G178" s="104">
        <f>MAX(MIN(AP178,AL178),0)</f>
        <v/>
      </c>
      <c r="H178" s="104">
        <f>MAX(MIN(AQ178,AM178),0)</f>
        <v/>
      </c>
      <c r="I178" s="105" t="inlineStr">
        <is>
          <t>MAHIMA VOHRA</t>
        </is>
      </c>
      <c r="J178" s="106" t="inlineStr">
        <is>
          <t>NON FOOD</t>
        </is>
      </c>
      <c r="K178" s="107" t="inlineStr">
        <is>
          <t>NF_FRAGNANCE</t>
        </is>
      </c>
      <c r="L178" s="107" t="inlineStr">
        <is>
          <t>NF_F_PERFUME</t>
        </is>
      </c>
      <c r="M178" s="107" t="inlineStr">
        <is>
          <t>NON BRND 99-[LSF05]</t>
        </is>
      </c>
      <c r="N178" s="107" t="inlineStr">
        <is>
          <t>ACTIVE</t>
        </is>
      </c>
      <c r="O178" s="108" t="n">
        <v>0.136864512099524</v>
      </c>
      <c r="P178" s="108" t="n">
        <v>0.106677790271682</v>
      </c>
      <c r="Q178" s="109" t="n">
        <v>35</v>
      </c>
      <c r="R178" s="110" t="n">
        <v>12612</v>
      </c>
      <c r="S178" s="110" t="n">
        <v>0</v>
      </c>
      <c r="T178" s="110" t="n">
        <v>0</v>
      </c>
      <c r="U178" s="110" t="n">
        <v>12612</v>
      </c>
      <c r="V178" s="104" t="n">
        <v>8304</v>
      </c>
      <c r="W178" s="104" t="n">
        <v>0</v>
      </c>
      <c r="X178" s="104">
        <f>$V178+W178</f>
        <v/>
      </c>
      <c r="Y178" s="111">
        <f>IFERROR(A178/R178,0)</f>
        <v/>
      </c>
      <c r="Z178" s="111">
        <f>IFERROR(B178/U178,0)</f>
        <v/>
      </c>
      <c r="AA178" s="111">
        <f>IFERROR(C178/R178,0)</f>
        <v/>
      </c>
      <c r="AB178" s="111">
        <f>IFERROR(D178/U178,0)</f>
        <v/>
      </c>
      <c r="AD178" s="111">
        <f>IF(U178&gt;0,IFERROR(E178/U178,0),1)</f>
        <v/>
      </c>
      <c r="AE178" s="111">
        <f>IF(R178&gt;0,IFERROR(F178/R178,0),1)</f>
        <v/>
      </c>
      <c r="AF178" s="111">
        <f>IF(AL178&gt;0,IFERROR(G178/AL178,0),1)</f>
        <v/>
      </c>
      <c r="AG178" s="111">
        <f>IF(AM178&gt;0,IFERROR(H178/AM178,0),1)</f>
        <v/>
      </c>
      <c r="AH178" s="104">
        <f>U178-(V178+AN178+AR178)</f>
        <v/>
      </c>
      <c r="AI178" s="104">
        <f>R178-(V178+AO178+AR178)</f>
        <v/>
      </c>
      <c r="AJ178" s="104">
        <f>(AL178-AP178)</f>
        <v/>
      </c>
      <c r="AK178" s="104">
        <f>(AM178-AQ178)</f>
        <v/>
      </c>
      <c r="AL178" s="110">
        <f>S178+AI178</f>
        <v/>
      </c>
      <c r="AM178" s="110">
        <f>T178+AJ178</f>
        <v/>
      </c>
      <c r="AN178" s="104" t="n">
        <v>9984</v>
      </c>
      <c r="AO178" s="104" t="n">
        <v>9984</v>
      </c>
      <c r="AP178" s="104" t="n">
        <v>0</v>
      </c>
      <c r="AQ178" s="104" t="n">
        <v>0</v>
      </c>
      <c r="AR178" s="104" t="n">
        <v>0</v>
      </c>
      <c r="AS178" s="104" t="n"/>
      <c r="AT178" s="104" t="n"/>
    </row>
    <row r="179" ht="12.65" customHeight="1" s="79">
      <c r="A179" s="104">
        <f>MIN(V179,R179)</f>
        <v/>
      </c>
      <c r="B179" s="104">
        <f>MIN(V179,U179)</f>
        <v/>
      </c>
      <c r="C179" s="104">
        <f>MIN(X179,R179)</f>
        <v/>
      </c>
      <c r="D179" s="104">
        <f>MIN(X179,U179)</f>
        <v/>
      </c>
      <c r="E179" s="104">
        <f>MIN((V179+AN179+AR179),U179)</f>
        <v/>
      </c>
      <c r="F179" s="104">
        <f>MAX(MIN((V179+AO179+AR179),R179),0)</f>
        <v/>
      </c>
      <c r="G179" s="104">
        <f>MAX(MIN(AP179,AL179),0)</f>
        <v/>
      </c>
      <c r="H179" s="104">
        <f>MAX(MIN(AQ179,AM179),0)</f>
        <v/>
      </c>
      <c r="I179" s="105" t="inlineStr">
        <is>
          <t>MAHIMA VOHRA</t>
        </is>
      </c>
      <c r="J179" s="106" t="inlineStr">
        <is>
          <t>NON FOOD</t>
        </is>
      </c>
      <c r="K179" s="107" t="inlineStr">
        <is>
          <t>NF_FRAGNANCE</t>
        </is>
      </c>
      <c r="L179" s="107" t="inlineStr">
        <is>
          <t>NF_F_ROOM FRESHENER</t>
        </is>
      </c>
      <c r="M179" s="107" t="inlineStr">
        <is>
          <t>BRND 99-[LSF06]</t>
        </is>
      </c>
      <c r="N179" s="107" t="inlineStr">
        <is>
          <t>ACTIVE</t>
        </is>
      </c>
      <c r="O179" s="108" t="n">
        <v>0.16426333184117</v>
      </c>
      <c r="P179" s="108" t="n">
        <v>0.171760091518222</v>
      </c>
      <c r="Q179" s="109" t="n">
        <v>56</v>
      </c>
      <c r="R179" s="110" t="n">
        <v>19874</v>
      </c>
      <c r="S179" s="110" t="n">
        <v>8156.49471936932</v>
      </c>
      <c r="T179" s="110" t="n">
        <v>5896.54273291543</v>
      </c>
      <c r="U179" s="110" t="n">
        <v>33927.0374522848</v>
      </c>
      <c r="V179" s="104" t="n">
        <v>14328</v>
      </c>
      <c r="W179" s="104" t="n">
        <v>0</v>
      </c>
      <c r="X179" s="104">
        <f>$V179+W179</f>
        <v/>
      </c>
      <c r="Y179" s="111">
        <f>IFERROR(A179/R179,0)</f>
        <v/>
      </c>
      <c r="Z179" s="111">
        <f>IFERROR(B179/U179,0)</f>
        <v/>
      </c>
      <c r="AA179" s="111">
        <f>IFERROR(C179/R179,0)</f>
        <v/>
      </c>
      <c r="AB179" s="111">
        <f>IFERROR(D179/U179,0)</f>
        <v/>
      </c>
      <c r="AD179" s="111">
        <f>IF(U179&gt;0,IFERROR(E179/U179,0),1)</f>
        <v/>
      </c>
      <c r="AE179" s="111">
        <f>IF(R179&gt;0,IFERROR(F179/R179,0),1)</f>
        <v/>
      </c>
      <c r="AF179" s="111">
        <f>IF(AL179&gt;0,IFERROR(G179/AL179,0),1)</f>
        <v/>
      </c>
      <c r="AG179" s="111">
        <f>IF(AM179&gt;0,IFERROR(H179/AM179,0),1)</f>
        <v/>
      </c>
      <c r="AH179" s="104">
        <f>U179-(V179+AN179+AR179)</f>
        <v/>
      </c>
      <c r="AI179" s="104">
        <f>R179-(V179+AO179+AR179)</f>
        <v/>
      </c>
      <c r="AJ179" s="104">
        <f>(AL179-AP179)</f>
        <v/>
      </c>
      <c r="AK179" s="104">
        <f>(AM179-AQ179)</f>
        <v/>
      </c>
      <c r="AL179" s="110">
        <f>S179+AI179</f>
        <v/>
      </c>
      <c r="AM179" s="110">
        <f>T179+AJ179</f>
        <v/>
      </c>
      <c r="AN179" s="104" t="n">
        <v>2232</v>
      </c>
      <c r="AO179" s="104" t="n">
        <v>2232</v>
      </c>
      <c r="AP179" s="104" t="n">
        <v>0</v>
      </c>
      <c r="AQ179" s="104" t="n">
        <v>0</v>
      </c>
      <c r="AR179" s="104" t="n">
        <v>0</v>
      </c>
      <c r="AS179" s="104" t="n"/>
      <c r="AT179" s="104" t="n"/>
    </row>
    <row r="180" ht="12.65" customHeight="1" s="79">
      <c r="A180" s="104">
        <f>MIN(V180,R180)</f>
        <v/>
      </c>
      <c r="B180" s="104">
        <f>MIN(V180,U180)</f>
        <v/>
      </c>
      <c r="C180" s="104">
        <f>MIN(X180,R180)</f>
        <v/>
      </c>
      <c r="D180" s="104">
        <f>MIN(X180,U180)</f>
        <v/>
      </c>
      <c r="E180" s="104">
        <f>MIN((V180+AN180+AR180),U180)</f>
        <v/>
      </c>
      <c r="F180" s="104">
        <f>MAX(MIN((V180+AO180+AR180),R180),0)</f>
        <v/>
      </c>
      <c r="G180" s="104">
        <f>MAX(MIN(AP180,AL180),0)</f>
        <v/>
      </c>
      <c r="H180" s="104">
        <f>MAX(MIN(AQ180,AM180),0)</f>
        <v/>
      </c>
      <c r="I180" s="105" t="inlineStr">
        <is>
          <t>MAHIMA VOHRA</t>
        </is>
      </c>
      <c r="J180" s="106" t="inlineStr">
        <is>
          <t>NON FOOD</t>
        </is>
      </c>
      <c r="K180" s="107" t="inlineStr">
        <is>
          <t>NF_FRAGNANCE</t>
        </is>
      </c>
      <c r="L180" s="107" t="inlineStr">
        <is>
          <t>NF_F_ROOM FRESHENER</t>
        </is>
      </c>
      <c r="M180" s="107" t="inlineStr">
        <is>
          <t>RGNL BRND 99-[LSF06]</t>
        </is>
      </c>
      <c r="N180" s="107" t="inlineStr">
        <is>
          <t>ACTIVE</t>
        </is>
      </c>
      <c r="O180" s="108" t="n">
        <v>0.136280316916878</v>
      </c>
      <c r="P180" s="108" t="n">
        <v>0.180107381094419</v>
      </c>
      <c r="Q180" s="109" t="n">
        <v>56</v>
      </c>
      <c r="R180" s="110" t="n">
        <v>11375</v>
      </c>
      <c r="S180" s="110" t="n">
        <v>4958.06830661912</v>
      </c>
      <c r="T180" s="110" t="n">
        <v>3656.16001001513</v>
      </c>
      <c r="U180" s="110" t="n">
        <v>19989.2283166343</v>
      </c>
      <c r="V180" s="104" t="n">
        <v>17280</v>
      </c>
      <c r="W180" s="104" t="n">
        <v>0</v>
      </c>
      <c r="X180" s="104">
        <f>$V180+W180</f>
        <v/>
      </c>
      <c r="Y180" s="111">
        <f>IFERROR(A180/R180,0)</f>
        <v/>
      </c>
      <c r="Z180" s="111">
        <f>IFERROR(B180/U180,0)</f>
        <v/>
      </c>
      <c r="AA180" s="111">
        <f>IFERROR(C180/R180,0)</f>
        <v/>
      </c>
      <c r="AB180" s="111">
        <f>IFERROR(D180/U180,0)</f>
        <v/>
      </c>
      <c r="AD180" s="111">
        <f>IF(U180&gt;0,IFERROR(E180/U180,0),1)</f>
        <v/>
      </c>
      <c r="AE180" s="111">
        <f>IF(R180&gt;0,IFERROR(F180/R180,0),1)</f>
        <v/>
      </c>
      <c r="AF180" s="111">
        <f>IF(AL180&gt;0,IFERROR(G180/AL180,0),1)</f>
        <v/>
      </c>
      <c r="AG180" s="111">
        <f>IF(AM180&gt;0,IFERROR(H180/AM180,0),1)</f>
        <v/>
      </c>
      <c r="AH180" s="104">
        <f>U180-(V180+AN180+AR180)</f>
        <v/>
      </c>
      <c r="AI180" s="104">
        <f>R180-(V180+AO180+AR180)</f>
        <v/>
      </c>
      <c r="AJ180" s="104">
        <f>(AL180-AP180)</f>
        <v/>
      </c>
      <c r="AK180" s="104">
        <f>(AM180-AQ180)</f>
        <v/>
      </c>
      <c r="AL180" s="110">
        <f>S180+AI180</f>
        <v/>
      </c>
      <c r="AM180" s="110">
        <f>T180+AJ180</f>
        <v/>
      </c>
      <c r="AN180" s="104" t="n">
        <v>0</v>
      </c>
      <c r="AO180" s="104" t="n">
        <v>0</v>
      </c>
      <c r="AP180" s="104" t="n">
        <v>0</v>
      </c>
      <c r="AQ180" s="104" t="n">
        <v>0</v>
      </c>
      <c r="AR180" s="104" t="n">
        <v>0</v>
      </c>
      <c r="AS180" s="104" t="n"/>
      <c r="AT180" s="104" t="n"/>
    </row>
    <row r="181" ht="12.65" customHeight="1" s="79">
      <c r="A181" s="104">
        <f>MIN(V181,R181)</f>
        <v/>
      </c>
      <c r="B181" s="104">
        <f>MIN(V181,U181)</f>
        <v/>
      </c>
      <c r="C181" s="104">
        <f>MIN(X181,R181)</f>
        <v/>
      </c>
      <c r="D181" s="104">
        <f>MIN(X181,U181)</f>
        <v/>
      </c>
      <c r="E181" s="104">
        <f>MIN((V181+AN181+AR181),U181)</f>
        <v/>
      </c>
      <c r="F181" s="104">
        <f>MAX(MIN((V181+AO181+AR181),R181),0)</f>
        <v/>
      </c>
      <c r="G181" s="104">
        <f>MAX(MIN(AP181,AL181),0)</f>
        <v/>
      </c>
      <c r="H181" s="104">
        <f>MAX(MIN(AQ181,AM181),0)</f>
        <v/>
      </c>
      <c r="I181" s="105" t="inlineStr">
        <is>
          <t>MAHIMA VOHRA</t>
        </is>
      </c>
      <c r="J181" s="106" t="inlineStr">
        <is>
          <t>NON FOOD</t>
        </is>
      </c>
      <c r="K181" s="107" t="inlineStr">
        <is>
          <t>NF_FRAGNANCE</t>
        </is>
      </c>
      <c r="L181" s="107" t="inlineStr">
        <is>
          <t>NF_F_ROOM FRESHENER</t>
        </is>
      </c>
      <c r="M181" s="107" t="inlineStr">
        <is>
          <t>BLOCKS 60-[LSF06]</t>
        </is>
      </c>
      <c r="N181" s="107" t="inlineStr">
        <is>
          <t>ACTIVE</t>
        </is>
      </c>
      <c r="O181" s="108" t="n">
        <v>0</v>
      </c>
      <c r="P181" s="108" t="n">
        <v>0.0308956916099773</v>
      </c>
      <c r="Q181" s="109" t="n">
        <v>56</v>
      </c>
      <c r="R181" s="110" t="n">
        <v>0</v>
      </c>
      <c r="S181" s="110" t="n">
        <v>0</v>
      </c>
      <c r="T181" s="110" t="n">
        <v>0</v>
      </c>
      <c r="U181" s="110" t="n">
        <v>0</v>
      </c>
      <c r="V181" s="104" t="n">
        <v>0</v>
      </c>
      <c r="W181" s="104" t="n">
        <v>0</v>
      </c>
      <c r="X181" s="104">
        <f>$V181+W181</f>
        <v/>
      </c>
      <c r="Y181" s="111">
        <f>IFERROR(A181/R181,0)</f>
        <v/>
      </c>
      <c r="Z181" s="111">
        <f>IFERROR(B181/U181,0)</f>
        <v/>
      </c>
      <c r="AA181" s="111">
        <f>IFERROR(C181/R181,0)</f>
        <v/>
      </c>
      <c r="AB181" s="111">
        <f>IFERROR(D181/U181,0)</f>
        <v/>
      </c>
      <c r="AD181" s="111">
        <f>IF(U181&gt;0,IFERROR(E181/U181,0),1)</f>
        <v/>
      </c>
      <c r="AE181" s="111">
        <f>IF(R181&gt;0,IFERROR(F181/R181,0),1)</f>
        <v/>
      </c>
      <c r="AF181" s="111">
        <f>IF(AL181&gt;0,IFERROR(G181/AL181,0),1)</f>
        <v/>
      </c>
      <c r="AG181" s="111">
        <f>IF(AM181&gt;0,IFERROR(H181/AM181,0),1)</f>
        <v/>
      </c>
      <c r="AH181" s="104">
        <f>U181-(V181+AN181+AR181)</f>
        <v/>
      </c>
      <c r="AI181" s="104">
        <f>R181-(V181+AO181+AR181)</f>
        <v/>
      </c>
      <c r="AJ181" s="104">
        <f>(AL181-AP181)</f>
        <v/>
      </c>
      <c r="AK181" s="104">
        <f>(AM181-AQ181)</f>
        <v/>
      </c>
      <c r="AL181" s="110">
        <f>S181+AI181</f>
        <v/>
      </c>
      <c r="AM181" s="110">
        <f>T181+AJ181</f>
        <v/>
      </c>
      <c r="AN181" s="104" t="n">
        <v>43200</v>
      </c>
      <c r="AO181" s="104" t="n">
        <v>0</v>
      </c>
      <c r="AP181" s="104" t="n">
        <v>21600</v>
      </c>
      <c r="AQ181" s="104" t="n">
        <v>21600</v>
      </c>
      <c r="AR181" s="104" t="n">
        <v>0</v>
      </c>
      <c r="AS181" s="104" t="n"/>
      <c r="AT181" s="104" t="n"/>
    </row>
    <row r="182" ht="12.65" customHeight="1" s="79">
      <c r="A182" s="104">
        <f>MIN(V182,R182)</f>
        <v/>
      </c>
      <c r="B182" s="104">
        <f>MIN(V182,U182)</f>
        <v/>
      </c>
      <c r="C182" s="104">
        <f>MIN(X182,R182)</f>
        <v/>
      </c>
      <c r="D182" s="104">
        <f>MIN(X182,U182)</f>
        <v/>
      </c>
      <c r="E182" s="104">
        <f>MIN((V182+AN182+AR182),U182)</f>
        <v/>
      </c>
      <c r="F182" s="104">
        <f>MAX(MIN((V182+AO182+AR182),R182),0)</f>
        <v/>
      </c>
      <c r="G182" s="104">
        <f>MAX(MIN(AP182,AL182),0)</f>
        <v/>
      </c>
      <c r="H182" s="104">
        <f>MAX(MIN(AQ182,AM182),0)</f>
        <v/>
      </c>
      <c r="I182" s="105" t="inlineStr">
        <is>
          <t>MAHIMA VOHRA</t>
        </is>
      </c>
      <c r="J182" s="106" t="inlineStr">
        <is>
          <t>NON FOOD</t>
        </is>
      </c>
      <c r="K182" s="107" t="inlineStr">
        <is>
          <t>NF_FRAGNANCE</t>
        </is>
      </c>
      <c r="L182" s="107" t="inlineStr">
        <is>
          <t>NF_F_TALCUM</t>
        </is>
      </c>
      <c r="M182" s="107" t="inlineStr">
        <is>
          <t>TALCUM 199-[LSF09]</t>
        </is>
      </c>
      <c r="N182" s="107" t="inlineStr">
        <is>
          <t>ACTIVE</t>
        </is>
      </c>
      <c r="O182" s="108" t="n">
        <v>0.09413315600975281</v>
      </c>
      <c r="P182" s="108" t="n">
        <v>0.0800769508236143</v>
      </c>
      <c r="Q182" s="109" t="n">
        <v>179</v>
      </c>
      <c r="R182" s="110" t="n">
        <v>0</v>
      </c>
      <c r="S182" s="110" t="n">
        <v>0</v>
      </c>
      <c r="T182" s="110" t="n">
        <v>0</v>
      </c>
      <c r="U182" s="110" t="n">
        <v>0</v>
      </c>
      <c r="V182" s="104" t="n">
        <v>0</v>
      </c>
      <c r="W182" s="104" t="n">
        <v>0</v>
      </c>
      <c r="X182" s="104">
        <f>$V182+W182</f>
        <v/>
      </c>
      <c r="Y182" s="111">
        <f>IFERROR(A182/R182,0)</f>
        <v/>
      </c>
      <c r="Z182" s="111">
        <f>IFERROR(B182/U182,0)</f>
        <v/>
      </c>
      <c r="AA182" s="111">
        <f>IFERROR(C182/R182,0)</f>
        <v/>
      </c>
      <c r="AB182" s="111">
        <f>IFERROR(D182/U182,0)</f>
        <v/>
      </c>
      <c r="AD182" s="111">
        <f>IF(U182&gt;0,IFERROR(E182/U182,0),1)</f>
        <v/>
      </c>
      <c r="AE182" s="111">
        <f>IF(R182&gt;0,IFERROR(F182/R182,0),1)</f>
        <v/>
      </c>
      <c r="AF182" s="111">
        <f>IF(AL182&gt;0,IFERROR(G182/AL182,0),1)</f>
        <v/>
      </c>
      <c r="AG182" s="111">
        <f>IF(AM182&gt;0,IFERROR(H182/AM182,0),1)</f>
        <v/>
      </c>
      <c r="AH182" s="104">
        <f>U182-(V182+AN182+AR182)</f>
        <v/>
      </c>
      <c r="AI182" s="104">
        <f>R182-(V182+AO182+AR182)</f>
        <v/>
      </c>
      <c r="AJ182" s="104">
        <f>(AL182-AP182)</f>
        <v/>
      </c>
      <c r="AK182" s="104">
        <f>(AM182-AQ182)</f>
        <v/>
      </c>
      <c r="AL182" s="110">
        <f>S182+AI182</f>
        <v/>
      </c>
      <c r="AM182" s="110">
        <f>T182+AJ182</f>
        <v/>
      </c>
      <c r="AN182" s="104" t="n">
        <v>0</v>
      </c>
      <c r="AO182" s="104" t="n">
        <v>0</v>
      </c>
      <c r="AP182" s="104" t="n">
        <v>0</v>
      </c>
      <c r="AQ182" s="104" t="n">
        <v>0</v>
      </c>
      <c r="AR182" s="104" t="n">
        <v>0</v>
      </c>
      <c r="AS182" s="104" t="n"/>
      <c r="AT182" s="104" t="n"/>
    </row>
    <row r="183" ht="12.65" customHeight="1" s="79">
      <c r="A183" s="104">
        <f>MIN(V183,R183)</f>
        <v/>
      </c>
      <c r="B183" s="104">
        <f>MIN(V183,U183)</f>
        <v/>
      </c>
      <c r="C183" s="104">
        <f>MIN(X183,R183)</f>
        <v/>
      </c>
      <c r="D183" s="104">
        <f>MIN(X183,U183)</f>
        <v/>
      </c>
      <c r="E183" s="104">
        <f>MIN((V183+AN183+AR183),U183)</f>
        <v/>
      </c>
      <c r="F183" s="104">
        <f>MAX(MIN((V183+AO183+AR183),R183),0)</f>
        <v/>
      </c>
      <c r="G183" s="104">
        <f>MAX(MIN(AP183,AL183),0)</f>
        <v/>
      </c>
      <c r="H183" s="104">
        <f>MAX(MIN(AQ183,AM183),0)</f>
        <v/>
      </c>
      <c r="I183" s="105" t="inlineStr">
        <is>
          <t>MAHIMA VOHRA</t>
        </is>
      </c>
      <c r="J183" s="106" t="inlineStr">
        <is>
          <t>SPORTS  &amp; TOYS</t>
        </is>
      </c>
      <c r="K183" s="107" t="inlineStr">
        <is>
          <t>SF_SPORT INDOOR</t>
        </is>
      </c>
      <c r="L183" s="107" t="inlineStr">
        <is>
          <t>SF_ID_BALLS</t>
        </is>
      </c>
      <c r="M183" s="107" t="inlineStr">
        <is>
          <t>BALL 199-[SFID06]</t>
        </is>
      </c>
      <c r="N183" s="107" t="inlineStr">
        <is>
          <t>ACTIVE</t>
        </is>
      </c>
      <c r="O183" s="108" t="n">
        <v>0.164381933438986</v>
      </c>
      <c r="P183" s="108" t="n">
        <v>0.145569048801409</v>
      </c>
      <c r="Q183" s="109" t="n">
        <v>39</v>
      </c>
      <c r="R183" s="110" t="n">
        <v>8953</v>
      </c>
      <c r="S183" s="110" t="n">
        <v>8966.176608985321</v>
      </c>
      <c r="T183" s="110" t="n">
        <v>8976.572258134551</v>
      </c>
      <c r="U183" s="110" t="n">
        <v>26895.7488671199</v>
      </c>
      <c r="V183" s="104" t="n">
        <v>9600</v>
      </c>
      <c r="W183" s="104" t="n">
        <v>0</v>
      </c>
      <c r="X183" s="104">
        <f>$V183+W183</f>
        <v/>
      </c>
      <c r="Y183" s="111">
        <f>IFERROR(A183/R183,0)</f>
        <v/>
      </c>
      <c r="Z183" s="111">
        <f>IFERROR(B183/U183,0)</f>
        <v/>
      </c>
      <c r="AA183" s="111">
        <f>IFERROR(C183/R183,0)</f>
        <v/>
      </c>
      <c r="AB183" s="111">
        <f>IFERROR(D183/U183,0)</f>
        <v/>
      </c>
      <c r="AD183" s="111">
        <f>IF(U183&gt;0,IFERROR(E183/U183,0),1)</f>
        <v/>
      </c>
      <c r="AE183" s="111">
        <f>IF(R183&gt;0,IFERROR(F183/R183,0),1)</f>
        <v/>
      </c>
      <c r="AF183" s="111">
        <f>IF(AL183&gt;0,IFERROR(G183/AL183,0),1)</f>
        <v/>
      </c>
      <c r="AG183" s="111">
        <f>IF(AM183&gt;0,IFERROR(H183/AM183,0),1)</f>
        <v/>
      </c>
      <c r="AH183" s="104">
        <f>U183-(V183+AN183+AR183)</f>
        <v/>
      </c>
      <c r="AI183" s="104">
        <f>R183-(V183+AO183+AR183)</f>
        <v/>
      </c>
      <c r="AJ183" s="104">
        <f>(AL183-AP183)</f>
        <v/>
      </c>
      <c r="AK183" s="104">
        <f>(AM183-AQ183)</f>
        <v/>
      </c>
      <c r="AL183" s="110">
        <f>S183+AI183</f>
        <v/>
      </c>
      <c r="AM183" s="110">
        <f>T183+AJ183</f>
        <v/>
      </c>
      <c r="AN183" s="104" t="n">
        <v>25200</v>
      </c>
      <c r="AO183" s="104" t="n">
        <v>7200</v>
      </c>
      <c r="AP183" s="104" t="n">
        <v>10800</v>
      </c>
      <c r="AQ183" s="104" t="n">
        <v>7200</v>
      </c>
      <c r="AR183" s="104" t="n">
        <v>0</v>
      </c>
      <c r="AS183" s="104" t="n"/>
      <c r="AT183" s="104" t="n"/>
    </row>
    <row r="184" ht="12.65" customHeight="1" s="79">
      <c r="A184" s="104">
        <f>MIN(V184,R184)</f>
        <v/>
      </c>
      <c r="B184" s="104">
        <f>MIN(V184,U184)</f>
        <v/>
      </c>
      <c r="C184" s="104">
        <f>MIN(X184,R184)</f>
        <v/>
      </c>
      <c r="D184" s="104">
        <f>MIN(X184,U184)</f>
        <v/>
      </c>
      <c r="E184" s="104">
        <f>MIN((V184+AN184+AR184),U184)</f>
        <v/>
      </c>
      <c r="F184" s="104">
        <f>MAX(MIN((V184+AO184+AR184),R184),0)</f>
        <v/>
      </c>
      <c r="G184" s="104">
        <f>MAX(MIN(AP184,AL184),0)</f>
        <v/>
      </c>
      <c r="H184" s="104">
        <f>MAX(MIN(AQ184,AM184),0)</f>
        <v/>
      </c>
      <c r="I184" s="105" t="inlineStr">
        <is>
          <t>MAHIMA VOHRA</t>
        </is>
      </c>
      <c r="J184" s="106" t="inlineStr">
        <is>
          <t>SPORTS  &amp; TOYS</t>
        </is>
      </c>
      <c r="K184" s="107" t="inlineStr">
        <is>
          <t>SF_SPORT INDOOR</t>
        </is>
      </c>
      <c r="L184" s="107" t="inlineStr">
        <is>
          <t>SF_ID_BALLS</t>
        </is>
      </c>
      <c r="M184" s="107" t="inlineStr">
        <is>
          <t>SCENTED BALL 99-[SFID06]</t>
        </is>
      </c>
      <c r="N184" s="107" t="inlineStr">
        <is>
          <t>ACTIVE</t>
        </is>
      </c>
      <c r="O184" s="108" t="n">
        <v>0.150706562897794</v>
      </c>
      <c r="P184" s="108" t="n">
        <v>0.132959373524756</v>
      </c>
      <c r="Q184" s="109" t="n">
        <v>39</v>
      </c>
      <c r="R184" s="110" t="n">
        <v>7196</v>
      </c>
      <c r="S184" s="110" t="n">
        <v>7008.36766347228</v>
      </c>
      <c r="T184" s="110" t="n">
        <v>7205.91541842748</v>
      </c>
      <c r="U184" s="110" t="n">
        <v>21410.2830818998</v>
      </c>
      <c r="V184" s="104" t="n">
        <v>13195</v>
      </c>
      <c r="W184" s="104" t="n">
        <v>0</v>
      </c>
      <c r="X184" s="104">
        <f>$V184+W184</f>
        <v/>
      </c>
      <c r="Y184" s="111">
        <f>IFERROR(A184/R184,0)</f>
        <v/>
      </c>
      <c r="Z184" s="111">
        <f>IFERROR(B184/U184,0)</f>
        <v/>
      </c>
      <c r="AA184" s="111">
        <f>IFERROR(C184/R184,0)</f>
        <v/>
      </c>
      <c r="AB184" s="111">
        <f>IFERROR(D184/U184,0)</f>
        <v/>
      </c>
      <c r="AD184" s="111">
        <f>IF(U184&gt;0,IFERROR(E184/U184,0),1)</f>
        <v/>
      </c>
      <c r="AE184" s="111">
        <f>IF(R184&gt;0,IFERROR(F184/R184,0),1)</f>
        <v/>
      </c>
      <c r="AF184" s="111">
        <f>IF(AL184&gt;0,IFERROR(G184/AL184,0),1)</f>
        <v/>
      </c>
      <c r="AG184" s="111">
        <f>IF(AM184&gt;0,IFERROR(H184/AM184,0),1)</f>
        <v/>
      </c>
      <c r="AH184" s="104">
        <f>U184-(V184+AN184+AR184)</f>
        <v/>
      </c>
      <c r="AI184" s="104">
        <f>R184-(V184+AO184+AR184)</f>
        <v/>
      </c>
      <c r="AJ184" s="104">
        <f>(AL184-AP184)</f>
        <v/>
      </c>
      <c r="AK184" s="104">
        <f>(AM184-AQ184)</f>
        <v/>
      </c>
      <c r="AL184" s="110">
        <f>S184+AI184</f>
        <v/>
      </c>
      <c r="AM184" s="110">
        <f>T184+AJ184</f>
        <v/>
      </c>
      <c r="AN184" s="104" t="n">
        <v>12012</v>
      </c>
      <c r="AO184" s="104" t="n">
        <v>0</v>
      </c>
      <c r="AP184" s="104" t="n">
        <v>7212</v>
      </c>
      <c r="AQ184" s="104" t="n">
        <v>4800</v>
      </c>
      <c r="AR184" s="104" t="n">
        <v>0</v>
      </c>
      <c r="AS184" s="104" t="n"/>
      <c r="AT184" s="104" t="n"/>
    </row>
    <row r="185" ht="12.65" customHeight="1" s="79">
      <c r="A185" s="104">
        <f>MIN(V185,R185)</f>
        <v/>
      </c>
      <c r="B185" s="104">
        <f>MIN(V185,U185)</f>
        <v/>
      </c>
      <c r="C185" s="104">
        <f>MIN(X185,R185)</f>
        <v/>
      </c>
      <c r="D185" s="104">
        <f>MIN(X185,U185)</f>
        <v/>
      </c>
      <c r="E185" s="104">
        <f>MIN((V185+AN185+AR185),U185)</f>
        <v/>
      </c>
      <c r="F185" s="104">
        <f>MAX(MIN((V185+AO185+AR185),R185),0)</f>
        <v/>
      </c>
      <c r="G185" s="104">
        <f>MAX(MIN(AP185,AL185),0)</f>
        <v/>
      </c>
      <c r="H185" s="104">
        <f>MAX(MIN(AQ185,AM185),0)</f>
        <v/>
      </c>
      <c r="I185" s="105" t="inlineStr">
        <is>
          <t>MAHIMA VOHRA</t>
        </is>
      </c>
      <c r="J185" s="106" t="inlineStr">
        <is>
          <t>SPORTS  &amp; TOYS</t>
        </is>
      </c>
      <c r="K185" s="107" t="inlineStr">
        <is>
          <t>TG_NON SOFT TOYS</t>
        </is>
      </c>
      <c r="L185" s="107" t="inlineStr">
        <is>
          <t>TG_NS_BAT BALL</t>
        </is>
      </c>
      <c r="M185" s="107" t="inlineStr">
        <is>
          <t>CRICKET 199-[TGNS23]</t>
        </is>
      </c>
      <c r="N185" s="107" t="inlineStr">
        <is>
          <t>ACTIVE</t>
        </is>
      </c>
      <c r="O185" s="108" t="n">
        <v>0.234446747357693</v>
      </c>
      <c r="P185" s="108" t="n">
        <v>0.168483142703156</v>
      </c>
      <c r="Q185" s="109" t="n">
        <v>51</v>
      </c>
      <c r="R185" s="110" t="n">
        <v>1172</v>
      </c>
      <c r="S185" s="110" t="n">
        <v>1279.09749329353</v>
      </c>
      <c r="T185" s="110" t="n">
        <v>3263.9979404967</v>
      </c>
      <c r="U185" s="110" t="n">
        <v>5715.09543379024</v>
      </c>
      <c r="V185" s="104" t="n">
        <v>3840</v>
      </c>
      <c r="W185" s="104" t="n">
        <v>0</v>
      </c>
      <c r="X185" s="104">
        <f>$V185+W185</f>
        <v/>
      </c>
      <c r="Y185" s="111">
        <f>IFERROR(A185/R185,0)</f>
        <v/>
      </c>
      <c r="Z185" s="111">
        <f>IFERROR(B185/U185,0)</f>
        <v/>
      </c>
      <c r="AA185" s="111">
        <f>IFERROR(C185/R185,0)</f>
        <v/>
      </c>
      <c r="AB185" s="111">
        <f>IFERROR(D185/U185,0)</f>
        <v/>
      </c>
      <c r="AD185" s="111">
        <f>IF(U185&gt;0,IFERROR(E185/U185,0),1)</f>
        <v/>
      </c>
      <c r="AE185" s="111">
        <f>IF(R185&gt;0,IFERROR(F185/R185,0),1)</f>
        <v/>
      </c>
      <c r="AF185" s="111">
        <f>IF(AL185&gt;0,IFERROR(G185/AL185,0),1)</f>
        <v/>
      </c>
      <c r="AG185" s="111">
        <f>IF(AM185&gt;0,IFERROR(H185/AM185,0),1)</f>
        <v/>
      </c>
      <c r="AH185" s="104">
        <f>U185-(V185+AN185+AR185)</f>
        <v/>
      </c>
      <c r="AI185" s="104">
        <f>R185-(V185+AO185+AR185)</f>
        <v/>
      </c>
      <c r="AJ185" s="104">
        <f>(AL185-AP185)</f>
        <v/>
      </c>
      <c r="AK185" s="104">
        <f>(AM185-AQ185)</f>
        <v/>
      </c>
      <c r="AL185" s="110">
        <f>S185+AI185</f>
        <v/>
      </c>
      <c r="AM185" s="110">
        <f>T185+AJ185</f>
        <v/>
      </c>
      <c r="AN185" s="104" t="n">
        <v>7140</v>
      </c>
      <c r="AO185" s="104" t="n">
        <v>1500</v>
      </c>
      <c r="AP185" s="104" t="n">
        <v>5640</v>
      </c>
      <c r="AQ185" s="104" t="n">
        <v>0</v>
      </c>
      <c r="AR185" s="104" t="n">
        <v>0</v>
      </c>
      <c r="AS185" s="104" t="n"/>
      <c r="AT185" s="104" t="n"/>
    </row>
    <row r="186" ht="12.65" customHeight="1" s="79">
      <c r="A186" s="104">
        <f>MIN(V186,R186)</f>
        <v/>
      </c>
      <c r="B186" s="104">
        <f>MIN(V186,U186)</f>
        <v/>
      </c>
      <c r="C186" s="104">
        <f>MIN(X186,R186)</f>
        <v/>
      </c>
      <c r="D186" s="104">
        <f>MIN(X186,U186)</f>
        <v/>
      </c>
      <c r="E186" s="104">
        <f>MIN((V186+AN186+AR186),U186)</f>
        <v/>
      </c>
      <c r="F186" s="104">
        <f>MAX(MIN((V186+AO186+AR186),R186),0)</f>
        <v/>
      </c>
      <c r="G186" s="104">
        <f>MAX(MIN(AP186,AL186),0)</f>
        <v/>
      </c>
      <c r="H186" s="104">
        <f>MAX(MIN(AQ186,AM186),0)</f>
        <v/>
      </c>
      <c r="I186" s="105" t="inlineStr">
        <is>
          <t>MAHIMA VOHRA</t>
        </is>
      </c>
      <c r="J186" s="106" t="inlineStr">
        <is>
          <t>SPORTS  &amp; TOYS</t>
        </is>
      </c>
      <c r="K186" s="107" t="inlineStr">
        <is>
          <t>TG_NON SOFT TOYS</t>
        </is>
      </c>
      <c r="L186" s="107" t="inlineStr">
        <is>
          <t>TG_NS_BAT BALL</t>
        </is>
      </c>
      <c r="M186" s="107" t="inlineStr">
        <is>
          <t>BAT BALL 99-[TGNS11]</t>
        </is>
      </c>
      <c r="N186" s="107" t="inlineStr">
        <is>
          <t>ACTIVE</t>
        </is>
      </c>
      <c r="O186" s="108" t="n">
        <v>0.120218434843881</v>
      </c>
      <c r="P186" s="108" t="n">
        <v>0.0967881288204419</v>
      </c>
      <c r="Q186" s="109" t="n">
        <v>51</v>
      </c>
      <c r="R186" s="110" t="n">
        <v>1068</v>
      </c>
      <c r="S186" s="110" t="n">
        <v>1256.13053891199</v>
      </c>
      <c r="T186" s="110" t="n">
        <v>3147.36458164952</v>
      </c>
      <c r="U186" s="110" t="n">
        <v>5471.49512056151</v>
      </c>
      <c r="V186" s="104" t="n">
        <v>3468</v>
      </c>
      <c r="W186" s="104" t="n">
        <v>0</v>
      </c>
      <c r="X186" s="104">
        <f>$V186+W186</f>
        <v/>
      </c>
      <c r="Y186" s="111">
        <f>IFERROR(A186/R186,0)</f>
        <v/>
      </c>
      <c r="Z186" s="111">
        <f>IFERROR(B186/U186,0)</f>
        <v/>
      </c>
      <c r="AA186" s="111">
        <f>IFERROR(C186/R186,0)</f>
        <v/>
      </c>
      <c r="AB186" s="111">
        <f>IFERROR(D186/U186,0)</f>
        <v/>
      </c>
      <c r="AD186" s="111">
        <f>IF(U186&gt;0,IFERROR(E186/U186,0),1)</f>
        <v/>
      </c>
      <c r="AE186" s="111">
        <f>IF(R186&gt;0,IFERROR(F186/R186,0),1)</f>
        <v/>
      </c>
      <c r="AF186" s="111">
        <f>IF(AL186&gt;0,IFERROR(G186/AL186,0),1)</f>
        <v/>
      </c>
      <c r="AG186" s="111">
        <f>IF(AM186&gt;0,IFERROR(H186/AM186,0),1)</f>
        <v/>
      </c>
      <c r="AH186" s="104">
        <f>U186-(V186+AN186+AR186)</f>
        <v/>
      </c>
      <c r="AI186" s="104">
        <f>R186-(V186+AO186+AR186)</f>
        <v/>
      </c>
      <c r="AJ186" s="104">
        <f>(AL186-AP186)</f>
        <v/>
      </c>
      <c r="AK186" s="104">
        <f>(AM186-AQ186)</f>
        <v/>
      </c>
      <c r="AL186" s="110">
        <f>S186+AI186</f>
        <v/>
      </c>
      <c r="AM186" s="110">
        <f>T186+AJ186</f>
        <v/>
      </c>
      <c r="AN186" s="104" t="n">
        <v>2400</v>
      </c>
      <c r="AO186" s="104" t="n">
        <v>0</v>
      </c>
      <c r="AP186" s="104" t="n">
        <v>2400</v>
      </c>
      <c r="AQ186" s="104" t="n">
        <v>0</v>
      </c>
      <c r="AR186" s="104" t="n">
        <v>0</v>
      </c>
      <c r="AS186" s="104" t="n"/>
      <c r="AT186" s="104" t="n"/>
    </row>
    <row r="187" ht="12.65" customHeight="1" s="79">
      <c r="A187" s="104">
        <f>MIN(V187,R187)</f>
        <v/>
      </c>
      <c r="B187" s="104">
        <f>MIN(V187,U187)</f>
        <v/>
      </c>
      <c r="C187" s="104">
        <f>MIN(X187,R187)</f>
        <v/>
      </c>
      <c r="D187" s="104">
        <f>MIN(X187,U187)</f>
        <v/>
      </c>
      <c r="E187" s="104">
        <f>MIN((V187+AN187+AR187),U187)</f>
        <v/>
      </c>
      <c r="F187" s="104">
        <f>MAX(MIN((V187+AO187+AR187),R187),0)</f>
        <v/>
      </c>
      <c r="G187" s="104">
        <f>MAX(MIN(AP187,AL187),0)</f>
        <v/>
      </c>
      <c r="H187" s="104">
        <f>MAX(MIN(AQ187,AM187),0)</f>
        <v/>
      </c>
      <c r="I187" s="105" t="inlineStr">
        <is>
          <t>MAHIMA VOHRA</t>
        </is>
      </c>
      <c r="J187" s="106" t="inlineStr">
        <is>
          <t>SPORTS  &amp; TOYS</t>
        </is>
      </c>
      <c r="K187" s="107" t="inlineStr">
        <is>
          <t>TG_NON SOFT TOYS</t>
        </is>
      </c>
      <c r="L187" s="107" t="inlineStr">
        <is>
          <t>TG_NS_BAT BALL</t>
        </is>
      </c>
      <c r="M187" s="107" t="inlineStr">
        <is>
          <t>BAT BALL 299-[TGNS11]</t>
        </is>
      </c>
      <c r="N187" s="107" t="inlineStr">
        <is>
          <t>ACTIVE</t>
        </is>
      </c>
      <c r="O187" s="108" t="n">
        <v>0.136624580056854</v>
      </c>
      <c r="P187" s="108" t="n">
        <v>0.0572344858259791</v>
      </c>
      <c r="Q187" s="109" t="n">
        <v>51</v>
      </c>
      <c r="R187" s="110" t="n">
        <v>249</v>
      </c>
      <c r="S187" s="110" t="n">
        <v>381.654061546961</v>
      </c>
      <c r="T187" s="110" t="n">
        <v>861.79901938463</v>
      </c>
      <c r="U187" s="110" t="n">
        <v>1492.45308093159</v>
      </c>
      <c r="V187" s="104" t="n">
        <v>2640</v>
      </c>
      <c r="W187" s="104" t="n">
        <v>1440</v>
      </c>
      <c r="X187" s="104">
        <f>$V187+W187</f>
        <v/>
      </c>
      <c r="Y187" s="111">
        <f>IFERROR(A187/R187,0)</f>
        <v/>
      </c>
      <c r="Z187" s="111">
        <f>IFERROR(B187/U187,0)</f>
        <v/>
      </c>
      <c r="AA187" s="111">
        <f>IFERROR(C187/R187,0)</f>
        <v/>
      </c>
      <c r="AB187" s="111">
        <f>IFERROR(D187/U187,0)</f>
        <v/>
      </c>
      <c r="AD187" s="111">
        <f>IF(U187&gt;0,IFERROR(E187/U187,0),1)</f>
        <v/>
      </c>
      <c r="AE187" s="111">
        <f>IF(R187&gt;0,IFERROR(F187/R187,0),1)</f>
        <v/>
      </c>
      <c r="AF187" s="111">
        <f>IF(AL187&gt;0,IFERROR(G187/AL187,0),1)</f>
        <v/>
      </c>
      <c r="AG187" s="111">
        <f>IF(AM187&gt;0,IFERROR(H187/AM187,0),1)</f>
        <v/>
      </c>
      <c r="AH187" s="104">
        <f>U187-(V187+AN187+AR187)</f>
        <v/>
      </c>
      <c r="AI187" s="104">
        <f>R187-(V187+AO187+AR187)</f>
        <v/>
      </c>
      <c r="AJ187" s="104">
        <f>(AL187-AP187)</f>
        <v/>
      </c>
      <c r="AK187" s="104">
        <f>(AM187-AQ187)</f>
        <v/>
      </c>
      <c r="AL187" s="110">
        <f>S187+AI187</f>
        <v/>
      </c>
      <c r="AM187" s="110">
        <f>T187+AJ187</f>
        <v/>
      </c>
      <c r="AN187" s="104" t="n">
        <v>5040</v>
      </c>
      <c r="AO187" s="104" t="n">
        <v>1440</v>
      </c>
      <c r="AP187" s="104" t="n">
        <v>3600</v>
      </c>
      <c r="AQ187" s="104" t="n">
        <v>0</v>
      </c>
      <c r="AR187" s="104" t="n">
        <v>0</v>
      </c>
      <c r="AS187" s="104" t="n"/>
      <c r="AT187" s="104" t="n"/>
    </row>
    <row r="188" ht="12.65" customHeight="1" s="79">
      <c r="A188" s="104">
        <f>MIN(V188,R188)</f>
        <v/>
      </c>
      <c r="B188" s="104">
        <f>MIN(V188,U188)</f>
        <v/>
      </c>
      <c r="C188" s="104">
        <f>MIN(X188,R188)</f>
        <v/>
      </c>
      <c r="D188" s="104">
        <f>MIN(X188,U188)</f>
        <v/>
      </c>
      <c r="E188" s="104">
        <f>MIN((V188+AN188+AR188),U188)</f>
        <v/>
      </c>
      <c r="F188" s="104">
        <f>MAX(MIN((V188+AO188+AR188),R188),0)</f>
        <v/>
      </c>
      <c r="G188" s="104">
        <f>MAX(MIN(AP188,AL188),0)</f>
        <v/>
      </c>
      <c r="H188" s="104">
        <f>MAX(MIN(AQ188,AM188),0)</f>
        <v/>
      </c>
      <c r="I188" s="105" t="inlineStr">
        <is>
          <t>MAHIMA VOHRA</t>
        </is>
      </c>
      <c r="J188" s="106" t="inlineStr">
        <is>
          <t>SPORTS  &amp; TOYS</t>
        </is>
      </c>
      <c r="K188" s="107" t="inlineStr">
        <is>
          <t>TG_NON SOFT TOYS</t>
        </is>
      </c>
      <c r="L188" s="107" t="inlineStr">
        <is>
          <t>TG_NS_BLOCKS</t>
        </is>
      </c>
      <c r="M188" s="107" t="inlineStr">
        <is>
          <t>BLOCK 149-[TGNS17]</t>
        </is>
      </c>
      <c r="N188" s="107" t="inlineStr">
        <is>
          <t>ACTIVE</t>
        </is>
      </c>
      <c r="O188" s="108" t="n">
        <v>0.123283128144565</v>
      </c>
      <c r="P188" s="108" t="n">
        <v>0.125638708331885</v>
      </c>
      <c r="Q188" s="109" t="n">
        <v>55</v>
      </c>
      <c r="R188" s="110" t="n">
        <v>12605</v>
      </c>
      <c r="S188" s="110" t="n">
        <v>8370.402507265089</v>
      </c>
      <c r="T188" s="110" t="n">
        <v>6971.16967688665</v>
      </c>
      <c r="U188" s="110" t="n">
        <v>27946.5721841517</v>
      </c>
      <c r="V188" s="104" t="n">
        <v>11208</v>
      </c>
      <c r="W188" s="104" t="n">
        <v>0</v>
      </c>
      <c r="X188" s="104">
        <f>$V188+W188</f>
        <v/>
      </c>
      <c r="Y188" s="111">
        <f>IFERROR(A188/R188,0)</f>
        <v/>
      </c>
      <c r="Z188" s="111">
        <f>IFERROR(B188/U188,0)</f>
        <v/>
      </c>
      <c r="AA188" s="111">
        <f>IFERROR(C188/R188,0)</f>
        <v/>
      </c>
      <c r="AB188" s="111">
        <f>IFERROR(D188/U188,0)</f>
        <v/>
      </c>
      <c r="AD188" s="111">
        <f>IF(U188&gt;0,IFERROR(E188/U188,0),1)</f>
        <v/>
      </c>
      <c r="AE188" s="111">
        <f>IF(R188&gt;0,IFERROR(F188/R188,0),1)</f>
        <v/>
      </c>
      <c r="AF188" s="111">
        <f>IF(AL188&gt;0,IFERROR(G188/AL188,0),1)</f>
        <v/>
      </c>
      <c r="AG188" s="111">
        <f>IF(AM188&gt;0,IFERROR(H188/AM188,0),1)</f>
        <v/>
      </c>
      <c r="AH188" s="104">
        <f>U188-(V188+AN188+AR188)</f>
        <v/>
      </c>
      <c r="AI188" s="104">
        <f>R188-(V188+AO188+AR188)</f>
        <v/>
      </c>
      <c r="AJ188" s="104">
        <f>(AL188-AP188)</f>
        <v/>
      </c>
      <c r="AK188" s="104">
        <f>(AM188-AQ188)</f>
        <v/>
      </c>
      <c r="AL188" s="110">
        <f>S188+AI188</f>
        <v/>
      </c>
      <c r="AM188" s="110">
        <f>T188+AJ188</f>
        <v/>
      </c>
      <c r="AN188" s="104" t="n">
        <v>8772</v>
      </c>
      <c r="AO188" s="104" t="n">
        <v>1920</v>
      </c>
      <c r="AP188" s="104" t="n">
        <v>6852</v>
      </c>
      <c r="AQ188" s="104" t="n">
        <v>0</v>
      </c>
      <c r="AR188" s="104" t="n">
        <v>0</v>
      </c>
      <c r="AS188" s="104" t="n"/>
      <c r="AT188" s="104" t="n"/>
    </row>
    <row r="189" ht="12.65" customHeight="1" s="79">
      <c r="A189" s="104">
        <f>MIN(V189,R189)</f>
        <v/>
      </c>
      <c r="B189" s="104">
        <f>MIN(V189,U189)</f>
        <v/>
      </c>
      <c r="C189" s="104">
        <f>MIN(X189,R189)</f>
        <v/>
      </c>
      <c r="D189" s="104">
        <f>MIN(X189,U189)</f>
        <v/>
      </c>
      <c r="E189" s="104">
        <f>MIN((V189+AN189+AR189),U189)</f>
        <v/>
      </c>
      <c r="F189" s="104">
        <f>MAX(MIN((V189+AO189+AR189),R189),0)</f>
        <v/>
      </c>
      <c r="G189" s="104">
        <f>MAX(MIN(AP189,AL189),0)</f>
        <v/>
      </c>
      <c r="H189" s="104">
        <f>MAX(MIN(AQ189,AM189),0)</f>
        <v/>
      </c>
      <c r="I189" s="105" t="inlineStr">
        <is>
          <t>MAHIMA VOHRA</t>
        </is>
      </c>
      <c r="J189" s="106" t="inlineStr">
        <is>
          <t>SPORTS  &amp; TOYS</t>
        </is>
      </c>
      <c r="K189" s="107" t="inlineStr">
        <is>
          <t>TG_NON SOFT TOYS</t>
        </is>
      </c>
      <c r="L189" s="107" t="inlineStr">
        <is>
          <t>TG_NS_BLOCKS</t>
        </is>
      </c>
      <c r="M189" s="107" t="inlineStr">
        <is>
          <t>BLOCK 199-[TGNS17]</t>
        </is>
      </c>
      <c r="N189" s="107" t="inlineStr">
        <is>
          <t>ACTIVE</t>
        </is>
      </c>
      <c r="O189" s="108" t="n">
        <v>0.113730846002611</v>
      </c>
      <c r="P189" s="108" t="n">
        <v>0.0985732814526589</v>
      </c>
      <c r="Q189" s="109" t="n">
        <v>55</v>
      </c>
      <c r="R189" s="110" t="n">
        <v>2963</v>
      </c>
      <c r="S189" s="110" t="n">
        <v>3009.55712234856</v>
      </c>
      <c r="T189" s="110" t="n">
        <v>2714.43713484074</v>
      </c>
      <c r="U189" s="110" t="n">
        <v>8686.994257189301</v>
      </c>
      <c r="V189" s="104" t="n">
        <v>0</v>
      </c>
      <c r="W189" s="104" t="n">
        <v>0</v>
      </c>
      <c r="X189" s="104">
        <f>$V189+W189</f>
        <v/>
      </c>
      <c r="Y189" s="111">
        <f>IFERROR(A189/R189,0)</f>
        <v/>
      </c>
      <c r="Z189" s="111">
        <f>IFERROR(B189/U189,0)</f>
        <v/>
      </c>
      <c r="AA189" s="111">
        <f>IFERROR(C189/R189,0)</f>
        <v/>
      </c>
      <c r="AB189" s="111">
        <f>IFERROR(D189/U189,0)</f>
        <v/>
      </c>
      <c r="AD189" s="111">
        <f>IF(U189&gt;0,IFERROR(E189/U189,0),1)</f>
        <v/>
      </c>
      <c r="AE189" s="111">
        <f>IF(R189&gt;0,IFERROR(F189/R189,0),1)</f>
        <v/>
      </c>
      <c r="AF189" s="111">
        <f>IF(AL189&gt;0,IFERROR(G189/AL189,0),1)</f>
        <v/>
      </c>
      <c r="AG189" s="111">
        <f>IF(AM189&gt;0,IFERROR(H189/AM189,0),1)</f>
        <v/>
      </c>
      <c r="AH189" s="104">
        <f>U189-(V189+AN189+AR189)</f>
        <v/>
      </c>
      <c r="AI189" s="104">
        <f>R189-(V189+AO189+AR189)</f>
        <v/>
      </c>
      <c r="AJ189" s="104">
        <f>(AL189-AP189)</f>
        <v/>
      </c>
      <c r="AK189" s="104">
        <f>(AM189-AQ189)</f>
        <v/>
      </c>
      <c r="AL189" s="110">
        <f>S189+AI189</f>
        <v/>
      </c>
      <c r="AM189" s="110">
        <f>T189+AJ189</f>
        <v/>
      </c>
      <c r="AN189" s="104" t="n">
        <v>5760</v>
      </c>
      <c r="AO189" s="104" t="n">
        <v>2400</v>
      </c>
      <c r="AP189" s="104" t="n">
        <v>3360</v>
      </c>
      <c r="AQ189" s="104" t="n">
        <v>0</v>
      </c>
      <c r="AR189" s="104" t="n">
        <v>0</v>
      </c>
      <c r="AS189" s="104" t="n"/>
      <c r="AT189" s="104" t="n"/>
    </row>
    <row r="190" ht="12.65" customHeight="1" s="79">
      <c r="A190" s="104">
        <f>MIN(V190,R190)</f>
        <v/>
      </c>
      <c r="B190" s="104">
        <f>MIN(V190,U190)</f>
        <v/>
      </c>
      <c r="C190" s="104">
        <f>MIN(X190,R190)</f>
        <v/>
      </c>
      <c r="D190" s="104">
        <f>MIN(X190,U190)</f>
        <v/>
      </c>
      <c r="E190" s="104">
        <f>MIN((V190+AN190+AR190),U190)</f>
        <v/>
      </c>
      <c r="F190" s="104">
        <f>MAX(MIN((V190+AO190+AR190),R190),0)</f>
        <v/>
      </c>
      <c r="G190" s="104">
        <f>MAX(MIN(AP190,AL190),0)</f>
        <v/>
      </c>
      <c r="H190" s="104">
        <f>MAX(MIN(AQ190,AM190),0)</f>
        <v/>
      </c>
      <c r="I190" s="105" t="inlineStr">
        <is>
          <t>MAHIMA VOHRA</t>
        </is>
      </c>
      <c r="J190" s="106" t="inlineStr">
        <is>
          <t>SPORTS  &amp; TOYS</t>
        </is>
      </c>
      <c r="K190" s="107" t="inlineStr">
        <is>
          <t>TG_NON SOFT TOYS</t>
        </is>
      </c>
      <c r="L190" s="107" t="inlineStr">
        <is>
          <t>TG_NS_BO</t>
        </is>
      </c>
      <c r="M190" s="107" t="inlineStr">
        <is>
          <t>BO CAR 199-[TGNS25]</t>
        </is>
      </c>
      <c r="N190" s="107" t="inlineStr">
        <is>
          <t>ACTIVE</t>
        </is>
      </c>
      <c r="O190" s="108" t="n">
        <v>0.115045297449846</v>
      </c>
      <c r="P190" s="108" t="n">
        <v>0.116651680903142</v>
      </c>
      <c r="Q190" s="109" t="n">
        <v>46</v>
      </c>
      <c r="R190" s="110" t="n">
        <v>8769</v>
      </c>
      <c r="S190" s="110" t="n">
        <v>6986.24680970337</v>
      </c>
      <c r="T190" s="110" t="n">
        <v>3705.65974749282</v>
      </c>
      <c r="U190" s="110" t="n">
        <v>19460.9065571962</v>
      </c>
      <c r="V190" s="104" t="n">
        <v>4800</v>
      </c>
      <c r="W190" s="104" t="n">
        <v>3600</v>
      </c>
      <c r="X190" s="104">
        <f>$V190+W190</f>
        <v/>
      </c>
      <c r="Y190" s="111">
        <f>IFERROR(A190/R190,0)</f>
        <v/>
      </c>
      <c r="Z190" s="111">
        <f>IFERROR(B190/U190,0)</f>
        <v/>
      </c>
      <c r="AA190" s="111">
        <f>IFERROR(C190/R190,0)</f>
        <v/>
      </c>
      <c r="AB190" s="111">
        <f>IFERROR(D190/U190,0)</f>
        <v/>
      </c>
      <c r="AD190" s="111">
        <f>IF(U190&gt;0,IFERROR(E190/U190,0),1)</f>
        <v/>
      </c>
      <c r="AE190" s="111">
        <f>IF(R190&gt;0,IFERROR(F190/R190,0),1)</f>
        <v/>
      </c>
      <c r="AF190" s="111">
        <f>IF(AL190&gt;0,IFERROR(G190/AL190,0),1)</f>
        <v/>
      </c>
      <c r="AG190" s="111">
        <f>IF(AM190&gt;0,IFERROR(H190/AM190,0),1)</f>
        <v/>
      </c>
      <c r="AH190" s="104">
        <f>U190-(V190+AN190+AR190)</f>
        <v/>
      </c>
      <c r="AI190" s="104">
        <f>R190-(V190+AO190+AR190)</f>
        <v/>
      </c>
      <c r="AJ190" s="104">
        <f>(AL190-AP190)</f>
        <v/>
      </c>
      <c r="AK190" s="104">
        <f>(AM190-AQ190)</f>
        <v/>
      </c>
      <c r="AL190" s="110">
        <f>S190+AI190</f>
        <v/>
      </c>
      <c r="AM190" s="110">
        <f>T190+AJ190</f>
        <v/>
      </c>
      <c r="AN190" s="104" t="n">
        <v>22800</v>
      </c>
      <c r="AO190" s="104" t="n">
        <v>8400</v>
      </c>
      <c r="AP190" s="104" t="n">
        <v>7200</v>
      </c>
      <c r="AQ190" s="104" t="n">
        <v>7200</v>
      </c>
      <c r="AR190" s="104" t="n">
        <v>0</v>
      </c>
      <c r="AS190" s="104" t="n"/>
      <c r="AT190" s="104" t="n"/>
    </row>
    <row r="191" ht="12.65" customHeight="1" s="79">
      <c r="A191" s="104">
        <f>MIN(V191,R191)</f>
        <v/>
      </c>
      <c r="B191" s="104">
        <f>MIN(V191,U191)</f>
        <v/>
      </c>
      <c r="C191" s="104">
        <f>MIN(X191,R191)</f>
        <v/>
      </c>
      <c r="D191" s="104">
        <f>MIN(X191,U191)</f>
        <v/>
      </c>
      <c r="E191" s="104">
        <f>MIN((V191+AN191+AR191),U191)</f>
        <v/>
      </c>
      <c r="F191" s="104">
        <f>MAX(MIN((V191+AO191+AR191),R191),0)</f>
        <v/>
      </c>
      <c r="G191" s="104">
        <f>MAX(MIN(AP191,AL191),0)</f>
        <v/>
      </c>
      <c r="H191" s="104">
        <f>MAX(MIN(AQ191,AM191),0)</f>
        <v/>
      </c>
      <c r="I191" s="105" t="inlineStr">
        <is>
          <t>MAHIMA VOHRA</t>
        </is>
      </c>
      <c r="J191" s="106" t="inlineStr">
        <is>
          <t>SPORTS  &amp; TOYS</t>
        </is>
      </c>
      <c r="K191" s="107" t="inlineStr">
        <is>
          <t>TG_NON SOFT TOYS</t>
        </is>
      </c>
      <c r="L191" s="107" t="inlineStr">
        <is>
          <t>TG_NS_DOLLS</t>
        </is>
      </c>
      <c r="M191" s="107" t="inlineStr">
        <is>
          <t>DOLL 99-[TGNS05]</t>
        </is>
      </c>
      <c r="N191" s="107" t="inlineStr">
        <is>
          <t>ACTIVE</t>
        </is>
      </c>
      <c r="O191" s="108" t="n">
        <v>0.135515689721966</v>
      </c>
      <c r="P191" s="108" t="n">
        <v>0.103130489877027</v>
      </c>
      <c r="Q191" s="109" t="n">
        <v>65</v>
      </c>
      <c r="R191" s="110" t="n">
        <v>6150</v>
      </c>
      <c r="S191" s="110" t="n">
        <v>5088.72161709351</v>
      </c>
      <c r="T191" s="110" t="n">
        <v>4516.10156256884</v>
      </c>
      <c r="U191" s="110" t="n">
        <v>15754.8231796624</v>
      </c>
      <c r="V191" s="104" t="n">
        <v>1440</v>
      </c>
      <c r="W191" s="104" t="n">
        <v>1440</v>
      </c>
      <c r="X191" s="104">
        <f>$V191+W191</f>
        <v/>
      </c>
      <c r="Y191" s="111">
        <f>IFERROR(A191/R191,0)</f>
        <v/>
      </c>
      <c r="Z191" s="111">
        <f>IFERROR(B191/U191,0)</f>
        <v/>
      </c>
      <c r="AA191" s="111">
        <f>IFERROR(C191/R191,0)</f>
        <v/>
      </c>
      <c r="AB191" s="111">
        <f>IFERROR(D191/U191,0)</f>
        <v/>
      </c>
      <c r="AD191" s="111">
        <f>IF(U191&gt;0,IFERROR(E191/U191,0),1)</f>
        <v/>
      </c>
      <c r="AE191" s="111">
        <f>IF(R191&gt;0,IFERROR(F191/R191,0),1)</f>
        <v/>
      </c>
      <c r="AF191" s="111">
        <f>IF(AL191&gt;0,IFERROR(G191/AL191,0),1)</f>
        <v/>
      </c>
      <c r="AG191" s="111">
        <f>IF(AM191&gt;0,IFERROR(H191/AM191,0),1)</f>
        <v/>
      </c>
      <c r="AH191" s="104">
        <f>U191-(V191+AN191+AR191)</f>
        <v/>
      </c>
      <c r="AI191" s="104">
        <f>R191-(V191+AO191+AR191)</f>
        <v/>
      </c>
      <c r="AJ191" s="104">
        <f>(AL191-AP191)</f>
        <v/>
      </c>
      <c r="AK191" s="104">
        <f>(AM191-AQ191)</f>
        <v/>
      </c>
      <c r="AL191" s="110">
        <f>S191+AI191</f>
        <v/>
      </c>
      <c r="AM191" s="110">
        <f>T191+AJ191</f>
        <v/>
      </c>
      <c r="AN191" s="104" t="n">
        <v>4320</v>
      </c>
      <c r="AO191" s="104" t="n">
        <v>1440</v>
      </c>
      <c r="AP191" s="104" t="n">
        <v>2880</v>
      </c>
      <c r="AQ191" s="104" t="n">
        <v>0</v>
      </c>
      <c r="AR191" s="104" t="n">
        <v>0</v>
      </c>
      <c r="AS191" s="104" t="n"/>
      <c r="AT191" s="104" t="n"/>
    </row>
    <row r="192" ht="12.65" customHeight="1" s="79">
      <c r="A192" s="104">
        <f>MIN(V192,R192)</f>
        <v/>
      </c>
      <c r="B192" s="104">
        <f>MIN(V192,U192)</f>
        <v/>
      </c>
      <c r="C192" s="104">
        <f>MIN(X192,R192)</f>
        <v/>
      </c>
      <c r="D192" s="104">
        <f>MIN(X192,U192)</f>
        <v/>
      </c>
      <c r="E192" s="104">
        <f>MIN((V192+AN192+AR192),U192)</f>
        <v/>
      </c>
      <c r="F192" s="104">
        <f>MAX(MIN((V192+AO192+AR192),R192),0)</f>
        <v/>
      </c>
      <c r="G192" s="104">
        <f>MAX(MIN(AP192,AL192),0)</f>
        <v/>
      </c>
      <c r="H192" s="104">
        <f>MAX(MIN(AQ192,AM192),0)</f>
        <v/>
      </c>
      <c r="I192" s="105" t="inlineStr">
        <is>
          <t>MAHIMA VOHRA</t>
        </is>
      </c>
      <c r="J192" s="106" t="inlineStr">
        <is>
          <t>SPORTS  &amp; TOYS</t>
        </is>
      </c>
      <c r="K192" s="107" t="inlineStr">
        <is>
          <t>TG_NON SOFT TOYS</t>
        </is>
      </c>
      <c r="L192" s="107" t="inlineStr">
        <is>
          <t>TG_NS_DOLLS</t>
        </is>
      </c>
      <c r="M192" s="107" t="inlineStr">
        <is>
          <t>DOLL 199-[TGNS05]</t>
        </is>
      </c>
      <c r="N192" s="107" t="inlineStr">
        <is>
          <t>ACTIVE</t>
        </is>
      </c>
      <c r="O192" s="108" t="n">
        <v>0.108802378128425</v>
      </c>
      <c r="P192" s="108" t="n">
        <v>0.08803124091230111</v>
      </c>
      <c r="Q192" s="109" t="n">
        <v>65</v>
      </c>
      <c r="R192" s="110" t="n">
        <v>0</v>
      </c>
      <c r="S192" s="110" t="n">
        <v>1481.33947182407</v>
      </c>
      <c r="T192" s="110" t="n">
        <v>2065.70334492486</v>
      </c>
      <c r="U192" s="110" t="n">
        <v>3547.04281674892</v>
      </c>
      <c r="V192" s="104" t="n">
        <v>3120</v>
      </c>
      <c r="W192" s="104" t="n">
        <v>2880</v>
      </c>
      <c r="X192" s="104">
        <f>$V192+W192</f>
        <v/>
      </c>
      <c r="Y192" s="111">
        <f>IFERROR(A192/R192,0)</f>
        <v/>
      </c>
      <c r="Z192" s="111">
        <f>IFERROR(B192/U192,0)</f>
        <v/>
      </c>
      <c r="AA192" s="111">
        <f>IFERROR(C192/R192,0)</f>
        <v/>
      </c>
      <c r="AB192" s="111">
        <f>IFERROR(D192/U192,0)</f>
        <v/>
      </c>
      <c r="AD192" s="111">
        <f>IF(U192&gt;0,IFERROR(E192/U192,0),1)</f>
        <v/>
      </c>
      <c r="AE192" s="111">
        <f>IF(R192&gt;0,IFERROR(F192/R192,0),1)</f>
        <v/>
      </c>
      <c r="AF192" s="111">
        <f>IF(AL192&gt;0,IFERROR(G192/AL192,0),1)</f>
        <v/>
      </c>
      <c r="AG192" s="111">
        <f>IF(AM192&gt;0,IFERROR(H192/AM192,0),1)</f>
        <v/>
      </c>
      <c r="AH192" s="104">
        <f>U192-(V192+AN192+AR192)</f>
        <v/>
      </c>
      <c r="AI192" s="104">
        <f>R192-(V192+AO192+AR192)</f>
        <v/>
      </c>
      <c r="AJ192" s="104">
        <f>(AL192-AP192)</f>
        <v/>
      </c>
      <c r="AK192" s="104">
        <f>(AM192-AQ192)</f>
        <v/>
      </c>
      <c r="AL192" s="110">
        <f>S192+AI192</f>
        <v/>
      </c>
      <c r="AM192" s="110">
        <f>T192+AJ192</f>
        <v/>
      </c>
      <c r="AN192" s="104" t="n">
        <v>10800</v>
      </c>
      <c r="AO192" s="104" t="n">
        <v>1440</v>
      </c>
      <c r="AP192" s="104" t="n">
        <v>6960</v>
      </c>
      <c r="AQ192" s="104" t="n">
        <v>2400</v>
      </c>
      <c r="AR192" s="104" t="n">
        <v>0</v>
      </c>
      <c r="AS192" s="104" t="n"/>
      <c r="AT192" s="104" t="n"/>
    </row>
    <row r="193" ht="12.65" customHeight="1" s="79">
      <c r="A193" s="104">
        <f>MIN(V193,R193)</f>
        <v/>
      </c>
      <c r="B193" s="104">
        <f>MIN(V193,U193)</f>
        <v/>
      </c>
      <c r="C193" s="104">
        <f>MIN(X193,R193)</f>
        <v/>
      </c>
      <c r="D193" s="104">
        <f>MIN(X193,U193)</f>
        <v/>
      </c>
      <c r="E193" s="104">
        <f>MIN((V193+AN193+AR193),U193)</f>
        <v/>
      </c>
      <c r="F193" s="104">
        <f>MAX(MIN((V193+AO193+AR193),R193),0)</f>
        <v/>
      </c>
      <c r="G193" s="104">
        <f>MAX(MIN(AP193,AL193),0)</f>
        <v/>
      </c>
      <c r="H193" s="104">
        <f>MAX(MIN(AQ193,AM193),0)</f>
        <v/>
      </c>
      <c r="I193" s="105" t="inlineStr">
        <is>
          <t>MAHIMA VOHRA</t>
        </is>
      </c>
      <c r="J193" s="106" t="inlineStr">
        <is>
          <t>SPORTS  &amp; TOYS</t>
        </is>
      </c>
      <c r="K193" s="107" t="inlineStr">
        <is>
          <t>TG_NON SOFT TOYS</t>
        </is>
      </c>
      <c r="L193" s="107" t="inlineStr">
        <is>
          <t>TG_NS_FRICTION</t>
        </is>
      </c>
      <c r="M193" s="107" t="inlineStr">
        <is>
          <t>FRTN VHCL 149-[TGNS26]</t>
        </is>
      </c>
      <c r="N193" s="107" t="inlineStr">
        <is>
          <t>ACTIVE</t>
        </is>
      </c>
      <c r="O193" s="108" t="n">
        <v>0.145436197213522</v>
      </c>
      <c r="P193" s="108" t="n">
        <v>0.149879494908574</v>
      </c>
      <c r="Q193" s="109" t="n">
        <v>24</v>
      </c>
      <c r="R193" s="110" t="n">
        <v>20100</v>
      </c>
      <c r="S193" s="110" t="n">
        <v>11440.8312406825</v>
      </c>
      <c r="T193" s="110" t="n">
        <v>6883.22008046013</v>
      </c>
      <c r="U193" s="110" t="n">
        <v>38424.0513211426</v>
      </c>
      <c r="V193" s="104" t="n">
        <v>14338</v>
      </c>
      <c r="W193" s="104" t="n">
        <v>1680</v>
      </c>
      <c r="X193" s="104">
        <f>$V193+W193</f>
        <v/>
      </c>
      <c r="Y193" s="111">
        <f>IFERROR(A193/R193,0)</f>
        <v/>
      </c>
      <c r="Z193" s="111">
        <f>IFERROR(B193/U193,0)</f>
        <v/>
      </c>
      <c r="AA193" s="111">
        <f>IFERROR(C193/R193,0)</f>
        <v/>
      </c>
      <c r="AB193" s="111">
        <f>IFERROR(D193/U193,0)</f>
        <v/>
      </c>
      <c r="AD193" s="111">
        <f>IF(U193&gt;0,IFERROR(E193/U193,0),1)</f>
        <v/>
      </c>
      <c r="AE193" s="111">
        <f>IF(R193&gt;0,IFERROR(F193/R193,0),1)</f>
        <v/>
      </c>
      <c r="AF193" s="111">
        <f>IF(AL193&gt;0,IFERROR(G193/AL193,0),1)</f>
        <v/>
      </c>
      <c r="AG193" s="111">
        <f>IF(AM193&gt;0,IFERROR(H193/AM193,0),1)</f>
        <v/>
      </c>
      <c r="AH193" s="104">
        <f>U193-(V193+AN193+AR193)</f>
        <v/>
      </c>
      <c r="AI193" s="104">
        <f>R193-(V193+AO193+AR193)</f>
        <v/>
      </c>
      <c r="AJ193" s="104">
        <f>(AL193-AP193)</f>
        <v/>
      </c>
      <c r="AK193" s="104">
        <f>(AM193-AQ193)</f>
        <v/>
      </c>
      <c r="AL193" s="110">
        <f>S193+AI193</f>
        <v/>
      </c>
      <c r="AM193" s="110">
        <f>T193+AJ193</f>
        <v/>
      </c>
      <c r="AN193" s="104" t="n">
        <v>22440</v>
      </c>
      <c r="AO193" s="104" t="n">
        <v>1920</v>
      </c>
      <c r="AP193" s="104" t="n">
        <v>13680</v>
      </c>
      <c r="AQ193" s="104" t="n">
        <v>6840</v>
      </c>
      <c r="AR193" s="104" t="n">
        <v>0</v>
      </c>
      <c r="AS193" s="104" t="n"/>
      <c r="AT193" s="104" t="n"/>
    </row>
    <row r="194" ht="12.65" customHeight="1" s="79">
      <c r="A194" s="104">
        <f>MIN(V194,R194)</f>
        <v/>
      </c>
      <c r="B194" s="104">
        <f>MIN(V194,U194)</f>
        <v/>
      </c>
      <c r="C194" s="104">
        <f>MIN(X194,R194)</f>
        <v/>
      </c>
      <c r="D194" s="104">
        <f>MIN(X194,U194)</f>
        <v/>
      </c>
      <c r="E194" s="104">
        <f>MIN((V194+AN194+AR194),U194)</f>
        <v/>
      </c>
      <c r="F194" s="104">
        <f>MAX(MIN((V194+AO194+AR194),R194),0)</f>
        <v/>
      </c>
      <c r="G194" s="104">
        <f>MAX(MIN(AP194,AL194),0)</f>
        <v/>
      </c>
      <c r="H194" s="104">
        <f>MAX(MIN(AQ194,AM194),0)</f>
        <v/>
      </c>
      <c r="I194" s="105" t="inlineStr">
        <is>
          <t>MAHIMA VOHRA</t>
        </is>
      </c>
      <c r="J194" s="106" t="inlineStr">
        <is>
          <t>SPORTS  &amp; TOYS</t>
        </is>
      </c>
      <c r="K194" s="107" t="inlineStr">
        <is>
          <t>TG_NON SOFT TOYS</t>
        </is>
      </c>
      <c r="L194" s="107" t="inlineStr">
        <is>
          <t>TG_NS_FRICTION</t>
        </is>
      </c>
      <c r="M194" s="107" t="inlineStr">
        <is>
          <t>FRTN VHCL 399-[TGNS26]</t>
        </is>
      </c>
      <c r="N194" s="107" t="inlineStr">
        <is>
          <t>ACTIVE</t>
        </is>
      </c>
      <c r="O194" s="108" t="n">
        <v>0.136430049920857</v>
      </c>
      <c r="P194" s="108" t="n">
        <v>0.138996306756463</v>
      </c>
      <c r="Q194" s="109" t="n">
        <v>24</v>
      </c>
      <c r="R194" s="110" t="n">
        <v>3047</v>
      </c>
      <c r="S194" s="110" t="n">
        <v>1838.74393598787</v>
      </c>
      <c r="T194" s="110" t="n">
        <v>1617.59408289569</v>
      </c>
      <c r="U194" s="110" t="n">
        <v>6503.33801888355</v>
      </c>
      <c r="V194" s="104" t="n">
        <v>1800</v>
      </c>
      <c r="W194" s="104" t="n">
        <v>0</v>
      </c>
      <c r="X194" s="104">
        <f>$V194+W194</f>
        <v/>
      </c>
      <c r="Y194" s="111">
        <f>IFERROR(A194/R194,0)</f>
        <v/>
      </c>
      <c r="Z194" s="111">
        <f>IFERROR(B194/U194,0)</f>
        <v/>
      </c>
      <c r="AA194" s="111">
        <f>IFERROR(C194/R194,0)</f>
        <v/>
      </c>
      <c r="AB194" s="111">
        <f>IFERROR(D194/U194,0)</f>
        <v/>
      </c>
      <c r="AD194" s="111">
        <f>IF(U194&gt;0,IFERROR(E194/U194,0),1)</f>
        <v/>
      </c>
      <c r="AE194" s="111">
        <f>IF(R194&gt;0,IFERROR(F194/R194,0),1)</f>
        <v/>
      </c>
      <c r="AF194" s="111">
        <f>IF(AL194&gt;0,IFERROR(G194/AL194,0),1)</f>
        <v/>
      </c>
      <c r="AG194" s="111">
        <f>IF(AM194&gt;0,IFERROR(H194/AM194,0),1)</f>
        <v/>
      </c>
      <c r="AH194" s="104">
        <f>U194-(V194+AN194+AR194)</f>
        <v/>
      </c>
      <c r="AI194" s="104">
        <f>R194-(V194+AO194+AR194)</f>
        <v/>
      </c>
      <c r="AJ194" s="104">
        <f>(AL194-AP194)</f>
        <v/>
      </c>
      <c r="AK194" s="104">
        <f>(AM194-AQ194)</f>
        <v/>
      </c>
      <c r="AL194" s="110">
        <f>S194+AI194</f>
        <v/>
      </c>
      <c r="AM194" s="110">
        <f>T194+AJ194</f>
        <v/>
      </c>
      <c r="AN194" s="104" t="n">
        <v>6000</v>
      </c>
      <c r="AO194" s="104" t="n">
        <v>0</v>
      </c>
      <c r="AP194" s="104" t="n">
        <v>3000</v>
      </c>
      <c r="AQ194" s="104" t="n">
        <v>3000</v>
      </c>
      <c r="AR194" s="104" t="n">
        <v>0</v>
      </c>
      <c r="AS194" s="104" t="n"/>
      <c r="AT194" s="104" t="n"/>
    </row>
    <row r="195" ht="12.65" customHeight="1" s="79">
      <c r="A195" s="104">
        <f>MIN(V195,R195)</f>
        <v/>
      </c>
      <c r="B195" s="104">
        <f>MIN(V195,U195)</f>
        <v/>
      </c>
      <c r="C195" s="104">
        <f>MIN(X195,R195)</f>
        <v/>
      </c>
      <c r="D195" s="104">
        <f>MIN(X195,U195)</f>
        <v/>
      </c>
      <c r="E195" s="104">
        <f>MIN((V195+AN195+AR195),U195)</f>
        <v/>
      </c>
      <c r="F195" s="104">
        <f>MAX(MIN((V195+AO195+AR195),R195),0)</f>
        <v/>
      </c>
      <c r="G195" s="104">
        <f>MAX(MIN(AP195,AL195),0)</f>
        <v/>
      </c>
      <c r="H195" s="104">
        <f>MAX(MIN(AQ195,AM195),0)</f>
        <v/>
      </c>
      <c r="I195" s="105" t="inlineStr">
        <is>
          <t>MAHIMA VOHRA</t>
        </is>
      </c>
      <c r="J195" s="106" t="inlineStr">
        <is>
          <t>SPORTS  &amp; TOYS</t>
        </is>
      </c>
      <c r="K195" s="107" t="inlineStr">
        <is>
          <t>TG_NON SOFT TOYS</t>
        </is>
      </c>
      <c r="L195" s="107" t="inlineStr">
        <is>
          <t>TG_NS_FRICTION</t>
        </is>
      </c>
      <c r="M195" s="107" t="inlineStr">
        <is>
          <t>FRTN VHCL 199-[TGNS26]</t>
        </is>
      </c>
      <c r="N195" s="107" t="inlineStr">
        <is>
          <t>ACTIVE</t>
        </is>
      </c>
      <c r="O195" s="108" t="n">
        <v>0.112093739308929</v>
      </c>
      <c r="P195" s="108" t="n">
        <v>0.106422802740581</v>
      </c>
      <c r="Q195" s="109" t="n">
        <v>24</v>
      </c>
      <c r="R195" s="110" t="n">
        <v>0</v>
      </c>
      <c r="S195" s="110" t="n">
        <v>0</v>
      </c>
      <c r="T195" s="110" t="n">
        <v>0</v>
      </c>
      <c r="U195" s="110" t="n">
        <v>0</v>
      </c>
      <c r="V195" s="104" t="n">
        <v>6230</v>
      </c>
      <c r="W195" s="104" t="n">
        <v>1440</v>
      </c>
      <c r="X195" s="104">
        <f>$V195+W195</f>
        <v/>
      </c>
      <c r="Y195" s="111">
        <f>IFERROR(A195/R195,0)</f>
        <v/>
      </c>
      <c r="Z195" s="111">
        <f>IFERROR(B195/U195,0)</f>
        <v/>
      </c>
      <c r="AA195" s="111">
        <f>IFERROR(C195/R195,0)</f>
        <v/>
      </c>
      <c r="AB195" s="111">
        <f>IFERROR(D195/U195,0)</f>
        <v/>
      </c>
      <c r="AD195" s="111">
        <f>IF(U195&gt;0,IFERROR(E195/U195,0),1)</f>
        <v/>
      </c>
      <c r="AE195" s="111">
        <f>IF(R195&gt;0,IFERROR(F195/R195,0),1)</f>
        <v/>
      </c>
      <c r="AF195" s="111">
        <f>IF(AL195&gt;0,IFERROR(G195/AL195,0),1)</f>
        <v/>
      </c>
      <c r="AG195" s="111">
        <f>IF(AM195&gt;0,IFERROR(H195/AM195,0),1)</f>
        <v/>
      </c>
      <c r="AH195" s="104">
        <f>U195-(V195+AN195+AR195)</f>
        <v/>
      </c>
      <c r="AI195" s="104">
        <f>R195-(V195+AO195+AR195)</f>
        <v/>
      </c>
      <c r="AJ195" s="104">
        <f>(AL195-AP195)</f>
        <v/>
      </c>
      <c r="AK195" s="104">
        <f>(AM195-AQ195)</f>
        <v/>
      </c>
      <c r="AL195" s="110">
        <f>S195+AI195</f>
        <v/>
      </c>
      <c r="AM195" s="110">
        <f>T195+AJ195</f>
        <v/>
      </c>
      <c r="AN195" s="104" t="n">
        <v>9600</v>
      </c>
      <c r="AO195" s="104" t="n">
        <v>2880</v>
      </c>
      <c r="AP195" s="104" t="n">
        <v>6720</v>
      </c>
      <c r="AQ195" s="104" t="n">
        <v>0</v>
      </c>
      <c r="AR195" s="104" t="n">
        <v>0</v>
      </c>
      <c r="AS195" s="104" t="n"/>
      <c r="AT195" s="104" t="n"/>
    </row>
    <row r="196" ht="12.65" customHeight="1" s="79">
      <c r="A196" s="104">
        <f>MIN(V196,R196)</f>
        <v/>
      </c>
      <c r="B196" s="104">
        <f>MIN(V196,U196)</f>
        <v/>
      </c>
      <c r="C196" s="104">
        <f>MIN(X196,R196)</f>
        <v/>
      </c>
      <c r="D196" s="104">
        <f>MIN(X196,U196)</f>
        <v/>
      </c>
      <c r="E196" s="104">
        <f>MIN((V196+AN196+AR196),U196)</f>
        <v/>
      </c>
      <c r="F196" s="104">
        <f>MAX(MIN((V196+AO196+AR196),R196),0)</f>
        <v/>
      </c>
      <c r="G196" s="104">
        <f>MAX(MIN(AP196,AL196),0)</f>
        <v/>
      </c>
      <c r="H196" s="104">
        <f>MAX(MIN(AQ196,AM196),0)</f>
        <v/>
      </c>
      <c r="I196" s="105" t="inlineStr">
        <is>
          <t>MAHIMA VOHRA</t>
        </is>
      </c>
      <c r="J196" s="106" t="inlineStr">
        <is>
          <t>SPORTS  &amp; TOYS</t>
        </is>
      </c>
      <c r="K196" s="107" t="inlineStr">
        <is>
          <t>TG_NON SOFT TOYS</t>
        </is>
      </c>
      <c r="L196" s="107" t="inlineStr">
        <is>
          <t>TG_NS_GUN</t>
        </is>
      </c>
      <c r="M196" s="107" t="inlineStr">
        <is>
          <t>GUN 299-[TGNS06]</t>
        </is>
      </c>
      <c r="N196" s="107" t="inlineStr">
        <is>
          <t>ACTIVE</t>
        </is>
      </c>
      <c r="O196" s="108" t="n">
        <v>0.147435007328551</v>
      </c>
      <c r="P196" s="108" t="n">
        <v>0.138926766663993</v>
      </c>
      <c r="Q196" s="109" t="n">
        <v>80</v>
      </c>
      <c r="R196" s="110" t="n">
        <v>4661</v>
      </c>
      <c r="S196" s="110" t="n">
        <v>3062.16522349206</v>
      </c>
      <c r="T196" s="110" t="n">
        <v>2394.45946864909</v>
      </c>
      <c r="U196" s="110" t="n">
        <v>10117.6246921411</v>
      </c>
      <c r="V196" s="104" t="n">
        <v>4800</v>
      </c>
      <c r="W196" s="104" t="n">
        <v>1800</v>
      </c>
      <c r="X196" s="104">
        <f>$V196+W196</f>
        <v/>
      </c>
      <c r="Y196" s="111">
        <f>IFERROR(A196/R196,0)</f>
        <v/>
      </c>
      <c r="Z196" s="111">
        <f>IFERROR(B196/U196,0)</f>
        <v/>
      </c>
      <c r="AA196" s="111">
        <f>IFERROR(C196/R196,0)</f>
        <v/>
      </c>
      <c r="AB196" s="111">
        <f>IFERROR(D196/U196,0)</f>
        <v/>
      </c>
      <c r="AD196" s="111">
        <f>IF(U196&gt;0,IFERROR(E196/U196,0),1)</f>
        <v/>
      </c>
      <c r="AE196" s="111">
        <f>IF(R196&gt;0,IFERROR(F196/R196,0),1)</f>
        <v/>
      </c>
      <c r="AF196" s="111">
        <f>IF(AL196&gt;0,IFERROR(G196/AL196,0),1)</f>
        <v/>
      </c>
      <c r="AG196" s="111">
        <f>IF(AM196&gt;0,IFERROR(H196/AM196,0),1)</f>
        <v/>
      </c>
      <c r="AH196" s="104">
        <f>U196-(V196+AN196+AR196)</f>
        <v/>
      </c>
      <c r="AI196" s="104">
        <f>R196-(V196+AO196+AR196)</f>
        <v/>
      </c>
      <c r="AJ196" s="104">
        <f>(AL196-AP196)</f>
        <v/>
      </c>
      <c r="AK196" s="104">
        <f>(AM196-AQ196)</f>
        <v/>
      </c>
      <c r="AL196" s="110">
        <f>S196+AI196</f>
        <v/>
      </c>
      <c r="AM196" s="110">
        <f>T196+AJ196</f>
        <v/>
      </c>
      <c r="AN196" s="104" t="n">
        <v>1800</v>
      </c>
      <c r="AO196" s="104" t="n">
        <v>1800</v>
      </c>
      <c r="AP196" s="104" t="n">
        <v>0</v>
      </c>
      <c r="AQ196" s="104" t="n">
        <v>0</v>
      </c>
      <c r="AR196" s="104" t="n">
        <v>0</v>
      </c>
      <c r="AS196" s="104" t="n"/>
      <c r="AT196" s="104" t="n"/>
    </row>
    <row r="197" ht="12.65" customHeight="1" s="79">
      <c r="A197" s="104">
        <f>MIN(V197,R197)</f>
        <v/>
      </c>
      <c r="B197" s="104">
        <f>MIN(V197,U197)</f>
        <v/>
      </c>
      <c r="C197" s="104">
        <f>MIN(X197,R197)</f>
        <v/>
      </c>
      <c r="D197" s="104">
        <f>MIN(X197,U197)</f>
        <v/>
      </c>
      <c r="E197" s="104">
        <f>MIN((V197+AN197+AR197),U197)</f>
        <v/>
      </c>
      <c r="F197" s="104">
        <f>MAX(MIN((V197+AO197+AR197),R197),0)</f>
        <v/>
      </c>
      <c r="G197" s="104">
        <f>MAX(MIN(AP197,AL197),0)</f>
        <v/>
      </c>
      <c r="H197" s="104">
        <f>MAX(MIN(AQ197,AM197),0)</f>
        <v/>
      </c>
      <c r="I197" s="105" t="inlineStr">
        <is>
          <t>MAHIMA VOHRA</t>
        </is>
      </c>
      <c r="J197" s="106" t="inlineStr">
        <is>
          <t>SPORTS  &amp; TOYS</t>
        </is>
      </c>
      <c r="K197" s="107" t="inlineStr">
        <is>
          <t>TG_NON SOFT TOYS</t>
        </is>
      </c>
      <c r="L197" s="107" t="inlineStr">
        <is>
          <t>TG_NS_GUN</t>
        </is>
      </c>
      <c r="M197" s="107" t="inlineStr">
        <is>
          <t>GUN 149-[TGNS06]</t>
        </is>
      </c>
      <c r="N197" s="107" t="inlineStr">
        <is>
          <t>ACTIVE</t>
        </is>
      </c>
      <c r="O197" s="108" t="n">
        <v>0.149443003204639</v>
      </c>
      <c r="P197" s="108" t="n">
        <v>0.140491788566813</v>
      </c>
      <c r="Q197" s="109" t="n">
        <v>80</v>
      </c>
      <c r="R197" s="110" t="n">
        <v>3240</v>
      </c>
      <c r="S197" s="110" t="n">
        <v>1456.48514476896</v>
      </c>
      <c r="T197" s="110" t="n">
        <v>690.140566336756</v>
      </c>
      <c r="U197" s="110" t="n">
        <v>5386.62571110572</v>
      </c>
      <c r="V197" s="104" t="n">
        <v>5520</v>
      </c>
      <c r="W197" s="104" t="n">
        <v>0</v>
      </c>
      <c r="X197" s="104">
        <f>$V197+W197</f>
        <v/>
      </c>
      <c r="Y197" s="111">
        <f>IFERROR(A197/R197,0)</f>
        <v/>
      </c>
      <c r="Z197" s="111">
        <f>IFERROR(B197/U197,0)</f>
        <v/>
      </c>
      <c r="AA197" s="111">
        <f>IFERROR(C197/R197,0)</f>
        <v/>
      </c>
      <c r="AB197" s="111">
        <f>IFERROR(D197/U197,0)</f>
        <v/>
      </c>
      <c r="AD197" s="111">
        <f>IF(U197&gt;0,IFERROR(E197/U197,0),1)</f>
        <v/>
      </c>
      <c r="AE197" s="111">
        <f>IF(R197&gt;0,IFERROR(F197/R197,0),1)</f>
        <v/>
      </c>
      <c r="AF197" s="111">
        <f>IF(AL197&gt;0,IFERROR(G197/AL197,0),1)</f>
        <v/>
      </c>
      <c r="AG197" s="111">
        <f>IF(AM197&gt;0,IFERROR(H197/AM197,0),1)</f>
        <v/>
      </c>
      <c r="AH197" s="104">
        <f>U197-(V197+AN197+AR197)</f>
        <v/>
      </c>
      <c r="AI197" s="104">
        <f>R197-(V197+AO197+AR197)</f>
        <v/>
      </c>
      <c r="AJ197" s="104">
        <f>(AL197-AP197)</f>
        <v/>
      </c>
      <c r="AK197" s="104">
        <f>(AM197-AQ197)</f>
        <v/>
      </c>
      <c r="AL197" s="110">
        <f>S197+AI197</f>
        <v/>
      </c>
      <c r="AM197" s="110">
        <f>T197+AJ197</f>
        <v/>
      </c>
      <c r="AN197" s="104" t="n">
        <v>3600</v>
      </c>
      <c r="AO197" s="104" t="n">
        <v>0</v>
      </c>
      <c r="AP197" s="104" t="n">
        <v>3600</v>
      </c>
      <c r="AQ197" s="104" t="n">
        <v>0</v>
      </c>
      <c r="AR197" s="104" t="n">
        <v>0</v>
      </c>
      <c r="AS197" s="104" t="n"/>
      <c r="AT197" s="104" t="n"/>
    </row>
    <row r="198" ht="12.65" customHeight="1" s="79">
      <c r="A198" s="104">
        <f>MIN(V198,R198)</f>
        <v/>
      </c>
      <c r="B198" s="104">
        <f>MIN(V198,U198)</f>
        <v/>
      </c>
      <c r="C198" s="104">
        <f>MIN(X198,R198)</f>
        <v/>
      </c>
      <c r="D198" s="104">
        <f>MIN(X198,U198)</f>
        <v/>
      </c>
      <c r="E198" s="104">
        <f>MIN((V198+AN198+AR198),U198)</f>
        <v/>
      </c>
      <c r="F198" s="104">
        <f>MAX(MIN((V198+AO198+AR198),R198),0)</f>
        <v/>
      </c>
      <c r="G198" s="104">
        <f>MAX(MIN(AP198,AL198),0)</f>
        <v/>
      </c>
      <c r="H198" s="104">
        <f>MAX(MIN(AQ198,AM198),0)</f>
        <v/>
      </c>
      <c r="I198" s="105" t="inlineStr">
        <is>
          <t>MAHIMA VOHRA</t>
        </is>
      </c>
      <c r="J198" s="106" t="inlineStr">
        <is>
          <t>SPORTS  &amp; TOYS</t>
        </is>
      </c>
      <c r="K198" s="107" t="inlineStr">
        <is>
          <t>TG_NON SOFT TOYS</t>
        </is>
      </c>
      <c r="L198" s="107" t="inlineStr">
        <is>
          <t>TG_NS_KIDS CHAIR</t>
        </is>
      </c>
      <c r="M198" s="107" t="inlineStr">
        <is>
          <t>CHU CHU 399-[TGNS07]</t>
        </is>
      </c>
      <c r="N198" s="107" t="inlineStr">
        <is>
          <t>ACTIVE</t>
        </is>
      </c>
      <c r="O198" s="108" t="n">
        <v>0.147966226845164</v>
      </c>
      <c r="P198" s="108" t="n">
        <v>0.129181259834526</v>
      </c>
      <c r="Q198" s="109" t="n">
        <v>89</v>
      </c>
      <c r="R198" s="110" t="n">
        <v>1731</v>
      </c>
      <c r="S198" s="110" t="n">
        <v>1752.35383954428</v>
      </c>
      <c r="T198" s="110" t="n">
        <v>1613.17377071119</v>
      </c>
      <c r="U198" s="110" t="n">
        <v>5096.52761025547</v>
      </c>
      <c r="V198" s="104" t="n">
        <v>1800</v>
      </c>
      <c r="W198" s="104" t="n">
        <v>0</v>
      </c>
      <c r="X198" s="104">
        <f>$V198+W198</f>
        <v/>
      </c>
      <c r="Y198" s="111">
        <f>IFERROR(A198/R198,0)</f>
        <v/>
      </c>
      <c r="Z198" s="111">
        <f>IFERROR(B198/U198,0)</f>
        <v/>
      </c>
      <c r="AA198" s="111">
        <f>IFERROR(C198/R198,0)</f>
        <v/>
      </c>
      <c r="AB198" s="111">
        <f>IFERROR(D198/U198,0)</f>
        <v/>
      </c>
      <c r="AD198" s="111">
        <f>IF(U198&gt;0,IFERROR(E198/U198,0),1)</f>
        <v/>
      </c>
      <c r="AE198" s="111">
        <f>IF(R198&gt;0,IFERROR(F198/R198,0),1)</f>
        <v/>
      </c>
      <c r="AF198" s="111">
        <f>IF(AL198&gt;0,IFERROR(G198/AL198,0),1)</f>
        <v/>
      </c>
      <c r="AG198" s="111">
        <f>IF(AM198&gt;0,IFERROR(H198/AM198,0),1)</f>
        <v/>
      </c>
      <c r="AH198" s="104">
        <f>U198-(V198+AN198+AR198)</f>
        <v/>
      </c>
      <c r="AI198" s="104">
        <f>R198-(V198+AO198+AR198)</f>
        <v/>
      </c>
      <c r="AJ198" s="104">
        <f>(AL198-AP198)</f>
        <v/>
      </c>
      <c r="AK198" s="104">
        <f>(AM198-AQ198)</f>
        <v/>
      </c>
      <c r="AL198" s="110">
        <f>S198+AI198</f>
        <v/>
      </c>
      <c r="AM198" s="110">
        <f>T198+AJ198</f>
        <v/>
      </c>
      <c r="AN198" s="104" t="n">
        <v>1800</v>
      </c>
      <c r="AO198" s="104" t="n">
        <v>0</v>
      </c>
      <c r="AP198" s="104" t="n">
        <v>1800</v>
      </c>
      <c r="AQ198" s="104" t="n">
        <v>0</v>
      </c>
      <c r="AR198" s="104" t="n">
        <v>0</v>
      </c>
      <c r="AS198" s="104" t="n"/>
      <c r="AT198" s="104" t="n"/>
    </row>
    <row r="199" ht="12.65" customHeight="1" s="79">
      <c r="A199" s="104">
        <f>MIN(V199,R199)</f>
        <v/>
      </c>
      <c r="B199" s="104">
        <f>MIN(V199,U199)</f>
        <v/>
      </c>
      <c r="C199" s="104">
        <f>MIN(X199,R199)</f>
        <v/>
      </c>
      <c r="D199" s="104">
        <f>MIN(X199,U199)</f>
        <v/>
      </c>
      <c r="E199" s="104">
        <f>MIN((V199+AN199+AR199),U199)</f>
        <v/>
      </c>
      <c r="F199" s="104">
        <f>MAX(MIN((V199+AO199+AR199),R199),0)</f>
        <v/>
      </c>
      <c r="G199" s="104">
        <f>MAX(MIN(AP199,AL199),0)</f>
        <v/>
      </c>
      <c r="H199" s="104">
        <f>MAX(MIN(AQ199,AM199),0)</f>
        <v/>
      </c>
      <c r="I199" s="105" t="inlineStr">
        <is>
          <t>MAHIMA VOHRA</t>
        </is>
      </c>
      <c r="J199" s="106" t="inlineStr">
        <is>
          <t>SPORTS  &amp; TOYS</t>
        </is>
      </c>
      <c r="K199" s="107" t="inlineStr">
        <is>
          <t>TG_NON SOFT TOYS</t>
        </is>
      </c>
      <c r="L199" s="107" t="inlineStr">
        <is>
          <t>TG_NS_MUSICAL</t>
        </is>
      </c>
      <c r="M199" s="107" t="inlineStr">
        <is>
          <t>XYLO 129-[TGNS24]</t>
        </is>
      </c>
      <c r="N199" s="107" t="inlineStr">
        <is>
          <t>ACTIVE</t>
        </is>
      </c>
      <c r="O199" s="108" t="n">
        <v>0.09958258158875211</v>
      </c>
      <c r="P199" s="108" t="n">
        <v>0.135573046650029</v>
      </c>
      <c r="Q199" s="109" t="n">
        <v>79</v>
      </c>
      <c r="R199" s="110" t="n">
        <v>3856</v>
      </c>
      <c r="S199" s="110" t="n">
        <v>2026.60003521073</v>
      </c>
      <c r="T199" s="110" t="n">
        <v>2540.81791143078</v>
      </c>
      <c r="U199" s="110" t="n">
        <v>8423.41794664151</v>
      </c>
      <c r="V199" s="104" t="n">
        <v>4799</v>
      </c>
      <c r="W199" s="104" t="n">
        <v>1200</v>
      </c>
      <c r="X199" s="104">
        <f>$V199+W199</f>
        <v/>
      </c>
      <c r="Y199" s="111">
        <f>IFERROR(A199/R199,0)</f>
        <v/>
      </c>
      <c r="Z199" s="111">
        <f>IFERROR(B199/U199,0)</f>
        <v/>
      </c>
      <c r="AA199" s="111">
        <f>IFERROR(C199/R199,0)</f>
        <v/>
      </c>
      <c r="AB199" s="111">
        <f>IFERROR(D199/U199,0)</f>
        <v/>
      </c>
      <c r="AD199" s="111">
        <f>IF(U199&gt;0,IFERROR(E199/U199,0),1)</f>
        <v/>
      </c>
      <c r="AE199" s="111">
        <f>IF(R199&gt;0,IFERROR(F199/R199,0),1)</f>
        <v/>
      </c>
      <c r="AF199" s="111">
        <f>IF(AL199&gt;0,IFERROR(G199/AL199,0),1)</f>
        <v/>
      </c>
      <c r="AG199" s="111">
        <f>IF(AM199&gt;0,IFERROR(H199/AM199,0),1)</f>
        <v/>
      </c>
      <c r="AH199" s="104">
        <f>U199-(V199+AN199+AR199)</f>
        <v/>
      </c>
      <c r="AI199" s="104">
        <f>R199-(V199+AO199+AR199)</f>
        <v/>
      </c>
      <c r="AJ199" s="104">
        <f>(AL199-AP199)</f>
        <v/>
      </c>
      <c r="AK199" s="104">
        <f>(AM199-AQ199)</f>
        <v/>
      </c>
      <c r="AL199" s="110">
        <f>S199+AI199</f>
        <v/>
      </c>
      <c r="AM199" s="110">
        <f>T199+AJ199</f>
        <v/>
      </c>
      <c r="AN199" s="104" t="n">
        <v>4200</v>
      </c>
      <c r="AO199" s="104" t="n">
        <v>600</v>
      </c>
      <c r="AP199" s="104" t="n">
        <v>3600</v>
      </c>
      <c r="AQ199" s="104" t="n">
        <v>0</v>
      </c>
      <c r="AR199" s="104" t="n">
        <v>0</v>
      </c>
      <c r="AS199" s="104" t="n"/>
      <c r="AT199" s="104" t="n"/>
    </row>
    <row r="200" ht="12.65" customHeight="1" s="79">
      <c r="A200" s="104">
        <f>MIN(V200,R200)</f>
        <v/>
      </c>
      <c r="B200" s="104">
        <f>MIN(V200,U200)</f>
        <v/>
      </c>
      <c r="C200" s="104">
        <f>MIN(X200,R200)</f>
        <v/>
      </c>
      <c r="D200" s="104">
        <f>MIN(X200,U200)</f>
        <v/>
      </c>
      <c r="E200" s="104">
        <f>MIN((V200+AN200+AR200),U200)</f>
        <v/>
      </c>
      <c r="F200" s="104">
        <f>MAX(MIN((V200+AO200+AR200),R200),0)</f>
        <v/>
      </c>
      <c r="G200" s="104">
        <f>MAX(MIN(AP200,AL200),0)</f>
        <v/>
      </c>
      <c r="H200" s="104">
        <f>MAX(MIN(AQ200,AM200),0)</f>
        <v/>
      </c>
      <c r="I200" s="105" t="inlineStr">
        <is>
          <t>MAHIMA VOHRA</t>
        </is>
      </c>
      <c r="J200" s="106" t="inlineStr">
        <is>
          <t>SPORTS  &amp; TOYS</t>
        </is>
      </c>
      <c r="K200" s="107" t="inlineStr">
        <is>
          <t>TG_NON SOFT TOYS</t>
        </is>
      </c>
      <c r="L200" s="107" t="inlineStr">
        <is>
          <t>TG_NS_MUSICAL</t>
        </is>
      </c>
      <c r="M200" s="107" t="inlineStr">
        <is>
          <t>DRUM 149-[TGNS24]</t>
        </is>
      </c>
      <c r="N200" s="107" t="inlineStr">
        <is>
          <t>ACTIVE</t>
        </is>
      </c>
      <c r="O200" s="108" t="n">
        <v>0.137675442239017</v>
      </c>
      <c r="P200" s="108" t="n">
        <v>0.153431115767418</v>
      </c>
      <c r="Q200" s="109" t="n">
        <v>79</v>
      </c>
      <c r="R200" s="110" t="n">
        <v>759</v>
      </c>
      <c r="S200" s="110" t="n">
        <v>458.109663208507</v>
      </c>
      <c r="T200" s="110" t="n">
        <v>616.754309025262</v>
      </c>
      <c r="U200" s="110" t="n">
        <v>1833.86397223377</v>
      </c>
      <c r="V200" s="104" t="n">
        <v>1440</v>
      </c>
      <c r="W200" s="104" t="n">
        <v>0</v>
      </c>
      <c r="X200" s="104">
        <f>$V200+W200</f>
        <v/>
      </c>
      <c r="Y200" s="111">
        <f>IFERROR(A200/R200,0)</f>
        <v/>
      </c>
      <c r="Z200" s="111">
        <f>IFERROR(B200/U200,0)</f>
        <v/>
      </c>
      <c r="AA200" s="111">
        <f>IFERROR(C200/R200,0)</f>
        <v/>
      </c>
      <c r="AB200" s="111">
        <f>IFERROR(D200/U200,0)</f>
        <v/>
      </c>
      <c r="AD200" s="111">
        <f>IF(U200&gt;0,IFERROR(E200/U200,0),1)</f>
        <v/>
      </c>
      <c r="AE200" s="111">
        <f>IF(R200&gt;0,IFERROR(F200/R200,0),1)</f>
        <v/>
      </c>
      <c r="AF200" s="111">
        <f>IF(AL200&gt;0,IFERROR(G200/AL200,0),1)</f>
        <v/>
      </c>
      <c r="AG200" s="111">
        <f>IF(AM200&gt;0,IFERROR(H200/AM200,0),1)</f>
        <v/>
      </c>
      <c r="AH200" s="104">
        <f>U200-(V200+AN200+AR200)</f>
        <v/>
      </c>
      <c r="AI200" s="104">
        <f>R200-(V200+AO200+AR200)</f>
        <v/>
      </c>
      <c r="AJ200" s="104">
        <f>(AL200-AP200)</f>
        <v/>
      </c>
      <c r="AK200" s="104">
        <f>(AM200-AQ200)</f>
        <v/>
      </c>
      <c r="AL200" s="110">
        <f>S200+AI200</f>
        <v/>
      </c>
      <c r="AM200" s="110">
        <f>T200+AJ200</f>
        <v/>
      </c>
      <c r="AN200" s="104" t="n">
        <v>1440</v>
      </c>
      <c r="AO200" s="104" t="n">
        <v>0</v>
      </c>
      <c r="AP200" s="104" t="n">
        <v>1440</v>
      </c>
      <c r="AQ200" s="104" t="n">
        <v>0</v>
      </c>
      <c r="AR200" s="104" t="n">
        <v>0</v>
      </c>
      <c r="AS200" s="104" t="n"/>
      <c r="AT200" s="104" t="n"/>
    </row>
    <row r="201" ht="12.65" customHeight="1" s="79">
      <c r="A201" s="104">
        <f>MIN(V201,R201)</f>
        <v/>
      </c>
      <c r="B201" s="104">
        <f>MIN(V201,U201)</f>
        <v/>
      </c>
      <c r="C201" s="104">
        <f>MIN(X201,R201)</f>
        <v/>
      </c>
      <c r="D201" s="104">
        <f>MIN(X201,U201)</f>
        <v/>
      </c>
      <c r="E201" s="104">
        <f>MIN((V201+AN201+AR201),U201)</f>
        <v/>
      </c>
      <c r="F201" s="104">
        <f>MAX(MIN((V201+AO201+AR201),R201),0)</f>
        <v/>
      </c>
      <c r="G201" s="104">
        <f>MAX(MIN(AP201,AL201),0)</f>
        <v/>
      </c>
      <c r="H201" s="104">
        <f>MAX(MIN(AQ201,AM201),0)</f>
        <v/>
      </c>
      <c r="I201" s="105" t="inlineStr">
        <is>
          <t>MAHIMA VOHRA</t>
        </is>
      </c>
      <c r="J201" s="106" t="inlineStr">
        <is>
          <t>SPORTS  &amp; TOYS</t>
        </is>
      </c>
      <c r="K201" s="107" t="inlineStr">
        <is>
          <t>TG_NON SOFT TOYS</t>
        </is>
      </c>
      <c r="L201" s="107" t="inlineStr">
        <is>
          <t>TG_NS_P_RIDER</t>
        </is>
      </c>
      <c r="M201" s="107" t="inlineStr">
        <is>
          <t>RIDER 1299-[TGNS22]</t>
        </is>
      </c>
      <c r="N201" s="107" t="inlineStr">
        <is>
          <t>ACTIVE</t>
        </is>
      </c>
      <c r="O201" s="108" t="n">
        <v>0.11119453680861</v>
      </c>
      <c r="P201" s="108" t="n">
        <v>0.111379246333766</v>
      </c>
      <c r="Q201" s="109" t="n">
        <v>116</v>
      </c>
      <c r="R201" s="110" t="n">
        <v>323</v>
      </c>
      <c r="S201" s="110" t="n">
        <v>261.377801400527</v>
      </c>
      <c r="T201" s="110" t="n">
        <v>581.267247480357</v>
      </c>
      <c r="U201" s="110" t="n">
        <v>1165.64504888088</v>
      </c>
      <c r="V201" s="104" t="n">
        <v>360</v>
      </c>
      <c r="W201" s="104" t="n">
        <v>0</v>
      </c>
      <c r="X201" s="104">
        <f>$V201+W201</f>
        <v/>
      </c>
      <c r="Y201" s="111">
        <f>IFERROR(A201/R201,0)</f>
        <v/>
      </c>
      <c r="Z201" s="111">
        <f>IFERROR(B201/U201,0)</f>
        <v/>
      </c>
      <c r="AA201" s="111">
        <f>IFERROR(C201/R201,0)</f>
        <v/>
      </c>
      <c r="AB201" s="111">
        <f>IFERROR(D201/U201,0)</f>
        <v/>
      </c>
      <c r="AD201" s="111">
        <f>IF(U201&gt;0,IFERROR(E201/U201,0),1)</f>
        <v/>
      </c>
      <c r="AE201" s="111">
        <f>IF(R201&gt;0,IFERROR(F201/R201,0),1)</f>
        <v/>
      </c>
      <c r="AF201" s="111">
        <f>IF(AL201&gt;0,IFERROR(G201/AL201,0),1)</f>
        <v/>
      </c>
      <c r="AG201" s="111">
        <f>IF(AM201&gt;0,IFERROR(H201/AM201,0),1)</f>
        <v/>
      </c>
      <c r="AH201" s="104">
        <f>U201-(V201+AN201+AR201)</f>
        <v/>
      </c>
      <c r="AI201" s="104">
        <f>R201-(V201+AO201+AR201)</f>
        <v/>
      </c>
      <c r="AJ201" s="104">
        <f>(AL201-AP201)</f>
        <v/>
      </c>
      <c r="AK201" s="104">
        <f>(AM201-AQ201)</f>
        <v/>
      </c>
      <c r="AL201" s="110">
        <f>S201+AI201</f>
        <v/>
      </c>
      <c r="AM201" s="110">
        <f>T201+AJ201</f>
        <v/>
      </c>
      <c r="AN201" s="104" t="n">
        <v>760</v>
      </c>
      <c r="AO201" s="104" t="n">
        <v>0</v>
      </c>
      <c r="AP201" s="104" t="n">
        <v>280</v>
      </c>
      <c r="AQ201" s="104" t="n">
        <v>480</v>
      </c>
      <c r="AR201" s="104" t="n">
        <v>0</v>
      </c>
      <c r="AS201" s="104" t="n"/>
      <c r="AT201" s="104" t="n"/>
    </row>
    <row r="202" ht="12.65" customHeight="1" s="79">
      <c r="A202" s="104">
        <f>MIN(V202,R202)</f>
        <v/>
      </c>
      <c r="B202" s="104">
        <f>MIN(V202,U202)</f>
        <v/>
      </c>
      <c r="C202" s="104">
        <f>MIN(X202,R202)</f>
        <v/>
      </c>
      <c r="D202" s="104">
        <f>MIN(X202,U202)</f>
        <v/>
      </c>
      <c r="E202" s="104">
        <f>MIN((V202+AN202+AR202),U202)</f>
        <v/>
      </c>
      <c r="F202" s="104">
        <f>MAX(MIN((V202+AO202+AR202),R202),0)</f>
        <v/>
      </c>
      <c r="G202" s="104">
        <f>MAX(MIN(AP202,AL202),0)</f>
        <v/>
      </c>
      <c r="H202" s="104">
        <f>MAX(MIN(AQ202,AM202),0)</f>
        <v/>
      </c>
      <c r="I202" s="105" t="inlineStr">
        <is>
          <t>MAHIMA VOHRA</t>
        </is>
      </c>
      <c r="J202" s="106" t="inlineStr">
        <is>
          <t>SPORTS  &amp; TOYS</t>
        </is>
      </c>
      <c r="K202" s="107" t="inlineStr">
        <is>
          <t>TG_NON SOFT TOYS</t>
        </is>
      </c>
      <c r="L202" s="107" t="inlineStr">
        <is>
          <t>TG_NS_P_SET</t>
        </is>
      </c>
      <c r="M202" s="107" t="inlineStr">
        <is>
          <t>KTCHN ST 149-[TGNS23]</t>
        </is>
      </c>
      <c r="N202" s="107" t="inlineStr">
        <is>
          <t>ACTIVE</t>
        </is>
      </c>
      <c r="O202" s="108" t="n">
        <v>0.169648743889962</v>
      </c>
      <c r="P202" s="108" t="n">
        <v>0.144502535477023</v>
      </c>
      <c r="Q202" s="109" t="n">
        <v>14</v>
      </c>
      <c r="R202" s="110" t="n">
        <v>27055</v>
      </c>
      <c r="S202" s="110" t="n">
        <v>14906.7682023942</v>
      </c>
      <c r="T202" s="110" t="n">
        <v>7510.27334942248</v>
      </c>
      <c r="U202" s="110" t="n">
        <v>49472.0415518166</v>
      </c>
      <c r="V202" s="104" t="n">
        <v>4752</v>
      </c>
      <c r="W202" s="104" t="n">
        <v>7440</v>
      </c>
      <c r="X202" s="104">
        <f>$V202+W202</f>
        <v/>
      </c>
      <c r="Y202" s="111">
        <f>IFERROR(A202/R202,0)</f>
        <v/>
      </c>
      <c r="Z202" s="111">
        <f>IFERROR(B202/U202,0)</f>
        <v/>
      </c>
      <c r="AA202" s="111">
        <f>IFERROR(C202/R202,0)</f>
        <v/>
      </c>
      <c r="AB202" s="111">
        <f>IFERROR(D202/U202,0)</f>
        <v/>
      </c>
      <c r="AD202" s="111">
        <f>IF(U202&gt;0,IFERROR(E202/U202,0),1)</f>
        <v/>
      </c>
      <c r="AE202" s="111">
        <f>IF(R202&gt;0,IFERROR(F202/R202,0),1)</f>
        <v/>
      </c>
      <c r="AF202" s="111">
        <f>IF(AL202&gt;0,IFERROR(G202/AL202,0),1)</f>
        <v/>
      </c>
      <c r="AG202" s="111">
        <f>IF(AM202&gt;0,IFERROR(H202/AM202,0),1)</f>
        <v/>
      </c>
      <c r="AH202" s="104">
        <f>U202-(V202+AN202+AR202)</f>
        <v/>
      </c>
      <c r="AI202" s="104">
        <f>R202-(V202+AO202+AR202)</f>
        <v/>
      </c>
      <c r="AJ202" s="104">
        <f>(AL202-AP202)</f>
        <v/>
      </c>
      <c r="AK202" s="104">
        <f>(AM202-AQ202)</f>
        <v/>
      </c>
      <c r="AL202" s="110">
        <f>S202+AI202</f>
        <v/>
      </c>
      <c r="AM202" s="110">
        <f>T202+AJ202</f>
        <v/>
      </c>
      <c r="AN202" s="104" t="n">
        <v>29304</v>
      </c>
      <c r="AO202" s="104" t="n">
        <v>12264</v>
      </c>
      <c r="AP202" s="104" t="n">
        <v>13440</v>
      </c>
      <c r="AQ202" s="104" t="n">
        <v>3600</v>
      </c>
      <c r="AR202" s="104" t="n">
        <v>0</v>
      </c>
      <c r="AS202" s="104" t="n"/>
      <c r="AT202" s="104" t="n"/>
    </row>
    <row r="203" ht="12.65" customHeight="1" s="79">
      <c r="A203" s="104">
        <f>MIN(V203,R203)</f>
        <v/>
      </c>
      <c r="B203" s="104">
        <f>MIN(V203,U203)</f>
        <v/>
      </c>
      <c r="C203" s="104">
        <f>MIN(X203,R203)</f>
        <v/>
      </c>
      <c r="D203" s="104">
        <f>MIN(X203,U203)</f>
        <v/>
      </c>
      <c r="E203" s="104">
        <f>MIN((V203+AN203+AR203),U203)</f>
        <v/>
      </c>
      <c r="F203" s="104">
        <f>MAX(MIN((V203+AO203+AR203),R203),0)</f>
        <v/>
      </c>
      <c r="G203" s="104">
        <f>MAX(MIN(AP203,AL203),0)</f>
        <v/>
      </c>
      <c r="H203" s="104">
        <f>MAX(MIN(AQ203,AM203),0)</f>
        <v/>
      </c>
      <c r="I203" s="105" t="inlineStr">
        <is>
          <t>MAHIMA VOHRA</t>
        </is>
      </c>
      <c r="J203" s="106" t="inlineStr">
        <is>
          <t>SPORTS  &amp; TOYS</t>
        </is>
      </c>
      <c r="K203" s="107" t="inlineStr">
        <is>
          <t>TG_NON SOFT TOYS</t>
        </is>
      </c>
      <c r="L203" s="107" t="inlineStr">
        <is>
          <t>TG_NS_P_SET</t>
        </is>
      </c>
      <c r="M203" s="107" t="inlineStr">
        <is>
          <t>DCTR ST 99-[TGNS23]</t>
        </is>
      </c>
      <c r="N203" s="107" t="inlineStr">
        <is>
          <t>ACTIVE</t>
        </is>
      </c>
      <c r="O203" s="108" t="n">
        <v>0.182623752291709</v>
      </c>
      <c r="P203" s="108" t="n">
        <v>0.163247668865135</v>
      </c>
      <c r="Q203" s="109" t="n">
        <v>14</v>
      </c>
      <c r="R203" s="110" t="n">
        <v>17063</v>
      </c>
      <c r="S203" s="110" t="n">
        <v>12110.9492454814</v>
      </c>
      <c r="T203" s="110" t="n">
        <v>7304.0270738673</v>
      </c>
      <c r="U203" s="110" t="n">
        <v>36477.9763193487</v>
      </c>
      <c r="V203" s="104" t="n">
        <v>10038</v>
      </c>
      <c r="W203" s="104" t="n">
        <v>4320</v>
      </c>
      <c r="X203" s="104">
        <f>$V203+W203</f>
        <v/>
      </c>
      <c r="Y203" s="111">
        <f>IFERROR(A203/R203,0)</f>
        <v/>
      </c>
      <c r="Z203" s="111">
        <f>IFERROR(B203/U203,0)</f>
        <v/>
      </c>
      <c r="AA203" s="111">
        <f>IFERROR(C203/R203,0)</f>
        <v/>
      </c>
      <c r="AB203" s="111">
        <f>IFERROR(D203/U203,0)</f>
        <v/>
      </c>
      <c r="AD203" s="111">
        <f>IF(U203&gt;0,IFERROR(E203/U203,0),1)</f>
        <v/>
      </c>
      <c r="AE203" s="111">
        <f>IF(R203&gt;0,IFERROR(F203/R203,0),1)</f>
        <v/>
      </c>
      <c r="AF203" s="111">
        <f>IF(AL203&gt;0,IFERROR(G203/AL203,0),1)</f>
        <v/>
      </c>
      <c r="AG203" s="111">
        <f>IF(AM203&gt;0,IFERROR(H203/AM203,0),1)</f>
        <v/>
      </c>
      <c r="AH203" s="104">
        <f>U203-(V203+AN203+AR203)</f>
        <v/>
      </c>
      <c r="AI203" s="104">
        <f>R203-(V203+AO203+AR203)</f>
        <v/>
      </c>
      <c r="AJ203" s="104">
        <f>(AL203-AP203)</f>
        <v/>
      </c>
      <c r="AK203" s="104">
        <f>(AM203-AQ203)</f>
        <v/>
      </c>
      <c r="AL203" s="110">
        <f>S203+AI203</f>
        <v/>
      </c>
      <c r="AM203" s="110">
        <f>T203+AJ203</f>
        <v/>
      </c>
      <c r="AN203" s="104" t="n">
        <v>8640</v>
      </c>
      <c r="AO203" s="104" t="n">
        <v>6960</v>
      </c>
      <c r="AP203" s="104" t="n">
        <v>1680</v>
      </c>
      <c r="AQ203" s="104" t="n">
        <v>0</v>
      </c>
      <c r="AR203" s="104" t="n">
        <v>0</v>
      </c>
      <c r="AS203" s="104" t="n"/>
      <c r="AT203" s="104" t="n"/>
    </row>
    <row r="204" ht="12.65" customHeight="1" s="79">
      <c r="A204" s="104">
        <f>MIN(V204,R204)</f>
        <v/>
      </c>
      <c r="B204" s="104">
        <f>MIN(V204,U204)</f>
        <v/>
      </c>
      <c r="C204" s="104">
        <f>MIN(X204,R204)</f>
        <v/>
      </c>
      <c r="D204" s="104">
        <f>MIN(X204,U204)</f>
        <v/>
      </c>
      <c r="E204" s="104">
        <f>MIN((V204+AN204+AR204),U204)</f>
        <v/>
      </c>
      <c r="F204" s="104">
        <f>MAX(MIN((V204+AO204+AR204),R204),0)</f>
        <v/>
      </c>
      <c r="G204" s="104">
        <f>MAX(MIN(AP204,AL204),0)</f>
        <v/>
      </c>
      <c r="H204" s="104">
        <f>MAX(MIN(AQ204,AM204),0)</f>
        <v/>
      </c>
      <c r="I204" s="105" t="inlineStr">
        <is>
          <t>MAHIMA VOHRA</t>
        </is>
      </c>
      <c r="J204" s="106" t="inlineStr">
        <is>
          <t>SPORTS  &amp; TOYS</t>
        </is>
      </c>
      <c r="K204" s="107" t="inlineStr">
        <is>
          <t>TG_NON SOFT TOYS</t>
        </is>
      </c>
      <c r="L204" s="107" t="inlineStr">
        <is>
          <t>TG_NS_P_SET</t>
        </is>
      </c>
      <c r="M204" s="107" t="inlineStr">
        <is>
          <t>BADMINTON 99-[TGNS23]</t>
        </is>
      </c>
      <c r="N204" s="107" t="inlineStr">
        <is>
          <t>ACTIVE</t>
        </is>
      </c>
      <c r="O204" s="108" t="n">
        <v>0.145918415916988</v>
      </c>
      <c r="P204" s="108" t="n">
        <v>0.115320842314707</v>
      </c>
      <c r="Q204" s="109" t="n">
        <v>14</v>
      </c>
      <c r="R204" s="110" t="n">
        <v>5688</v>
      </c>
      <c r="S204" s="110" t="n">
        <v>7762.88270391598</v>
      </c>
      <c r="T204" s="110" t="n">
        <v>5021.46170796257</v>
      </c>
      <c r="U204" s="110" t="n">
        <v>18472.3444118785</v>
      </c>
      <c r="V204" s="104" t="n">
        <v>10318</v>
      </c>
      <c r="W204" s="104" t="n">
        <v>0</v>
      </c>
      <c r="X204" s="104">
        <f>$V204+W204</f>
        <v/>
      </c>
      <c r="Y204" s="111">
        <f>IFERROR(A204/R204,0)</f>
        <v/>
      </c>
      <c r="Z204" s="111">
        <f>IFERROR(B204/U204,0)</f>
        <v/>
      </c>
      <c r="AA204" s="111">
        <f>IFERROR(C204/R204,0)</f>
        <v/>
      </c>
      <c r="AB204" s="111">
        <f>IFERROR(D204/U204,0)</f>
        <v/>
      </c>
      <c r="AD204" s="111">
        <f>IF(U204&gt;0,IFERROR(E204/U204,0),1)</f>
        <v/>
      </c>
      <c r="AE204" s="111">
        <f>IF(R204&gt;0,IFERROR(F204/R204,0),1)</f>
        <v/>
      </c>
      <c r="AF204" s="111">
        <f>IF(AL204&gt;0,IFERROR(G204/AL204,0),1)</f>
        <v/>
      </c>
      <c r="AG204" s="111">
        <f>IF(AM204&gt;0,IFERROR(H204/AM204,0),1)</f>
        <v/>
      </c>
      <c r="AH204" s="104">
        <f>U204-(V204+AN204+AR204)</f>
        <v/>
      </c>
      <c r="AI204" s="104">
        <f>R204-(V204+AO204+AR204)</f>
        <v/>
      </c>
      <c r="AJ204" s="104">
        <f>(AL204-AP204)</f>
        <v/>
      </c>
      <c r="AK204" s="104">
        <f>(AM204-AQ204)</f>
        <v/>
      </c>
      <c r="AL204" s="110">
        <f>S204+AI204</f>
        <v/>
      </c>
      <c r="AM204" s="110">
        <f>T204+AJ204</f>
        <v/>
      </c>
      <c r="AN204" s="104" t="n">
        <v>8880</v>
      </c>
      <c r="AO204" s="104" t="n">
        <v>0</v>
      </c>
      <c r="AP204" s="104" t="n">
        <v>8880</v>
      </c>
      <c r="AQ204" s="104" t="n">
        <v>0</v>
      </c>
      <c r="AR204" s="104" t="n">
        <v>0</v>
      </c>
      <c r="AS204" s="104" t="n"/>
      <c r="AT204" s="104" t="n"/>
    </row>
    <row r="205" ht="12.65" customHeight="1" s="79">
      <c r="A205" s="104">
        <f>MIN(V205,R205)</f>
        <v/>
      </c>
      <c r="B205" s="104">
        <f>MIN(V205,U205)</f>
        <v/>
      </c>
      <c r="C205" s="104">
        <f>MIN(X205,R205)</f>
        <v/>
      </c>
      <c r="D205" s="104">
        <f>MIN(X205,U205)</f>
        <v/>
      </c>
      <c r="E205" s="104">
        <f>MIN((V205+AN205+AR205),U205)</f>
        <v/>
      </c>
      <c r="F205" s="104">
        <f>MAX(MIN((V205+AO205+AR205),R205),0)</f>
        <v/>
      </c>
      <c r="G205" s="104">
        <f>MAX(MIN(AP205,AL205),0)</f>
        <v/>
      </c>
      <c r="H205" s="104">
        <f>MAX(MIN(AQ205,AM205),0)</f>
        <v/>
      </c>
      <c r="I205" s="105" t="inlineStr">
        <is>
          <t>MAHIMA VOHRA</t>
        </is>
      </c>
      <c r="J205" s="106" t="inlineStr">
        <is>
          <t>SPORTS  &amp; TOYS</t>
        </is>
      </c>
      <c r="K205" s="107" t="inlineStr">
        <is>
          <t>TG_NON SOFT TOYS</t>
        </is>
      </c>
      <c r="L205" s="107" t="inlineStr">
        <is>
          <t>TG_NS_P_SET</t>
        </is>
      </c>
      <c r="M205" s="107" t="inlineStr">
        <is>
          <t>FRUIT ST 129-[TGNS23]</t>
        </is>
      </c>
      <c r="N205" s="107" t="inlineStr">
        <is>
          <t>ACTIVE</t>
        </is>
      </c>
      <c r="O205" s="108" t="n">
        <v>0.121228739270966</v>
      </c>
      <c r="P205" s="108" t="n">
        <v>0.121098207692824</v>
      </c>
      <c r="Q205" s="109" t="n">
        <v>14</v>
      </c>
      <c r="R205" s="110" t="n">
        <v>6204</v>
      </c>
      <c r="S205" s="110" t="n">
        <v>7499.08419920532</v>
      </c>
      <c r="T205" s="110" t="n">
        <v>4646.54352860387</v>
      </c>
      <c r="U205" s="110" t="n">
        <v>18349.6277278092</v>
      </c>
      <c r="V205" s="104" t="n">
        <v>7679</v>
      </c>
      <c r="W205" s="104" t="n">
        <v>0</v>
      </c>
      <c r="X205" s="104">
        <f>$V205+W205</f>
        <v/>
      </c>
      <c r="Y205" s="111">
        <f>IFERROR(A205/R205,0)</f>
        <v/>
      </c>
      <c r="Z205" s="111">
        <f>IFERROR(B205/U205,0)</f>
        <v/>
      </c>
      <c r="AA205" s="111">
        <f>IFERROR(C205/R205,0)</f>
        <v/>
      </c>
      <c r="AB205" s="111">
        <f>IFERROR(D205/U205,0)</f>
        <v/>
      </c>
      <c r="AD205" s="111">
        <f>IF(U205&gt;0,IFERROR(E205/U205,0),1)</f>
        <v/>
      </c>
      <c r="AE205" s="111">
        <f>IF(R205&gt;0,IFERROR(F205/R205,0),1)</f>
        <v/>
      </c>
      <c r="AF205" s="111">
        <f>IF(AL205&gt;0,IFERROR(G205/AL205,0),1)</f>
        <v/>
      </c>
      <c r="AG205" s="111">
        <f>IF(AM205&gt;0,IFERROR(H205/AM205,0),1)</f>
        <v/>
      </c>
      <c r="AH205" s="104">
        <f>U205-(V205+AN205+AR205)</f>
        <v/>
      </c>
      <c r="AI205" s="104">
        <f>R205-(V205+AO205+AR205)</f>
        <v/>
      </c>
      <c r="AJ205" s="104">
        <f>(AL205-AP205)</f>
        <v/>
      </c>
      <c r="AK205" s="104">
        <f>(AM205-AQ205)</f>
        <v/>
      </c>
      <c r="AL205" s="110">
        <f>S205+AI205</f>
        <v/>
      </c>
      <c r="AM205" s="110">
        <f>T205+AJ205</f>
        <v/>
      </c>
      <c r="AN205" s="104" t="n">
        <v>12732</v>
      </c>
      <c r="AO205" s="104" t="n">
        <v>3372</v>
      </c>
      <c r="AP205" s="104" t="n">
        <v>9360</v>
      </c>
      <c r="AQ205" s="104" t="n">
        <v>0</v>
      </c>
      <c r="AR205" s="104" t="n">
        <v>0</v>
      </c>
      <c r="AS205" s="104" t="n"/>
      <c r="AT205" s="104" t="n"/>
    </row>
    <row r="206" ht="12.65" customHeight="1" s="79">
      <c r="A206" s="104">
        <f>MIN(V206,R206)</f>
        <v/>
      </c>
      <c r="B206" s="104">
        <f>MIN(V206,U206)</f>
        <v/>
      </c>
      <c r="C206" s="104">
        <f>MIN(X206,R206)</f>
        <v/>
      </c>
      <c r="D206" s="104">
        <f>MIN(X206,U206)</f>
        <v/>
      </c>
      <c r="E206" s="104">
        <f>MIN((V206+AN206+AR206),U206)</f>
        <v/>
      </c>
      <c r="F206" s="104">
        <f>MAX(MIN((V206+AO206+AR206),R206),0)</f>
        <v/>
      </c>
      <c r="G206" s="104">
        <f>MAX(MIN(AP206,AL206),0)</f>
        <v/>
      </c>
      <c r="H206" s="104">
        <f>MAX(MIN(AQ206,AM206),0)</f>
        <v/>
      </c>
      <c r="I206" s="105" t="inlineStr">
        <is>
          <t>MAHIMA VOHRA</t>
        </is>
      </c>
      <c r="J206" s="106" t="inlineStr">
        <is>
          <t>SPORTS  &amp; TOYS</t>
        </is>
      </c>
      <c r="K206" s="107" t="inlineStr">
        <is>
          <t>TG_NON SOFT TOYS</t>
        </is>
      </c>
      <c r="L206" s="107" t="inlineStr">
        <is>
          <t>TG_NS_P_SET</t>
        </is>
      </c>
      <c r="M206" s="107" t="inlineStr">
        <is>
          <t>BOWLING ALLEY 149-[TGNS23]</t>
        </is>
      </c>
      <c r="N206" s="107" t="inlineStr">
        <is>
          <t>ACTIVE</t>
        </is>
      </c>
      <c r="O206" s="108" t="n">
        <v>0.134798723139876</v>
      </c>
      <c r="P206" s="108" t="n">
        <v>0.093030825819472</v>
      </c>
      <c r="Q206" s="109" t="n">
        <v>14</v>
      </c>
      <c r="R206" s="110" t="n">
        <v>0</v>
      </c>
      <c r="S206" s="110" t="n">
        <v>0</v>
      </c>
      <c r="T206" s="110" t="n">
        <v>0</v>
      </c>
      <c r="U206" s="110" t="n">
        <v>0</v>
      </c>
      <c r="V206" s="104" t="n">
        <v>5000</v>
      </c>
      <c r="W206" s="104" t="n">
        <v>0</v>
      </c>
      <c r="X206" s="104">
        <f>$V206+W206</f>
        <v/>
      </c>
      <c r="Y206" s="111">
        <f>IFERROR(A206/R206,0)</f>
        <v/>
      </c>
      <c r="Z206" s="111">
        <f>IFERROR(B206/U206,0)</f>
        <v/>
      </c>
      <c r="AA206" s="111">
        <f>IFERROR(C206/R206,0)</f>
        <v/>
      </c>
      <c r="AB206" s="111">
        <f>IFERROR(D206/U206,0)</f>
        <v/>
      </c>
      <c r="AD206" s="111">
        <f>IF(U206&gt;0,IFERROR(E206/U206,0),1)</f>
        <v/>
      </c>
      <c r="AE206" s="111">
        <f>IF(R206&gt;0,IFERROR(F206/R206,0),1)</f>
        <v/>
      </c>
      <c r="AF206" s="111">
        <f>IF(AL206&gt;0,IFERROR(G206/AL206,0),1)</f>
        <v/>
      </c>
      <c r="AG206" s="111">
        <f>IF(AM206&gt;0,IFERROR(H206/AM206,0),1)</f>
        <v/>
      </c>
      <c r="AH206" s="104">
        <f>U206-(V206+AN206+AR206)</f>
        <v/>
      </c>
      <c r="AI206" s="104">
        <f>R206-(V206+AO206+AR206)</f>
        <v/>
      </c>
      <c r="AJ206" s="104">
        <f>(AL206-AP206)</f>
        <v/>
      </c>
      <c r="AK206" s="104">
        <f>(AM206-AQ206)</f>
        <v/>
      </c>
      <c r="AL206" s="110">
        <f>S206+AI206</f>
        <v/>
      </c>
      <c r="AM206" s="110">
        <f>T206+AJ206</f>
        <v/>
      </c>
      <c r="AN206" s="104" t="n">
        <v>8880</v>
      </c>
      <c r="AO206" s="104" t="n">
        <v>0</v>
      </c>
      <c r="AP206" s="104" t="n">
        <v>5040</v>
      </c>
      <c r="AQ206" s="104" t="n">
        <v>3840</v>
      </c>
      <c r="AR206" s="104" t="n">
        <v>0</v>
      </c>
      <c r="AS206" s="104" t="n"/>
      <c r="AT206" s="104" t="n"/>
    </row>
    <row r="207" ht="12.65" customHeight="1" s="79">
      <c r="A207" s="104">
        <f>MIN(V207,R207)</f>
        <v/>
      </c>
      <c r="B207" s="104">
        <f>MIN(V207,U207)</f>
        <v/>
      </c>
      <c r="C207" s="104">
        <f>MIN(X207,R207)</f>
        <v/>
      </c>
      <c r="D207" s="104">
        <f>MIN(X207,U207)</f>
        <v/>
      </c>
      <c r="E207" s="104">
        <f>MIN((V207+AN207+AR207),U207)</f>
        <v/>
      </c>
      <c r="F207" s="104">
        <f>MAX(MIN((V207+AO207+AR207),R207),0)</f>
        <v/>
      </c>
      <c r="G207" s="104">
        <f>MAX(MIN(AP207,AL207),0)</f>
        <v/>
      </c>
      <c r="H207" s="104">
        <f>MAX(MIN(AQ207,AM207),0)</f>
        <v/>
      </c>
      <c r="I207" s="105" t="inlineStr">
        <is>
          <t>MAHIMA VOHRA</t>
        </is>
      </c>
      <c r="J207" s="106" t="inlineStr">
        <is>
          <t>SPORTS  &amp; TOYS</t>
        </is>
      </c>
      <c r="K207" s="107" t="inlineStr">
        <is>
          <t>TG_NON SOFT TOYS</t>
        </is>
      </c>
      <c r="L207" s="107" t="inlineStr">
        <is>
          <t>TG_NS_P_TOYS</t>
        </is>
      </c>
      <c r="M207" s="107" t="inlineStr">
        <is>
          <t>OTHER 199-[TGNS11]</t>
        </is>
      </c>
      <c r="N207" s="107" t="inlineStr">
        <is>
          <t>ACTIVE</t>
        </is>
      </c>
      <c r="O207" s="108" t="n">
        <v>0.140999208879726</v>
      </c>
      <c r="P207" s="108" t="n">
        <v>0.127063201488506</v>
      </c>
      <c r="Q207" s="109" t="n">
        <v>27</v>
      </c>
      <c r="R207" s="110" t="n">
        <v>37052</v>
      </c>
      <c r="S207" s="110" t="n">
        <v>25476.1601926363</v>
      </c>
      <c r="T207" s="110" t="n">
        <v>20928.8048949007</v>
      </c>
      <c r="U207" s="110" t="n">
        <v>83456.965087537</v>
      </c>
      <c r="V207" s="104" t="n">
        <v>37151</v>
      </c>
      <c r="W207" s="104" t="n">
        <v>0</v>
      </c>
      <c r="X207" s="104">
        <f>$V207+W207</f>
        <v/>
      </c>
      <c r="Y207" s="111">
        <f>IFERROR(A207/R207,0)</f>
        <v/>
      </c>
      <c r="Z207" s="111">
        <f>IFERROR(B207/U207,0)</f>
        <v/>
      </c>
      <c r="AA207" s="111">
        <f>IFERROR(C207/R207,0)</f>
        <v/>
      </c>
      <c r="AB207" s="111">
        <f>IFERROR(D207/U207,0)</f>
        <v/>
      </c>
      <c r="AD207" s="111">
        <f>IF(U207&gt;0,IFERROR(E207/U207,0),1)</f>
        <v/>
      </c>
      <c r="AE207" s="111">
        <f>IF(R207&gt;0,IFERROR(F207/R207,0),1)</f>
        <v/>
      </c>
      <c r="AF207" s="111">
        <f>IF(AL207&gt;0,IFERROR(G207/AL207,0),1)</f>
        <v/>
      </c>
      <c r="AG207" s="111">
        <f>IF(AM207&gt;0,IFERROR(H207/AM207,0),1)</f>
        <v/>
      </c>
      <c r="AH207" s="104">
        <f>U207-(V207+AN207+AR207)</f>
        <v/>
      </c>
      <c r="AI207" s="104">
        <f>R207-(V207+AO207+AR207)</f>
        <v/>
      </c>
      <c r="AJ207" s="104">
        <f>(AL207-AP207)</f>
        <v/>
      </c>
      <c r="AK207" s="104">
        <f>(AM207-AQ207)</f>
        <v/>
      </c>
      <c r="AL207" s="110">
        <f>S207+AI207</f>
        <v/>
      </c>
      <c r="AM207" s="110">
        <f>T207+AJ207</f>
        <v/>
      </c>
      <c r="AN207" s="104" t="n">
        <v>32400</v>
      </c>
      <c r="AO207" s="104" t="n">
        <v>1680</v>
      </c>
      <c r="AP207" s="104" t="n">
        <v>18720</v>
      </c>
      <c r="AQ207" s="104" t="n">
        <v>12000</v>
      </c>
      <c r="AR207" s="104" t="n">
        <v>0</v>
      </c>
      <c r="AS207" s="104" t="n"/>
      <c r="AT207" s="104" t="n"/>
    </row>
    <row r="208" ht="12.65" customHeight="1" s="79">
      <c r="A208" s="104">
        <f>MIN(V208,R208)</f>
        <v/>
      </c>
      <c r="B208" s="104">
        <f>MIN(V208,U208)</f>
        <v/>
      </c>
      <c r="C208" s="104">
        <f>MIN(X208,R208)</f>
        <v/>
      </c>
      <c r="D208" s="104">
        <f>MIN(X208,U208)</f>
        <v/>
      </c>
      <c r="E208" s="104">
        <f>MIN((V208+AN208+AR208),U208)</f>
        <v/>
      </c>
      <c r="F208" s="104">
        <f>MAX(MIN((V208+AO208+AR208),R208),0)</f>
        <v/>
      </c>
      <c r="G208" s="104">
        <f>MAX(MIN(AP208,AL208),0)</f>
        <v/>
      </c>
      <c r="H208" s="104">
        <f>MAX(MIN(AQ208,AM208),0)</f>
        <v/>
      </c>
      <c r="I208" s="105" t="inlineStr">
        <is>
          <t>MAHIMA VOHRA</t>
        </is>
      </c>
      <c r="J208" s="106" t="inlineStr">
        <is>
          <t>SPORTS  &amp; TOYS</t>
        </is>
      </c>
      <c r="K208" s="107" t="inlineStr">
        <is>
          <t>TG_NON SOFT TOYS</t>
        </is>
      </c>
      <c r="L208" s="107" t="inlineStr">
        <is>
          <t>TG_NS_P_TOYS</t>
        </is>
      </c>
      <c r="M208" s="107" t="inlineStr">
        <is>
          <t>FAN 149-[TGNS11]</t>
        </is>
      </c>
      <c r="N208" s="107" t="inlineStr">
        <is>
          <t>INACTIVE</t>
        </is>
      </c>
      <c r="O208" s="108" t="n">
        <v>0.0794991987779492</v>
      </c>
      <c r="P208" s="108" t="n">
        <v>0.0507346986000231</v>
      </c>
      <c r="Q208" s="109" t="n">
        <v>27</v>
      </c>
      <c r="R208" s="110" t="n">
        <v>0</v>
      </c>
      <c r="S208" s="110" t="n">
        <v>0</v>
      </c>
      <c r="T208" s="110" t="n">
        <v>0</v>
      </c>
      <c r="U208" s="110" t="n">
        <v>0</v>
      </c>
      <c r="V208" s="104" t="n">
        <v>0</v>
      </c>
      <c r="W208" s="104" t="n">
        <v>0</v>
      </c>
      <c r="X208" s="104">
        <f>$V208+W208</f>
        <v/>
      </c>
      <c r="Y208" s="111">
        <f>IFERROR(A208/R208,0)</f>
        <v/>
      </c>
      <c r="Z208" s="111">
        <f>IFERROR(B208/U208,0)</f>
        <v/>
      </c>
      <c r="AA208" s="111">
        <f>IFERROR(C208/R208,0)</f>
        <v/>
      </c>
      <c r="AB208" s="111">
        <f>IFERROR(D208/U208,0)</f>
        <v/>
      </c>
      <c r="AD208" s="111">
        <f>IF(U208&gt;0,IFERROR(E208/U208,0),1)</f>
        <v/>
      </c>
      <c r="AE208" s="111">
        <f>IF(R208&gt;0,IFERROR(F208/R208,0),1)</f>
        <v/>
      </c>
      <c r="AF208" s="111">
        <f>IF(AL208&gt;0,IFERROR(G208/AL208,0),1)</f>
        <v/>
      </c>
      <c r="AG208" s="111">
        <f>IF(AM208&gt;0,IFERROR(H208/AM208,0),1)</f>
        <v/>
      </c>
      <c r="AH208" s="104">
        <f>U208-(V208+AN208+AR208)</f>
        <v/>
      </c>
      <c r="AI208" s="104">
        <f>R208-(V208+AO208+AR208)</f>
        <v/>
      </c>
      <c r="AJ208" s="104">
        <f>(AL208-AP208)</f>
        <v/>
      </c>
      <c r="AK208" s="104">
        <f>(AM208-AQ208)</f>
        <v/>
      </c>
      <c r="AL208" s="110">
        <f>S208+AI208</f>
        <v/>
      </c>
      <c r="AM208" s="110">
        <f>T208+AJ208</f>
        <v/>
      </c>
      <c r="AN208" s="104" t="n">
        <v>0</v>
      </c>
      <c r="AO208" s="104" t="n">
        <v>0</v>
      </c>
      <c r="AP208" s="104" t="n">
        <v>0</v>
      </c>
      <c r="AQ208" s="104" t="n">
        <v>0</v>
      </c>
      <c r="AR208" s="104" t="n">
        <v>0</v>
      </c>
      <c r="AS208" s="104" t="n"/>
      <c r="AT208" s="104" t="n"/>
    </row>
    <row r="209" ht="12.65" customHeight="1" s="79">
      <c r="A209" s="104">
        <f>MIN(V209,R209)</f>
        <v/>
      </c>
      <c r="B209" s="104">
        <f>MIN(V209,U209)</f>
        <v/>
      </c>
      <c r="C209" s="104">
        <f>MIN(X209,R209)</f>
        <v/>
      </c>
      <c r="D209" s="104">
        <f>MIN(X209,U209)</f>
        <v/>
      </c>
      <c r="E209" s="104">
        <f>MIN((V209+AN209+AR209),U209)</f>
        <v/>
      </c>
      <c r="F209" s="104">
        <f>MAX(MIN((V209+AO209+AR209),R209),0)</f>
        <v/>
      </c>
      <c r="G209" s="104">
        <f>MAX(MIN(AP209,AL209),0)</f>
        <v/>
      </c>
      <c r="H209" s="104">
        <f>MAX(MIN(AQ209,AM209),0)</f>
        <v/>
      </c>
      <c r="I209" s="105" t="inlineStr">
        <is>
          <t>MAHIMA VOHRA</t>
        </is>
      </c>
      <c r="J209" s="106" t="inlineStr">
        <is>
          <t>SPORTS  &amp; TOYS</t>
        </is>
      </c>
      <c r="K209" s="107" t="inlineStr">
        <is>
          <t>TG_NON SOFT TOYS</t>
        </is>
      </c>
      <c r="L209" s="107" t="inlineStr">
        <is>
          <t>TG_NS_PULL ALONG</t>
        </is>
      </c>
      <c r="M209" s="107" t="inlineStr">
        <is>
          <t>ANML 99-[TGNS28]</t>
        </is>
      </c>
      <c r="N209" s="107" t="inlineStr">
        <is>
          <t>ACTIVE</t>
        </is>
      </c>
      <c r="O209" s="108" t="n">
        <v>0.137808135000355</v>
      </c>
      <c r="P209" s="108" t="n">
        <v>0.10048823939697</v>
      </c>
      <c r="Q209" s="109" t="n">
        <v>81</v>
      </c>
      <c r="R209" s="110" t="n">
        <v>5641</v>
      </c>
      <c r="S209" s="110" t="n">
        <v>12824.7745793524</v>
      </c>
      <c r="T209" s="110" t="n">
        <v>9275.26752597467</v>
      </c>
      <c r="U209" s="110" t="n">
        <v>27741.0421053271</v>
      </c>
      <c r="V209" s="104" t="n">
        <v>8208</v>
      </c>
      <c r="W209" s="104" t="n">
        <v>0</v>
      </c>
      <c r="X209" s="104">
        <f>$V209+W209</f>
        <v/>
      </c>
      <c r="Y209" s="111">
        <f>IFERROR(A209/R209,0)</f>
        <v/>
      </c>
      <c r="Z209" s="111">
        <f>IFERROR(B209/U209,0)</f>
        <v/>
      </c>
      <c r="AA209" s="111">
        <f>IFERROR(C209/R209,0)</f>
        <v/>
      </c>
      <c r="AB209" s="111">
        <f>IFERROR(D209/U209,0)</f>
        <v/>
      </c>
      <c r="AD209" s="111">
        <f>IF(U209&gt;0,IFERROR(E209/U209,0),1)</f>
        <v/>
      </c>
      <c r="AE209" s="111">
        <f>IF(R209&gt;0,IFERROR(F209/R209,0),1)</f>
        <v/>
      </c>
      <c r="AF209" s="111">
        <f>IF(AL209&gt;0,IFERROR(G209/AL209,0),1)</f>
        <v/>
      </c>
      <c r="AG209" s="111">
        <f>IF(AM209&gt;0,IFERROR(H209/AM209,0),1)</f>
        <v/>
      </c>
      <c r="AH209" s="104">
        <f>U209-(V209+AN209+AR209)</f>
        <v/>
      </c>
      <c r="AI209" s="104">
        <f>R209-(V209+AO209+AR209)</f>
        <v/>
      </c>
      <c r="AJ209" s="104">
        <f>(AL209-AP209)</f>
        <v/>
      </c>
      <c r="AK209" s="104">
        <f>(AM209-AQ209)</f>
        <v/>
      </c>
      <c r="AL209" s="110">
        <f>S209+AI209</f>
        <v/>
      </c>
      <c r="AM209" s="110">
        <f>T209+AJ209</f>
        <v/>
      </c>
      <c r="AN209" s="104" t="n">
        <v>18300</v>
      </c>
      <c r="AO209" s="104" t="n">
        <v>2700</v>
      </c>
      <c r="AP209" s="104" t="n">
        <v>8880</v>
      </c>
      <c r="AQ209" s="104" t="n">
        <v>6720</v>
      </c>
      <c r="AR209" s="104" t="n">
        <v>0</v>
      </c>
      <c r="AS209" s="104" t="n"/>
      <c r="AT209" s="104" t="n"/>
    </row>
    <row r="210" ht="12.65" customHeight="1" s="79">
      <c r="A210" s="104">
        <f>MIN(V210,R210)</f>
        <v/>
      </c>
      <c r="B210" s="104">
        <f>MIN(V210,U210)</f>
        <v/>
      </c>
      <c r="C210" s="104">
        <f>MIN(X210,R210)</f>
        <v/>
      </c>
      <c r="D210" s="104">
        <f>MIN(X210,U210)</f>
        <v/>
      </c>
      <c r="E210" s="104">
        <f>MIN((V210+AN210+AR210),U210)</f>
        <v/>
      </c>
      <c r="F210" s="104">
        <f>MAX(MIN((V210+AO210+AR210),R210),0)</f>
        <v/>
      </c>
      <c r="G210" s="104">
        <f>MAX(MIN(AP210,AL210),0)</f>
        <v/>
      </c>
      <c r="H210" s="104">
        <f>MAX(MIN(AQ210,AM210),0)</f>
        <v/>
      </c>
      <c r="I210" s="105" t="inlineStr">
        <is>
          <t>MAHIMA VOHRA</t>
        </is>
      </c>
      <c r="J210" s="106" t="inlineStr">
        <is>
          <t>SPORTS  &amp; TOYS</t>
        </is>
      </c>
      <c r="K210" s="107" t="inlineStr">
        <is>
          <t>TG_NON SOFT TOYS</t>
        </is>
      </c>
      <c r="L210" s="107" t="inlineStr">
        <is>
          <t>TG_NS_VNL_TOYS</t>
        </is>
      </c>
      <c r="M210" s="107" t="inlineStr">
        <is>
          <t>ANML 149-[TGNS21]</t>
        </is>
      </c>
      <c r="N210" s="107" t="inlineStr">
        <is>
          <t>ACTIVE</t>
        </is>
      </c>
      <c r="O210" s="108" t="n">
        <v>0.11462133532592</v>
      </c>
      <c r="P210" s="108" t="n">
        <v>0.109886508466347</v>
      </c>
      <c r="Q210" s="109" t="n">
        <v>49</v>
      </c>
      <c r="R210" s="110" t="n">
        <v>11071</v>
      </c>
      <c r="S210" s="110" t="n">
        <v>6413.71839678316</v>
      </c>
      <c r="T210" s="110" t="n">
        <v>5500.79983714854</v>
      </c>
      <c r="U210" s="110" t="n">
        <v>22985.5182339317</v>
      </c>
      <c r="V210" s="104" t="n">
        <v>4320</v>
      </c>
      <c r="W210" s="104" t="n">
        <v>1440</v>
      </c>
      <c r="X210" s="104">
        <f>$V210+W210</f>
        <v/>
      </c>
      <c r="Y210" s="111">
        <f>IFERROR(A210/R210,0)</f>
        <v/>
      </c>
      <c r="Z210" s="111">
        <f>IFERROR(B210/U210,0)</f>
        <v/>
      </c>
      <c r="AA210" s="111">
        <f>IFERROR(C210/R210,0)</f>
        <v/>
      </c>
      <c r="AB210" s="111">
        <f>IFERROR(D210/U210,0)</f>
        <v/>
      </c>
      <c r="AD210" s="111">
        <f>IF(U210&gt;0,IFERROR(E210/U210,0),1)</f>
        <v/>
      </c>
      <c r="AE210" s="111">
        <f>IF(R210&gt;0,IFERROR(F210/R210,0),1)</f>
        <v/>
      </c>
      <c r="AF210" s="111">
        <f>IF(AL210&gt;0,IFERROR(G210/AL210,0),1)</f>
        <v/>
      </c>
      <c r="AG210" s="111">
        <f>IF(AM210&gt;0,IFERROR(H210/AM210,0),1)</f>
        <v/>
      </c>
      <c r="AH210" s="104">
        <f>U210-(V210+AN210+AR210)</f>
        <v/>
      </c>
      <c r="AI210" s="104">
        <f>R210-(V210+AO210+AR210)</f>
        <v/>
      </c>
      <c r="AJ210" s="104">
        <f>(AL210-AP210)</f>
        <v/>
      </c>
      <c r="AK210" s="104">
        <f>(AM210-AQ210)</f>
        <v/>
      </c>
      <c r="AL210" s="110">
        <f>S210+AI210</f>
        <v/>
      </c>
      <c r="AM210" s="110">
        <f>T210+AJ210</f>
        <v/>
      </c>
      <c r="AN210" s="104" t="n">
        <v>13560</v>
      </c>
      <c r="AO210" s="104" t="n">
        <v>3240</v>
      </c>
      <c r="AP210" s="104" t="n">
        <v>10320</v>
      </c>
      <c r="AQ210" s="104" t="n">
        <v>0</v>
      </c>
      <c r="AR210" s="104" t="n">
        <v>0</v>
      </c>
      <c r="AS210" s="104" t="n"/>
      <c r="AT210" s="104" t="n"/>
    </row>
    <row r="211" ht="12.65" customHeight="1" s="79">
      <c r="A211" s="104">
        <f>MIN(V211,R211)</f>
        <v/>
      </c>
      <c r="B211" s="104">
        <f>MIN(V211,U211)</f>
        <v/>
      </c>
      <c r="C211" s="104">
        <f>MIN(X211,R211)</f>
        <v/>
      </c>
      <c r="D211" s="104">
        <f>MIN(X211,U211)</f>
        <v/>
      </c>
      <c r="E211" s="104">
        <f>MIN((V211+AN211+AR211),U211)</f>
        <v/>
      </c>
      <c r="F211" s="104">
        <f>MAX(MIN((V211+AO211+AR211),R211),0)</f>
        <v/>
      </c>
      <c r="G211" s="104">
        <f>MAX(MIN(AP211,AL211),0)</f>
        <v/>
      </c>
      <c r="H211" s="104">
        <f>MAX(MIN(AQ211,AM211),0)</f>
        <v/>
      </c>
      <c r="I211" s="105" t="inlineStr">
        <is>
          <t>MAHIMA VOHRA</t>
        </is>
      </c>
      <c r="J211" s="106" t="inlineStr">
        <is>
          <t>SPORTS  &amp; TOYS</t>
        </is>
      </c>
      <c r="K211" s="107" t="inlineStr">
        <is>
          <t>TG_NON SOFT TOYS</t>
        </is>
      </c>
      <c r="L211" s="107" t="inlineStr">
        <is>
          <t>TG_NS_VNL_TOYS</t>
        </is>
      </c>
      <c r="M211" s="107" t="inlineStr">
        <is>
          <t>ANML 99-[TGNS21]</t>
        </is>
      </c>
      <c r="N211" s="107" t="inlineStr">
        <is>
          <t>ACTIVE</t>
        </is>
      </c>
      <c r="O211" s="108" t="n">
        <v>0.157847781294475</v>
      </c>
      <c r="P211" s="108" t="n">
        <v>0.125823034015094</v>
      </c>
      <c r="Q211" s="109" t="n">
        <v>49</v>
      </c>
      <c r="R211" s="110" t="n">
        <v>1521</v>
      </c>
      <c r="S211" s="110" t="n">
        <v>0</v>
      </c>
      <c r="T211" s="110" t="n">
        <v>0</v>
      </c>
      <c r="U211" s="110" t="n">
        <v>1521</v>
      </c>
      <c r="V211" s="104" t="n">
        <v>6960</v>
      </c>
      <c r="W211" s="104" t="n">
        <v>2400</v>
      </c>
      <c r="X211" s="104">
        <f>$V211+W211</f>
        <v/>
      </c>
      <c r="Y211" s="111">
        <f>IFERROR(A211/R211,0)</f>
        <v/>
      </c>
      <c r="Z211" s="111">
        <f>IFERROR(B211/U211,0)</f>
        <v/>
      </c>
      <c r="AA211" s="111">
        <f>IFERROR(C211/R211,0)</f>
        <v/>
      </c>
      <c r="AB211" s="111">
        <f>IFERROR(D211/U211,0)</f>
        <v/>
      </c>
      <c r="AD211" s="111">
        <f>IF(U211&gt;0,IFERROR(E211/U211,0),1)</f>
        <v/>
      </c>
      <c r="AE211" s="111">
        <f>IF(R211&gt;0,IFERROR(F211/R211,0),1)</f>
        <v/>
      </c>
      <c r="AF211" s="111">
        <f>IF(AL211&gt;0,IFERROR(G211/AL211,0),1)</f>
        <v/>
      </c>
      <c r="AG211" s="111">
        <f>IF(AM211&gt;0,IFERROR(H211/AM211,0),1)</f>
        <v/>
      </c>
      <c r="AH211" s="104">
        <f>U211-(V211+AN211+AR211)</f>
        <v/>
      </c>
      <c r="AI211" s="104">
        <f>R211-(V211+AO211+AR211)</f>
        <v/>
      </c>
      <c r="AJ211" s="104">
        <f>(AL211-AP211)</f>
        <v/>
      </c>
      <c r="AK211" s="104">
        <f>(AM211-AQ211)</f>
        <v/>
      </c>
      <c r="AL211" s="110">
        <f>S211+AI211</f>
        <v/>
      </c>
      <c r="AM211" s="110">
        <f>T211+AJ211</f>
        <v/>
      </c>
      <c r="AN211" s="104" t="n">
        <v>12480</v>
      </c>
      <c r="AO211" s="104" t="n">
        <v>2400</v>
      </c>
      <c r="AP211" s="104" t="n">
        <v>10080</v>
      </c>
      <c r="AQ211" s="104" t="n">
        <v>0</v>
      </c>
      <c r="AR211" s="104" t="n">
        <v>0</v>
      </c>
      <c r="AS211" s="104" t="n"/>
      <c r="AT211" s="104" t="n"/>
    </row>
    <row r="212" ht="12.65" customHeight="1" s="79">
      <c r="A212" s="104">
        <f>MIN(V212,R212)</f>
        <v/>
      </c>
      <c r="B212" s="104">
        <f>MIN(V212,U212)</f>
        <v/>
      </c>
      <c r="C212" s="104">
        <f>MIN(X212,R212)</f>
        <v/>
      </c>
      <c r="D212" s="104">
        <f>MIN(X212,U212)</f>
        <v/>
      </c>
      <c r="E212" s="104">
        <f>MIN((V212+AN212+AR212),U212)</f>
        <v/>
      </c>
      <c r="F212" s="104">
        <f>MAX(MIN((V212+AO212+AR212),R212),0)</f>
        <v/>
      </c>
      <c r="G212" s="104">
        <f>MAX(MIN(AP212,AL212),0)</f>
        <v/>
      </c>
      <c r="H212" s="104">
        <f>MAX(MIN(AQ212,AM212),0)</f>
        <v/>
      </c>
      <c r="I212" s="105" t="inlineStr">
        <is>
          <t>MAHIMA VOHRA</t>
        </is>
      </c>
      <c r="J212" s="106" t="inlineStr">
        <is>
          <t>SPORTS  &amp; TOYS</t>
        </is>
      </c>
      <c r="K212" s="107" t="inlineStr">
        <is>
          <t>TG_SOFT TOYS</t>
        </is>
      </c>
      <c r="L212" s="107" t="inlineStr">
        <is>
          <t>TG_ST_OTHERS</t>
        </is>
      </c>
      <c r="M212" s="107" t="inlineStr">
        <is>
          <t>ANML 349-[TGST02]</t>
        </is>
      </c>
      <c r="N212" s="107" t="inlineStr">
        <is>
          <t>ACTIVE</t>
        </is>
      </c>
      <c r="O212" s="108" t="n">
        <v>0.153516342168622</v>
      </c>
      <c r="P212" s="108" t="n">
        <v>0.147219970025307</v>
      </c>
      <c r="Q212" s="109" t="n">
        <v>33</v>
      </c>
      <c r="R212" s="110" t="n">
        <v>3452</v>
      </c>
      <c r="S212" s="110" t="n">
        <v>3347.29659705058</v>
      </c>
      <c r="T212" s="110" t="n">
        <v>3634.25348685573</v>
      </c>
      <c r="U212" s="110" t="n">
        <v>10433.5500839063</v>
      </c>
      <c r="V212" s="104" t="n">
        <v>4560</v>
      </c>
      <c r="W212" s="104" t="n">
        <v>2880</v>
      </c>
      <c r="X212" s="104">
        <f>$V212+W212</f>
        <v/>
      </c>
      <c r="Y212" s="111">
        <f>IFERROR(A212/R212,0)</f>
        <v/>
      </c>
      <c r="Z212" s="111">
        <f>IFERROR(B212/U212,0)</f>
        <v/>
      </c>
      <c r="AA212" s="111">
        <f>IFERROR(C212/R212,0)</f>
        <v/>
      </c>
      <c r="AB212" s="111">
        <f>IFERROR(D212/U212,0)</f>
        <v/>
      </c>
      <c r="AD212" s="111">
        <f>IF(U212&gt;0,IFERROR(E212/U212,0),1)</f>
        <v/>
      </c>
      <c r="AE212" s="111">
        <f>IF(R212&gt;0,IFERROR(F212/R212,0),1)</f>
        <v/>
      </c>
      <c r="AF212" s="111">
        <f>IF(AL212&gt;0,IFERROR(G212/AL212,0),1)</f>
        <v/>
      </c>
      <c r="AG212" s="111">
        <f>IF(AM212&gt;0,IFERROR(H212/AM212,0),1)</f>
        <v/>
      </c>
      <c r="AH212" s="104">
        <f>U212-(V212+AN212+AR212)</f>
        <v/>
      </c>
      <c r="AI212" s="104">
        <f>R212-(V212+AO212+AR212)</f>
        <v/>
      </c>
      <c r="AJ212" s="104">
        <f>(AL212-AP212)</f>
        <v/>
      </c>
      <c r="AK212" s="104">
        <f>(AM212-AQ212)</f>
        <v/>
      </c>
      <c r="AL212" s="110">
        <f>S212+AI212</f>
        <v/>
      </c>
      <c r="AM212" s="110">
        <f>T212+AJ212</f>
        <v/>
      </c>
      <c r="AN212" s="104" t="n">
        <v>12480</v>
      </c>
      <c r="AO212" s="104" t="n">
        <v>2880</v>
      </c>
      <c r="AP212" s="104" t="n">
        <v>3600</v>
      </c>
      <c r="AQ212" s="104" t="n">
        <v>6000</v>
      </c>
      <c r="AR212" s="104" t="n">
        <v>0</v>
      </c>
      <c r="AS212" s="104" t="n"/>
      <c r="AT212" s="104" t="n"/>
    </row>
    <row r="213" ht="12.65" customHeight="1" s="79">
      <c r="A213" s="104">
        <f>MIN(V213,R213)</f>
        <v/>
      </c>
      <c r="B213" s="104">
        <f>MIN(V213,U213)</f>
        <v/>
      </c>
      <c r="C213" s="104">
        <f>MIN(X213,R213)</f>
        <v/>
      </c>
      <c r="D213" s="104">
        <f>MIN(X213,U213)</f>
        <v/>
      </c>
      <c r="E213" s="104">
        <f>MIN((V213+AN213+AR213),U213)</f>
        <v/>
      </c>
      <c r="F213" s="104">
        <f>MAX(MIN((V213+AO213+AR213),R213),0)</f>
        <v/>
      </c>
      <c r="G213" s="104">
        <f>MAX(MIN(AP213,AL213),0)</f>
        <v/>
      </c>
      <c r="H213" s="104">
        <f>MAX(MIN(AQ213,AM213),0)</f>
        <v/>
      </c>
      <c r="I213" s="105" t="inlineStr">
        <is>
          <t>MAHIMA VOHRA</t>
        </is>
      </c>
      <c r="J213" s="106" t="inlineStr">
        <is>
          <t>SPORTS  &amp; TOYS</t>
        </is>
      </c>
      <c r="K213" s="107" t="inlineStr">
        <is>
          <t>TG_SOFT TOYS</t>
        </is>
      </c>
      <c r="L213" s="107" t="inlineStr">
        <is>
          <t>TG_ST_OTHERS</t>
        </is>
      </c>
      <c r="M213" s="107" t="inlineStr">
        <is>
          <t>ANML 199-[TGST02]</t>
        </is>
      </c>
      <c r="N213" s="107" t="inlineStr">
        <is>
          <t>ACTIVE</t>
        </is>
      </c>
      <c r="O213" s="108" t="n">
        <v>0.171612686198451</v>
      </c>
      <c r="P213" s="108" t="n">
        <v>0.179338676005118</v>
      </c>
      <c r="Q213" s="109" t="n">
        <v>33</v>
      </c>
      <c r="R213" s="110" t="n">
        <v>5598</v>
      </c>
      <c r="S213" s="110" t="n">
        <v>2040.05540892316</v>
      </c>
      <c r="T213" s="110" t="n">
        <v>130.883983627235</v>
      </c>
      <c r="U213" s="110" t="n">
        <v>7768.9393925504</v>
      </c>
      <c r="V213" s="104" t="n">
        <v>2640</v>
      </c>
      <c r="W213" s="104" t="n">
        <v>3240</v>
      </c>
      <c r="X213" s="104">
        <f>$V213+W213</f>
        <v/>
      </c>
      <c r="Y213" s="111">
        <f>IFERROR(A213/R213,0)</f>
        <v/>
      </c>
      <c r="Z213" s="111">
        <f>IFERROR(B213/U213,0)</f>
        <v/>
      </c>
      <c r="AA213" s="111">
        <f>IFERROR(C213/R213,0)</f>
        <v/>
      </c>
      <c r="AB213" s="111">
        <f>IFERROR(D213/U213,0)</f>
        <v/>
      </c>
      <c r="AD213" s="111">
        <f>IF(U213&gt;0,IFERROR(E213/U213,0),1)</f>
        <v/>
      </c>
      <c r="AE213" s="111">
        <f>IF(R213&gt;0,IFERROR(F213/R213,0),1)</f>
        <v/>
      </c>
      <c r="AF213" s="111">
        <f>IF(AL213&gt;0,IFERROR(G213/AL213,0),1)</f>
        <v/>
      </c>
      <c r="AG213" s="111">
        <f>IF(AM213&gt;0,IFERROR(H213/AM213,0),1)</f>
        <v/>
      </c>
      <c r="AH213" s="104">
        <f>U213-(V213+AN213+AR213)</f>
        <v/>
      </c>
      <c r="AI213" s="104">
        <f>R213-(V213+AO213+AR213)</f>
        <v/>
      </c>
      <c r="AJ213" s="104">
        <f>(AL213-AP213)</f>
        <v/>
      </c>
      <c r="AK213" s="104">
        <f>(AM213-AQ213)</f>
        <v/>
      </c>
      <c r="AL213" s="110">
        <f>S213+AI213</f>
        <v/>
      </c>
      <c r="AM213" s="110">
        <f>T213+AJ213</f>
        <v/>
      </c>
      <c r="AN213" s="104" t="n">
        <v>8760</v>
      </c>
      <c r="AO213" s="104" t="n">
        <v>3240</v>
      </c>
      <c r="AP213" s="104" t="n">
        <v>5520</v>
      </c>
      <c r="AQ213" s="104" t="n">
        <v>0</v>
      </c>
      <c r="AR213" s="104" t="n">
        <v>0</v>
      </c>
      <c r="AS213" s="104" t="n"/>
      <c r="AT213" s="104" t="n"/>
    </row>
    <row r="214" ht="12.65" customHeight="1" s="79">
      <c r="A214" s="104">
        <f>MIN(V214,R214)</f>
        <v/>
      </c>
      <c r="B214" s="104">
        <f>MIN(V214,U214)</f>
        <v/>
      </c>
      <c r="C214" s="104">
        <f>MIN(X214,R214)</f>
        <v/>
      </c>
      <c r="D214" s="104">
        <f>MIN(X214,U214)</f>
        <v/>
      </c>
      <c r="E214" s="104">
        <f>MIN((V214+AN214+AR214),U214)</f>
        <v/>
      </c>
      <c r="F214" s="104">
        <f>MAX(MIN((V214+AO214+AR214),R214),0)</f>
        <v/>
      </c>
      <c r="G214" s="104">
        <f>MAX(MIN(AP214,AL214),0)</f>
        <v/>
      </c>
      <c r="H214" s="104">
        <f>MAX(MIN(AQ214,AM214),0)</f>
        <v/>
      </c>
      <c r="I214" s="105" t="inlineStr">
        <is>
          <t>MAHIMA VOHRA</t>
        </is>
      </c>
      <c r="J214" s="106" t="inlineStr">
        <is>
          <t>SPORTS  &amp; TOYS</t>
        </is>
      </c>
      <c r="K214" s="107" t="inlineStr">
        <is>
          <t>TG_SOFT TOYS</t>
        </is>
      </c>
      <c r="L214" s="107" t="inlineStr">
        <is>
          <t>TG_ST_TEDDY BEAR</t>
        </is>
      </c>
      <c r="M214" s="107" t="inlineStr">
        <is>
          <t>TDY 299-[TGST01]</t>
        </is>
      </c>
      <c r="N214" s="107" t="inlineStr">
        <is>
          <t>ACTIVE</t>
        </is>
      </c>
      <c r="O214" s="108" t="n">
        <v>0.13932781540005</v>
      </c>
      <c r="P214" s="108" t="n">
        <v>0.154747596153846</v>
      </c>
      <c r="Q214" s="109" t="n">
        <v>93</v>
      </c>
      <c r="R214" s="110" t="n">
        <v>3986</v>
      </c>
      <c r="S214" s="110" t="n">
        <v>2781.56324180087</v>
      </c>
      <c r="T214" s="110" t="n">
        <v>2419.44217904281</v>
      </c>
      <c r="U214" s="110" t="n">
        <v>9187.00542084368</v>
      </c>
      <c r="V214" s="104" t="n">
        <v>0</v>
      </c>
      <c r="W214" s="104" t="n">
        <v>0</v>
      </c>
      <c r="X214" s="104">
        <f>$V214+W214</f>
        <v/>
      </c>
      <c r="Y214" s="111">
        <f>IFERROR(A214/R214,0)</f>
        <v/>
      </c>
      <c r="Z214" s="111">
        <f>IFERROR(B214/U214,0)</f>
        <v/>
      </c>
      <c r="AA214" s="111">
        <f>IFERROR(C214/R214,0)</f>
        <v/>
      </c>
      <c r="AB214" s="111">
        <f>IFERROR(D214/U214,0)</f>
        <v/>
      </c>
      <c r="AD214" s="111">
        <f>IF(U214&gt;0,IFERROR(E214/U214,0),1)</f>
        <v/>
      </c>
      <c r="AE214" s="111">
        <f>IF(R214&gt;0,IFERROR(F214/R214,0),1)</f>
        <v/>
      </c>
      <c r="AF214" s="111">
        <f>IF(AL214&gt;0,IFERROR(G214/AL214,0),1)</f>
        <v/>
      </c>
      <c r="AG214" s="111">
        <f>IF(AM214&gt;0,IFERROR(H214/AM214,0),1)</f>
        <v/>
      </c>
      <c r="AH214" s="104">
        <f>U214-(V214+AN214+AR214)</f>
        <v/>
      </c>
      <c r="AI214" s="104">
        <f>R214-(V214+AO214+AR214)</f>
        <v/>
      </c>
      <c r="AJ214" s="104">
        <f>(AL214-AP214)</f>
        <v/>
      </c>
      <c r="AK214" s="104">
        <f>(AM214-AQ214)</f>
        <v/>
      </c>
      <c r="AL214" s="110">
        <f>S214+AI214</f>
        <v/>
      </c>
      <c r="AM214" s="110">
        <f>T214+AJ214</f>
        <v/>
      </c>
      <c r="AN214" s="104" t="n">
        <v>10800</v>
      </c>
      <c r="AO214" s="104" t="n">
        <v>4200</v>
      </c>
      <c r="AP214" s="104" t="n">
        <v>3600</v>
      </c>
      <c r="AQ214" s="104" t="n">
        <v>3000</v>
      </c>
      <c r="AR214" s="104" t="n">
        <v>0</v>
      </c>
      <c r="AS214" s="104" t="n"/>
      <c r="AT214" s="104" t="n"/>
    </row>
    <row r="215" ht="12.65" customHeight="1" s="79">
      <c r="A215" s="104">
        <f>MIN(V215,R215)</f>
        <v/>
      </c>
      <c r="B215" s="104">
        <f>MIN(V215,U215)</f>
        <v/>
      </c>
      <c r="C215" s="104">
        <f>MIN(X215,R215)</f>
        <v/>
      </c>
      <c r="D215" s="104">
        <f>MIN(X215,U215)</f>
        <v/>
      </c>
      <c r="E215" s="104">
        <f>MIN((V215+AN215+AR215),U215)</f>
        <v/>
      </c>
      <c r="F215" s="104">
        <f>MAX(MIN((V215+AO215+AR215),R215),0)</f>
        <v/>
      </c>
      <c r="G215" s="104">
        <f>MAX(MIN(AP215,AL215),0)</f>
        <v/>
      </c>
      <c r="H215" s="104">
        <f>MAX(MIN(AQ215,AM215),0)</f>
        <v/>
      </c>
      <c r="I215" s="105" t="inlineStr">
        <is>
          <t>MAHIMA VOHRA</t>
        </is>
      </c>
      <c r="J215" s="106" t="inlineStr">
        <is>
          <t>STATIONERY</t>
        </is>
      </c>
      <c r="K215" s="107" t="inlineStr">
        <is>
          <t>ST_NON PAPER</t>
        </is>
      </c>
      <c r="L215" s="107" t="inlineStr">
        <is>
          <t>ST_NP_CLAY</t>
        </is>
      </c>
      <c r="M215" s="107" t="inlineStr">
        <is>
          <t>CLAY 99-[STNP09]</t>
        </is>
      </c>
      <c r="N215" s="107" t="inlineStr">
        <is>
          <t>ACTIVE</t>
        </is>
      </c>
      <c r="O215" s="108" t="n">
        <v>0.165505770200647</v>
      </c>
      <c r="P215" s="108" t="n">
        <v>0.143020016240468</v>
      </c>
      <c r="Q215" s="109" t="n">
        <v>69</v>
      </c>
      <c r="R215" s="110" t="n">
        <v>16370</v>
      </c>
      <c r="S215" s="110" t="n">
        <v>8353.22219613247</v>
      </c>
      <c r="T215" s="110" t="n">
        <v>3671.60798723637</v>
      </c>
      <c r="U215" s="110" t="n">
        <v>28394.8301833689</v>
      </c>
      <c r="V215" s="104" t="n">
        <v>7200</v>
      </c>
      <c r="W215" s="104" t="n">
        <v>0</v>
      </c>
      <c r="X215" s="104">
        <f>$V215+W215</f>
        <v/>
      </c>
      <c r="Y215" s="111">
        <f>IFERROR(A215/R215,0)</f>
        <v/>
      </c>
      <c r="Z215" s="111">
        <f>IFERROR(B215/U215,0)</f>
        <v/>
      </c>
      <c r="AA215" s="111">
        <f>IFERROR(C215/R215,0)</f>
        <v/>
      </c>
      <c r="AB215" s="111">
        <f>IFERROR(D215/U215,0)</f>
        <v/>
      </c>
      <c r="AD215" s="111">
        <f>IF(U215&gt;0,IFERROR(E215/U215,0),1)</f>
        <v/>
      </c>
      <c r="AE215" s="111">
        <f>IF(R215&gt;0,IFERROR(F215/R215,0),1)</f>
        <v/>
      </c>
      <c r="AF215" s="111">
        <f>IF(AL215&gt;0,IFERROR(G215/AL215,0),1)</f>
        <v/>
      </c>
      <c r="AG215" s="111">
        <f>IF(AM215&gt;0,IFERROR(H215/AM215,0),1)</f>
        <v/>
      </c>
      <c r="AH215" s="104">
        <f>U215-(V215+AN215+AR215)</f>
        <v/>
      </c>
      <c r="AI215" s="104">
        <f>R215-(V215+AO215+AR215)</f>
        <v/>
      </c>
      <c r="AJ215" s="104">
        <f>(AL215-AP215)</f>
        <v/>
      </c>
      <c r="AK215" s="104">
        <f>(AM215-AQ215)</f>
        <v/>
      </c>
      <c r="AL215" s="110">
        <f>S215+AI215</f>
        <v/>
      </c>
      <c r="AM215" s="110">
        <f>T215+AJ215</f>
        <v/>
      </c>
      <c r="AN215" s="104" t="n">
        <v>30600</v>
      </c>
      <c r="AO215" s="104" t="n">
        <v>9000</v>
      </c>
      <c r="AP215" s="104" t="n">
        <v>13200</v>
      </c>
      <c r="AQ215" s="104" t="n">
        <v>8400</v>
      </c>
      <c r="AR215" s="104" t="n">
        <v>0</v>
      </c>
      <c r="AS215" s="104" t="n"/>
      <c r="AT215" s="104" t="n"/>
    </row>
    <row r="216" ht="12.65" customHeight="1" s="79">
      <c r="A216" s="104">
        <f>MIN(V216,R216)</f>
        <v/>
      </c>
      <c r="B216" s="104">
        <f>MIN(V216,U216)</f>
        <v/>
      </c>
      <c r="C216" s="104">
        <f>MIN(X216,R216)</f>
        <v/>
      </c>
      <c r="D216" s="104">
        <f>MIN(X216,U216)</f>
        <v/>
      </c>
      <c r="E216" s="104">
        <f>MIN((V216+AN216+AR216),U216)</f>
        <v/>
      </c>
      <c r="F216" s="104">
        <f>MAX(MIN((V216+AO216+AR216),R216),0)</f>
        <v/>
      </c>
      <c r="G216" s="104">
        <f>MAX(MIN(AP216,AL216),0)</f>
        <v/>
      </c>
      <c r="H216" s="104">
        <f>MAX(MIN(AQ216,AM216),0)</f>
        <v/>
      </c>
      <c r="I216" s="105" t="inlineStr">
        <is>
          <t>MAHIMA VOHRA</t>
        </is>
      </c>
      <c r="J216" s="106" t="inlineStr">
        <is>
          <t>STATIONERY</t>
        </is>
      </c>
      <c r="K216" s="107" t="inlineStr">
        <is>
          <t>ST_NON PAPER</t>
        </is>
      </c>
      <c r="L216" s="107" t="inlineStr">
        <is>
          <t>ST_NP_COIN BANK</t>
        </is>
      </c>
      <c r="M216" s="107" t="inlineStr">
        <is>
          <t>COIN BANK 99-[STNP03]</t>
        </is>
      </c>
      <c r="N216" s="107" t="inlineStr">
        <is>
          <t>ACTIVE</t>
        </is>
      </c>
      <c r="O216" s="108" t="n">
        <v>0.0718790870353964</v>
      </c>
      <c r="P216" s="108" t="n">
        <v>0.0506373812634627</v>
      </c>
      <c r="Q216" s="109" t="n">
        <v>157</v>
      </c>
      <c r="R216" s="110" t="n">
        <v>1511</v>
      </c>
      <c r="S216" s="110" t="n">
        <v>765.128672784576</v>
      </c>
      <c r="T216" s="110" t="n">
        <v>1335.78601856822</v>
      </c>
      <c r="U216" s="110" t="n">
        <v>3611.9146913528</v>
      </c>
      <c r="V216" s="104" t="n">
        <v>1200</v>
      </c>
      <c r="W216" s="104" t="n">
        <v>0</v>
      </c>
      <c r="X216" s="104">
        <f>$V216+W216</f>
        <v/>
      </c>
      <c r="Y216" s="111">
        <f>IFERROR(A216/R216,0)</f>
        <v/>
      </c>
      <c r="Z216" s="111">
        <f>IFERROR(B216/U216,0)</f>
        <v/>
      </c>
      <c r="AA216" s="111">
        <f>IFERROR(C216/R216,0)</f>
        <v/>
      </c>
      <c r="AB216" s="111">
        <f>IFERROR(D216/U216,0)</f>
        <v/>
      </c>
      <c r="AD216" s="111">
        <f>IF(U216&gt;0,IFERROR(E216/U216,0),1)</f>
        <v/>
      </c>
      <c r="AE216" s="111">
        <f>IF(R216&gt;0,IFERROR(F216/R216,0),1)</f>
        <v/>
      </c>
      <c r="AF216" s="111">
        <f>IF(AL216&gt;0,IFERROR(G216/AL216,0),1)</f>
        <v/>
      </c>
      <c r="AG216" s="111">
        <f>IF(AM216&gt;0,IFERROR(H216/AM216,0),1)</f>
        <v/>
      </c>
      <c r="AH216" s="104">
        <f>U216-(V216+AN216+AR216)</f>
        <v/>
      </c>
      <c r="AI216" s="104">
        <f>R216-(V216+AO216+AR216)</f>
        <v/>
      </c>
      <c r="AJ216" s="104">
        <f>(AL216-AP216)</f>
        <v/>
      </c>
      <c r="AK216" s="104">
        <f>(AM216-AQ216)</f>
        <v/>
      </c>
      <c r="AL216" s="110">
        <f>S216+AI216</f>
        <v/>
      </c>
      <c r="AM216" s="110">
        <f>T216+AJ216</f>
        <v/>
      </c>
      <c r="AN216" s="104" t="n">
        <v>3120</v>
      </c>
      <c r="AO216" s="104" t="n">
        <v>1200</v>
      </c>
      <c r="AP216" s="104" t="n">
        <v>1920</v>
      </c>
      <c r="AQ216" s="104" t="n">
        <v>0</v>
      </c>
      <c r="AR216" s="104" t="n">
        <v>0</v>
      </c>
      <c r="AS216" s="104" t="n"/>
      <c r="AT216" s="104" t="n"/>
    </row>
    <row r="217" ht="12.65" customHeight="1" s="79">
      <c r="A217" s="104">
        <f>MIN(V217,R217)</f>
        <v/>
      </c>
      <c r="B217" s="104">
        <f>MIN(V217,U217)</f>
        <v/>
      </c>
      <c r="C217" s="104">
        <f>MIN(X217,R217)</f>
        <v/>
      </c>
      <c r="D217" s="104">
        <f>MIN(X217,U217)</f>
        <v/>
      </c>
      <c r="E217" s="104">
        <f>MIN((V217+AN217+AR217),U217)</f>
        <v/>
      </c>
      <c r="F217" s="104">
        <f>MAX(MIN((V217+AO217+AR217),R217),0)</f>
        <v/>
      </c>
      <c r="G217" s="104">
        <f>MAX(MIN(AP217,AL217),0)</f>
        <v/>
      </c>
      <c r="H217" s="104">
        <f>MAX(MIN(AQ217,AM217),0)</f>
        <v/>
      </c>
      <c r="I217" s="105" t="inlineStr">
        <is>
          <t>MAHIMA VOHRA</t>
        </is>
      </c>
      <c r="J217" s="106" t="inlineStr">
        <is>
          <t>STATIONERY</t>
        </is>
      </c>
      <c r="K217" s="107" t="inlineStr">
        <is>
          <t>ST_NON PAPER</t>
        </is>
      </c>
      <c r="L217" s="107" t="inlineStr">
        <is>
          <t>ST_NP_KEY CHAIN</t>
        </is>
      </c>
      <c r="M217" s="107" t="inlineStr">
        <is>
          <t>DOLL KEY 99-[STNP20]</t>
        </is>
      </c>
      <c r="N217" s="107" t="inlineStr">
        <is>
          <t>ACTIVE</t>
        </is>
      </c>
      <c r="O217" s="108" t="n">
        <v>0.117405010784802</v>
      </c>
      <c r="P217" s="108" t="n">
        <v>0.0883303964004038</v>
      </c>
      <c r="Q217" s="109" t="n">
        <v>115</v>
      </c>
      <c r="R217" s="110" t="n">
        <v>12801</v>
      </c>
      <c r="S217" s="110" t="n">
        <v>7273.8543477255</v>
      </c>
      <c r="T217" s="110" t="n">
        <v>2281.23513044041</v>
      </c>
      <c r="U217" s="110" t="n">
        <v>22356.0894781659</v>
      </c>
      <c r="V217" s="104" t="n">
        <v>20184</v>
      </c>
      <c r="W217" s="104" t="n">
        <v>0</v>
      </c>
      <c r="X217" s="104">
        <f>$V217+W217</f>
        <v/>
      </c>
      <c r="Y217" s="111">
        <f>IFERROR(A217/R217,0)</f>
        <v/>
      </c>
      <c r="Z217" s="111">
        <f>IFERROR(B217/U217,0)</f>
        <v/>
      </c>
      <c r="AA217" s="111">
        <f>IFERROR(C217/R217,0)</f>
        <v/>
      </c>
      <c r="AB217" s="111">
        <f>IFERROR(D217/U217,0)</f>
        <v/>
      </c>
      <c r="AD217" s="111">
        <f>IF(U217&gt;0,IFERROR(E217/U217,0),1)</f>
        <v/>
      </c>
      <c r="AE217" s="111">
        <f>IF(R217&gt;0,IFERROR(F217/R217,0),1)</f>
        <v/>
      </c>
      <c r="AF217" s="111">
        <f>IF(AL217&gt;0,IFERROR(G217/AL217,0),1)</f>
        <v/>
      </c>
      <c r="AG217" s="111">
        <f>IF(AM217&gt;0,IFERROR(H217/AM217,0),1)</f>
        <v/>
      </c>
      <c r="AH217" s="104">
        <f>U217-(V217+AN217+AR217)</f>
        <v/>
      </c>
      <c r="AI217" s="104">
        <f>R217-(V217+AO217+AR217)</f>
        <v/>
      </c>
      <c r="AJ217" s="104">
        <f>(AL217-AP217)</f>
        <v/>
      </c>
      <c r="AK217" s="104">
        <f>(AM217-AQ217)</f>
        <v/>
      </c>
      <c r="AL217" s="110">
        <f>S217+AI217</f>
        <v/>
      </c>
      <c r="AM217" s="110">
        <f>T217+AJ217</f>
        <v/>
      </c>
      <c r="AN217" s="104" t="n">
        <v>21600</v>
      </c>
      <c r="AO217" s="104" t="n">
        <v>0</v>
      </c>
      <c r="AP217" s="104" t="n">
        <v>12000</v>
      </c>
      <c r="AQ217" s="104" t="n">
        <v>9600</v>
      </c>
      <c r="AR217" s="104" t="n">
        <v>0</v>
      </c>
      <c r="AS217" s="104" t="n"/>
      <c r="AT217" s="104" t="n"/>
    </row>
    <row r="218" ht="12.65" customHeight="1" s="79">
      <c r="A218" s="104">
        <f>MIN(V218,R218)</f>
        <v/>
      </c>
      <c r="B218" s="104">
        <f>MIN(V218,U218)</f>
        <v/>
      </c>
      <c r="C218" s="104">
        <f>MIN(X218,R218)</f>
        <v/>
      </c>
      <c r="D218" s="104">
        <f>MIN(X218,U218)</f>
        <v/>
      </c>
      <c r="E218" s="104">
        <f>MIN((V218+AN218+AR218),U218)</f>
        <v/>
      </c>
      <c r="F218" s="104">
        <f>MAX(MIN((V218+AO218+AR218),R218),0)</f>
        <v/>
      </c>
      <c r="G218" s="104">
        <f>MAX(MIN(AP218,AL218),0)</f>
        <v/>
      </c>
      <c r="H218" s="104">
        <f>MAX(MIN(AQ218,AM218),0)</f>
        <v/>
      </c>
      <c r="I218" s="105" t="inlineStr">
        <is>
          <t>MAHIMA VOHRA</t>
        </is>
      </c>
      <c r="J218" s="106" t="inlineStr">
        <is>
          <t>STATIONERY</t>
        </is>
      </c>
      <c r="K218" s="107" t="inlineStr">
        <is>
          <t>ST_NON PAPER</t>
        </is>
      </c>
      <c r="L218" s="107" t="inlineStr">
        <is>
          <t>ST_NP_KIDS BAG</t>
        </is>
      </c>
      <c r="M218" s="107" t="inlineStr">
        <is>
          <t>BAG 299-[STNP04]</t>
        </is>
      </c>
      <c r="N218" s="107" t="inlineStr">
        <is>
          <t>ACTIVE</t>
        </is>
      </c>
      <c r="O218" s="108" t="n">
        <v>0.0810254366739723</v>
      </c>
      <c r="P218" s="108" t="n">
        <v>0.095935960591133</v>
      </c>
      <c r="Q218" s="109" t="n">
        <v>171</v>
      </c>
      <c r="R218" s="110" t="n">
        <v>0</v>
      </c>
      <c r="S218" s="110" t="n">
        <v>0</v>
      </c>
      <c r="T218" s="110" t="n">
        <v>0</v>
      </c>
      <c r="U218" s="110" t="n">
        <v>0</v>
      </c>
      <c r="V218" s="104" t="n">
        <v>0</v>
      </c>
      <c r="W218" s="104" t="n">
        <v>0</v>
      </c>
      <c r="X218" s="104">
        <f>$V218+W218</f>
        <v/>
      </c>
      <c r="Y218" s="111">
        <f>IFERROR(A218/R218,0)</f>
        <v/>
      </c>
      <c r="Z218" s="111">
        <f>IFERROR(B218/U218,0)</f>
        <v/>
      </c>
      <c r="AA218" s="111">
        <f>IFERROR(C218/R218,0)</f>
        <v/>
      </c>
      <c r="AB218" s="111">
        <f>IFERROR(D218/U218,0)</f>
        <v/>
      </c>
      <c r="AD218" s="111">
        <f>IF(U218&gt;0,IFERROR(E218/U218,0),1)</f>
        <v/>
      </c>
      <c r="AE218" s="111">
        <f>IF(R218&gt;0,IFERROR(F218/R218,0),1)</f>
        <v/>
      </c>
      <c r="AF218" s="111">
        <f>IF(AL218&gt;0,IFERROR(G218/AL218,0),1)</f>
        <v/>
      </c>
      <c r="AG218" s="111">
        <f>IF(AM218&gt;0,IFERROR(H218/AM218,0),1)</f>
        <v/>
      </c>
      <c r="AH218" s="104">
        <f>U218-(V218+AN218+AR218)</f>
        <v/>
      </c>
      <c r="AI218" s="104">
        <f>R218-(V218+AO218+AR218)</f>
        <v/>
      </c>
      <c r="AJ218" s="104">
        <f>(AL218-AP218)</f>
        <v/>
      </c>
      <c r="AK218" s="104">
        <f>(AM218-AQ218)</f>
        <v/>
      </c>
      <c r="AL218" s="110">
        <f>S218+AI218</f>
        <v/>
      </c>
      <c r="AM218" s="110">
        <f>T218+AJ218</f>
        <v/>
      </c>
      <c r="AN218" s="104" t="n">
        <v>0</v>
      </c>
      <c r="AO218" s="104" t="n">
        <v>0</v>
      </c>
      <c r="AP218" s="104" t="n">
        <v>0</v>
      </c>
      <c r="AQ218" s="104" t="n">
        <v>0</v>
      </c>
      <c r="AR218" s="104" t="n">
        <v>0</v>
      </c>
      <c r="AS218" s="104" t="n"/>
      <c r="AT218" s="104" t="n"/>
    </row>
    <row r="219" ht="12.65" customHeight="1" s="79">
      <c r="A219" s="104">
        <f>MIN(V219,R219)</f>
        <v/>
      </c>
      <c r="B219" s="104">
        <f>MIN(V219,U219)</f>
        <v/>
      </c>
      <c r="C219" s="104">
        <f>MIN(X219,R219)</f>
        <v/>
      </c>
      <c r="D219" s="104">
        <f>MIN(X219,U219)</f>
        <v/>
      </c>
      <c r="E219" s="104">
        <f>MIN((V219+AN219+AR219),U219)</f>
        <v/>
      </c>
      <c r="F219" s="104">
        <f>MAX(MIN((V219+AO219+AR219),R219),0)</f>
        <v/>
      </c>
      <c r="G219" s="104">
        <f>MAX(MIN(AP219,AL219),0)</f>
        <v/>
      </c>
      <c r="H219" s="104">
        <f>MAX(MIN(AQ219,AM219),0)</f>
        <v/>
      </c>
      <c r="I219" s="105" t="inlineStr">
        <is>
          <t>MAHIMA VOHRA</t>
        </is>
      </c>
      <c r="J219" s="106" t="inlineStr">
        <is>
          <t>STATIONERY</t>
        </is>
      </c>
      <c r="K219" s="107" t="inlineStr">
        <is>
          <t>ST_NON PAPER</t>
        </is>
      </c>
      <c r="L219" s="107" t="inlineStr">
        <is>
          <t>ST_NP_PEN STAND</t>
        </is>
      </c>
      <c r="M219" s="107" t="inlineStr">
        <is>
          <t>PN STND 49-[STNP12]</t>
        </is>
      </c>
      <c r="N219" s="107" t="inlineStr">
        <is>
          <t>ACTIVE</t>
        </is>
      </c>
      <c r="O219" s="108" t="n">
        <v>0.146978467722519</v>
      </c>
      <c r="P219" s="108" t="n">
        <v>0.153076456938471</v>
      </c>
      <c r="Q219" s="109" t="n">
        <v>145</v>
      </c>
      <c r="R219" s="110" t="n">
        <v>8074</v>
      </c>
      <c r="S219" s="110" t="n">
        <v>5293.71714323723</v>
      </c>
      <c r="T219" s="110" t="n">
        <v>3517.52512009905</v>
      </c>
      <c r="U219" s="110" t="n">
        <v>16885.2422633363</v>
      </c>
      <c r="V219" s="104" t="n">
        <v>1800</v>
      </c>
      <c r="W219" s="104" t="n">
        <v>0</v>
      </c>
      <c r="X219" s="104">
        <f>$V219+W219</f>
        <v/>
      </c>
      <c r="Y219" s="111">
        <f>IFERROR(A219/R219,0)</f>
        <v/>
      </c>
      <c r="Z219" s="111">
        <f>IFERROR(B219/U219,0)</f>
        <v/>
      </c>
      <c r="AA219" s="111">
        <f>IFERROR(C219/R219,0)</f>
        <v/>
      </c>
      <c r="AB219" s="111">
        <f>IFERROR(D219/U219,0)</f>
        <v/>
      </c>
      <c r="AD219" s="111">
        <f>IF(U219&gt;0,IFERROR(E219/U219,0),1)</f>
        <v/>
      </c>
      <c r="AE219" s="111">
        <f>IF(R219&gt;0,IFERROR(F219/R219,0),1)</f>
        <v/>
      </c>
      <c r="AF219" s="111">
        <f>IF(AL219&gt;0,IFERROR(G219/AL219,0),1)</f>
        <v/>
      </c>
      <c r="AG219" s="111">
        <f>IF(AM219&gt;0,IFERROR(H219/AM219,0),1)</f>
        <v/>
      </c>
      <c r="AH219" s="104">
        <f>U219-(V219+AN219+AR219)</f>
        <v/>
      </c>
      <c r="AI219" s="104">
        <f>R219-(V219+AO219+AR219)</f>
        <v/>
      </c>
      <c r="AJ219" s="104">
        <f>(AL219-AP219)</f>
        <v/>
      </c>
      <c r="AK219" s="104">
        <f>(AM219-AQ219)</f>
        <v/>
      </c>
      <c r="AL219" s="110">
        <f>S219+AI219</f>
        <v/>
      </c>
      <c r="AM219" s="110">
        <f>T219+AJ219</f>
        <v/>
      </c>
      <c r="AN219" s="104" t="n">
        <v>14640</v>
      </c>
      <c r="AO219" s="104" t="n">
        <v>6600</v>
      </c>
      <c r="AP219" s="104" t="n">
        <v>1440</v>
      </c>
      <c r="AQ219" s="104" t="n">
        <v>6600</v>
      </c>
      <c r="AR219" s="104" t="n">
        <v>0</v>
      </c>
      <c r="AS219" s="104" t="n"/>
      <c r="AT219" s="104" t="n"/>
    </row>
    <row r="220" ht="12.65" customHeight="1" s="79">
      <c r="A220" s="104">
        <f>MIN(V220,R220)</f>
        <v/>
      </c>
      <c r="B220" s="104">
        <f>MIN(V220,U220)</f>
        <v/>
      </c>
      <c r="C220" s="104">
        <f>MIN(X220,R220)</f>
        <v/>
      </c>
      <c r="D220" s="104">
        <f>MIN(X220,U220)</f>
        <v/>
      </c>
      <c r="E220" s="104">
        <f>MIN((V220+AN220+AR220),U220)</f>
        <v/>
      </c>
      <c r="F220" s="104">
        <f>MAX(MIN((V220+AO220+AR220),R220),0)</f>
        <v/>
      </c>
      <c r="G220" s="104">
        <f>MAX(MIN(AP220,AL220),0)</f>
        <v/>
      </c>
      <c r="H220" s="104">
        <f>MAX(MIN(AQ220,AM220),0)</f>
        <v/>
      </c>
      <c r="I220" s="105" t="inlineStr">
        <is>
          <t>MAHIMA VOHRA</t>
        </is>
      </c>
      <c r="J220" s="106" t="inlineStr">
        <is>
          <t>STATIONERY</t>
        </is>
      </c>
      <c r="K220" s="107" t="inlineStr">
        <is>
          <t>ST_NON PAPER</t>
        </is>
      </c>
      <c r="L220" s="107" t="inlineStr">
        <is>
          <t>ST_NP_PENCIL BOX</t>
        </is>
      </c>
      <c r="M220" s="107" t="inlineStr">
        <is>
          <t>PENCIL BOX 99-[STNP05]</t>
        </is>
      </c>
      <c r="N220" s="107" t="inlineStr">
        <is>
          <t>ACTIVE</t>
        </is>
      </c>
      <c r="O220" s="108" t="n">
        <v>0.128922813596595</v>
      </c>
      <c r="P220" s="108" t="n">
        <v>0.110381053367085</v>
      </c>
      <c r="Q220" s="109" t="n">
        <v>37</v>
      </c>
      <c r="R220" s="110" t="n">
        <v>12550</v>
      </c>
      <c r="S220" s="110" t="n">
        <v>11647.6899981485</v>
      </c>
      <c r="T220" s="110" t="n">
        <v>5227.35274555748</v>
      </c>
      <c r="U220" s="110" t="n">
        <v>29425.042743706</v>
      </c>
      <c r="V220" s="104" t="n">
        <v>0</v>
      </c>
      <c r="W220" s="104" t="n">
        <v>2100</v>
      </c>
      <c r="X220" s="104">
        <f>$V220+W220</f>
        <v/>
      </c>
      <c r="Y220" s="111">
        <f>IFERROR(A220/R220,0)</f>
        <v/>
      </c>
      <c r="Z220" s="111">
        <f>IFERROR(B220/U220,0)</f>
        <v/>
      </c>
      <c r="AA220" s="111">
        <f>IFERROR(C220/R220,0)</f>
        <v/>
      </c>
      <c r="AB220" s="111">
        <f>IFERROR(D220/U220,0)</f>
        <v/>
      </c>
      <c r="AD220" s="111">
        <f>IF(U220&gt;0,IFERROR(E220/U220,0),1)</f>
        <v/>
      </c>
      <c r="AE220" s="111">
        <f>IF(R220&gt;0,IFERROR(F220/R220,0),1)</f>
        <v/>
      </c>
      <c r="AF220" s="111">
        <f>IF(AL220&gt;0,IFERROR(G220/AL220,0),1)</f>
        <v/>
      </c>
      <c r="AG220" s="111">
        <f>IF(AM220&gt;0,IFERROR(H220/AM220,0),1)</f>
        <v/>
      </c>
      <c r="AH220" s="104">
        <f>U220-(V220+AN220+AR220)</f>
        <v/>
      </c>
      <c r="AI220" s="104">
        <f>R220-(V220+AO220+AR220)</f>
        <v/>
      </c>
      <c r="AJ220" s="104">
        <f>(AL220-AP220)</f>
        <v/>
      </c>
      <c r="AK220" s="104">
        <f>(AM220-AQ220)</f>
        <v/>
      </c>
      <c r="AL220" s="110">
        <f>S220+AI220</f>
        <v/>
      </c>
      <c r="AM220" s="110">
        <f>T220+AJ220</f>
        <v/>
      </c>
      <c r="AN220" s="104" t="n">
        <v>19740</v>
      </c>
      <c r="AO220" s="104" t="n">
        <v>2100</v>
      </c>
      <c r="AP220" s="104" t="n">
        <v>12600</v>
      </c>
      <c r="AQ220" s="104" t="n">
        <v>5040</v>
      </c>
      <c r="AR220" s="104" t="n">
        <v>0</v>
      </c>
      <c r="AS220" s="104" t="n"/>
      <c r="AT220" s="104" t="n"/>
    </row>
    <row r="221" ht="12.65" customHeight="1" s="79">
      <c r="A221" s="104">
        <f>MIN(V221,R221)</f>
        <v/>
      </c>
      <c r="B221" s="104">
        <f>MIN(V221,U221)</f>
        <v/>
      </c>
      <c r="C221" s="104">
        <f>MIN(X221,R221)</f>
        <v/>
      </c>
      <c r="D221" s="104">
        <f>MIN(X221,U221)</f>
        <v/>
      </c>
      <c r="E221" s="104">
        <f>MIN((V221+AN221+AR221),U221)</f>
        <v/>
      </c>
      <c r="F221" s="104">
        <f>MAX(MIN((V221+AO221+AR221),R221),0)</f>
        <v/>
      </c>
      <c r="G221" s="104">
        <f>MAX(MIN(AP221,AL221),0)</f>
        <v/>
      </c>
      <c r="H221" s="104">
        <f>MAX(MIN(AQ221,AM221),0)</f>
        <v/>
      </c>
      <c r="I221" s="105" t="inlineStr">
        <is>
          <t>MAHIMA VOHRA</t>
        </is>
      </c>
      <c r="J221" s="106" t="inlineStr">
        <is>
          <t>STATIONERY</t>
        </is>
      </c>
      <c r="K221" s="107" t="inlineStr">
        <is>
          <t>ST_NON PAPER</t>
        </is>
      </c>
      <c r="L221" s="107" t="inlineStr">
        <is>
          <t>ST_NP_PENCIL BOX</t>
        </is>
      </c>
      <c r="M221" s="107" t="inlineStr">
        <is>
          <t>PENCIL BOX 199-[STNP05]</t>
        </is>
      </c>
      <c r="N221" s="107" t="inlineStr">
        <is>
          <t>ACTIVE</t>
        </is>
      </c>
      <c r="O221" s="108" t="n">
        <v>0.112841990947004</v>
      </c>
      <c r="P221" s="108" t="n">
        <v>0.08827580929057929</v>
      </c>
      <c r="Q221" s="109" t="n">
        <v>37</v>
      </c>
      <c r="R221" s="110" t="n">
        <v>0</v>
      </c>
      <c r="S221" s="110" t="n">
        <v>0</v>
      </c>
      <c r="T221" s="110" t="n">
        <v>0</v>
      </c>
      <c r="U221" s="110" t="n">
        <v>0</v>
      </c>
      <c r="V221" s="104" t="n">
        <v>8724</v>
      </c>
      <c r="W221" s="104" t="n">
        <v>0</v>
      </c>
      <c r="X221" s="104">
        <f>$V221+W221</f>
        <v/>
      </c>
      <c r="Y221" s="111">
        <f>IFERROR(A221/R221,0)</f>
        <v/>
      </c>
      <c r="Z221" s="111">
        <f>IFERROR(B221/U221,0)</f>
        <v/>
      </c>
      <c r="AA221" s="111">
        <f>IFERROR(C221/R221,0)</f>
        <v/>
      </c>
      <c r="AB221" s="111">
        <f>IFERROR(D221/U221,0)</f>
        <v/>
      </c>
      <c r="AD221" s="111">
        <f>IF(U221&gt;0,IFERROR(E221/U221,0),1)</f>
        <v/>
      </c>
      <c r="AE221" s="111">
        <f>IF(R221&gt;0,IFERROR(F221/R221,0),1)</f>
        <v/>
      </c>
      <c r="AF221" s="111">
        <f>IF(AL221&gt;0,IFERROR(G221/AL221,0),1)</f>
        <v/>
      </c>
      <c r="AG221" s="111">
        <f>IF(AM221&gt;0,IFERROR(H221/AM221,0),1)</f>
        <v/>
      </c>
      <c r="AH221" s="104">
        <f>U221-(V221+AN221+AR221)</f>
        <v/>
      </c>
      <c r="AI221" s="104">
        <f>R221-(V221+AO221+AR221)</f>
        <v/>
      </c>
      <c r="AJ221" s="104">
        <f>(AL221-AP221)</f>
        <v/>
      </c>
      <c r="AK221" s="104">
        <f>(AM221-AQ221)</f>
        <v/>
      </c>
      <c r="AL221" s="110">
        <f>S221+AI221</f>
        <v/>
      </c>
      <c r="AM221" s="110">
        <f>T221+AJ221</f>
        <v/>
      </c>
      <c r="AN221" s="104" t="n">
        <v>14880</v>
      </c>
      <c r="AO221" s="104" t="n">
        <v>0</v>
      </c>
      <c r="AP221" s="104" t="n">
        <v>11280</v>
      </c>
      <c r="AQ221" s="104" t="n">
        <v>3600</v>
      </c>
      <c r="AR221" s="104" t="n">
        <v>0</v>
      </c>
      <c r="AS221" s="104" t="n"/>
      <c r="AT221" s="104" t="n"/>
    </row>
    <row r="222" ht="12.65" customHeight="1" s="79">
      <c r="A222" s="104">
        <f>MIN(V222,R222)</f>
        <v/>
      </c>
      <c r="B222" s="104">
        <f>MIN(V222,U222)</f>
        <v/>
      </c>
      <c r="C222" s="104">
        <f>MIN(X222,R222)</f>
        <v/>
      </c>
      <c r="D222" s="104">
        <f>MIN(X222,U222)</f>
        <v/>
      </c>
      <c r="E222" s="104">
        <f>MIN((V222+AN222+AR222),U222)</f>
        <v/>
      </c>
      <c r="F222" s="104">
        <f>MAX(MIN((V222+AO222+AR222),R222),0)</f>
        <v/>
      </c>
      <c r="G222" s="104">
        <f>MAX(MIN(AP222,AL222),0)</f>
        <v/>
      </c>
      <c r="H222" s="104">
        <f>MAX(MIN(AQ222,AM222),0)</f>
        <v/>
      </c>
      <c r="I222" s="105" t="inlineStr">
        <is>
          <t>MAHIMA VOHRA</t>
        </is>
      </c>
      <c r="J222" s="106" t="inlineStr">
        <is>
          <t>STATIONERY</t>
        </is>
      </c>
      <c r="K222" s="107" t="inlineStr">
        <is>
          <t>ST_NON PAPER</t>
        </is>
      </c>
      <c r="L222" s="107" t="inlineStr">
        <is>
          <t>ST_NP_POUCH</t>
        </is>
      </c>
      <c r="M222" s="107" t="inlineStr">
        <is>
          <t>POUCH 199-[STNP06]</t>
        </is>
      </c>
      <c r="N222" s="107" t="inlineStr">
        <is>
          <t>ACTIVE</t>
        </is>
      </c>
      <c r="O222" s="108" t="n">
        <v>0.127277791963602</v>
      </c>
      <c r="P222" s="108" t="n">
        <v>0.0921829614733953</v>
      </c>
      <c r="Q222" s="109" t="n">
        <v>123</v>
      </c>
      <c r="R222" s="110" t="n">
        <v>2106</v>
      </c>
      <c r="S222" s="110" t="n">
        <v>2233.99101870614</v>
      </c>
      <c r="T222" s="110" t="n">
        <v>687.158427001604</v>
      </c>
      <c r="U222" s="110" t="n">
        <v>5027.14944570775</v>
      </c>
      <c r="V222" s="104" t="n">
        <v>4200</v>
      </c>
      <c r="W222" s="104" t="n">
        <v>0</v>
      </c>
      <c r="X222" s="104">
        <f>$V222+W222</f>
        <v/>
      </c>
      <c r="Y222" s="111">
        <f>IFERROR(A222/R222,0)</f>
        <v/>
      </c>
      <c r="Z222" s="111">
        <f>IFERROR(B222/U222,0)</f>
        <v/>
      </c>
      <c r="AA222" s="111">
        <f>IFERROR(C222/R222,0)</f>
        <v/>
      </c>
      <c r="AB222" s="111">
        <f>IFERROR(D222/U222,0)</f>
        <v/>
      </c>
      <c r="AD222" s="111">
        <f>IF(U222&gt;0,IFERROR(E222/U222,0),1)</f>
        <v/>
      </c>
      <c r="AE222" s="111">
        <f>IF(R222&gt;0,IFERROR(F222/R222,0),1)</f>
        <v/>
      </c>
      <c r="AF222" s="111">
        <f>IF(AL222&gt;0,IFERROR(G222/AL222,0),1)</f>
        <v/>
      </c>
      <c r="AG222" s="111">
        <f>IF(AM222&gt;0,IFERROR(H222/AM222,0),1)</f>
        <v/>
      </c>
      <c r="AH222" s="104">
        <f>U222-(V222+AN222+AR222)</f>
        <v/>
      </c>
      <c r="AI222" s="104">
        <f>R222-(V222+AO222+AR222)</f>
        <v/>
      </c>
      <c r="AJ222" s="104">
        <f>(AL222-AP222)</f>
        <v/>
      </c>
      <c r="AK222" s="104">
        <f>(AM222-AQ222)</f>
        <v/>
      </c>
      <c r="AL222" s="110">
        <f>S222+AI222</f>
        <v/>
      </c>
      <c r="AM222" s="110">
        <f>T222+AJ222</f>
        <v/>
      </c>
      <c r="AN222" s="104" t="n">
        <v>4200</v>
      </c>
      <c r="AO222" s="104" t="n">
        <v>0</v>
      </c>
      <c r="AP222" s="104" t="n">
        <v>4200</v>
      </c>
      <c r="AQ222" s="104" t="n">
        <v>0</v>
      </c>
      <c r="AR222" s="104" t="n">
        <v>0</v>
      </c>
      <c r="AS222" s="104" t="n"/>
      <c r="AT222" s="104" t="n"/>
    </row>
    <row r="223" ht="12.65" customHeight="1" s="79">
      <c r="A223" s="104">
        <f>MIN(V223,R223)</f>
        <v/>
      </c>
      <c r="B223" s="104">
        <f>MIN(V223,U223)</f>
        <v/>
      </c>
      <c r="C223" s="104">
        <f>MIN(X223,R223)</f>
        <v/>
      </c>
      <c r="D223" s="104">
        <f>MIN(X223,U223)</f>
        <v/>
      </c>
      <c r="E223" s="104">
        <f>MIN((V223+AN223+AR223),U223)</f>
        <v/>
      </c>
      <c r="F223" s="104">
        <f>MAX(MIN((V223+AO223+AR223),R223),0)</f>
        <v/>
      </c>
      <c r="G223" s="104">
        <f>MAX(MIN(AP223,AL223),0)</f>
        <v/>
      </c>
      <c r="H223" s="104">
        <f>MAX(MIN(AQ223,AM223),0)</f>
        <v/>
      </c>
      <c r="I223" s="105" t="inlineStr">
        <is>
          <t>MAHIMA VOHRA</t>
        </is>
      </c>
      <c r="J223" s="106" t="inlineStr">
        <is>
          <t>STATIONERY</t>
        </is>
      </c>
      <c r="K223" s="107" t="inlineStr">
        <is>
          <t>ST_PAPER</t>
        </is>
      </c>
      <c r="L223" s="107" t="inlineStr">
        <is>
          <t>ST_NP_BOOKS</t>
        </is>
      </c>
      <c r="M223" s="107" t="inlineStr">
        <is>
          <t>COLOURING 99-[STNP01]</t>
        </is>
      </c>
      <c r="N223" s="107" t="inlineStr">
        <is>
          <t>ACTIVE</t>
        </is>
      </c>
      <c r="O223" s="108" t="n">
        <v>0.07543522948463741</v>
      </c>
      <c r="P223" s="108" t="n">
        <v>0.07686981325120661</v>
      </c>
      <c r="Q223" s="109" t="n">
        <v>70</v>
      </c>
      <c r="R223" s="110" t="n">
        <v>7844</v>
      </c>
      <c r="S223" s="110" t="n">
        <v>9206.364685571551</v>
      </c>
      <c r="T223" s="110" t="n">
        <v>5497.53404632032</v>
      </c>
      <c r="U223" s="110" t="n">
        <v>22547.8987318919</v>
      </c>
      <c r="V223" s="104" t="n">
        <v>10080</v>
      </c>
      <c r="W223" s="104" t="n">
        <v>0</v>
      </c>
      <c r="X223" s="104">
        <f>$V223+W223</f>
        <v/>
      </c>
      <c r="Y223" s="111">
        <f>IFERROR(A223/R223,0)</f>
        <v/>
      </c>
      <c r="Z223" s="111">
        <f>IFERROR(B223/U223,0)</f>
        <v/>
      </c>
      <c r="AA223" s="111">
        <f>IFERROR(C223/R223,0)</f>
        <v/>
      </c>
      <c r="AB223" s="111">
        <f>IFERROR(D223/U223,0)</f>
        <v/>
      </c>
      <c r="AD223" s="111">
        <f>IF(U223&gt;0,IFERROR(E223/U223,0),1)</f>
        <v/>
      </c>
      <c r="AE223" s="111">
        <f>IF(R223&gt;0,IFERROR(F223/R223,0),1)</f>
        <v/>
      </c>
      <c r="AF223" s="111">
        <f>IF(AL223&gt;0,IFERROR(G223/AL223,0),1)</f>
        <v/>
      </c>
      <c r="AG223" s="111">
        <f>IF(AM223&gt;0,IFERROR(H223/AM223,0),1)</f>
        <v/>
      </c>
      <c r="AH223" s="104">
        <f>U223-(V223+AN223+AR223)</f>
        <v/>
      </c>
      <c r="AI223" s="104">
        <f>R223-(V223+AO223+AR223)</f>
        <v/>
      </c>
      <c r="AJ223" s="104">
        <f>(AL223-AP223)</f>
        <v/>
      </c>
      <c r="AK223" s="104">
        <f>(AM223-AQ223)</f>
        <v/>
      </c>
      <c r="AL223" s="110">
        <f>S223+AI223</f>
        <v/>
      </c>
      <c r="AM223" s="110">
        <f>T223+AJ223</f>
        <v/>
      </c>
      <c r="AN223" s="104" t="n">
        <v>7920</v>
      </c>
      <c r="AO223" s="104" t="n">
        <v>0</v>
      </c>
      <c r="AP223" s="104" t="n">
        <v>7920</v>
      </c>
      <c r="AQ223" s="104" t="n">
        <v>0</v>
      </c>
      <c r="AR223" s="104" t="n">
        <v>0</v>
      </c>
      <c r="AS223" s="104" t="n"/>
      <c r="AT223" s="104" t="n"/>
    </row>
    <row r="224" ht="12.65" customHeight="1" s="79">
      <c r="A224" s="104">
        <f>MIN(V224,R224)</f>
        <v/>
      </c>
      <c r="B224" s="104">
        <f>MIN(V224,U224)</f>
        <v/>
      </c>
      <c r="C224" s="104">
        <f>MIN(X224,R224)</f>
        <v/>
      </c>
      <c r="D224" s="104">
        <f>MIN(X224,U224)</f>
        <v/>
      </c>
      <c r="E224" s="104">
        <f>MIN((V224+AN224+AR224),U224)</f>
        <v/>
      </c>
      <c r="F224" s="104">
        <f>MAX(MIN((V224+AO224+AR224),R224),0)</f>
        <v/>
      </c>
      <c r="G224" s="104">
        <f>MAX(MIN(AP224,AL224),0)</f>
        <v/>
      </c>
      <c r="H224" s="104">
        <f>MAX(MIN(AQ224,AM224),0)</f>
        <v/>
      </c>
      <c r="I224" s="105" t="inlineStr">
        <is>
          <t>MAHIMA VOHRA</t>
        </is>
      </c>
      <c r="J224" s="106" t="inlineStr">
        <is>
          <t>STATIONERY</t>
        </is>
      </c>
      <c r="K224" s="107" t="inlineStr">
        <is>
          <t>ST_PAPER</t>
        </is>
      </c>
      <c r="L224" s="107" t="inlineStr">
        <is>
          <t>ST_NP_BOOKS</t>
        </is>
      </c>
      <c r="M224" s="107" t="inlineStr">
        <is>
          <t>BOARD BOOKS 99-[STNP01]</t>
        </is>
      </c>
      <c r="N224" s="107" t="inlineStr">
        <is>
          <t>ACTIVE</t>
        </is>
      </c>
      <c r="O224" s="108" t="n">
        <v>0.0975405980355676</v>
      </c>
      <c r="P224" s="108" t="n">
        <v>0.114283144450441</v>
      </c>
      <c r="Q224" s="109" t="n">
        <v>70</v>
      </c>
      <c r="R224" s="110" t="n">
        <v>4345</v>
      </c>
      <c r="S224" s="110" t="n">
        <v>4150.54719374101</v>
      </c>
      <c r="T224" s="110" t="n">
        <v>3186.56935045053</v>
      </c>
      <c r="U224" s="110" t="n">
        <v>11682.1165441915</v>
      </c>
      <c r="V224" s="104" t="n">
        <v>5280</v>
      </c>
      <c r="W224" s="104" t="n">
        <v>0</v>
      </c>
      <c r="X224" s="104">
        <f>$V224+W224</f>
        <v/>
      </c>
      <c r="Y224" s="111">
        <f>IFERROR(A224/R224,0)</f>
        <v/>
      </c>
      <c r="Z224" s="111">
        <f>IFERROR(B224/U224,0)</f>
        <v/>
      </c>
      <c r="AA224" s="111">
        <f>IFERROR(C224/R224,0)</f>
        <v/>
      </c>
      <c r="AB224" s="111">
        <f>IFERROR(D224/U224,0)</f>
        <v/>
      </c>
      <c r="AD224" s="111">
        <f>IF(U224&gt;0,IFERROR(E224/U224,0),1)</f>
        <v/>
      </c>
      <c r="AE224" s="111">
        <f>IF(R224&gt;0,IFERROR(F224/R224,0),1)</f>
        <v/>
      </c>
      <c r="AF224" s="111">
        <f>IF(AL224&gt;0,IFERROR(G224/AL224,0),1)</f>
        <v/>
      </c>
      <c r="AG224" s="111">
        <f>IF(AM224&gt;0,IFERROR(H224/AM224,0),1)</f>
        <v/>
      </c>
      <c r="AH224" s="104">
        <f>U224-(V224+AN224+AR224)</f>
        <v/>
      </c>
      <c r="AI224" s="104">
        <f>R224-(V224+AO224+AR224)</f>
        <v/>
      </c>
      <c r="AJ224" s="104">
        <f>(AL224-AP224)</f>
        <v/>
      </c>
      <c r="AK224" s="104">
        <f>(AM224-AQ224)</f>
        <v/>
      </c>
      <c r="AL224" s="110">
        <f>S224+AI224</f>
        <v/>
      </c>
      <c r="AM224" s="110">
        <f>T224+AJ224</f>
        <v/>
      </c>
      <c r="AN224" s="104" t="n">
        <v>4800</v>
      </c>
      <c r="AO224" s="104" t="n">
        <v>0</v>
      </c>
      <c r="AP224" s="104" t="n">
        <v>4800</v>
      </c>
      <c r="AQ224" s="104" t="n">
        <v>0</v>
      </c>
      <c r="AR224" s="104" t="n">
        <v>0</v>
      </c>
      <c r="AS224" s="104" t="n"/>
      <c r="AT224" s="104" t="n"/>
    </row>
    <row r="225" ht="12.65" customHeight="1" s="79">
      <c r="A225" s="104">
        <f>MIN(V225,R225)</f>
        <v/>
      </c>
      <c r="B225" s="104">
        <f>MIN(V225,U225)</f>
        <v/>
      </c>
      <c r="C225" s="104">
        <f>MIN(X225,R225)</f>
        <v/>
      </c>
      <c r="D225" s="104">
        <f>MIN(X225,U225)</f>
        <v/>
      </c>
      <c r="E225" s="104">
        <f>MIN((V225+AN225+AR225),U225)</f>
        <v/>
      </c>
      <c r="F225" s="104">
        <f>MAX(MIN((V225+AO225+AR225),R225),0)</f>
        <v/>
      </c>
      <c r="G225" s="104">
        <f>MAX(MIN(AP225,AL225),0)</f>
        <v/>
      </c>
      <c r="H225" s="104">
        <f>MAX(MIN(AQ225,AM225),0)</f>
        <v/>
      </c>
      <c r="I225" s="105" t="inlineStr">
        <is>
          <t>MAHIMA VOHRA</t>
        </is>
      </c>
      <c r="J225" s="106" t="inlineStr">
        <is>
          <t>STATIONERY</t>
        </is>
      </c>
      <c r="K225" s="107" t="inlineStr">
        <is>
          <t>ST_PAPER</t>
        </is>
      </c>
      <c r="L225" s="107" t="inlineStr">
        <is>
          <t>ST_NP_BOOKS</t>
        </is>
      </c>
      <c r="M225" s="107" t="inlineStr">
        <is>
          <t>WRITING 49-[STNP01]</t>
        </is>
      </c>
      <c r="N225" s="107" t="inlineStr">
        <is>
          <t>ACTIVE</t>
        </is>
      </c>
      <c r="O225" s="108" t="n">
        <v>0.0903456615942759</v>
      </c>
      <c r="P225" s="108" t="n">
        <v>0.104629272060243</v>
      </c>
      <c r="Q225" s="109" t="n">
        <v>70</v>
      </c>
      <c r="R225" s="110" t="n">
        <v>4625</v>
      </c>
      <c r="S225" s="110" t="n">
        <v>4658.39489831047</v>
      </c>
      <c r="T225" s="110" t="n">
        <v>1779.46062878309</v>
      </c>
      <c r="U225" s="110" t="n">
        <v>11062.8555270936</v>
      </c>
      <c r="V225" s="104" t="n">
        <v>1800</v>
      </c>
      <c r="W225" s="104" t="n">
        <v>0</v>
      </c>
      <c r="X225" s="104">
        <f>$V225+W225</f>
        <v/>
      </c>
      <c r="Y225" s="111">
        <f>IFERROR(A225/R225,0)</f>
        <v/>
      </c>
      <c r="Z225" s="111">
        <f>IFERROR(B225/U225,0)</f>
        <v/>
      </c>
      <c r="AA225" s="111">
        <f>IFERROR(C225/R225,0)</f>
        <v/>
      </c>
      <c r="AB225" s="111">
        <f>IFERROR(D225/U225,0)</f>
        <v/>
      </c>
      <c r="AD225" s="111">
        <f>IF(U225&gt;0,IFERROR(E225/U225,0),1)</f>
        <v/>
      </c>
      <c r="AE225" s="111">
        <f>IF(R225&gt;0,IFERROR(F225/R225,0),1)</f>
        <v/>
      </c>
      <c r="AF225" s="111">
        <f>IF(AL225&gt;0,IFERROR(G225/AL225,0),1)</f>
        <v/>
      </c>
      <c r="AG225" s="111">
        <f>IF(AM225&gt;0,IFERROR(H225/AM225,0),1)</f>
        <v/>
      </c>
      <c r="AH225" s="104">
        <f>U225-(V225+AN225+AR225)</f>
        <v/>
      </c>
      <c r="AI225" s="104">
        <f>R225-(V225+AO225+AR225)</f>
        <v/>
      </c>
      <c r="AJ225" s="104">
        <f>(AL225-AP225)</f>
        <v/>
      </c>
      <c r="AK225" s="104">
        <f>(AM225-AQ225)</f>
        <v/>
      </c>
      <c r="AL225" s="110">
        <f>S225+AI225</f>
        <v/>
      </c>
      <c r="AM225" s="110">
        <f>T225+AJ225</f>
        <v/>
      </c>
      <c r="AN225" s="104" t="n">
        <v>10320</v>
      </c>
      <c r="AO225" s="104" t="n">
        <v>3600</v>
      </c>
      <c r="AP225" s="104" t="n">
        <v>6720</v>
      </c>
      <c r="AQ225" s="104" t="n">
        <v>0</v>
      </c>
      <c r="AR225" s="104" t="n">
        <v>0</v>
      </c>
      <c r="AS225" s="104" t="n"/>
      <c r="AT225" s="104" t="n"/>
    </row>
    <row r="226" ht="12.65" customHeight="1" s="79">
      <c r="A226" s="104">
        <f>MIN(V226,R226)</f>
        <v/>
      </c>
      <c r="B226" s="104">
        <f>MIN(V226,U226)</f>
        <v/>
      </c>
      <c r="C226" s="104">
        <f>MIN(X226,R226)</f>
        <v/>
      </c>
      <c r="D226" s="104">
        <f>MIN(X226,U226)</f>
        <v/>
      </c>
      <c r="E226" s="104">
        <f>MIN((V226+AN226+AR226),U226)</f>
        <v/>
      </c>
      <c r="F226" s="104">
        <f>MAX(MIN((V226+AO226+AR226),R226),0)</f>
        <v/>
      </c>
      <c r="G226" s="104">
        <f>MAX(MIN(AP226,AL226),0)</f>
        <v/>
      </c>
      <c r="H226" s="104">
        <f>MAX(MIN(AQ226,AM226),0)</f>
        <v/>
      </c>
      <c r="I226" s="105" t="inlineStr">
        <is>
          <t>MAHIMA VOHRA</t>
        </is>
      </c>
      <c r="J226" s="106" t="inlineStr">
        <is>
          <t>STATIONERY</t>
        </is>
      </c>
      <c r="K226" s="107" t="inlineStr">
        <is>
          <t>ST_PAPER</t>
        </is>
      </c>
      <c r="L226" s="107" t="inlineStr">
        <is>
          <t>ST_NP_DIARY</t>
        </is>
      </c>
      <c r="M226" s="107" t="inlineStr">
        <is>
          <t>DIARY 99-[STNP19]</t>
        </is>
      </c>
      <c r="N226" s="107" t="inlineStr">
        <is>
          <t>ACTIVE</t>
        </is>
      </c>
      <c r="O226" s="108" t="n">
        <v>0.091290707930022</v>
      </c>
      <c r="P226" s="108" t="n">
        <v>0.09423475133505289</v>
      </c>
      <c r="Q226" s="109" t="n">
        <v>164</v>
      </c>
      <c r="R226" s="110" t="n">
        <v>2818</v>
      </c>
      <c r="S226" s="110" t="n">
        <v>1275.14737875013</v>
      </c>
      <c r="T226" s="110" t="n">
        <v>1565.80643415909</v>
      </c>
      <c r="U226" s="110" t="n">
        <v>5658.95381290922</v>
      </c>
      <c r="V226" s="104" t="n">
        <v>2400</v>
      </c>
      <c r="W226" s="104" t="n">
        <v>1440</v>
      </c>
      <c r="X226" s="104">
        <f>$V226+W226</f>
        <v/>
      </c>
      <c r="Y226" s="111">
        <f>IFERROR(A226/R226,0)</f>
        <v/>
      </c>
      <c r="Z226" s="111">
        <f>IFERROR(B226/U226,0)</f>
        <v/>
      </c>
      <c r="AA226" s="111">
        <f>IFERROR(C226/R226,0)</f>
        <v/>
      </c>
      <c r="AB226" s="111">
        <f>IFERROR(D226/U226,0)</f>
        <v/>
      </c>
      <c r="AD226" s="111">
        <f>IF(U226&gt;0,IFERROR(E226/U226,0),1)</f>
        <v/>
      </c>
      <c r="AE226" s="111">
        <f>IF(R226&gt;0,IFERROR(F226/R226,0),1)</f>
        <v/>
      </c>
      <c r="AF226" s="111">
        <f>IF(AL226&gt;0,IFERROR(G226/AL226,0),1)</f>
        <v/>
      </c>
      <c r="AG226" s="111">
        <f>IF(AM226&gt;0,IFERROR(H226/AM226,0),1)</f>
        <v/>
      </c>
      <c r="AH226" s="104">
        <f>U226-(V226+AN226+AR226)</f>
        <v/>
      </c>
      <c r="AI226" s="104">
        <f>R226-(V226+AO226+AR226)</f>
        <v/>
      </c>
      <c r="AJ226" s="104">
        <f>(AL226-AP226)</f>
        <v/>
      </c>
      <c r="AK226" s="104">
        <f>(AM226-AQ226)</f>
        <v/>
      </c>
      <c r="AL226" s="110">
        <f>S226+AI226</f>
        <v/>
      </c>
      <c r="AM226" s="110">
        <f>T226+AJ226</f>
        <v/>
      </c>
      <c r="AN226" s="104" t="n">
        <v>6240</v>
      </c>
      <c r="AO226" s="104" t="n">
        <v>1440</v>
      </c>
      <c r="AP226" s="104" t="n">
        <v>2400</v>
      </c>
      <c r="AQ226" s="104" t="n">
        <v>2400</v>
      </c>
      <c r="AR226" s="104" t="n">
        <v>0</v>
      </c>
      <c r="AS226" s="104" t="n"/>
      <c r="AT226" s="104" t="n"/>
    </row>
    <row r="227" ht="12.65" customHeight="1" s="79">
      <c r="A227" s="104">
        <f>MIN(V227,R227)</f>
        <v/>
      </c>
      <c r="B227" s="104">
        <f>MIN(V227,U227)</f>
        <v/>
      </c>
      <c r="C227" s="104">
        <f>MIN(X227,R227)</f>
        <v/>
      </c>
      <c r="D227" s="104">
        <f>MIN(X227,U227)</f>
        <v/>
      </c>
      <c r="E227" s="104">
        <f>MIN((V227+AN227+AR227),U227)</f>
        <v/>
      </c>
      <c r="F227" s="104">
        <f>MAX(MIN((V227+AO227+AR227),R227),0)</f>
        <v/>
      </c>
      <c r="G227" s="104">
        <f>MAX(MIN(AP227,AL227),0)</f>
        <v/>
      </c>
      <c r="H227" s="104">
        <f>MAX(MIN(AQ227,AM227),0)</f>
        <v/>
      </c>
      <c r="I227" s="105" t="inlineStr">
        <is>
          <t>MAHIMA VOHRA</t>
        </is>
      </c>
      <c r="J227" s="106" t="inlineStr">
        <is>
          <t>STATIONERY</t>
        </is>
      </c>
      <c r="K227" s="107" t="inlineStr">
        <is>
          <t>ST_WRITTING</t>
        </is>
      </c>
      <c r="L227" s="107" t="inlineStr">
        <is>
          <t>ST_NP_COLOR</t>
        </is>
      </c>
      <c r="M227" s="107" t="inlineStr">
        <is>
          <t>CRAYONS 60-[STNP13]</t>
        </is>
      </c>
      <c r="N227" s="107" t="inlineStr">
        <is>
          <t>ACTIVE</t>
        </is>
      </c>
      <c r="O227" s="108" t="n">
        <v>0.120298849984786</v>
      </c>
      <c r="P227" s="108" t="n">
        <v>0.142779982134325</v>
      </c>
      <c r="Q227" s="109" t="n">
        <v>122</v>
      </c>
      <c r="R227" s="110" t="n">
        <v>11561</v>
      </c>
      <c r="S227" s="110" t="n">
        <v>7601.55564896122</v>
      </c>
      <c r="T227" s="110" t="n">
        <v>4243.04910965624</v>
      </c>
      <c r="U227" s="110" t="n">
        <v>23405.6047586175</v>
      </c>
      <c r="V227" s="104" t="n">
        <v>7340</v>
      </c>
      <c r="W227" s="104" t="n">
        <v>0</v>
      </c>
      <c r="X227" s="104">
        <f>$V227+W227</f>
        <v/>
      </c>
      <c r="Y227" s="111">
        <f>IFERROR(A227/R227,0)</f>
        <v/>
      </c>
      <c r="Z227" s="111">
        <f>IFERROR(B227/U227,0)</f>
        <v/>
      </c>
      <c r="AA227" s="111">
        <f>IFERROR(C227/R227,0)</f>
        <v/>
      </c>
      <c r="AB227" s="111">
        <f>IFERROR(D227/U227,0)</f>
        <v/>
      </c>
      <c r="AD227" s="111">
        <f>IF(U227&gt;0,IFERROR(E227/U227,0),1)</f>
        <v/>
      </c>
      <c r="AE227" s="111">
        <f>IF(R227&gt;0,IFERROR(F227/R227,0),1)</f>
        <v/>
      </c>
      <c r="AF227" s="111">
        <f>IF(AL227&gt;0,IFERROR(G227/AL227,0),1)</f>
        <v/>
      </c>
      <c r="AG227" s="111">
        <f>IF(AM227&gt;0,IFERROR(H227/AM227,0),1)</f>
        <v/>
      </c>
      <c r="AH227" s="104">
        <f>U227-(V227+AN227+AR227)</f>
        <v/>
      </c>
      <c r="AI227" s="104">
        <f>R227-(V227+AO227+AR227)</f>
        <v/>
      </c>
      <c r="AJ227" s="104">
        <f>(AL227-AP227)</f>
        <v/>
      </c>
      <c r="AK227" s="104">
        <f>(AM227-AQ227)</f>
        <v/>
      </c>
      <c r="AL227" s="110">
        <f>S227+AI227</f>
        <v/>
      </c>
      <c r="AM227" s="110">
        <f>T227+AJ227</f>
        <v/>
      </c>
      <c r="AN227" s="104" t="n">
        <v>36600</v>
      </c>
      <c r="AO227" s="104" t="n">
        <v>8600</v>
      </c>
      <c r="AP227" s="104" t="n">
        <v>12800</v>
      </c>
      <c r="AQ227" s="104" t="n">
        <v>15200</v>
      </c>
      <c r="AR227" s="104" t="n">
        <v>0</v>
      </c>
      <c r="AS227" s="104" t="n"/>
      <c r="AT227" s="104" t="n"/>
    </row>
    <row r="228" ht="12.65" customHeight="1" s="79">
      <c r="A228" s="104">
        <f>MIN(V228,R228)</f>
        <v/>
      </c>
      <c r="B228" s="104">
        <f>MIN(V228,U228)</f>
        <v/>
      </c>
      <c r="C228" s="104">
        <f>MIN(X228,R228)</f>
        <v/>
      </c>
      <c r="D228" s="104">
        <f>MIN(X228,U228)</f>
        <v/>
      </c>
      <c r="E228" s="104">
        <f>MIN((V228+AN228+AR228),U228)</f>
        <v/>
      </c>
      <c r="F228" s="104">
        <f>MAX(MIN((V228+AO228+AR228),R228),0)</f>
        <v/>
      </c>
      <c r="G228" s="104">
        <f>MAX(MIN(AP228,AL228),0)</f>
        <v/>
      </c>
      <c r="H228" s="104">
        <f>MAX(MIN(AQ228,AM228),0)</f>
        <v/>
      </c>
      <c r="I228" s="105" t="inlineStr">
        <is>
          <t>MAHIMA VOHRA</t>
        </is>
      </c>
      <c r="J228" s="106" t="inlineStr">
        <is>
          <t>STATIONERY</t>
        </is>
      </c>
      <c r="K228" s="107" t="inlineStr">
        <is>
          <t>ST_WRITTING</t>
        </is>
      </c>
      <c r="L228" s="107" t="inlineStr">
        <is>
          <t>ST_NP_ERASER</t>
        </is>
      </c>
      <c r="M228" s="107" t="inlineStr">
        <is>
          <t>ERASER 20-[STNP08]</t>
        </is>
      </c>
      <c r="N228" s="107" t="inlineStr">
        <is>
          <t>ACTIVE</t>
        </is>
      </c>
      <c r="O228" s="108" t="n">
        <v>0.102035718746097</v>
      </c>
      <c r="P228" s="108" t="n">
        <v>0.129098889749548</v>
      </c>
      <c r="Q228" s="109" t="n">
        <v>176</v>
      </c>
      <c r="R228" s="110" t="n">
        <v>2115</v>
      </c>
      <c r="S228" s="110" t="n">
        <v>1759.48293529973</v>
      </c>
      <c r="T228" s="110" t="n">
        <v>1597.16107546123</v>
      </c>
      <c r="U228" s="110" t="n">
        <v>5471.64401076096</v>
      </c>
      <c r="V228" s="104" t="n">
        <v>0</v>
      </c>
      <c r="W228" s="104" t="n">
        <v>7200</v>
      </c>
      <c r="X228" s="104">
        <f>$V228+W228</f>
        <v/>
      </c>
      <c r="Y228" s="111">
        <f>IFERROR(A228/R228,0)</f>
        <v/>
      </c>
      <c r="Z228" s="111">
        <f>IFERROR(B228/U228,0)</f>
        <v/>
      </c>
      <c r="AA228" s="111">
        <f>IFERROR(C228/R228,0)</f>
        <v/>
      </c>
      <c r="AB228" s="111">
        <f>IFERROR(D228/U228,0)</f>
        <v/>
      </c>
      <c r="AD228" s="111">
        <f>IF(U228&gt;0,IFERROR(E228/U228,0),1)</f>
        <v/>
      </c>
      <c r="AE228" s="111">
        <f>IF(R228&gt;0,IFERROR(F228/R228,0),1)</f>
        <v/>
      </c>
      <c r="AF228" s="111">
        <f>IF(AL228&gt;0,IFERROR(G228/AL228,0),1)</f>
        <v/>
      </c>
      <c r="AG228" s="111">
        <f>IF(AM228&gt;0,IFERROR(H228/AM228,0),1)</f>
        <v/>
      </c>
      <c r="AH228" s="104">
        <f>U228-(V228+AN228+AR228)</f>
        <v/>
      </c>
      <c r="AI228" s="104">
        <f>R228-(V228+AO228+AR228)</f>
        <v/>
      </c>
      <c r="AJ228" s="104">
        <f>(AL228-AP228)</f>
        <v/>
      </c>
      <c r="AK228" s="104">
        <f>(AM228-AQ228)</f>
        <v/>
      </c>
      <c r="AL228" s="110">
        <f>S228+AI228</f>
        <v/>
      </c>
      <c r="AM228" s="110">
        <f>T228+AJ228</f>
        <v/>
      </c>
      <c r="AN228" s="104" t="n">
        <v>7200</v>
      </c>
      <c r="AO228" s="104" t="n">
        <v>7200</v>
      </c>
      <c r="AP228" s="104" t="n">
        <v>0</v>
      </c>
      <c r="AQ228" s="104" t="n">
        <v>0</v>
      </c>
      <c r="AR228" s="104" t="n">
        <v>0</v>
      </c>
      <c r="AS228" s="104" t="n"/>
      <c r="AT228" s="104" t="n"/>
    </row>
    <row r="229" ht="12.65" customHeight="1" s="79">
      <c r="A229" s="104">
        <f>MIN(V229,R229)</f>
        <v/>
      </c>
      <c r="B229" s="104">
        <f>MIN(V229,U229)</f>
        <v/>
      </c>
      <c r="C229" s="104">
        <f>MIN(X229,R229)</f>
        <v/>
      </c>
      <c r="D229" s="104">
        <f>MIN(X229,U229)</f>
        <v/>
      </c>
      <c r="E229" s="104">
        <f>MIN((V229+AN229+AR229),U229)</f>
        <v/>
      </c>
      <c r="F229" s="104">
        <f>MAX(MIN((V229+AO229+AR229),R229),0)</f>
        <v/>
      </c>
      <c r="G229" s="104">
        <f>MAX(MIN(AP229,AL229),0)</f>
        <v/>
      </c>
      <c r="H229" s="104">
        <f>MAX(MIN(AQ229,AM229),0)</f>
        <v/>
      </c>
      <c r="I229" s="105" t="inlineStr">
        <is>
          <t>MAHIMA VOHRA</t>
        </is>
      </c>
      <c r="J229" s="106" t="inlineStr">
        <is>
          <t>STATIONERY</t>
        </is>
      </c>
      <c r="K229" s="107" t="inlineStr">
        <is>
          <t>ST_WRITTING</t>
        </is>
      </c>
      <c r="L229" s="107" t="inlineStr">
        <is>
          <t>ST_NP_KIT</t>
        </is>
      </c>
      <c r="M229" s="107" t="inlineStr">
        <is>
          <t>KIT 99-[STNP11]</t>
        </is>
      </c>
      <c r="N229" s="107" t="inlineStr">
        <is>
          <t>ACTIVE</t>
        </is>
      </c>
      <c r="O229" s="108" t="n">
        <v>0.0882032800680527</v>
      </c>
      <c r="P229" s="108" t="n">
        <v>0.08799201024492791</v>
      </c>
      <c r="Q229" s="109" t="n">
        <v>18</v>
      </c>
      <c r="R229" s="110" t="n">
        <v>15805</v>
      </c>
      <c r="S229" s="110" t="n">
        <v>13797.5246228424</v>
      </c>
      <c r="T229" s="110" t="n">
        <v>9253.32746797353</v>
      </c>
      <c r="U229" s="110" t="n">
        <v>38855.8520908159</v>
      </c>
      <c r="V229" s="104" t="n">
        <v>7440</v>
      </c>
      <c r="W229" s="104" t="n">
        <v>6600</v>
      </c>
      <c r="X229" s="104">
        <f>$V229+W229</f>
        <v/>
      </c>
      <c r="Y229" s="111">
        <f>IFERROR(A229/R229,0)</f>
        <v/>
      </c>
      <c r="Z229" s="111">
        <f>IFERROR(B229/U229,0)</f>
        <v/>
      </c>
      <c r="AA229" s="111">
        <f>IFERROR(C229/R229,0)</f>
        <v/>
      </c>
      <c r="AB229" s="111">
        <f>IFERROR(D229/U229,0)</f>
        <v/>
      </c>
      <c r="AD229" s="111">
        <f>IF(U229&gt;0,IFERROR(E229/U229,0),1)</f>
        <v/>
      </c>
      <c r="AE229" s="111">
        <f>IF(R229&gt;0,IFERROR(F229/R229,0),1)</f>
        <v/>
      </c>
      <c r="AF229" s="111">
        <f>IF(AL229&gt;0,IFERROR(G229/AL229,0),1)</f>
        <v/>
      </c>
      <c r="AG229" s="111">
        <f>IF(AM229&gt;0,IFERROR(H229/AM229,0),1)</f>
        <v/>
      </c>
      <c r="AH229" s="104">
        <f>U229-(V229+AN229+AR229)</f>
        <v/>
      </c>
      <c r="AI229" s="104">
        <f>R229-(V229+AO229+AR229)</f>
        <v/>
      </c>
      <c r="AJ229" s="104">
        <f>(AL229-AP229)</f>
        <v/>
      </c>
      <c r="AK229" s="104">
        <f>(AM229-AQ229)</f>
        <v/>
      </c>
      <c r="AL229" s="110">
        <f>S229+AI229</f>
        <v/>
      </c>
      <c r="AM229" s="110">
        <f>T229+AJ229</f>
        <v/>
      </c>
      <c r="AN229" s="104" t="n">
        <v>20040</v>
      </c>
      <c r="AO229" s="104" t="n">
        <v>9000</v>
      </c>
      <c r="AP229" s="104" t="n">
        <v>11040</v>
      </c>
      <c r="AQ229" s="104" t="n">
        <v>0</v>
      </c>
      <c r="AR229" s="104" t="n">
        <v>0</v>
      </c>
      <c r="AS229" s="104" t="n"/>
      <c r="AT229" s="104" t="n"/>
    </row>
    <row r="230" ht="12.65" customHeight="1" s="79">
      <c r="A230" s="104">
        <f>MIN(V230,R230)</f>
        <v/>
      </c>
      <c r="B230" s="104">
        <f>MIN(V230,U230)</f>
        <v/>
      </c>
      <c r="C230" s="104">
        <f>MIN(X230,R230)</f>
        <v/>
      </c>
      <c r="D230" s="104">
        <f>MIN(X230,U230)</f>
        <v/>
      </c>
      <c r="E230" s="104">
        <f>MIN((V230+AN230+AR230),U230)</f>
        <v/>
      </c>
      <c r="F230" s="104">
        <f>MAX(MIN((V230+AO230+AR230),R230),0)</f>
        <v/>
      </c>
      <c r="G230" s="104">
        <f>MAX(MIN(AP230,AL230),0)</f>
        <v/>
      </c>
      <c r="H230" s="104">
        <f>MAX(MIN(AQ230,AM230),0)</f>
        <v/>
      </c>
      <c r="I230" s="105" t="inlineStr">
        <is>
          <t>MAHIMA VOHRA</t>
        </is>
      </c>
      <c r="J230" s="106" t="inlineStr">
        <is>
          <t>STATIONERY</t>
        </is>
      </c>
      <c r="K230" s="107" t="inlineStr">
        <is>
          <t>ST_WRITTING</t>
        </is>
      </c>
      <c r="L230" s="107" t="inlineStr">
        <is>
          <t>ST_NP_KIT</t>
        </is>
      </c>
      <c r="M230" s="107" t="inlineStr">
        <is>
          <t>APSARA 99-[STNP11]</t>
        </is>
      </c>
      <c r="N230" s="107" t="inlineStr">
        <is>
          <t>ACTIVE</t>
        </is>
      </c>
      <c r="O230" s="108" t="n">
        <v>0.110166188998673</v>
      </c>
      <c r="P230" s="108" t="n">
        <v>0.130053573761923</v>
      </c>
      <c r="Q230" s="109" t="n">
        <v>18</v>
      </c>
      <c r="R230" s="110" t="n">
        <v>11052</v>
      </c>
      <c r="S230" s="110" t="n">
        <v>9645.78889528736</v>
      </c>
      <c r="T230" s="110" t="n">
        <v>7367.46776304519</v>
      </c>
      <c r="U230" s="110" t="n">
        <v>28065.2566583326</v>
      </c>
      <c r="V230" s="104" t="n">
        <v>9000</v>
      </c>
      <c r="W230" s="104" t="n">
        <v>0</v>
      </c>
      <c r="X230" s="104">
        <f>$V230+W230</f>
        <v/>
      </c>
      <c r="Y230" s="111">
        <f>IFERROR(A230/R230,0)</f>
        <v/>
      </c>
      <c r="Z230" s="111">
        <f>IFERROR(B230/U230,0)</f>
        <v/>
      </c>
      <c r="AA230" s="111">
        <f>IFERROR(C230/R230,0)</f>
        <v/>
      </c>
      <c r="AB230" s="111">
        <f>IFERROR(D230/U230,0)</f>
        <v/>
      </c>
      <c r="AD230" s="111">
        <f>IF(U230&gt;0,IFERROR(E230/U230,0),1)</f>
        <v/>
      </c>
      <c r="AE230" s="111">
        <f>IF(R230&gt;0,IFERROR(F230/R230,0),1)</f>
        <v/>
      </c>
      <c r="AF230" s="111">
        <f>IF(AL230&gt;0,IFERROR(G230/AL230,0),1)</f>
        <v/>
      </c>
      <c r="AG230" s="111">
        <f>IF(AM230&gt;0,IFERROR(H230/AM230,0),1)</f>
        <v/>
      </c>
      <c r="AH230" s="104">
        <f>U230-(V230+AN230+AR230)</f>
        <v/>
      </c>
      <c r="AI230" s="104">
        <f>R230-(V230+AO230+AR230)</f>
        <v/>
      </c>
      <c r="AJ230" s="104">
        <f>(AL230-AP230)</f>
        <v/>
      </c>
      <c r="AK230" s="104">
        <f>(AM230-AQ230)</f>
        <v/>
      </c>
      <c r="AL230" s="110">
        <f>S230+AI230</f>
        <v/>
      </c>
      <c r="AM230" s="110">
        <f>T230+AJ230</f>
        <v/>
      </c>
      <c r="AN230" s="104" t="n">
        <v>9000</v>
      </c>
      <c r="AO230" s="104" t="n">
        <v>0</v>
      </c>
      <c r="AP230" s="104" t="n">
        <v>9000</v>
      </c>
      <c r="AQ230" s="104" t="n">
        <v>0</v>
      </c>
      <c r="AR230" s="104" t="n">
        <v>0</v>
      </c>
      <c r="AS230" s="104" t="n"/>
      <c r="AT230" s="104" t="n"/>
    </row>
    <row r="231" ht="12.65" customHeight="1" s="79">
      <c r="A231" s="104">
        <f>MIN(V231,R231)</f>
        <v/>
      </c>
      <c r="B231" s="104">
        <f>MIN(V231,U231)</f>
        <v/>
      </c>
      <c r="C231" s="104">
        <f>MIN(X231,R231)</f>
        <v/>
      </c>
      <c r="D231" s="104">
        <f>MIN(X231,U231)</f>
        <v/>
      </c>
      <c r="E231" s="104">
        <f>MIN((V231+AN231+AR231),U231)</f>
        <v/>
      </c>
      <c r="F231" s="104">
        <f>MAX(MIN((V231+AO231+AR231),R231),0)</f>
        <v/>
      </c>
      <c r="G231" s="104">
        <f>MAX(MIN(AP231,AL231),0)</f>
        <v/>
      </c>
      <c r="H231" s="104">
        <f>MAX(MIN(AQ231,AM231),0)</f>
        <v/>
      </c>
      <c r="I231" s="105" t="inlineStr">
        <is>
          <t>MAHIMA VOHRA</t>
        </is>
      </c>
      <c r="J231" s="106" t="inlineStr">
        <is>
          <t>STATIONERY</t>
        </is>
      </c>
      <c r="K231" s="107" t="inlineStr">
        <is>
          <t>ST_WRITTING</t>
        </is>
      </c>
      <c r="L231" s="107" t="inlineStr">
        <is>
          <t>ST_NP_KIT</t>
        </is>
      </c>
      <c r="M231" s="107" t="inlineStr">
        <is>
          <t>DOMS 149-[STNP11]</t>
        </is>
      </c>
      <c r="N231" s="107" t="inlineStr">
        <is>
          <t>ACTIVE</t>
        </is>
      </c>
      <c r="O231" s="108" t="n">
        <v>0.116222667708157</v>
      </c>
      <c r="P231" s="108" t="n">
        <v>0.158000109204084</v>
      </c>
      <c r="Q231" s="109" t="n">
        <v>18</v>
      </c>
      <c r="R231" s="110" t="n">
        <v>6526</v>
      </c>
      <c r="S231" s="110" t="n">
        <v>5794.31725593465</v>
      </c>
      <c r="T231" s="110" t="n">
        <v>4448.0042007545</v>
      </c>
      <c r="U231" s="110" t="n">
        <v>16768.3214566891</v>
      </c>
      <c r="V231" s="104" t="n">
        <v>6000</v>
      </c>
      <c r="W231" s="104" t="n">
        <v>2388</v>
      </c>
      <c r="X231" s="104">
        <f>$V231+W231</f>
        <v/>
      </c>
      <c r="Y231" s="111">
        <f>IFERROR(A231/R231,0)</f>
        <v/>
      </c>
      <c r="Z231" s="111">
        <f>IFERROR(B231/U231,0)</f>
        <v/>
      </c>
      <c r="AA231" s="111">
        <f>IFERROR(C231/R231,0)</f>
        <v/>
      </c>
      <c r="AB231" s="111">
        <f>IFERROR(D231/U231,0)</f>
        <v/>
      </c>
      <c r="AD231" s="111">
        <f>IF(U231&gt;0,IFERROR(E231/U231,0),1)</f>
        <v/>
      </c>
      <c r="AE231" s="111">
        <f>IF(R231&gt;0,IFERROR(F231/R231,0),1)</f>
        <v/>
      </c>
      <c r="AF231" s="111">
        <f>IF(AL231&gt;0,IFERROR(G231/AL231,0),1)</f>
        <v/>
      </c>
      <c r="AG231" s="111">
        <f>IF(AM231&gt;0,IFERROR(H231/AM231,0),1)</f>
        <v/>
      </c>
      <c r="AH231" s="104">
        <f>U231-(V231+AN231+AR231)</f>
        <v/>
      </c>
      <c r="AI231" s="104">
        <f>R231-(V231+AO231+AR231)</f>
        <v/>
      </c>
      <c r="AJ231" s="104">
        <f>(AL231-AP231)</f>
        <v/>
      </c>
      <c r="AK231" s="104">
        <f>(AM231-AQ231)</f>
        <v/>
      </c>
      <c r="AL231" s="110">
        <f>S231+AI231</f>
        <v/>
      </c>
      <c r="AM231" s="110">
        <f>T231+AJ231</f>
        <v/>
      </c>
      <c r="AN231" s="104" t="n">
        <v>11400</v>
      </c>
      <c r="AO231" s="104" t="n">
        <v>2400</v>
      </c>
      <c r="AP231" s="104" t="n">
        <v>9000</v>
      </c>
      <c r="AQ231" s="104" t="n">
        <v>0</v>
      </c>
      <c r="AR231" s="104" t="n">
        <v>0</v>
      </c>
      <c r="AS231" s="104" t="n"/>
      <c r="AT231" s="104" t="n"/>
    </row>
    <row r="232" ht="12.65" customHeight="1" s="79">
      <c r="A232" s="104">
        <f>MIN(V232,R232)</f>
        <v/>
      </c>
      <c r="B232" s="104">
        <f>MIN(V232,U232)</f>
        <v/>
      </c>
      <c r="C232" s="104">
        <f>MIN(X232,R232)</f>
        <v/>
      </c>
      <c r="D232" s="104">
        <f>MIN(X232,U232)</f>
        <v/>
      </c>
      <c r="E232" s="104">
        <f>MIN((V232+AN232+AR232),U232)</f>
        <v/>
      </c>
      <c r="F232" s="104">
        <f>MAX(MIN((V232+AO232+AR232),R232),0)</f>
        <v/>
      </c>
      <c r="G232" s="104">
        <f>MAX(MIN(AP232,AL232),0)</f>
        <v/>
      </c>
      <c r="H232" s="104">
        <f>MAX(MIN(AQ232,AM232),0)</f>
        <v/>
      </c>
      <c r="I232" s="105" t="inlineStr">
        <is>
          <t>MAHIMA VOHRA</t>
        </is>
      </c>
      <c r="J232" s="106" t="inlineStr">
        <is>
          <t>STATIONERY</t>
        </is>
      </c>
      <c r="K232" s="107" t="inlineStr">
        <is>
          <t>ST_WRITTING</t>
        </is>
      </c>
      <c r="L232" s="107" t="inlineStr">
        <is>
          <t>ST_NP_PENCIL</t>
        </is>
      </c>
      <c r="M232" s="107" t="inlineStr">
        <is>
          <t>PENCIL 99-[STNP16]</t>
        </is>
      </c>
      <c r="N232" s="107" t="inlineStr">
        <is>
          <t>ACTIVE</t>
        </is>
      </c>
      <c r="O232" s="108" t="n">
        <v>0.087171534025901</v>
      </c>
      <c r="P232" s="108" t="n">
        <v>0.0932345442508416</v>
      </c>
      <c r="Q232" s="109" t="n">
        <v>121</v>
      </c>
      <c r="R232" s="110" t="n">
        <v>5205</v>
      </c>
      <c r="S232" s="110" t="n">
        <v>4733.86155528691</v>
      </c>
      <c r="T232" s="110" t="n">
        <v>4566.13776711361</v>
      </c>
      <c r="U232" s="110" t="n">
        <v>14504.9993224005</v>
      </c>
      <c r="V232" s="104" t="n">
        <v>5017</v>
      </c>
      <c r="W232" s="104" t="n">
        <v>0</v>
      </c>
      <c r="X232" s="104">
        <f>$V232+W232</f>
        <v/>
      </c>
      <c r="Y232" s="111">
        <f>IFERROR(A232/R232,0)</f>
        <v/>
      </c>
      <c r="Z232" s="111">
        <f>IFERROR(B232/U232,0)</f>
        <v/>
      </c>
      <c r="AA232" s="111">
        <f>IFERROR(C232/R232,0)</f>
        <v/>
      </c>
      <c r="AB232" s="111">
        <f>IFERROR(D232/U232,0)</f>
        <v/>
      </c>
      <c r="AD232" s="111">
        <f>IF(U232&gt;0,IFERROR(E232/U232,0),1)</f>
        <v/>
      </c>
      <c r="AE232" s="111">
        <f>IF(R232&gt;0,IFERROR(F232/R232,0),1)</f>
        <v/>
      </c>
      <c r="AF232" s="111">
        <f>IF(AL232&gt;0,IFERROR(G232/AL232,0),1)</f>
        <v/>
      </c>
      <c r="AG232" s="111">
        <f>IF(AM232&gt;0,IFERROR(H232/AM232,0),1)</f>
        <v/>
      </c>
      <c r="AH232" s="104">
        <f>U232-(V232+AN232+AR232)</f>
        <v/>
      </c>
      <c r="AI232" s="104">
        <f>R232-(V232+AO232+AR232)</f>
        <v/>
      </c>
      <c r="AJ232" s="104">
        <f>(AL232-AP232)</f>
        <v/>
      </c>
      <c r="AK232" s="104">
        <f>(AM232-AQ232)</f>
        <v/>
      </c>
      <c r="AL232" s="110">
        <f>S232+AI232</f>
        <v/>
      </c>
      <c r="AM232" s="110">
        <f>T232+AJ232</f>
        <v/>
      </c>
      <c r="AN232" s="104" t="n">
        <v>4983</v>
      </c>
      <c r="AO232" s="104" t="n">
        <v>0</v>
      </c>
      <c r="AP232" s="104" t="n">
        <v>4983</v>
      </c>
      <c r="AQ232" s="104" t="n">
        <v>0</v>
      </c>
      <c r="AR232" s="104" t="n">
        <v>0</v>
      </c>
      <c r="AS232" s="104" t="n"/>
      <c r="AT232" s="104" t="n"/>
    </row>
    <row r="233" ht="12.65" customHeight="1" s="79">
      <c r="A233" s="104">
        <f>MIN(V233,R233)</f>
        <v/>
      </c>
      <c r="B233" s="104">
        <f>MIN(V233,U233)</f>
        <v/>
      </c>
      <c r="C233" s="104">
        <f>MIN(X233,R233)</f>
        <v/>
      </c>
      <c r="D233" s="104">
        <f>MIN(X233,U233)</f>
        <v/>
      </c>
      <c r="E233" s="104">
        <f>MIN((V233+AN233+AR233),U233)</f>
        <v/>
      </c>
      <c r="F233" s="104">
        <f>MAX(MIN((V233+AO233+AR233),R233),0)</f>
        <v/>
      </c>
      <c r="G233" s="104">
        <f>MAX(MIN(AP233,AL233),0)</f>
        <v/>
      </c>
      <c r="H233" s="104">
        <f>MAX(MIN(AQ233,AM233),0)</f>
        <v/>
      </c>
      <c r="I233" s="105" t="inlineStr">
        <is>
          <t>ROOP KISHOR</t>
        </is>
      </c>
      <c r="J233" s="106" t="inlineStr">
        <is>
          <t>HOUSEHOLD</t>
        </is>
      </c>
      <c r="K233" s="107" t="inlineStr">
        <is>
          <t>HH_CLEANING AIDS</t>
        </is>
      </c>
      <c r="L233" s="107" t="inlineStr">
        <is>
          <t>HH_CA_BRUSH</t>
        </is>
      </c>
      <c r="M233" s="107" t="inlineStr">
        <is>
          <t>BRUSH CLOTH-[HHPC02]</t>
        </is>
      </c>
      <c r="N233" s="107" t="inlineStr">
        <is>
          <t>ACTIVE</t>
        </is>
      </c>
      <c r="O233" s="108" t="n">
        <v>0.148205679378454</v>
      </c>
      <c r="P233" s="108" t="n">
        <v>0.149019607843137</v>
      </c>
      <c r="Q233" s="109" t="n">
        <v>50</v>
      </c>
      <c r="R233" s="110" t="n">
        <v>23792</v>
      </c>
      <c r="S233" s="110" t="n">
        <v>20663.0151770913</v>
      </c>
      <c r="T233" s="110" t="n">
        <v>13653.8766546437</v>
      </c>
      <c r="U233" s="110" t="n">
        <v>58108.891831735</v>
      </c>
      <c r="V233" s="104" t="n">
        <v>19584</v>
      </c>
      <c r="W233" s="104" t="n">
        <v>6000</v>
      </c>
      <c r="X233" s="104">
        <f>$V233+W233</f>
        <v/>
      </c>
      <c r="Y233" s="111">
        <f>IFERROR(A233/R233,0)</f>
        <v/>
      </c>
      <c r="Z233" s="111">
        <f>IFERROR(B233/U233,0)</f>
        <v/>
      </c>
      <c r="AA233" s="111">
        <f>IFERROR(C233/R233,0)</f>
        <v/>
      </c>
      <c r="AB233" s="111">
        <f>IFERROR(D233/U233,0)</f>
        <v/>
      </c>
      <c r="AD233" s="111">
        <f>IF(U233&gt;0,IFERROR(E233/U233,0),1)</f>
        <v/>
      </c>
      <c r="AE233" s="111">
        <f>IF(R233&gt;0,IFERROR(F233/R233,0),1)</f>
        <v/>
      </c>
      <c r="AF233" s="111">
        <f>IF(AL233&gt;0,IFERROR(G233/AL233,0),1)</f>
        <v/>
      </c>
      <c r="AG233" s="111">
        <f>IF(AM233&gt;0,IFERROR(H233/AM233,0),1)</f>
        <v/>
      </c>
      <c r="AH233" s="104">
        <f>U233-(V233+AN233+AR233)</f>
        <v/>
      </c>
      <c r="AI233" s="104">
        <f>R233-(V233+AO233+AR233)</f>
        <v/>
      </c>
      <c r="AJ233" s="104">
        <f>(AL233-AP233)</f>
        <v/>
      </c>
      <c r="AK233" s="104">
        <f>(AM233-AQ233)</f>
        <v/>
      </c>
      <c r="AL233" s="110">
        <f>S233+AI233</f>
        <v/>
      </c>
      <c r="AM233" s="110">
        <f>T233+AJ233</f>
        <v/>
      </c>
      <c r="AN233" s="104" t="n">
        <v>58584</v>
      </c>
      <c r="AO233" s="104" t="n">
        <v>21384</v>
      </c>
      <c r="AP233" s="104" t="n">
        <v>26400</v>
      </c>
      <c r="AQ233" s="104" t="n">
        <v>10800</v>
      </c>
      <c r="AR233" s="104" t="n">
        <v>0</v>
      </c>
      <c r="AS233" s="104" t="n"/>
      <c r="AT233" s="104" t="n"/>
    </row>
    <row r="234" ht="12.65" customHeight="1" s="79">
      <c r="A234" s="104">
        <f>MIN(V234,R234)</f>
        <v/>
      </c>
      <c r="B234" s="104">
        <f>MIN(V234,U234)</f>
        <v/>
      </c>
      <c r="C234" s="104">
        <f>MIN(X234,R234)</f>
        <v/>
      </c>
      <c r="D234" s="104">
        <f>MIN(X234,U234)</f>
        <v/>
      </c>
      <c r="E234" s="104">
        <f>MIN((V234+AN234+AR234),U234)</f>
        <v/>
      </c>
      <c r="F234" s="104">
        <f>MAX(MIN((V234+AO234+AR234),R234),0)</f>
        <v/>
      </c>
      <c r="G234" s="104">
        <f>MAX(MIN(AP234,AL234),0)</f>
        <v/>
      </c>
      <c r="H234" s="104">
        <f>MAX(MIN(AQ234,AM234),0)</f>
        <v/>
      </c>
      <c r="I234" s="105" t="inlineStr">
        <is>
          <t>ROOP KISHOR</t>
        </is>
      </c>
      <c r="J234" s="106" t="inlineStr">
        <is>
          <t>HOUSEHOLD</t>
        </is>
      </c>
      <c r="K234" s="107" t="inlineStr">
        <is>
          <t>HH_CLEANING AIDS</t>
        </is>
      </c>
      <c r="L234" s="107" t="inlineStr">
        <is>
          <t>HH_CA_BRUSH</t>
        </is>
      </c>
      <c r="M234" s="107" t="inlineStr">
        <is>
          <t>BRUSH TOILET-[HHPC02]</t>
        </is>
      </c>
      <c r="N234" s="107" t="inlineStr">
        <is>
          <t>ACTIVE</t>
        </is>
      </c>
      <c r="O234" s="108" t="n">
        <v>0.143393465858578</v>
      </c>
      <c r="P234" s="108" t="n">
        <v>0.140649435582473</v>
      </c>
      <c r="Q234" s="109" t="n">
        <v>50</v>
      </c>
      <c r="R234" s="110" t="n">
        <v>7275</v>
      </c>
      <c r="S234" s="110" t="n">
        <v>9321.838304566259</v>
      </c>
      <c r="T234" s="110" t="n">
        <v>6368.75639416056</v>
      </c>
      <c r="U234" s="110" t="n">
        <v>22965.5946987268</v>
      </c>
      <c r="V234" s="104" t="n">
        <v>7116</v>
      </c>
      <c r="W234" s="104" t="n">
        <v>0</v>
      </c>
      <c r="X234" s="104">
        <f>$V234+W234</f>
        <v/>
      </c>
      <c r="Y234" s="111">
        <f>IFERROR(A234/R234,0)</f>
        <v/>
      </c>
      <c r="Z234" s="111">
        <f>IFERROR(B234/U234,0)</f>
        <v/>
      </c>
      <c r="AA234" s="111">
        <f>IFERROR(C234/R234,0)</f>
        <v/>
      </c>
      <c r="AB234" s="111">
        <f>IFERROR(D234/U234,0)</f>
        <v/>
      </c>
      <c r="AD234" s="111">
        <f>IF(U234&gt;0,IFERROR(E234/U234,0),1)</f>
        <v/>
      </c>
      <c r="AE234" s="111">
        <f>IF(R234&gt;0,IFERROR(F234/R234,0),1)</f>
        <v/>
      </c>
      <c r="AF234" s="111">
        <f>IF(AL234&gt;0,IFERROR(G234/AL234,0),1)</f>
        <v/>
      </c>
      <c r="AG234" s="111">
        <f>IF(AM234&gt;0,IFERROR(H234/AM234,0),1)</f>
        <v/>
      </c>
      <c r="AH234" s="104">
        <f>U234-(V234+AN234+AR234)</f>
        <v/>
      </c>
      <c r="AI234" s="104">
        <f>R234-(V234+AO234+AR234)</f>
        <v/>
      </c>
      <c r="AJ234" s="104">
        <f>(AL234-AP234)</f>
        <v/>
      </c>
      <c r="AK234" s="104">
        <f>(AM234-AQ234)</f>
        <v/>
      </c>
      <c r="AL234" s="110">
        <f>S234+AI234</f>
        <v/>
      </c>
      <c r="AM234" s="110">
        <f>T234+AJ234</f>
        <v/>
      </c>
      <c r="AN234" s="104" t="n">
        <v>26160</v>
      </c>
      <c r="AO234" s="104" t="n">
        <v>4560</v>
      </c>
      <c r="AP234" s="104" t="n">
        <v>12000</v>
      </c>
      <c r="AQ234" s="104" t="n">
        <v>9600</v>
      </c>
      <c r="AR234" s="104" t="n">
        <v>0</v>
      </c>
      <c r="AS234" s="104" t="n"/>
      <c r="AT234" s="104" t="n"/>
    </row>
    <row r="235" ht="12.65" customHeight="1" s="79">
      <c r="A235" s="104">
        <f>MIN(V235,R235)</f>
        <v/>
      </c>
      <c r="B235" s="104">
        <f>MIN(V235,U235)</f>
        <v/>
      </c>
      <c r="C235" s="104">
        <f>MIN(X235,R235)</f>
        <v/>
      </c>
      <c r="D235" s="104">
        <f>MIN(X235,U235)</f>
        <v/>
      </c>
      <c r="E235" s="104">
        <f>MIN((V235+AN235+AR235),U235)</f>
        <v/>
      </c>
      <c r="F235" s="104">
        <f>MAX(MIN((V235+AO235+AR235),R235),0)</f>
        <v/>
      </c>
      <c r="G235" s="104">
        <f>MAX(MIN(AP235,AL235),0)</f>
        <v/>
      </c>
      <c r="H235" s="104">
        <f>MAX(MIN(AQ235,AM235),0)</f>
        <v/>
      </c>
      <c r="I235" s="105" t="inlineStr">
        <is>
          <t>ROOP KISHOR</t>
        </is>
      </c>
      <c r="J235" s="106" t="inlineStr">
        <is>
          <t>HOUSEHOLD</t>
        </is>
      </c>
      <c r="K235" s="107" t="inlineStr">
        <is>
          <t>HH_CLEANING AIDS</t>
        </is>
      </c>
      <c r="L235" s="107" t="inlineStr">
        <is>
          <t>HH_CA_BRUSH</t>
        </is>
      </c>
      <c r="M235" s="107" t="inlineStr">
        <is>
          <t>BRUSH BTL-[HHPC02]</t>
        </is>
      </c>
      <c r="N235" s="107" t="inlineStr">
        <is>
          <t>ACTIVE</t>
        </is>
      </c>
      <c r="O235" s="108" t="n">
        <v>0.131425261836961</v>
      </c>
      <c r="P235" s="108" t="n">
        <v>0.140696930946292</v>
      </c>
      <c r="Q235" s="109" t="n">
        <v>50</v>
      </c>
      <c r="R235" s="110" t="n">
        <v>7129</v>
      </c>
      <c r="S235" s="110" t="n">
        <v>4670.07902159757</v>
      </c>
      <c r="T235" s="110" t="n">
        <v>2521.51833643112</v>
      </c>
      <c r="U235" s="110" t="n">
        <v>14320.5973580287</v>
      </c>
      <c r="V235" s="104" t="n">
        <v>6628</v>
      </c>
      <c r="W235" s="104" t="n">
        <v>2420</v>
      </c>
      <c r="X235" s="104">
        <f>$V235+W235</f>
        <v/>
      </c>
      <c r="Y235" s="111">
        <f>IFERROR(A235/R235,0)</f>
        <v/>
      </c>
      <c r="Z235" s="111">
        <f>IFERROR(B235/U235,0)</f>
        <v/>
      </c>
      <c r="AA235" s="111">
        <f>IFERROR(C235/R235,0)</f>
        <v/>
      </c>
      <c r="AB235" s="111">
        <f>IFERROR(D235/U235,0)</f>
        <v/>
      </c>
      <c r="AD235" s="111">
        <f>IF(U235&gt;0,IFERROR(E235/U235,0),1)</f>
        <v/>
      </c>
      <c r="AE235" s="111">
        <f>IF(R235&gt;0,IFERROR(F235/R235,0),1)</f>
        <v/>
      </c>
      <c r="AF235" s="111">
        <f>IF(AL235&gt;0,IFERROR(G235/AL235,0),1)</f>
        <v/>
      </c>
      <c r="AG235" s="111">
        <f>IF(AM235&gt;0,IFERROR(H235/AM235,0),1)</f>
        <v/>
      </c>
      <c r="AH235" s="104">
        <f>U235-(V235+AN235+AR235)</f>
        <v/>
      </c>
      <c r="AI235" s="104">
        <f>R235-(V235+AO235+AR235)</f>
        <v/>
      </c>
      <c r="AJ235" s="104">
        <f>(AL235-AP235)</f>
        <v/>
      </c>
      <c r="AK235" s="104">
        <f>(AM235-AQ235)</f>
        <v/>
      </c>
      <c r="AL235" s="110">
        <f>S235+AI235</f>
        <v/>
      </c>
      <c r="AM235" s="110">
        <f>T235+AJ235</f>
        <v/>
      </c>
      <c r="AN235" s="104" t="n">
        <v>27664</v>
      </c>
      <c r="AO235" s="104" t="n">
        <v>14444</v>
      </c>
      <c r="AP235" s="104" t="n">
        <v>9620</v>
      </c>
      <c r="AQ235" s="104" t="n">
        <v>3600</v>
      </c>
      <c r="AR235" s="104" t="n">
        <v>0</v>
      </c>
      <c r="AS235" s="104" t="n"/>
      <c r="AT235" s="104" t="n"/>
    </row>
    <row r="236" ht="12.65" customHeight="1" s="79">
      <c r="A236" s="104">
        <f>MIN(V236,R236)</f>
        <v/>
      </c>
      <c r="B236" s="104">
        <f>MIN(V236,U236)</f>
        <v/>
      </c>
      <c r="C236" s="104">
        <f>MIN(X236,R236)</f>
        <v/>
      </c>
      <c r="D236" s="104">
        <f>MIN(X236,U236)</f>
        <v/>
      </c>
      <c r="E236" s="104">
        <f>MIN((V236+AN236+AR236),U236)</f>
        <v/>
      </c>
      <c r="F236" s="104">
        <f>MAX(MIN((V236+AO236+AR236),R236),0)</f>
        <v/>
      </c>
      <c r="G236" s="104">
        <f>MAX(MIN(AP236,AL236),0)</f>
        <v/>
      </c>
      <c r="H236" s="104">
        <f>MAX(MIN(AQ236,AM236),0)</f>
        <v/>
      </c>
      <c r="I236" s="105" t="inlineStr">
        <is>
          <t>ROOP KISHOR</t>
        </is>
      </c>
      <c r="J236" s="106" t="inlineStr">
        <is>
          <t>HOUSEHOLD</t>
        </is>
      </c>
      <c r="K236" s="107" t="inlineStr">
        <is>
          <t>HH_CLEANING AIDS</t>
        </is>
      </c>
      <c r="L236" s="107" t="inlineStr">
        <is>
          <t>HH_CA_DUST PAN</t>
        </is>
      </c>
      <c r="M236" s="107" t="inlineStr">
        <is>
          <t>MDM-[HHPC03]</t>
        </is>
      </c>
      <c r="N236" s="107" t="inlineStr">
        <is>
          <t>ACTIVE</t>
        </is>
      </c>
      <c r="O236" s="108" t="n">
        <v>0.171233984075017</v>
      </c>
      <c r="P236" s="108" t="n">
        <v>0.142879325069227</v>
      </c>
      <c r="Q236" s="109" t="n">
        <v>166</v>
      </c>
      <c r="R236" s="110" t="n">
        <v>5144</v>
      </c>
      <c r="S236" s="110" t="n">
        <v>4428.96759507482</v>
      </c>
      <c r="T236" s="110" t="n">
        <v>3889.99462566427</v>
      </c>
      <c r="U236" s="110" t="n">
        <v>13462.9622207391</v>
      </c>
      <c r="V236" s="104" t="n">
        <v>0</v>
      </c>
      <c r="W236" s="104" t="n">
        <v>0</v>
      </c>
      <c r="X236" s="104">
        <f>$V236+W236</f>
        <v/>
      </c>
      <c r="Y236" s="111">
        <f>IFERROR(A236/R236,0)</f>
        <v/>
      </c>
      <c r="Z236" s="111">
        <f>IFERROR(B236/U236,0)</f>
        <v/>
      </c>
      <c r="AA236" s="111">
        <f>IFERROR(C236/R236,0)</f>
        <v/>
      </c>
      <c r="AB236" s="111">
        <f>IFERROR(D236/U236,0)</f>
        <v/>
      </c>
      <c r="AD236" s="111">
        <f>IF(U236&gt;0,IFERROR(E236/U236,0),1)</f>
        <v/>
      </c>
      <c r="AE236" s="111">
        <f>IF(R236&gt;0,IFERROR(F236/R236,0),1)</f>
        <v/>
      </c>
      <c r="AF236" s="111">
        <f>IF(AL236&gt;0,IFERROR(G236/AL236,0),1)</f>
        <v/>
      </c>
      <c r="AG236" s="111">
        <f>IF(AM236&gt;0,IFERROR(H236/AM236,0),1)</f>
        <v/>
      </c>
      <c r="AH236" s="104">
        <f>U236-(V236+AN236+AR236)</f>
        <v/>
      </c>
      <c r="AI236" s="104">
        <f>R236-(V236+AO236+AR236)</f>
        <v/>
      </c>
      <c r="AJ236" s="104">
        <f>(AL236-AP236)</f>
        <v/>
      </c>
      <c r="AK236" s="104">
        <f>(AM236-AQ236)</f>
        <v/>
      </c>
      <c r="AL236" s="110">
        <f>S236+AI236</f>
        <v/>
      </c>
      <c r="AM236" s="110">
        <f>T236+AJ236</f>
        <v/>
      </c>
      <c r="AN236" s="104" t="n">
        <v>16800</v>
      </c>
      <c r="AO236" s="104" t="n">
        <v>7200</v>
      </c>
      <c r="AP236" s="104" t="n">
        <v>6000</v>
      </c>
      <c r="AQ236" s="104" t="n">
        <v>3600</v>
      </c>
      <c r="AR236" s="104" t="n">
        <v>0</v>
      </c>
      <c r="AS236" s="104" t="n"/>
      <c r="AT236" s="104" t="n"/>
    </row>
    <row r="237" ht="12.65" customHeight="1" s="79">
      <c r="A237" s="104">
        <f>MIN(V237,R237)</f>
        <v/>
      </c>
      <c r="B237" s="104">
        <f>MIN(V237,U237)</f>
        <v/>
      </c>
      <c r="C237" s="104">
        <f>MIN(X237,R237)</f>
        <v/>
      </c>
      <c r="D237" s="104">
        <f>MIN(X237,U237)</f>
        <v/>
      </c>
      <c r="E237" s="104">
        <f>MIN((V237+AN237+AR237),U237)</f>
        <v/>
      </c>
      <c r="F237" s="104">
        <f>MAX(MIN((V237+AO237+AR237),R237),0)</f>
        <v/>
      </c>
      <c r="G237" s="104">
        <f>MAX(MIN(AP237,AL237),0)</f>
        <v/>
      </c>
      <c r="H237" s="104">
        <f>MAX(MIN(AQ237,AM237),0)</f>
        <v/>
      </c>
      <c r="I237" s="105" t="inlineStr">
        <is>
          <t>ROOP KISHOR</t>
        </is>
      </c>
      <c r="J237" s="106" t="inlineStr">
        <is>
          <t>HOUSEHOLD</t>
        </is>
      </c>
      <c r="K237" s="107" t="inlineStr">
        <is>
          <t>HH_CLEANING AIDS</t>
        </is>
      </c>
      <c r="L237" s="107" t="inlineStr">
        <is>
          <t>HH_CA_DUST PAN</t>
        </is>
      </c>
      <c r="M237" s="107" t="inlineStr">
        <is>
          <t>COMBO ST-[HHPC03]</t>
        </is>
      </c>
      <c r="N237" s="107" t="inlineStr">
        <is>
          <t>ACTIVE</t>
        </is>
      </c>
      <c r="O237" s="108" t="n">
        <v>0.143916800489409</v>
      </c>
      <c r="P237" s="108" t="n">
        <v>0.0881774045400866</v>
      </c>
      <c r="Q237" s="109" t="n">
        <v>166</v>
      </c>
      <c r="R237" s="110" t="n">
        <v>376</v>
      </c>
      <c r="S237" s="110" t="n">
        <v>311.013637830188</v>
      </c>
      <c r="T237" s="110" t="n">
        <v>324.101515534612</v>
      </c>
      <c r="U237" s="110" t="n">
        <v>1011.1151533648</v>
      </c>
      <c r="V237" s="104" t="n">
        <v>960</v>
      </c>
      <c r="W237" s="104" t="n">
        <v>0</v>
      </c>
      <c r="X237" s="104">
        <f>$V237+W237</f>
        <v/>
      </c>
      <c r="Y237" s="111">
        <f>IFERROR(A237/R237,0)</f>
        <v/>
      </c>
      <c r="Z237" s="111">
        <f>IFERROR(B237/U237,0)</f>
        <v/>
      </c>
      <c r="AA237" s="111">
        <f>IFERROR(C237/R237,0)</f>
        <v/>
      </c>
      <c r="AB237" s="111">
        <f>IFERROR(D237/U237,0)</f>
        <v/>
      </c>
      <c r="AD237" s="111">
        <f>IF(U237&gt;0,IFERROR(E237/U237,0),1)</f>
        <v/>
      </c>
      <c r="AE237" s="111">
        <f>IF(R237&gt;0,IFERROR(F237/R237,0),1)</f>
        <v/>
      </c>
      <c r="AF237" s="111">
        <f>IF(AL237&gt;0,IFERROR(G237/AL237,0),1)</f>
        <v/>
      </c>
      <c r="AG237" s="111">
        <f>IF(AM237&gt;0,IFERROR(H237/AM237,0),1)</f>
        <v/>
      </c>
      <c r="AH237" s="104">
        <f>U237-(V237+AN237+AR237)</f>
        <v/>
      </c>
      <c r="AI237" s="104">
        <f>R237-(V237+AO237+AR237)</f>
        <v/>
      </c>
      <c r="AJ237" s="104">
        <f>(AL237-AP237)</f>
        <v/>
      </c>
      <c r="AK237" s="104">
        <f>(AM237-AQ237)</f>
        <v/>
      </c>
      <c r="AL237" s="110">
        <f>S237+AI237</f>
        <v/>
      </c>
      <c r="AM237" s="110">
        <f>T237+AJ237</f>
        <v/>
      </c>
      <c r="AN237" s="104" t="n">
        <v>0</v>
      </c>
      <c r="AO237" s="104" t="n">
        <v>0</v>
      </c>
      <c r="AP237" s="104" t="n">
        <v>0</v>
      </c>
      <c r="AQ237" s="104" t="n">
        <v>0</v>
      </c>
      <c r="AR237" s="104" t="n">
        <v>0</v>
      </c>
      <c r="AS237" s="104" t="n"/>
      <c r="AT237" s="104" t="n"/>
    </row>
    <row r="238" ht="12.65" customHeight="1" s="79">
      <c r="A238" s="104">
        <f>MIN(V238,R238)</f>
        <v/>
      </c>
      <c r="B238" s="104">
        <f>MIN(V238,U238)</f>
        <v/>
      </c>
      <c r="C238" s="104">
        <f>MIN(X238,R238)</f>
        <v/>
      </c>
      <c r="D238" s="104">
        <f>MIN(X238,U238)</f>
        <v/>
      </c>
      <c r="E238" s="104">
        <f>MIN((V238+AN238+AR238),U238)</f>
        <v/>
      </c>
      <c r="F238" s="104">
        <f>MAX(MIN((V238+AO238+AR238),R238),0)</f>
        <v/>
      </c>
      <c r="G238" s="104">
        <f>MAX(MIN(AP238,AL238),0)</f>
        <v/>
      </c>
      <c r="H238" s="104">
        <f>MAX(MIN(AQ238,AM238),0)</f>
        <v/>
      </c>
      <c r="I238" s="105" t="inlineStr">
        <is>
          <t>ROOP KISHOR</t>
        </is>
      </c>
      <c r="J238" s="106" t="inlineStr">
        <is>
          <t>HOUSEHOLD</t>
        </is>
      </c>
      <c r="K238" s="107" t="inlineStr">
        <is>
          <t>HH_CLEANING AIDS</t>
        </is>
      </c>
      <c r="L238" s="107" t="inlineStr">
        <is>
          <t>HH_CA_DUSTER</t>
        </is>
      </c>
      <c r="M238" s="107" t="inlineStr">
        <is>
          <t>KITCHEN-[HHPC44]</t>
        </is>
      </c>
      <c r="N238" s="107" t="inlineStr">
        <is>
          <t>ACTIVE</t>
        </is>
      </c>
      <c r="O238" s="108" t="n">
        <v>0.160759128895476</v>
      </c>
      <c r="P238" s="108" t="n">
        <v>0.139676450967312</v>
      </c>
      <c r="Q238" s="109" t="n">
        <v>132</v>
      </c>
      <c r="R238" s="110" t="n">
        <v>4303</v>
      </c>
      <c r="S238" s="110" t="n">
        <v>2047.12866379364</v>
      </c>
      <c r="T238" s="110" t="n">
        <v>1434.47304962422</v>
      </c>
      <c r="U238" s="110" t="n">
        <v>7784.60171341786</v>
      </c>
      <c r="V238" s="104" t="n">
        <v>2400</v>
      </c>
      <c r="W238" s="104" t="n">
        <v>0</v>
      </c>
      <c r="X238" s="104">
        <f>$V238+W238</f>
        <v/>
      </c>
      <c r="Y238" s="111">
        <f>IFERROR(A238/R238,0)</f>
        <v/>
      </c>
      <c r="Z238" s="111">
        <f>IFERROR(B238/U238,0)</f>
        <v/>
      </c>
      <c r="AA238" s="111">
        <f>IFERROR(C238/R238,0)</f>
        <v/>
      </c>
      <c r="AB238" s="111">
        <f>IFERROR(D238/U238,0)</f>
        <v/>
      </c>
      <c r="AD238" s="111">
        <f>IF(U238&gt;0,IFERROR(E238/U238,0),1)</f>
        <v/>
      </c>
      <c r="AE238" s="111">
        <f>IF(R238&gt;0,IFERROR(F238/R238,0),1)</f>
        <v/>
      </c>
      <c r="AF238" s="111">
        <f>IF(AL238&gt;0,IFERROR(G238/AL238,0),1)</f>
        <v/>
      </c>
      <c r="AG238" s="111">
        <f>IF(AM238&gt;0,IFERROR(H238/AM238,0),1)</f>
        <v/>
      </c>
      <c r="AH238" s="104">
        <f>U238-(V238+AN238+AR238)</f>
        <v/>
      </c>
      <c r="AI238" s="104">
        <f>R238-(V238+AO238+AR238)</f>
        <v/>
      </c>
      <c r="AJ238" s="104">
        <f>(AL238-AP238)</f>
        <v/>
      </c>
      <c r="AK238" s="104">
        <f>(AM238-AQ238)</f>
        <v/>
      </c>
      <c r="AL238" s="110">
        <f>S238+AI238</f>
        <v/>
      </c>
      <c r="AM238" s="110">
        <f>T238+AJ238</f>
        <v/>
      </c>
      <c r="AN238" s="104" t="n">
        <v>6000</v>
      </c>
      <c r="AO238" s="104" t="n">
        <v>1200</v>
      </c>
      <c r="AP238" s="104" t="n">
        <v>2400</v>
      </c>
      <c r="AQ238" s="104" t="n">
        <v>2400</v>
      </c>
      <c r="AR238" s="104" t="n">
        <v>0</v>
      </c>
      <c r="AS238" s="104" t="n"/>
      <c r="AT238" s="104" t="n"/>
    </row>
    <row r="239" ht="12.65" customHeight="1" s="79">
      <c r="A239" s="104">
        <f>MIN(V239,R239)</f>
        <v/>
      </c>
      <c r="B239" s="104">
        <f>MIN(V239,U239)</f>
        <v/>
      </c>
      <c r="C239" s="104">
        <f>MIN(X239,R239)</f>
        <v/>
      </c>
      <c r="D239" s="104">
        <f>MIN(X239,U239)</f>
        <v/>
      </c>
      <c r="E239" s="104">
        <f>MIN((V239+AN239+AR239),U239)</f>
        <v/>
      </c>
      <c r="F239" s="104">
        <f>MAX(MIN((V239+AO239+AR239),R239),0)</f>
        <v/>
      </c>
      <c r="G239" s="104">
        <f>MAX(MIN(AP239,AL239),0)</f>
        <v/>
      </c>
      <c r="H239" s="104">
        <f>MAX(MIN(AQ239,AM239),0)</f>
        <v/>
      </c>
      <c r="I239" s="105" t="inlineStr">
        <is>
          <t>ROOP KISHOR</t>
        </is>
      </c>
      <c r="J239" s="106" t="inlineStr">
        <is>
          <t>HOUSEHOLD</t>
        </is>
      </c>
      <c r="K239" s="107" t="inlineStr">
        <is>
          <t>HH_CLEANING AIDS</t>
        </is>
      </c>
      <c r="L239" s="107" t="inlineStr">
        <is>
          <t>HH_CA_DUSTER</t>
        </is>
      </c>
      <c r="M239" s="107" t="inlineStr">
        <is>
          <t>FLOOR-[HHPC44]</t>
        </is>
      </c>
      <c r="N239" s="107" t="inlineStr">
        <is>
          <t>ACTIVE</t>
        </is>
      </c>
      <c r="O239" s="108" t="n">
        <v>0.136858640125665</v>
      </c>
      <c r="P239" s="108" t="n">
        <v>0.141233766233766</v>
      </c>
      <c r="Q239" s="109" t="n">
        <v>132</v>
      </c>
      <c r="R239" s="110" t="n">
        <v>2558</v>
      </c>
      <c r="S239" s="110" t="n">
        <v>2435.46095157255</v>
      </c>
      <c r="T239" s="110" t="n">
        <v>1642.9107664894</v>
      </c>
      <c r="U239" s="110" t="n">
        <v>6636.37171806195</v>
      </c>
      <c r="V239" s="104" t="n">
        <v>4000</v>
      </c>
      <c r="W239" s="104" t="n">
        <v>0</v>
      </c>
      <c r="X239" s="104">
        <f>$V239+W239</f>
        <v/>
      </c>
      <c r="Y239" s="111">
        <f>IFERROR(A239/R239,0)</f>
        <v/>
      </c>
      <c r="Z239" s="111">
        <f>IFERROR(B239/U239,0)</f>
        <v/>
      </c>
      <c r="AA239" s="111">
        <f>IFERROR(C239/R239,0)</f>
        <v/>
      </c>
      <c r="AB239" s="111">
        <f>IFERROR(D239/U239,0)</f>
        <v/>
      </c>
      <c r="AD239" s="111">
        <f>IF(U239&gt;0,IFERROR(E239/U239,0),1)</f>
        <v/>
      </c>
      <c r="AE239" s="111">
        <f>IF(R239&gt;0,IFERROR(F239/R239,0),1)</f>
        <v/>
      </c>
      <c r="AF239" s="111">
        <f>IF(AL239&gt;0,IFERROR(G239/AL239,0),1)</f>
        <v/>
      </c>
      <c r="AG239" s="111">
        <f>IF(AM239&gt;0,IFERROR(H239/AM239,0),1)</f>
        <v/>
      </c>
      <c r="AH239" s="104">
        <f>U239-(V239+AN239+AR239)</f>
        <v/>
      </c>
      <c r="AI239" s="104">
        <f>R239-(V239+AO239+AR239)</f>
        <v/>
      </c>
      <c r="AJ239" s="104">
        <f>(AL239-AP239)</f>
        <v/>
      </c>
      <c r="AK239" s="104">
        <f>(AM239-AQ239)</f>
        <v/>
      </c>
      <c r="AL239" s="110">
        <f>S239+AI239</f>
        <v/>
      </c>
      <c r="AM239" s="110">
        <f>T239+AJ239</f>
        <v/>
      </c>
      <c r="AN239" s="104" t="n">
        <v>18848</v>
      </c>
      <c r="AO239" s="104" t="n">
        <v>6824</v>
      </c>
      <c r="AP239" s="104" t="n">
        <v>8424</v>
      </c>
      <c r="AQ239" s="104" t="n">
        <v>3600</v>
      </c>
      <c r="AR239" s="104" t="n">
        <v>0</v>
      </c>
      <c r="AS239" s="104" t="n"/>
      <c r="AT239" s="104" t="n"/>
    </row>
    <row r="240" ht="12.65" customHeight="1" s="79">
      <c r="A240" s="104">
        <f>MIN(V240,R240)</f>
        <v/>
      </c>
      <c r="B240" s="104">
        <f>MIN(V240,U240)</f>
        <v/>
      </c>
      <c r="C240" s="104">
        <f>MIN(X240,R240)</f>
        <v/>
      </c>
      <c r="D240" s="104">
        <f>MIN(X240,U240)</f>
        <v/>
      </c>
      <c r="E240" s="104">
        <f>MIN((V240+AN240+AR240),U240)</f>
        <v/>
      </c>
      <c r="F240" s="104">
        <f>MAX(MIN((V240+AO240+AR240),R240),0)</f>
        <v/>
      </c>
      <c r="G240" s="104">
        <f>MAX(MIN(AP240,AL240),0)</f>
        <v/>
      </c>
      <c r="H240" s="104">
        <f>MAX(MIN(AQ240,AM240),0)</f>
        <v/>
      </c>
      <c r="I240" s="105" t="inlineStr">
        <is>
          <t>ROOP KISHOR</t>
        </is>
      </c>
      <c r="J240" s="106" t="inlineStr">
        <is>
          <t>HOUSEHOLD</t>
        </is>
      </c>
      <c r="K240" s="107" t="inlineStr">
        <is>
          <t>HH_CLEANING AIDS</t>
        </is>
      </c>
      <c r="L240" s="107" t="inlineStr">
        <is>
          <t>HH_CA_MOP</t>
        </is>
      </c>
      <c r="M240" s="107" t="inlineStr">
        <is>
          <t>MOP 99 179-[HHPC06]</t>
        </is>
      </c>
      <c r="N240" s="107" t="inlineStr">
        <is>
          <t>ACTIVE</t>
        </is>
      </c>
      <c r="O240" s="108" t="n">
        <v>0.124973686057119</v>
      </c>
      <c r="P240" s="108" t="n">
        <v>0.138705265557328</v>
      </c>
      <c r="Q240" s="109" t="n">
        <v>99</v>
      </c>
      <c r="R240" s="110" t="n">
        <v>1961</v>
      </c>
      <c r="S240" s="110" t="n">
        <v>1030.7953487651</v>
      </c>
      <c r="T240" s="110" t="n">
        <v>732.61096950904</v>
      </c>
      <c r="U240" s="110" t="n">
        <v>3724.40631827414</v>
      </c>
      <c r="V240" s="104" t="n">
        <v>1200</v>
      </c>
      <c r="W240" s="104" t="n">
        <v>0</v>
      </c>
      <c r="X240" s="104">
        <f>$V240+W240</f>
        <v/>
      </c>
      <c r="Y240" s="111">
        <f>IFERROR(A240/R240,0)</f>
        <v/>
      </c>
      <c r="Z240" s="111">
        <f>IFERROR(B240/U240,0)</f>
        <v/>
      </c>
      <c r="AA240" s="111">
        <f>IFERROR(C240/R240,0)</f>
        <v/>
      </c>
      <c r="AB240" s="111">
        <f>IFERROR(D240/U240,0)</f>
        <v/>
      </c>
      <c r="AD240" s="111">
        <f>IF(U240&gt;0,IFERROR(E240/U240,0),1)</f>
        <v/>
      </c>
      <c r="AE240" s="111">
        <f>IF(R240&gt;0,IFERROR(F240/R240,0),1)</f>
        <v/>
      </c>
      <c r="AF240" s="111">
        <f>IF(AL240&gt;0,IFERROR(G240/AL240,0),1)</f>
        <v/>
      </c>
      <c r="AG240" s="111">
        <f>IF(AM240&gt;0,IFERROR(H240/AM240,0),1)</f>
        <v/>
      </c>
      <c r="AH240" s="104">
        <f>U240-(V240+AN240+AR240)</f>
        <v/>
      </c>
      <c r="AI240" s="104">
        <f>R240-(V240+AO240+AR240)</f>
        <v/>
      </c>
      <c r="AJ240" s="104">
        <f>(AL240-AP240)</f>
        <v/>
      </c>
      <c r="AK240" s="104">
        <f>(AM240-AQ240)</f>
        <v/>
      </c>
      <c r="AL240" s="110">
        <f>S240+AI240</f>
        <v/>
      </c>
      <c r="AM240" s="110">
        <f>T240+AJ240</f>
        <v/>
      </c>
      <c r="AN240" s="104" t="n">
        <v>2400</v>
      </c>
      <c r="AO240" s="104" t="n">
        <v>0</v>
      </c>
      <c r="AP240" s="104" t="n">
        <v>1200</v>
      </c>
      <c r="AQ240" s="104" t="n">
        <v>1200</v>
      </c>
      <c r="AR240" s="104" t="n">
        <v>0</v>
      </c>
      <c r="AS240" s="104" t="n"/>
      <c r="AT240" s="104" t="n"/>
    </row>
    <row r="241" ht="12.65" customHeight="1" s="79">
      <c r="A241" s="104">
        <f>MIN(V241,R241)</f>
        <v/>
      </c>
      <c r="B241" s="104">
        <f>MIN(V241,U241)</f>
        <v/>
      </c>
      <c r="C241" s="104">
        <f>MIN(X241,R241)</f>
        <v/>
      </c>
      <c r="D241" s="104">
        <f>MIN(X241,U241)</f>
        <v/>
      </c>
      <c r="E241" s="104">
        <f>MIN((V241+AN241+AR241),U241)</f>
        <v/>
      </c>
      <c r="F241" s="104">
        <f>MAX(MIN((V241+AO241+AR241),R241),0)</f>
        <v/>
      </c>
      <c r="G241" s="104">
        <f>MAX(MIN(AP241,AL241),0)</f>
        <v/>
      </c>
      <c r="H241" s="104">
        <f>MAX(MIN(AQ241,AM241),0)</f>
        <v/>
      </c>
      <c r="I241" s="105" t="inlineStr">
        <is>
          <t>ROOP KISHOR</t>
        </is>
      </c>
      <c r="J241" s="106" t="inlineStr">
        <is>
          <t>HOUSEHOLD</t>
        </is>
      </c>
      <c r="K241" s="107" t="inlineStr">
        <is>
          <t>HH_CLEANING AIDS</t>
        </is>
      </c>
      <c r="L241" s="107" t="inlineStr">
        <is>
          <t>HH_CA_MOP</t>
        </is>
      </c>
      <c r="M241" s="107" t="inlineStr">
        <is>
          <t>MOP 199 299-[HHPC06]</t>
        </is>
      </c>
      <c r="N241" s="107" t="inlineStr">
        <is>
          <t>ACTIVE</t>
        </is>
      </c>
      <c r="O241" s="108" t="n">
        <v>0.105155926522296</v>
      </c>
      <c r="P241" s="108" t="n">
        <v>0.0964818946284538</v>
      </c>
      <c r="Q241" s="109" t="n">
        <v>99</v>
      </c>
      <c r="R241" s="110" t="n">
        <v>710</v>
      </c>
      <c r="S241" s="110" t="n">
        <v>1139.01009149086</v>
      </c>
      <c r="T241" s="110" t="n">
        <v>1094.16556660583</v>
      </c>
      <c r="U241" s="110" t="n">
        <v>2943.17565809668</v>
      </c>
      <c r="V241" s="104" t="n">
        <v>1200</v>
      </c>
      <c r="W241" s="104" t="n">
        <v>0</v>
      </c>
      <c r="X241" s="104">
        <f>$V241+W241</f>
        <v/>
      </c>
      <c r="Y241" s="111">
        <f>IFERROR(A241/R241,0)</f>
        <v/>
      </c>
      <c r="Z241" s="111">
        <f>IFERROR(B241/U241,0)</f>
        <v/>
      </c>
      <c r="AA241" s="111">
        <f>IFERROR(C241/R241,0)</f>
        <v/>
      </c>
      <c r="AB241" s="111">
        <f>IFERROR(D241/U241,0)</f>
        <v/>
      </c>
      <c r="AD241" s="111">
        <f>IF(U241&gt;0,IFERROR(E241/U241,0),1)</f>
        <v/>
      </c>
      <c r="AE241" s="111">
        <f>IF(R241&gt;0,IFERROR(F241/R241,0),1)</f>
        <v/>
      </c>
      <c r="AF241" s="111">
        <f>IF(AL241&gt;0,IFERROR(G241/AL241,0),1)</f>
        <v/>
      </c>
      <c r="AG241" s="111">
        <f>IF(AM241&gt;0,IFERROR(H241/AM241,0),1)</f>
        <v/>
      </c>
      <c r="AH241" s="104">
        <f>U241-(V241+AN241+AR241)</f>
        <v/>
      </c>
      <c r="AI241" s="104">
        <f>R241-(V241+AO241+AR241)</f>
        <v/>
      </c>
      <c r="AJ241" s="104">
        <f>(AL241-AP241)</f>
        <v/>
      </c>
      <c r="AK241" s="104">
        <f>(AM241-AQ241)</f>
        <v/>
      </c>
      <c r="AL241" s="110">
        <f>S241+AI241</f>
        <v/>
      </c>
      <c r="AM241" s="110">
        <f>T241+AJ241</f>
        <v/>
      </c>
      <c r="AN241" s="104" t="n">
        <v>2400</v>
      </c>
      <c r="AO241" s="104" t="n">
        <v>0</v>
      </c>
      <c r="AP241" s="104" t="n">
        <v>1200</v>
      </c>
      <c r="AQ241" s="104" t="n">
        <v>1200</v>
      </c>
      <c r="AR241" s="104" t="n">
        <v>0</v>
      </c>
      <c r="AS241" s="104" t="n"/>
      <c r="AT241" s="104" t="n"/>
    </row>
    <row r="242" ht="12.65" customHeight="1" s="79">
      <c r="A242" s="104">
        <f>MIN(V242,R242)</f>
        <v/>
      </c>
      <c r="B242" s="104">
        <f>MIN(V242,U242)</f>
        <v/>
      </c>
      <c r="C242" s="104">
        <f>MIN(X242,R242)</f>
        <v/>
      </c>
      <c r="D242" s="104">
        <f>MIN(X242,U242)</f>
        <v/>
      </c>
      <c r="E242" s="104">
        <f>MIN((V242+AN242+AR242),U242)</f>
        <v/>
      </c>
      <c r="F242" s="104">
        <f>MAX(MIN((V242+AO242+AR242),R242),0)</f>
        <v/>
      </c>
      <c r="G242" s="104">
        <f>MAX(MIN(AP242,AL242),0)</f>
        <v/>
      </c>
      <c r="H242" s="104">
        <f>MAX(MIN(AQ242,AM242),0)</f>
        <v/>
      </c>
      <c r="I242" s="105" t="inlineStr">
        <is>
          <t>ROOP KISHOR</t>
        </is>
      </c>
      <c r="J242" s="106" t="inlineStr">
        <is>
          <t>HOUSEHOLD</t>
        </is>
      </c>
      <c r="K242" s="107" t="inlineStr">
        <is>
          <t>HH_CLEANING AIDS</t>
        </is>
      </c>
      <c r="L242" s="107" t="inlineStr">
        <is>
          <t>HH_CA_SCRUBBER</t>
        </is>
      </c>
      <c r="M242" s="107" t="inlineStr">
        <is>
          <t>STL-[HHPC07]</t>
        </is>
      </c>
      <c r="N242" s="107" t="inlineStr">
        <is>
          <t>ACTIVE</t>
        </is>
      </c>
      <c r="O242" s="108" t="n">
        <v>0.147261019736526</v>
      </c>
      <c r="P242" s="108" t="n">
        <v>0.146814048206307</v>
      </c>
      <c r="Q242" s="109" t="n">
        <v>11</v>
      </c>
      <c r="R242" s="110" t="n">
        <v>55422</v>
      </c>
      <c r="S242" s="110" t="n">
        <v>46904.9572995826</v>
      </c>
      <c r="T242" s="110" t="n">
        <v>38646.6510343396</v>
      </c>
      <c r="U242" s="110" t="n">
        <v>140973.608333922</v>
      </c>
      <c r="V242" s="104" t="n">
        <v>48983</v>
      </c>
      <c r="W242" s="104" t="n">
        <v>9600</v>
      </c>
      <c r="X242" s="104">
        <f>$V242+W242</f>
        <v/>
      </c>
      <c r="Y242" s="111">
        <f>IFERROR(A242/R242,0)</f>
        <v/>
      </c>
      <c r="Z242" s="111">
        <f>IFERROR(B242/U242,0)</f>
        <v/>
      </c>
      <c r="AA242" s="111">
        <f>IFERROR(C242/R242,0)</f>
        <v/>
      </c>
      <c r="AB242" s="111">
        <f>IFERROR(D242/U242,0)</f>
        <v/>
      </c>
      <c r="AD242" s="111">
        <f>IF(U242&gt;0,IFERROR(E242/U242,0),1)</f>
        <v/>
      </c>
      <c r="AE242" s="111">
        <f>IF(R242&gt;0,IFERROR(F242/R242,0),1)</f>
        <v/>
      </c>
      <c r="AF242" s="111">
        <f>IF(AL242&gt;0,IFERROR(G242/AL242,0),1)</f>
        <v/>
      </c>
      <c r="AG242" s="111">
        <f>IF(AM242&gt;0,IFERROR(H242/AM242,0),1)</f>
        <v/>
      </c>
      <c r="AH242" s="104">
        <f>U242-(V242+AN242+AR242)</f>
        <v/>
      </c>
      <c r="AI242" s="104">
        <f>R242-(V242+AO242+AR242)</f>
        <v/>
      </c>
      <c r="AJ242" s="104">
        <f>(AL242-AP242)</f>
        <v/>
      </c>
      <c r="AK242" s="104">
        <f>(AM242-AQ242)</f>
        <v/>
      </c>
      <c r="AL242" s="110">
        <f>S242+AI242</f>
        <v/>
      </c>
      <c r="AM242" s="110">
        <f>T242+AJ242</f>
        <v/>
      </c>
      <c r="AN242" s="104" t="n">
        <v>124896</v>
      </c>
      <c r="AO242" s="104" t="n">
        <v>29184</v>
      </c>
      <c r="AP242" s="104" t="n">
        <v>67392</v>
      </c>
      <c r="AQ242" s="104" t="n">
        <v>28320</v>
      </c>
      <c r="AR242" s="104" t="n">
        <v>0</v>
      </c>
      <c r="AS242" s="104" t="n"/>
      <c r="AT242" s="104" t="n"/>
    </row>
    <row r="243" ht="12.65" customHeight="1" s="79">
      <c r="A243" s="104">
        <f>MIN(V243,R243)</f>
        <v/>
      </c>
      <c r="B243" s="104">
        <f>MIN(V243,U243)</f>
        <v/>
      </c>
      <c r="C243" s="104">
        <f>MIN(X243,R243)</f>
        <v/>
      </c>
      <c r="D243" s="104">
        <f>MIN(X243,U243)</f>
        <v/>
      </c>
      <c r="E243" s="104">
        <f>MIN((V243+AN243+AR243),U243)</f>
        <v/>
      </c>
      <c r="F243" s="104">
        <f>MAX(MIN((V243+AO243+AR243),R243),0)</f>
        <v/>
      </c>
      <c r="G243" s="104">
        <f>MAX(MIN(AP243,AL243),0)</f>
        <v/>
      </c>
      <c r="H243" s="104">
        <f>MAX(MIN(AQ243,AM243),0)</f>
        <v/>
      </c>
      <c r="I243" s="105" t="inlineStr">
        <is>
          <t>ROOP KISHOR</t>
        </is>
      </c>
      <c r="J243" s="106" t="inlineStr">
        <is>
          <t>HOUSEHOLD</t>
        </is>
      </c>
      <c r="K243" s="107" t="inlineStr">
        <is>
          <t>HH_CLEANING AIDS</t>
        </is>
      </c>
      <c r="L243" s="107" t="inlineStr">
        <is>
          <t>HH_CA_SCRUBBER</t>
        </is>
      </c>
      <c r="M243" s="107" t="inlineStr">
        <is>
          <t>GREEN-[HHPC07]</t>
        </is>
      </c>
      <c r="N243" s="107" t="inlineStr">
        <is>
          <t>ACTIVE</t>
        </is>
      </c>
      <c r="O243" s="108" t="n">
        <v>0.137781916083194</v>
      </c>
      <c r="P243" s="108" t="n">
        <v>0.119214749657764</v>
      </c>
      <c r="Q243" s="109" t="n">
        <v>11</v>
      </c>
      <c r="R243" s="110" t="n">
        <v>32727</v>
      </c>
      <c r="S243" s="110" t="n">
        <v>29869.2355934304</v>
      </c>
      <c r="T243" s="110" t="n">
        <v>24084.1771011932</v>
      </c>
      <c r="U243" s="110" t="n">
        <v>86680.41269462361</v>
      </c>
      <c r="V243" s="104" t="n">
        <v>15500</v>
      </c>
      <c r="W243" s="104" t="n">
        <v>0</v>
      </c>
      <c r="X243" s="104">
        <f>$V243+W243</f>
        <v/>
      </c>
      <c r="Y243" s="111">
        <f>IFERROR(A243/R243,0)</f>
        <v/>
      </c>
      <c r="Z243" s="111">
        <f>IFERROR(B243/U243,0)</f>
        <v/>
      </c>
      <c r="AA243" s="111">
        <f>IFERROR(C243/R243,0)</f>
        <v/>
      </c>
      <c r="AB243" s="111">
        <f>IFERROR(D243/U243,0)</f>
        <v/>
      </c>
      <c r="AD243" s="111">
        <f>IF(U243&gt;0,IFERROR(E243/U243,0),1)</f>
        <v/>
      </c>
      <c r="AE243" s="111">
        <f>IF(R243&gt;0,IFERROR(F243/R243,0),1)</f>
        <v/>
      </c>
      <c r="AF243" s="111">
        <f>IF(AL243&gt;0,IFERROR(G243/AL243,0),1)</f>
        <v/>
      </c>
      <c r="AG243" s="111">
        <f>IF(AM243&gt;0,IFERROR(H243/AM243,0),1)</f>
        <v/>
      </c>
      <c r="AH243" s="104">
        <f>U243-(V243+AN243+AR243)</f>
        <v/>
      </c>
      <c r="AI243" s="104">
        <f>R243-(V243+AO243+AR243)</f>
        <v/>
      </c>
      <c r="AJ243" s="104">
        <f>(AL243-AP243)</f>
        <v/>
      </c>
      <c r="AK243" s="104">
        <f>(AM243-AQ243)</f>
        <v/>
      </c>
      <c r="AL243" s="110">
        <f>S243+AI243</f>
        <v/>
      </c>
      <c r="AM243" s="110">
        <f>T243+AJ243</f>
        <v/>
      </c>
      <c r="AN243" s="104" t="n">
        <v>60476</v>
      </c>
      <c r="AO243" s="104" t="n">
        <v>19988</v>
      </c>
      <c r="AP243" s="104" t="n">
        <v>25488</v>
      </c>
      <c r="AQ243" s="104" t="n">
        <v>15000</v>
      </c>
      <c r="AR243" s="104" t="n">
        <v>0</v>
      </c>
      <c r="AS243" s="104" t="n"/>
      <c r="AT243" s="104" t="n"/>
    </row>
    <row r="244" ht="12.65" customHeight="1" s="79">
      <c r="A244" s="104">
        <f>MIN(V244,R244)</f>
        <v/>
      </c>
      <c r="B244" s="104">
        <f>MIN(V244,U244)</f>
        <v/>
      </c>
      <c r="C244" s="104">
        <f>MIN(X244,R244)</f>
        <v/>
      </c>
      <c r="D244" s="104">
        <f>MIN(X244,U244)</f>
        <v/>
      </c>
      <c r="E244" s="104">
        <f>MIN((V244+AN244+AR244),U244)</f>
        <v/>
      </c>
      <c r="F244" s="104">
        <f>MAX(MIN((V244+AO244+AR244),R244),0)</f>
        <v/>
      </c>
      <c r="G244" s="104">
        <f>MAX(MIN(AP244,AL244),0)</f>
        <v/>
      </c>
      <c r="H244" s="104">
        <f>MAX(MIN(AQ244,AM244),0)</f>
        <v/>
      </c>
      <c r="I244" s="105" t="inlineStr">
        <is>
          <t>ROOP KISHOR</t>
        </is>
      </c>
      <c r="J244" s="106" t="inlineStr">
        <is>
          <t>HOUSEHOLD</t>
        </is>
      </c>
      <c r="K244" s="107" t="inlineStr">
        <is>
          <t>HH_CLEANING AIDS</t>
        </is>
      </c>
      <c r="L244" s="107" t="inlineStr">
        <is>
          <t>HH_CA_SCRUBBER</t>
        </is>
      </c>
      <c r="M244" s="107" t="inlineStr">
        <is>
          <t>PLST-[HHPC07]</t>
        </is>
      </c>
      <c r="N244" s="107" t="inlineStr">
        <is>
          <t>ACTIVE</t>
        </is>
      </c>
      <c r="O244" s="108" t="n">
        <v>0.169139969181942</v>
      </c>
      <c r="P244" s="108" t="n">
        <v>0.166568854213415</v>
      </c>
      <c r="Q244" s="109" t="n">
        <v>11</v>
      </c>
      <c r="R244" s="110" t="n">
        <v>16316</v>
      </c>
      <c r="S244" s="110" t="n">
        <v>15531.4220237225</v>
      </c>
      <c r="T244" s="110" t="n">
        <v>12923.4957182243</v>
      </c>
      <c r="U244" s="110" t="n">
        <v>44770.9177419468</v>
      </c>
      <c r="V244" s="104" t="n">
        <v>9599</v>
      </c>
      <c r="W244" s="104" t="n">
        <v>0</v>
      </c>
      <c r="X244" s="104">
        <f>$V244+W244</f>
        <v/>
      </c>
      <c r="Y244" s="111">
        <f>IFERROR(A244/R244,0)</f>
        <v/>
      </c>
      <c r="Z244" s="111">
        <f>IFERROR(B244/U244,0)</f>
        <v/>
      </c>
      <c r="AA244" s="111">
        <f>IFERROR(C244/R244,0)</f>
        <v/>
      </c>
      <c r="AB244" s="111">
        <f>IFERROR(D244/U244,0)</f>
        <v/>
      </c>
      <c r="AD244" s="111">
        <f>IF(U244&gt;0,IFERROR(E244/U244,0),1)</f>
        <v/>
      </c>
      <c r="AE244" s="111">
        <f>IF(R244&gt;0,IFERROR(F244/R244,0),1)</f>
        <v/>
      </c>
      <c r="AF244" s="111">
        <f>IF(AL244&gt;0,IFERROR(G244/AL244,0),1)</f>
        <v/>
      </c>
      <c r="AG244" s="111">
        <f>IF(AM244&gt;0,IFERROR(H244/AM244,0),1)</f>
        <v/>
      </c>
      <c r="AH244" s="104">
        <f>U244-(V244+AN244+AR244)</f>
        <v/>
      </c>
      <c r="AI244" s="104">
        <f>R244-(V244+AO244+AR244)</f>
        <v/>
      </c>
      <c r="AJ244" s="104">
        <f>(AL244-AP244)</f>
        <v/>
      </c>
      <c r="AK244" s="104">
        <f>(AM244-AQ244)</f>
        <v/>
      </c>
      <c r="AL244" s="110">
        <f>S244+AI244</f>
        <v/>
      </c>
      <c r="AM244" s="110">
        <f>T244+AJ244</f>
        <v/>
      </c>
      <c r="AN244" s="104" t="n">
        <v>29400</v>
      </c>
      <c r="AO244" s="104" t="n">
        <v>7500</v>
      </c>
      <c r="AP244" s="104" t="n">
        <v>14700</v>
      </c>
      <c r="AQ244" s="104" t="n">
        <v>7200</v>
      </c>
      <c r="AR244" s="104" t="n">
        <v>0</v>
      </c>
      <c r="AS244" s="104" t="n"/>
      <c r="AT244" s="104" t="n"/>
    </row>
    <row r="245" ht="12.65" customHeight="1" s="79">
      <c r="A245" s="104">
        <f>MIN(V245,R245)</f>
        <v/>
      </c>
      <c r="B245" s="104">
        <f>MIN(V245,U245)</f>
        <v/>
      </c>
      <c r="C245" s="104">
        <f>MIN(X245,R245)</f>
        <v/>
      </c>
      <c r="D245" s="104">
        <f>MIN(X245,U245)</f>
        <v/>
      </c>
      <c r="E245" s="104">
        <f>MIN((V245+AN245+AR245),U245)</f>
        <v/>
      </c>
      <c r="F245" s="104">
        <f>MAX(MIN((V245+AO245+AR245),R245),0)</f>
        <v/>
      </c>
      <c r="G245" s="104">
        <f>MAX(MIN(AP245,AL245),0)</f>
        <v/>
      </c>
      <c r="H245" s="104">
        <f>MAX(MIN(AQ245,AM245),0)</f>
        <v/>
      </c>
      <c r="I245" s="105" t="inlineStr">
        <is>
          <t>ROOP KISHOR</t>
        </is>
      </c>
      <c r="J245" s="106" t="inlineStr">
        <is>
          <t>HOUSEHOLD</t>
        </is>
      </c>
      <c r="K245" s="107" t="inlineStr">
        <is>
          <t>HH_CLEANING AIDS</t>
        </is>
      </c>
      <c r="L245" s="107" t="inlineStr">
        <is>
          <t>HH_CA_SCRUBBER</t>
        </is>
      </c>
      <c r="M245" s="107" t="inlineStr">
        <is>
          <t>COMBO ST-[HHPC07]</t>
        </is>
      </c>
      <c r="N245" s="107" t="inlineStr">
        <is>
          <t>ACTIVE</t>
        </is>
      </c>
      <c r="O245" s="108" t="n">
        <v>0.143207233011565</v>
      </c>
      <c r="P245" s="108" t="n">
        <v>0.0845850848055498</v>
      </c>
      <c r="Q245" s="109" t="n">
        <v>11</v>
      </c>
      <c r="R245" s="110" t="n">
        <v>10658</v>
      </c>
      <c r="S245" s="110" t="n">
        <v>9498.30427512222</v>
      </c>
      <c r="T245" s="110" t="n">
        <v>7328.82629661082</v>
      </c>
      <c r="U245" s="110" t="n">
        <v>27485.130571733</v>
      </c>
      <c r="V245" s="104" t="n">
        <v>9600</v>
      </c>
      <c r="W245" s="104" t="n">
        <v>0</v>
      </c>
      <c r="X245" s="104">
        <f>$V245+W245</f>
        <v/>
      </c>
      <c r="Y245" s="111">
        <f>IFERROR(A245/R245,0)</f>
        <v/>
      </c>
      <c r="Z245" s="111">
        <f>IFERROR(B245/U245,0)</f>
        <v/>
      </c>
      <c r="AA245" s="111">
        <f>IFERROR(C245/R245,0)</f>
        <v/>
      </c>
      <c r="AB245" s="111">
        <f>IFERROR(D245/U245,0)</f>
        <v/>
      </c>
      <c r="AD245" s="111">
        <f>IF(U245&gt;0,IFERROR(E245/U245,0),1)</f>
        <v/>
      </c>
      <c r="AE245" s="111">
        <f>IF(R245&gt;0,IFERROR(F245/R245,0),1)</f>
        <v/>
      </c>
      <c r="AF245" s="111">
        <f>IF(AL245&gt;0,IFERROR(G245/AL245,0),1)</f>
        <v/>
      </c>
      <c r="AG245" s="111">
        <f>IF(AM245&gt;0,IFERROR(H245/AM245,0),1)</f>
        <v/>
      </c>
      <c r="AH245" s="104">
        <f>U245-(V245+AN245+AR245)</f>
        <v/>
      </c>
      <c r="AI245" s="104">
        <f>R245-(V245+AO245+AR245)</f>
        <v/>
      </c>
      <c r="AJ245" s="104">
        <f>(AL245-AP245)</f>
        <v/>
      </c>
      <c r="AK245" s="104">
        <f>(AM245-AQ245)</f>
        <v/>
      </c>
      <c r="AL245" s="110">
        <f>S245+AI245</f>
        <v/>
      </c>
      <c r="AM245" s="110">
        <f>T245+AJ245</f>
        <v/>
      </c>
      <c r="AN245" s="104" t="n">
        <v>19200</v>
      </c>
      <c r="AO245" s="104" t="n">
        <v>0</v>
      </c>
      <c r="AP245" s="104" t="n">
        <v>9600</v>
      </c>
      <c r="AQ245" s="104" t="n">
        <v>9600</v>
      </c>
      <c r="AR245" s="104" t="n">
        <v>0</v>
      </c>
      <c r="AS245" s="104" t="n"/>
      <c r="AT245" s="104" t="n"/>
    </row>
    <row r="246" ht="12.65" customHeight="1" s="79">
      <c r="A246" s="104">
        <f>MIN(V246,R246)</f>
        <v/>
      </c>
      <c r="B246" s="104">
        <f>MIN(V246,U246)</f>
        <v/>
      </c>
      <c r="C246" s="104">
        <f>MIN(X246,R246)</f>
        <v/>
      </c>
      <c r="D246" s="104">
        <f>MIN(X246,U246)</f>
        <v/>
      </c>
      <c r="E246" s="104">
        <f>MIN((V246+AN246+AR246),U246)</f>
        <v/>
      </c>
      <c r="F246" s="104">
        <f>MAX(MIN((V246+AO246+AR246),R246),0)</f>
        <v/>
      </c>
      <c r="G246" s="104">
        <f>MAX(MIN(AP246,AL246),0)</f>
        <v/>
      </c>
      <c r="H246" s="104">
        <f>MAX(MIN(AQ246,AM246),0)</f>
        <v/>
      </c>
      <c r="I246" s="105" t="inlineStr">
        <is>
          <t>ROOP KISHOR</t>
        </is>
      </c>
      <c r="J246" s="106" t="inlineStr">
        <is>
          <t>HOUSEHOLD</t>
        </is>
      </c>
      <c r="K246" s="107" t="inlineStr">
        <is>
          <t>HH_CLEANING AIDS</t>
        </is>
      </c>
      <c r="L246" s="107" t="inlineStr">
        <is>
          <t>HH_CA_SCRUBBER</t>
        </is>
      </c>
      <c r="M246" s="107" t="inlineStr">
        <is>
          <t>LOOFA-[HHPC07]</t>
        </is>
      </c>
      <c r="N246" s="107" t="inlineStr">
        <is>
          <t>ACTIVE</t>
        </is>
      </c>
      <c r="O246" s="108" t="n">
        <v>0.186392893635747</v>
      </c>
      <c r="P246" s="108" t="n">
        <v>0.217067282460376</v>
      </c>
      <c r="Q246" s="109" t="n">
        <v>11</v>
      </c>
      <c r="R246" s="110" t="n">
        <v>11635</v>
      </c>
      <c r="S246" s="110" t="n">
        <v>7771.83679163527</v>
      </c>
      <c r="T246" s="110" t="n">
        <v>6124.64681608749</v>
      </c>
      <c r="U246" s="110" t="n">
        <v>25531.4836077228</v>
      </c>
      <c r="V246" s="104" t="n">
        <v>14208</v>
      </c>
      <c r="W246" s="104" t="n">
        <v>9600</v>
      </c>
      <c r="X246" s="104">
        <f>$V246+W246</f>
        <v/>
      </c>
      <c r="Y246" s="111">
        <f>IFERROR(A246/R246,0)</f>
        <v/>
      </c>
      <c r="Z246" s="111">
        <f>IFERROR(B246/U246,0)</f>
        <v/>
      </c>
      <c r="AA246" s="111">
        <f>IFERROR(C246/R246,0)</f>
        <v/>
      </c>
      <c r="AB246" s="111">
        <f>IFERROR(D246/U246,0)</f>
        <v/>
      </c>
      <c r="AD246" s="111">
        <f>IF(U246&gt;0,IFERROR(E246/U246,0),1)</f>
        <v/>
      </c>
      <c r="AE246" s="111">
        <f>IF(R246&gt;0,IFERROR(F246/R246,0),1)</f>
        <v/>
      </c>
      <c r="AF246" s="111">
        <f>IF(AL246&gt;0,IFERROR(G246/AL246,0),1)</f>
        <v/>
      </c>
      <c r="AG246" s="111">
        <f>IF(AM246&gt;0,IFERROR(H246/AM246,0),1)</f>
        <v/>
      </c>
      <c r="AH246" s="104">
        <f>U246-(V246+AN246+AR246)</f>
        <v/>
      </c>
      <c r="AI246" s="104">
        <f>R246-(V246+AO246+AR246)</f>
        <v/>
      </c>
      <c r="AJ246" s="104">
        <f>(AL246-AP246)</f>
        <v/>
      </c>
      <c r="AK246" s="104">
        <f>(AM246-AQ246)</f>
        <v/>
      </c>
      <c r="AL246" s="110">
        <f>S246+AI246</f>
        <v/>
      </c>
      <c r="AM246" s="110">
        <f>T246+AJ246</f>
        <v/>
      </c>
      <c r="AN246" s="104" t="n">
        <v>45984</v>
      </c>
      <c r="AO246" s="104" t="n">
        <v>9648</v>
      </c>
      <c r="AP246" s="104" t="n">
        <v>18336</v>
      </c>
      <c r="AQ246" s="104" t="n">
        <v>18000</v>
      </c>
      <c r="AR246" s="104" t="n">
        <v>0</v>
      </c>
      <c r="AS246" s="104" t="n"/>
      <c r="AT246" s="104" t="n"/>
    </row>
    <row r="247" ht="12.65" customHeight="1" s="79">
      <c r="A247" s="104">
        <f>MIN(V247,R247)</f>
        <v/>
      </c>
      <c r="B247" s="104">
        <f>MIN(V247,U247)</f>
        <v/>
      </c>
      <c r="C247" s="104">
        <f>MIN(X247,R247)</f>
        <v/>
      </c>
      <c r="D247" s="104">
        <f>MIN(X247,U247)</f>
        <v/>
      </c>
      <c r="E247" s="104">
        <f>MIN((V247+AN247+AR247),U247)</f>
        <v/>
      </c>
      <c r="F247" s="104">
        <f>MAX(MIN((V247+AO247+AR247),R247),0)</f>
        <v/>
      </c>
      <c r="G247" s="104">
        <f>MAX(MIN(AP247,AL247),0)</f>
        <v/>
      </c>
      <c r="H247" s="104">
        <f>MAX(MIN(AQ247,AM247),0)</f>
        <v/>
      </c>
      <c r="I247" s="105" t="inlineStr">
        <is>
          <t>ROOP KISHOR</t>
        </is>
      </c>
      <c r="J247" s="106" t="inlineStr">
        <is>
          <t>HOUSEHOLD</t>
        </is>
      </c>
      <c r="K247" s="107" t="inlineStr">
        <is>
          <t>HH_CLEANING AIDS</t>
        </is>
      </c>
      <c r="L247" s="107" t="inlineStr">
        <is>
          <t>HH_CA_SCRUBBER</t>
        </is>
      </c>
      <c r="M247" s="107" t="inlineStr">
        <is>
          <t>COMBO-[HHPC07]</t>
        </is>
      </c>
      <c r="N247" s="107" t="inlineStr">
        <is>
          <t>INACTIVE</t>
        </is>
      </c>
      <c r="O247" s="108" t="n">
        <v>0</v>
      </c>
      <c r="P247" s="108" t="n">
        <v>0</v>
      </c>
      <c r="Q247" s="109" t="n">
        <v>11</v>
      </c>
      <c r="R247" s="110" t="n">
        <v>0</v>
      </c>
      <c r="S247" s="110" t="n">
        <v>0</v>
      </c>
      <c r="T247" s="110" t="n">
        <v>0</v>
      </c>
      <c r="U247" s="110" t="n">
        <v>0</v>
      </c>
      <c r="V247" s="104" t="n">
        <v>11988</v>
      </c>
      <c r="W247" s="104" t="n">
        <v>0</v>
      </c>
      <c r="X247" s="104">
        <f>$V247+W247</f>
        <v/>
      </c>
      <c r="Y247" s="111">
        <f>IFERROR(A247/R247,0)</f>
        <v/>
      </c>
      <c r="Z247" s="111">
        <f>IFERROR(B247/U247,0)</f>
        <v/>
      </c>
      <c r="AA247" s="111">
        <f>IFERROR(C247/R247,0)</f>
        <v/>
      </c>
      <c r="AB247" s="111">
        <f>IFERROR(D247/U247,0)</f>
        <v/>
      </c>
      <c r="AD247" s="111">
        <f>IF(U247&gt;0,IFERROR(E247/U247,0),1)</f>
        <v/>
      </c>
      <c r="AE247" s="111">
        <f>IF(R247&gt;0,IFERROR(F247/R247,0),1)</f>
        <v/>
      </c>
      <c r="AF247" s="111">
        <f>IF(AL247&gt;0,IFERROR(G247/AL247,0),1)</f>
        <v/>
      </c>
      <c r="AG247" s="111">
        <f>IF(AM247&gt;0,IFERROR(H247/AM247,0),1)</f>
        <v/>
      </c>
      <c r="AH247" s="104">
        <f>U247-(V247+AN247+AR247)</f>
        <v/>
      </c>
      <c r="AI247" s="104">
        <f>R247-(V247+AO247+AR247)</f>
        <v/>
      </c>
      <c r="AJ247" s="104">
        <f>(AL247-AP247)</f>
        <v/>
      </c>
      <c r="AK247" s="104">
        <f>(AM247-AQ247)</f>
        <v/>
      </c>
      <c r="AL247" s="110">
        <f>S247+AI247</f>
        <v/>
      </c>
      <c r="AM247" s="110">
        <f>T247+AJ247</f>
        <v/>
      </c>
      <c r="AN247" s="104" t="n">
        <v>0</v>
      </c>
      <c r="AO247" s="104" t="n">
        <v>0</v>
      </c>
      <c r="AP247" s="104" t="n">
        <v>0</v>
      </c>
      <c r="AQ247" s="104" t="n">
        <v>0</v>
      </c>
      <c r="AR247" s="104" t="n">
        <v>0</v>
      </c>
      <c r="AS247" s="104" t="n"/>
      <c r="AT247" s="104" t="n"/>
    </row>
    <row r="248" ht="12.65" customHeight="1" s="79">
      <c r="A248" s="104">
        <f>MIN(V248,R248)</f>
        <v/>
      </c>
      <c r="B248" s="104">
        <f>MIN(V248,U248)</f>
        <v/>
      </c>
      <c r="C248" s="104">
        <f>MIN(X248,R248)</f>
        <v/>
      </c>
      <c r="D248" s="104">
        <f>MIN(X248,U248)</f>
        <v/>
      </c>
      <c r="E248" s="104">
        <f>MIN((V248+AN248+AR248),U248)</f>
        <v/>
      </c>
      <c r="F248" s="104">
        <f>MAX(MIN((V248+AO248+AR248),R248),0)</f>
        <v/>
      </c>
      <c r="G248" s="104">
        <f>MAX(MIN(AP248,AL248),0)</f>
        <v/>
      </c>
      <c r="H248" s="104">
        <f>MAX(MIN(AQ248,AM248),0)</f>
        <v/>
      </c>
      <c r="I248" s="105" t="inlineStr">
        <is>
          <t>ROOP KISHOR</t>
        </is>
      </c>
      <c r="J248" s="106" t="inlineStr">
        <is>
          <t>HOUSEHOLD</t>
        </is>
      </c>
      <c r="K248" s="107" t="inlineStr">
        <is>
          <t>HH_CLEANING AIDS</t>
        </is>
      </c>
      <c r="L248" s="107" t="inlineStr">
        <is>
          <t>HH_CA_WIPER</t>
        </is>
      </c>
      <c r="M248" s="107" t="inlineStr">
        <is>
          <t>FLOOR-[HHPC08]</t>
        </is>
      </c>
      <c r="N248" s="107" t="inlineStr">
        <is>
          <t>ACTIVE</t>
        </is>
      </c>
      <c r="O248" s="108" t="n">
        <v>0.132771731027285</v>
      </c>
      <c r="P248" s="108" t="n">
        <v>0.130244550355497</v>
      </c>
      <c r="Q248" s="109" t="n">
        <v>118</v>
      </c>
      <c r="R248" s="110" t="n">
        <v>3094</v>
      </c>
      <c r="S248" s="110" t="n">
        <v>4032.83668260607</v>
      </c>
      <c r="T248" s="110" t="n">
        <v>2728.01791210146</v>
      </c>
      <c r="U248" s="110" t="n">
        <v>9854.854594707531</v>
      </c>
      <c r="V248" s="104" t="n">
        <v>2400</v>
      </c>
      <c r="W248" s="104" t="n">
        <v>0</v>
      </c>
      <c r="X248" s="104">
        <f>$V248+W248</f>
        <v/>
      </c>
      <c r="Y248" s="111">
        <f>IFERROR(A248/R248,0)</f>
        <v/>
      </c>
      <c r="Z248" s="111">
        <f>IFERROR(B248/U248,0)</f>
        <v/>
      </c>
      <c r="AA248" s="111">
        <f>IFERROR(C248/R248,0)</f>
        <v/>
      </c>
      <c r="AB248" s="111">
        <f>IFERROR(D248/U248,0)</f>
        <v/>
      </c>
      <c r="AD248" s="111">
        <f>IF(U248&gt;0,IFERROR(E248/U248,0),1)</f>
        <v/>
      </c>
      <c r="AE248" s="111">
        <f>IF(R248&gt;0,IFERROR(F248/R248,0),1)</f>
        <v/>
      </c>
      <c r="AF248" s="111">
        <f>IF(AL248&gt;0,IFERROR(G248/AL248,0),1)</f>
        <v/>
      </c>
      <c r="AG248" s="111">
        <f>IF(AM248&gt;0,IFERROR(H248/AM248,0),1)</f>
        <v/>
      </c>
      <c r="AH248" s="104">
        <f>U248-(V248+AN248+AR248)</f>
        <v/>
      </c>
      <c r="AI248" s="104">
        <f>R248-(V248+AO248+AR248)</f>
        <v/>
      </c>
      <c r="AJ248" s="104">
        <f>(AL248-AP248)</f>
        <v/>
      </c>
      <c r="AK248" s="104">
        <f>(AM248-AQ248)</f>
        <v/>
      </c>
      <c r="AL248" s="110">
        <f>S248+AI248</f>
        <v/>
      </c>
      <c r="AM248" s="110">
        <f>T248+AJ248</f>
        <v/>
      </c>
      <c r="AN248" s="104" t="n">
        <v>7800</v>
      </c>
      <c r="AO248" s="104" t="n">
        <v>0</v>
      </c>
      <c r="AP248" s="104" t="n">
        <v>5400</v>
      </c>
      <c r="AQ248" s="104" t="n">
        <v>2400</v>
      </c>
      <c r="AR248" s="104" t="n">
        <v>0</v>
      </c>
      <c r="AS248" s="104" t="n"/>
      <c r="AT248" s="104" t="n"/>
    </row>
    <row r="249" ht="12.65" customHeight="1" s="79">
      <c r="A249" s="104">
        <f>MIN(V249,R249)</f>
        <v/>
      </c>
      <c r="B249" s="104">
        <f>MIN(V249,U249)</f>
        <v/>
      </c>
      <c r="C249" s="104">
        <f>MIN(X249,R249)</f>
        <v/>
      </c>
      <c r="D249" s="104">
        <f>MIN(X249,U249)</f>
        <v/>
      </c>
      <c r="E249" s="104">
        <f>MIN((V249+AN249+AR249),U249)</f>
        <v/>
      </c>
      <c r="F249" s="104">
        <f>MAX(MIN((V249+AO249+AR249),R249),0)</f>
        <v/>
      </c>
      <c r="G249" s="104">
        <f>MAX(MIN(AP249,AL249),0)</f>
        <v/>
      </c>
      <c r="H249" s="104">
        <f>MAX(MIN(AQ249,AM249),0)</f>
        <v/>
      </c>
      <c r="I249" s="105" t="inlineStr">
        <is>
          <t>ROOP KISHOR</t>
        </is>
      </c>
      <c r="J249" s="106" t="inlineStr">
        <is>
          <t>HOUSEHOLD</t>
        </is>
      </c>
      <c r="K249" s="107" t="inlineStr">
        <is>
          <t>HH_CLEANING AIDS</t>
        </is>
      </c>
      <c r="L249" s="107" t="inlineStr">
        <is>
          <t>HH_CA_WIPER</t>
        </is>
      </c>
      <c r="M249" s="107" t="inlineStr">
        <is>
          <t>KITCHEN-[HHPC08]</t>
        </is>
      </c>
      <c r="N249" s="107" t="inlineStr">
        <is>
          <t>ACTIVE</t>
        </is>
      </c>
      <c r="O249" s="108" t="n">
        <v>0.133325003123829</v>
      </c>
      <c r="P249" s="108" t="n">
        <v>0.135684851234358</v>
      </c>
      <c r="Q249" s="109" t="n">
        <v>118</v>
      </c>
      <c r="R249" s="110" t="n">
        <v>1923</v>
      </c>
      <c r="S249" s="110" t="n">
        <v>1912.90585140601</v>
      </c>
      <c r="T249" s="110" t="n">
        <v>1427.95494483612</v>
      </c>
      <c r="U249" s="110" t="n">
        <v>5263.86079624213</v>
      </c>
      <c r="V249" s="104" t="n">
        <v>2412</v>
      </c>
      <c r="W249" s="104" t="n">
        <v>0</v>
      </c>
      <c r="X249" s="104">
        <f>$V249+W249</f>
        <v/>
      </c>
      <c r="Y249" s="111">
        <f>IFERROR(A249/R249,0)</f>
        <v/>
      </c>
      <c r="Z249" s="111">
        <f>IFERROR(B249/U249,0)</f>
        <v/>
      </c>
      <c r="AA249" s="111">
        <f>IFERROR(C249/R249,0)</f>
        <v/>
      </c>
      <c r="AB249" s="111">
        <f>IFERROR(D249/U249,0)</f>
        <v/>
      </c>
      <c r="AD249" s="111">
        <f>IF(U249&gt;0,IFERROR(E249/U249,0),1)</f>
        <v/>
      </c>
      <c r="AE249" s="111">
        <f>IF(R249&gt;0,IFERROR(F249/R249,0),1)</f>
        <v/>
      </c>
      <c r="AF249" s="111">
        <f>IF(AL249&gt;0,IFERROR(G249/AL249,0),1)</f>
        <v/>
      </c>
      <c r="AG249" s="111">
        <f>IF(AM249&gt;0,IFERROR(H249/AM249,0),1)</f>
        <v/>
      </c>
      <c r="AH249" s="104">
        <f>U249-(V249+AN249+AR249)</f>
        <v/>
      </c>
      <c r="AI249" s="104">
        <f>R249-(V249+AO249+AR249)</f>
        <v/>
      </c>
      <c r="AJ249" s="104">
        <f>(AL249-AP249)</f>
        <v/>
      </c>
      <c r="AK249" s="104">
        <f>(AM249-AQ249)</f>
        <v/>
      </c>
      <c r="AL249" s="110">
        <f>S249+AI249</f>
        <v/>
      </c>
      <c r="AM249" s="110">
        <f>T249+AJ249</f>
        <v/>
      </c>
      <c r="AN249" s="104" t="n">
        <v>4824</v>
      </c>
      <c r="AO249" s="104" t="n">
        <v>0</v>
      </c>
      <c r="AP249" s="104" t="n">
        <v>2412</v>
      </c>
      <c r="AQ249" s="104" t="n">
        <v>2412</v>
      </c>
      <c r="AR249" s="104" t="n">
        <v>0</v>
      </c>
      <c r="AS249" s="104" t="n"/>
      <c r="AT249" s="104" t="n"/>
    </row>
    <row r="250" ht="12.65" customHeight="1" s="79">
      <c r="A250" s="104">
        <f>MIN(V250,R250)</f>
        <v/>
      </c>
      <c r="B250" s="104">
        <f>MIN(V250,U250)</f>
        <v/>
      </c>
      <c r="C250" s="104">
        <f>MIN(X250,R250)</f>
        <v/>
      </c>
      <c r="D250" s="104">
        <f>MIN(X250,U250)</f>
        <v/>
      </c>
      <c r="E250" s="104">
        <f>MIN((V250+AN250+AR250),U250)</f>
        <v/>
      </c>
      <c r="F250" s="104">
        <f>MAX(MIN((V250+AO250+AR250),R250),0)</f>
        <v/>
      </c>
      <c r="G250" s="104">
        <f>MAX(MIN(AP250,AL250),0)</f>
        <v/>
      </c>
      <c r="H250" s="104">
        <f>MAX(MIN(AQ250,AM250),0)</f>
        <v/>
      </c>
      <c r="I250" s="105" t="inlineStr">
        <is>
          <t>ROOP KISHOR</t>
        </is>
      </c>
      <c r="J250" s="106" t="inlineStr">
        <is>
          <t>HOUSEHOLD</t>
        </is>
      </c>
      <c r="K250" s="107" t="inlineStr">
        <is>
          <t>HH_CLEANING AIDS</t>
        </is>
      </c>
      <c r="L250" s="107" t="inlineStr">
        <is>
          <t>HH_P_BATH MUG</t>
        </is>
      </c>
      <c r="M250" s="107" t="inlineStr">
        <is>
          <t>1LTR-[HHPC14]</t>
        </is>
      </c>
      <c r="N250" s="107" t="inlineStr">
        <is>
          <t>ACTIVE</t>
        </is>
      </c>
      <c r="O250" s="108" t="n">
        <v>0.156972330472631</v>
      </c>
      <c r="P250" s="108" t="n">
        <v>0.137613144636996</v>
      </c>
      <c r="Q250" s="109" t="n">
        <v>126</v>
      </c>
      <c r="R250" s="110" t="n">
        <v>10919</v>
      </c>
      <c r="S250" s="110" t="n">
        <v>8135.55998362854</v>
      </c>
      <c r="T250" s="110" t="n">
        <v>5861.02119854055</v>
      </c>
      <c r="U250" s="110" t="n">
        <v>24915.5811821691</v>
      </c>
      <c r="V250" s="104" t="n">
        <v>3600</v>
      </c>
      <c r="W250" s="104" t="n">
        <v>0</v>
      </c>
      <c r="X250" s="104">
        <f>$V250+W250</f>
        <v/>
      </c>
      <c r="Y250" s="111">
        <f>IFERROR(A250/R250,0)</f>
        <v/>
      </c>
      <c r="Z250" s="111">
        <f>IFERROR(B250/U250,0)</f>
        <v/>
      </c>
      <c r="AA250" s="111">
        <f>IFERROR(C250/R250,0)</f>
        <v/>
      </c>
      <c r="AB250" s="111">
        <f>IFERROR(D250/U250,0)</f>
        <v/>
      </c>
      <c r="AD250" s="111">
        <f>IF(U250&gt;0,IFERROR(E250/U250,0),1)</f>
        <v/>
      </c>
      <c r="AE250" s="111">
        <f>IF(R250&gt;0,IFERROR(F250/R250,0),1)</f>
        <v/>
      </c>
      <c r="AF250" s="111">
        <f>IF(AL250&gt;0,IFERROR(G250/AL250,0),1)</f>
        <v/>
      </c>
      <c r="AG250" s="111">
        <f>IF(AM250&gt;0,IFERROR(H250/AM250,0),1)</f>
        <v/>
      </c>
      <c r="AH250" s="104">
        <f>U250-(V250+AN250+AR250)</f>
        <v/>
      </c>
      <c r="AI250" s="104">
        <f>R250-(V250+AO250+AR250)</f>
        <v/>
      </c>
      <c r="AJ250" s="104">
        <f>(AL250-AP250)</f>
        <v/>
      </c>
      <c r="AK250" s="104">
        <f>(AM250-AQ250)</f>
        <v/>
      </c>
      <c r="AL250" s="110">
        <f>S250+AI250</f>
        <v/>
      </c>
      <c r="AM250" s="110">
        <f>T250+AJ250</f>
        <v/>
      </c>
      <c r="AN250" s="104" t="n">
        <v>10800</v>
      </c>
      <c r="AO250" s="104" t="n">
        <v>3600</v>
      </c>
      <c r="AP250" s="104" t="n">
        <v>3600</v>
      </c>
      <c r="AQ250" s="104" t="n">
        <v>3600</v>
      </c>
      <c r="AR250" s="104" t="n">
        <v>0</v>
      </c>
      <c r="AS250" s="104" t="n"/>
      <c r="AT250" s="104" t="n"/>
    </row>
    <row r="251" ht="12.65" customHeight="1" s="79">
      <c r="A251" s="104">
        <f>MIN(V251,R251)</f>
        <v/>
      </c>
      <c r="B251" s="104">
        <f>MIN(V251,U251)</f>
        <v/>
      </c>
      <c r="C251" s="104">
        <f>MIN(X251,R251)</f>
        <v/>
      </c>
      <c r="D251" s="104">
        <f>MIN(X251,U251)</f>
        <v/>
      </c>
      <c r="E251" s="104">
        <f>MIN((V251+AN251+AR251),U251)</f>
        <v/>
      </c>
      <c r="F251" s="104">
        <f>MAX(MIN((V251+AO251+AR251),R251),0)</f>
        <v/>
      </c>
      <c r="G251" s="104">
        <f>MAX(MIN(AP251,AL251),0)</f>
        <v/>
      </c>
      <c r="H251" s="104">
        <f>MAX(MIN(AQ251,AM251),0)</f>
        <v/>
      </c>
      <c r="I251" s="105" t="inlineStr">
        <is>
          <t>ROOP KISHOR</t>
        </is>
      </c>
      <c r="J251" s="106" t="inlineStr">
        <is>
          <t>HOUSEHOLD</t>
        </is>
      </c>
      <c r="K251" s="107" t="inlineStr">
        <is>
          <t>HH_CLEANING AIDS</t>
        </is>
      </c>
      <c r="L251" s="107" t="inlineStr">
        <is>
          <t>HH_P_BATH MUG</t>
        </is>
      </c>
      <c r="M251" s="107" t="inlineStr">
        <is>
          <t>1.5LTR-[HHPC14]</t>
        </is>
      </c>
      <c r="N251" s="107" t="inlineStr">
        <is>
          <t>ACTIVE</t>
        </is>
      </c>
      <c r="O251" s="108" t="n">
        <v>0.212088224743008</v>
      </c>
      <c r="P251" s="108" t="n">
        <v>0.156032251642445</v>
      </c>
      <c r="Q251" s="109" t="n">
        <v>126</v>
      </c>
      <c r="R251" s="110" t="n">
        <v>5090</v>
      </c>
      <c r="S251" s="110" t="n">
        <v>7427.61997761962</v>
      </c>
      <c r="T251" s="110" t="n">
        <v>4907.02852964578</v>
      </c>
      <c r="U251" s="110" t="n">
        <v>17424.6485072654</v>
      </c>
      <c r="V251" s="104" t="n">
        <v>0</v>
      </c>
      <c r="W251" s="104" t="n">
        <v>0</v>
      </c>
      <c r="X251" s="104">
        <f>$V251+W251</f>
        <v/>
      </c>
      <c r="Y251" s="111">
        <f>IFERROR(A251/R251,0)</f>
        <v/>
      </c>
      <c r="Z251" s="111">
        <f>IFERROR(B251/U251,0)</f>
        <v/>
      </c>
      <c r="AA251" s="111">
        <f>IFERROR(C251/R251,0)</f>
        <v/>
      </c>
      <c r="AB251" s="111">
        <f>IFERROR(D251/U251,0)</f>
        <v/>
      </c>
      <c r="AD251" s="111">
        <f>IF(U251&gt;0,IFERROR(E251/U251,0),1)</f>
        <v/>
      </c>
      <c r="AE251" s="111">
        <f>IF(R251&gt;0,IFERROR(F251/R251,0),1)</f>
        <v/>
      </c>
      <c r="AF251" s="111">
        <f>IF(AL251&gt;0,IFERROR(G251/AL251,0),1)</f>
        <v/>
      </c>
      <c r="AG251" s="111">
        <f>IF(AM251&gt;0,IFERROR(H251/AM251,0),1)</f>
        <v/>
      </c>
      <c r="AH251" s="104">
        <f>U251-(V251+AN251+AR251)</f>
        <v/>
      </c>
      <c r="AI251" s="104">
        <f>R251-(V251+AO251+AR251)</f>
        <v/>
      </c>
      <c r="AJ251" s="104">
        <f>(AL251-AP251)</f>
        <v/>
      </c>
      <c r="AK251" s="104">
        <f>(AM251-AQ251)</f>
        <v/>
      </c>
      <c r="AL251" s="110">
        <f>S251+AI251</f>
        <v/>
      </c>
      <c r="AM251" s="110">
        <f>T251+AJ251</f>
        <v/>
      </c>
      <c r="AN251" s="104" t="n">
        <v>36000</v>
      </c>
      <c r="AO251" s="104" t="n">
        <v>7200</v>
      </c>
      <c r="AP251" s="104" t="n">
        <v>14400</v>
      </c>
      <c r="AQ251" s="104" t="n">
        <v>14400</v>
      </c>
      <c r="AR251" s="104" t="n">
        <v>0</v>
      </c>
      <c r="AS251" s="104" t="n"/>
      <c r="AT251" s="104" t="n"/>
    </row>
    <row r="252" ht="12.65" customHeight="1" s="79">
      <c r="A252" s="104">
        <f>MIN(V252,R252)</f>
        <v/>
      </c>
      <c r="B252" s="104">
        <f>MIN(V252,U252)</f>
        <v/>
      </c>
      <c r="C252" s="104">
        <f>MIN(X252,R252)</f>
        <v/>
      </c>
      <c r="D252" s="104">
        <f>MIN(X252,U252)</f>
        <v/>
      </c>
      <c r="E252" s="104">
        <f>MIN((V252+AN252+AR252),U252)</f>
        <v/>
      </c>
      <c r="F252" s="104">
        <f>MAX(MIN((V252+AO252+AR252),R252),0)</f>
        <v/>
      </c>
      <c r="G252" s="104">
        <f>MAX(MIN(AP252,AL252),0)</f>
        <v/>
      </c>
      <c r="H252" s="104">
        <f>MAX(MIN(AQ252,AM252),0)</f>
        <v/>
      </c>
      <c r="I252" s="105" t="inlineStr">
        <is>
          <t>ROOP KISHOR</t>
        </is>
      </c>
      <c r="J252" s="106" t="inlineStr">
        <is>
          <t>HOUSEHOLD</t>
        </is>
      </c>
      <c r="K252" s="107" t="inlineStr">
        <is>
          <t>HH_CLEANING AIDS</t>
        </is>
      </c>
      <c r="L252" s="107" t="inlineStr">
        <is>
          <t>HH_P_CLOTH CLIP</t>
        </is>
      </c>
      <c r="M252" s="107" t="inlineStr">
        <is>
          <t>18PCST-[HHPC18]</t>
        </is>
      </c>
      <c r="N252" s="107" t="inlineStr">
        <is>
          <t>ACTIVE</t>
        </is>
      </c>
      <c r="O252" s="108" t="n">
        <v>0.126777931276024</v>
      </c>
      <c r="P252" s="108" t="n">
        <v>0.124837072362872</v>
      </c>
      <c r="Q252" s="109" t="n">
        <v>43</v>
      </c>
      <c r="R252" s="110" t="n">
        <v>6513</v>
      </c>
      <c r="S252" s="110" t="n">
        <v>11830.1883247287</v>
      </c>
      <c r="T252" s="110" t="n">
        <v>10577.7716425623</v>
      </c>
      <c r="U252" s="110" t="n">
        <v>28920.959967291</v>
      </c>
      <c r="V252" s="104" t="n">
        <v>13508</v>
      </c>
      <c r="W252" s="104" t="n">
        <v>0</v>
      </c>
      <c r="X252" s="104">
        <f>$V252+W252</f>
        <v/>
      </c>
      <c r="Y252" s="111">
        <f>IFERROR(A252/R252,0)</f>
        <v/>
      </c>
      <c r="Z252" s="111">
        <f>IFERROR(B252/U252,0)</f>
        <v/>
      </c>
      <c r="AA252" s="111">
        <f>IFERROR(C252/R252,0)</f>
        <v/>
      </c>
      <c r="AB252" s="111">
        <f>IFERROR(D252/U252,0)</f>
        <v/>
      </c>
      <c r="AD252" s="111">
        <f>IF(U252&gt;0,IFERROR(E252/U252,0),1)</f>
        <v/>
      </c>
      <c r="AE252" s="111">
        <f>IF(R252&gt;0,IFERROR(F252/R252,0),1)</f>
        <v/>
      </c>
      <c r="AF252" s="111">
        <f>IF(AL252&gt;0,IFERROR(G252/AL252,0),1)</f>
        <v/>
      </c>
      <c r="AG252" s="111">
        <f>IF(AM252&gt;0,IFERROR(H252/AM252,0),1)</f>
        <v/>
      </c>
      <c r="AH252" s="104">
        <f>U252-(V252+AN252+AR252)</f>
        <v/>
      </c>
      <c r="AI252" s="104">
        <f>R252-(V252+AO252+AR252)</f>
        <v/>
      </c>
      <c r="AJ252" s="104">
        <f>(AL252-AP252)</f>
        <v/>
      </c>
      <c r="AK252" s="104">
        <f>(AM252-AQ252)</f>
        <v/>
      </c>
      <c r="AL252" s="110">
        <f>S252+AI252</f>
        <v/>
      </c>
      <c r="AM252" s="110">
        <f>T252+AJ252</f>
        <v/>
      </c>
      <c r="AN252" s="104" t="n">
        <v>16996</v>
      </c>
      <c r="AO252" s="104" t="n">
        <v>4972</v>
      </c>
      <c r="AP252" s="104" t="n">
        <v>6012</v>
      </c>
      <c r="AQ252" s="104" t="n">
        <v>6012</v>
      </c>
      <c r="AR252" s="104" t="n">
        <v>0</v>
      </c>
      <c r="AS252" s="104" t="n"/>
      <c r="AT252" s="104" t="n"/>
    </row>
    <row r="253" ht="12.65" customHeight="1" s="79">
      <c r="A253" s="104">
        <f>MIN(V253,R253)</f>
        <v/>
      </c>
      <c r="B253" s="104">
        <f>MIN(V253,U253)</f>
        <v/>
      </c>
      <c r="C253" s="104">
        <f>MIN(X253,R253)</f>
        <v/>
      </c>
      <c r="D253" s="104">
        <f>MIN(X253,U253)</f>
        <v/>
      </c>
      <c r="E253" s="104">
        <f>MIN((V253+AN253+AR253),U253)</f>
        <v/>
      </c>
      <c r="F253" s="104">
        <f>MAX(MIN((V253+AO253+AR253),R253),0)</f>
        <v/>
      </c>
      <c r="G253" s="104">
        <f>MAX(MIN(AP253,AL253),0)</f>
        <v/>
      </c>
      <c r="H253" s="104">
        <f>MAX(MIN(AQ253,AM253),0)</f>
        <v/>
      </c>
      <c r="I253" s="105" t="inlineStr">
        <is>
          <t>ROOP KISHOR</t>
        </is>
      </c>
      <c r="J253" s="106" t="inlineStr">
        <is>
          <t>HOUSEHOLD</t>
        </is>
      </c>
      <c r="K253" s="107" t="inlineStr">
        <is>
          <t>HH_CLEANING AIDS</t>
        </is>
      </c>
      <c r="L253" s="107" t="inlineStr">
        <is>
          <t>HH_P_CLOTH CLIP</t>
        </is>
      </c>
      <c r="M253" s="107" t="inlineStr">
        <is>
          <t>COMBO ST-[HHPC18]</t>
        </is>
      </c>
      <c r="N253" s="107" t="inlineStr">
        <is>
          <t>ACTIVE</t>
        </is>
      </c>
      <c r="O253" s="108" t="n">
        <v>0.148757819363618</v>
      </c>
      <c r="P253" s="108" t="n">
        <v>0.129820585999685</v>
      </c>
      <c r="Q253" s="109" t="n">
        <v>43</v>
      </c>
      <c r="R253" s="110" t="n">
        <v>7279</v>
      </c>
      <c r="S253" s="110" t="n">
        <v>7414.92576497781</v>
      </c>
      <c r="T253" s="110" t="n">
        <v>6230.45855489234</v>
      </c>
      <c r="U253" s="110" t="n">
        <v>20924.3843198701</v>
      </c>
      <c r="V253" s="104" t="n">
        <v>3600</v>
      </c>
      <c r="W253" s="104" t="n">
        <v>0</v>
      </c>
      <c r="X253" s="104">
        <f>$V253+W253</f>
        <v/>
      </c>
      <c r="Y253" s="111">
        <f>IFERROR(A253/R253,0)</f>
        <v/>
      </c>
      <c r="Z253" s="111">
        <f>IFERROR(B253/U253,0)</f>
        <v/>
      </c>
      <c r="AA253" s="111">
        <f>IFERROR(C253/R253,0)</f>
        <v/>
      </c>
      <c r="AB253" s="111">
        <f>IFERROR(D253/U253,0)</f>
        <v/>
      </c>
      <c r="AD253" s="111">
        <f>IF(U253&gt;0,IFERROR(E253/U253,0),1)</f>
        <v/>
      </c>
      <c r="AE253" s="111">
        <f>IF(R253&gt;0,IFERROR(F253/R253,0),1)</f>
        <v/>
      </c>
      <c r="AF253" s="111">
        <f>IF(AL253&gt;0,IFERROR(G253/AL253,0),1)</f>
        <v/>
      </c>
      <c r="AG253" s="111">
        <f>IF(AM253&gt;0,IFERROR(H253/AM253,0),1)</f>
        <v/>
      </c>
      <c r="AH253" s="104">
        <f>U253-(V253+AN253+AR253)</f>
        <v/>
      </c>
      <c r="AI253" s="104">
        <f>R253-(V253+AO253+AR253)</f>
        <v/>
      </c>
      <c r="AJ253" s="104">
        <f>(AL253-AP253)</f>
        <v/>
      </c>
      <c r="AK253" s="104">
        <f>(AM253-AQ253)</f>
        <v/>
      </c>
      <c r="AL253" s="110">
        <f>S253+AI253</f>
        <v/>
      </c>
      <c r="AM253" s="110">
        <f>T253+AJ253</f>
        <v/>
      </c>
      <c r="AN253" s="104" t="n">
        <v>34776</v>
      </c>
      <c r="AO253" s="104" t="n">
        <v>16776</v>
      </c>
      <c r="AP253" s="104" t="n">
        <v>10800</v>
      </c>
      <c r="AQ253" s="104" t="n">
        <v>7200</v>
      </c>
      <c r="AR253" s="104" t="n">
        <v>0</v>
      </c>
      <c r="AS253" s="104" t="n"/>
      <c r="AT253" s="104" t="n"/>
    </row>
    <row r="254" ht="12.65" customHeight="1" s="79">
      <c r="A254" s="104">
        <f>MIN(V254,R254)</f>
        <v/>
      </c>
      <c r="B254" s="104">
        <f>MIN(V254,U254)</f>
        <v/>
      </c>
      <c r="C254" s="104">
        <f>MIN(X254,R254)</f>
        <v/>
      </c>
      <c r="D254" s="104">
        <f>MIN(X254,U254)</f>
        <v/>
      </c>
      <c r="E254" s="104">
        <f>MIN((V254+AN254+AR254),U254)</f>
        <v/>
      </c>
      <c r="F254" s="104">
        <f>MAX(MIN((V254+AO254+AR254),R254),0)</f>
        <v/>
      </c>
      <c r="G254" s="104">
        <f>MAX(MIN(AP254,AL254),0)</f>
        <v/>
      </c>
      <c r="H254" s="104">
        <f>MAX(MIN(AQ254,AM254),0)</f>
        <v/>
      </c>
      <c r="I254" s="105" t="inlineStr">
        <is>
          <t>ROOP KISHOR</t>
        </is>
      </c>
      <c r="J254" s="106" t="inlineStr">
        <is>
          <t>HOUSEHOLD</t>
        </is>
      </c>
      <c r="K254" s="107" t="inlineStr">
        <is>
          <t>HH_CLEANING AIDS</t>
        </is>
      </c>
      <c r="L254" s="107" t="inlineStr">
        <is>
          <t>HH_P_CLOTH CLIP</t>
        </is>
      </c>
      <c r="M254" s="107" t="inlineStr">
        <is>
          <t>24PCST-[HHPC18]</t>
        </is>
      </c>
      <c r="N254" s="107" t="inlineStr">
        <is>
          <t>ACTIVE</t>
        </is>
      </c>
      <c r="O254" s="108" t="n">
        <v>0.138641267372923</v>
      </c>
      <c r="P254" s="108" t="n">
        <v>0.158158224095909</v>
      </c>
      <c r="Q254" s="109" t="n">
        <v>43</v>
      </c>
      <c r="R254" s="110" t="n">
        <v>3487</v>
      </c>
      <c r="S254" s="110" t="n">
        <v>4507.17228489654</v>
      </c>
      <c r="T254" s="110" t="n">
        <v>4352.05968160298</v>
      </c>
      <c r="U254" s="110" t="n">
        <v>12346.2319664995</v>
      </c>
      <c r="V254" s="104" t="n">
        <v>7188</v>
      </c>
      <c r="W254" s="104" t="n">
        <v>0</v>
      </c>
      <c r="X254" s="104">
        <f>$V254+W254</f>
        <v/>
      </c>
      <c r="Y254" s="111">
        <f>IFERROR(A254/R254,0)</f>
        <v/>
      </c>
      <c r="Z254" s="111">
        <f>IFERROR(B254/U254,0)</f>
        <v/>
      </c>
      <c r="AA254" s="111">
        <f>IFERROR(C254/R254,0)</f>
        <v/>
      </c>
      <c r="AB254" s="111">
        <f>IFERROR(D254/U254,0)</f>
        <v/>
      </c>
      <c r="AD254" s="111">
        <f>IF(U254&gt;0,IFERROR(E254/U254,0),1)</f>
        <v/>
      </c>
      <c r="AE254" s="111">
        <f>IF(R254&gt;0,IFERROR(F254/R254,0),1)</f>
        <v/>
      </c>
      <c r="AF254" s="111">
        <f>IF(AL254&gt;0,IFERROR(G254/AL254,0),1)</f>
        <v/>
      </c>
      <c r="AG254" s="111">
        <f>IF(AM254&gt;0,IFERROR(H254/AM254,0),1)</f>
        <v/>
      </c>
      <c r="AH254" s="104">
        <f>U254-(V254+AN254+AR254)</f>
        <v/>
      </c>
      <c r="AI254" s="104">
        <f>R254-(V254+AO254+AR254)</f>
        <v/>
      </c>
      <c r="AJ254" s="104">
        <f>(AL254-AP254)</f>
        <v/>
      </c>
      <c r="AK254" s="104">
        <f>(AM254-AQ254)</f>
        <v/>
      </c>
      <c r="AL254" s="110">
        <f>S254+AI254</f>
        <v/>
      </c>
      <c r="AM254" s="110">
        <f>T254+AJ254</f>
        <v/>
      </c>
      <c r="AN254" s="104" t="n">
        <v>4800</v>
      </c>
      <c r="AO254" s="104" t="n">
        <v>0</v>
      </c>
      <c r="AP254" s="104" t="n">
        <v>2400</v>
      </c>
      <c r="AQ254" s="104" t="n">
        <v>2400</v>
      </c>
      <c r="AR254" s="104" t="n">
        <v>0</v>
      </c>
      <c r="AS254" s="104" t="n"/>
      <c r="AT254" s="104" t="n"/>
    </row>
    <row r="255" ht="12.65" customHeight="1" s="79">
      <c r="A255" s="104">
        <f>MIN(V255,R255)</f>
        <v/>
      </c>
      <c r="B255" s="104">
        <f>MIN(V255,U255)</f>
        <v/>
      </c>
      <c r="C255" s="104">
        <f>MIN(X255,R255)</f>
        <v/>
      </c>
      <c r="D255" s="104">
        <f>MIN(X255,U255)</f>
        <v/>
      </c>
      <c r="E255" s="104">
        <f>MIN((V255+AN255+AR255),U255)</f>
        <v/>
      </c>
      <c r="F255" s="104">
        <f>MAX(MIN((V255+AO255+AR255),R255),0)</f>
        <v/>
      </c>
      <c r="G255" s="104">
        <f>MAX(MIN(AP255,AL255),0)</f>
        <v/>
      </c>
      <c r="H255" s="104">
        <f>MAX(MIN(AQ255,AM255),0)</f>
        <v/>
      </c>
      <c r="I255" s="105" t="inlineStr">
        <is>
          <t>ROOP KISHOR</t>
        </is>
      </c>
      <c r="J255" s="106" t="inlineStr">
        <is>
          <t>HOUSEHOLD</t>
        </is>
      </c>
      <c r="K255" s="107" t="inlineStr">
        <is>
          <t>HH_CLEANING AIDS</t>
        </is>
      </c>
      <c r="L255" s="107" t="inlineStr">
        <is>
          <t>HH_P_PATLA</t>
        </is>
      </c>
      <c r="M255" s="107" t="inlineStr">
        <is>
          <t>RND-[HHPC47]</t>
        </is>
      </c>
      <c r="N255" s="107" t="inlineStr">
        <is>
          <t>ACTIVE</t>
        </is>
      </c>
      <c r="O255" s="108" t="n">
        <v>0.158267992820416</v>
      </c>
      <c r="P255" s="108" t="n">
        <v>0.162882920324865</v>
      </c>
      <c r="Q255" s="109" t="n">
        <v>44</v>
      </c>
      <c r="R255" s="110" t="n">
        <v>9155</v>
      </c>
      <c r="S255" s="110" t="n">
        <v>9074.29413173146</v>
      </c>
      <c r="T255" s="110" t="n">
        <v>6569.04154629756</v>
      </c>
      <c r="U255" s="110" t="n">
        <v>24798.335678029</v>
      </c>
      <c r="V255" s="104" t="n">
        <v>4932</v>
      </c>
      <c r="W255" s="104" t="n">
        <v>2400</v>
      </c>
      <c r="X255" s="104">
        <f>$V255+W255</f>
        <v/>
      </c>
      <c r="Y255" s="111">
        <f>IFERROR(A255/R255,0)</f>
        <v/>
      </c>
      <c r="Z255" s="111">
        <f>IFERROR(B255/U255,0)</f>
        <v/>
      </c>
      <c r="AA255" s="111">
        <f>IFERROR(C255/R255,0)</f>
        <v/>
      </c>
      <c r="AB255" s="111">
        <f>IFERROR(D255/U255,0)</f>
        <v/>
      </c>
      <c r="AD255" s="111">
        <f>IF(U255&gt;0,IFERROR(E255/U255,0),1)</f>
        <v/>
      </c>
      <c r="AE255" s="111">
        <f>IF(R255&gt;0,IFERROR(F255/R255,0),1)</f>
        <v/>
      </c>
      <c r="AF255" s="111">
        <f>IF(AL255&gt;0,IFERROR(G255/AL255,0),1)</f>
        <v/>
      </c>
      <c r="AG255" s="111">
        <f>IF(AM255&gt;0,IFERROR(H255/AM255,0),1)</f>
        <v/>
      </c>
      <c r="AH255" s="104">
        <f>U255-(V255+AN255+AR255)</f>
        <v/>
      </c>
      <c r="AI255" s="104">
        <f>R255-(V255+AO255+AR255)</f>
        <v/>
      </c>
      <c r="AJ255" s="104">
        <f>(AL255-AP255)</f>
        <v/>
      </c>
      <c r="AK255" s="104">
        <f>(AM255-AQ255)</f>
        <v/>
      </c>
      <c r="AL255" s="110">
        <f>S255+AI255</f>
        <v/>
      </c>
      <c r="AM255" s="110">
        <f>T255+AJ255</f>
        <v/>
      </c>
      <c r="AN255" s="104" t="n">
        <v>23868</v>
      </c>
      <c r="AO255" s="104" t="n">
        <v>11868</v>
      </c>
      <c r="AP255" s="104" t="n">
        <v>8400</v>
      </c>
      <c r="AQ255" s="104" t="n">
        <v>3600</v>
      </c>
      <c r="AR255" s="104" t="n">
        <v>0</v>
      </c>
      <c r="AS255" s="104" t="n"/>
      <c r="AT255" s="104" t="n"/>
    </row>
    <row r="256" ht="12.65" customHeight="1" s="79">
      <c r="A256" s="104">
        <f>MIN(V256,R256)</f>
        <v/>
      </c>
      <c r="B256" s="104">
        <f>MIN(V256,U256)</f>
        <v/>
      </c>
      <c r="C256" s="104">
        <f>MIN(X256,R256)</f>
        <v/>
      </c>
      <c r="D256" s="104">
        <f>MIN(X256,U256)</f>
        <v/>
      </c>
      <c r="E256" s="104">
        <f>MIN((V256+AN256+AR256),U256)</f>
        <v/>
      </c>
      <c r="F256" s="104">
        <f>MAX(MIN((V256+AO256+AR256),R256),0)</f>
        <v/>
      </c>
      <c r="G256" s="104">
        <f>MAX(MIN(AP256,AL256),0)</f>
        <v/>
      </c>
      <c r="H256" s="104">
        <f>MAX(MIN(AQ256,AM256),0)</f>
        <v/>
      </c>
      <c r="I256" s="105" t="inlineStr">
        <is>
          <t>ROOP KISHOR</t>
        </is>
      </c>
      <c r="J256" s="106" t="inlineStr">
        <is>
          <t>HOUSEHOLD</t>
        </is>
      </c>
      <c r="K256" s="107" t="inlineStr">
        <is>
          <t>HH_CLEANING AIDS</t>
        </is>
      </c>
      <c r="L256" s="107" t="inlineStr">
        <is>
          <t>HH_P_PATLA</t>
        </is>
      </c>
      <c r="M256" s="107" t="inlineStr">
        <is>
          <t>SQR-[HHPC47]</t>
        </is>
      </c>
      <c r="N256" s="107" t="inlineStr">
        <is>
          <t>ACTIVE</t>
        </is>
      </c>
      <c r="O256" s="108" t="n">
        <v>0.08360945341407471</v>
      </c>
      <c r="P256" s="108" t="n">
        <v>0.0828936713209492</v>
      </c>
      <c r="Q256" s="109" t="n">
        <v>44</v>
      </c>
      <c r="R256" s="110" t="n">
        <v>2432</v>
      </c>
      <c r="S256" s="110" t="n">
        <v>2935.32787821742</v>
      </c>
      <c r="T256" s="110" t="n">
        <v>2824.61018693515</v>
      </c>
      <c r="U256" s="110" t="n">
        <v>8191.93806515258</v>
      </c>
      <c r="V256" s="104" t="n">
        <v>2400</v>
      </c>
      <c r="W256" s="104" t="n">
        <v>0</v>
      </c>
      <c r="X256" s="104">
        <f>$V256+W256</f>
        <v/>
      </c>
      <c r="Y256" s="111">
        <f>IFERROR(A256/R256,0)</f>
        <v/>
      </c>
      <c r="Z256" s="111">
        <f>IFERROR(B256/U256,0)</f>
        <v/>
      </c>
      <c r="AA256" s="111">
        <f>IFERROR(C256/R256,0)</f>
        <v/>
      </c>
      <c r="AB256" s="111">
        <f>IFERROR(D256/U256,0)</f>
        <v/>
      </c>
      <c r="AD256" s="111">
        <f>IF(U256&gt;0,IFERROR(E256/U256,0),1)</f>
        <v/>
      </c>
      <c r="AE256" s="111">
        <f>IF(R256&gt;0,IFERROR(F256/R256,0),1)</f>
        <v/>
      </c>
      <c r="AF256" s="111">
        <f>IF(AL256&gt;0,IFERROR(G256/AL256,0),1)</f>
        <v/>
      </c>
      <c r="AG256" s="111">
        <f>IF(AM256&gt;0,IFERROR(H256/AM256,0),1)</f>
        <v/>
      </c>
      <c r="AH256" s="104">
        <f>U256-(V256+AN256+AR256)</f>
        <v/>
      </c>
      <c r="AI256" s="104">
        <f>R256-(V256+AO256+AR256)</f>
        <v/>
      </c>
      <c r="AJ256" s="104">
        <f>(AL256-AP256)</f>
        <v/>
      </c>
      <c r="AK256" s="104">
        <f>(AM256-AQ256)</f>
        <v/>
      </c>
      <c r="AL256" s="110">
        <f>S256+AI256</f>
        <v/>
      </c>
      <c r="AM256" s="110">
        <f>T256+AJ256</f>
        <v/>
      </c>
      <c r="AN256" s="104" t="n">
        <v>4800</v>
      </c>
      <c r="AO256" s="104" t="n">
        <v>0</v>
      </c>
      <c r="AP256" s="104" t="n">
        <v>2400</v>
      </c>
      <c r="AQ256" s="104" t="n">
        <v>2400</v>
      </c>
      <c r="AR256" s="104" t="n">
        <v>0</v>
      </c>
      <c r="AS256" s="104" t="n"/>
      <c r="AT256" s="104" t="n"/>
    </row>
    <row r="257" ht="12.65" customHeight="1" s="79">
      <c r="A257" s="104">
        <f>MIN(V257,R257)</f>
        <v/>
      </c>
      <c r="B257" s="104">
        <f>MIN(V257,U257)</f>
        <v/>
      </c>
      <c r="C257" s="104">
        <f>MIN(X257,R257)</f>
        <v/>
      </c>
      <c r="D257" s="104">
        <f>MIN(X257,U257)</f>
        <v/>
      </c>
      <c r="E257" s="104">
        <f>MIN((V257+AN257+AR257),U257)</f>
        <v/>
      </c>
      <c r="F257" s="104">
        <f>MAX(MIN((V257+AO257+AR257),R257),0)</f>
        <v/>
      </c>
      <c r="G257" s="104">
        <f>MAX(MIN(AP257,AL257),0)</f>
        <v/>
      </c>
      <c r="H257" s="104">
        <f>MAX(MIN(AQ257,AM257),0)</f>
        <v/>
      </c>
      <c r="I257" s="105" t="inlineStr">
        <is>
          <t>ROOP KISHOR</t>
        </is>
      </c>
      <c r="J257" s="106" t="inlineStr">
        <is>
          <t>HOUSEHOLD</t>
        </is>
      </c>
      <c r="K257" s="107" t="inlineStr">
        <is>
          <t>HH_CLEANING AIDS</t>
        </is>
      </c>
      <c r="L257" s="107" t="inlineStr">
        <is>
          <t>HH_P_ROPE</t>
        </is>
      </c>
      <c r="M257" s="107" t="inlineStr">
        <is>
          <t>10MTR-[HHPC34]</t>
        </is>
      </c>
      <c r="N257" s="107" t="inlineStr">
        <is>
          <t>ACTIVE</t>
        </is>
      </c>
      <c r="O257" s="108" t="n">
        <v>0.09686862706400901</v>
      </c>
      <c r="P257" s="108" t="n">
        <v>0.121952761880672</v>
      </c>
      <c r="Q257" s="109" t="n">
        <v>152</v>
      </c>
      <c r="R257" s="110" t="n">
        <v>2508</v>
      </c>
      <c r="S257" s="110" t="n">
        <v>4036.6314682553</v>
      </c>
      <c r="T257" s="110" t="n">
        <v>2777.94236460853</v>
      </c>
      <c r="U257" s="110" t="n">
        <v>9322.573832863831</v>
      </c>
      <c r="V257" s="104" t="n">
        <v>3600</v>
      </c>
      <c r="W257" s="104" t="n">
        <v>0</v>
      </c>
      <c r="X257" s="104">
        <f>$V257+W257</f>
        <v/>
      </c>
      <c r="Y257" s="111">
        <f>IFERROR(A257/R257,0)</f>
        <v/>
      </c>
      <c r="Z257" s="111">
        <f>IFERROR(B257/U257,0)</f>
        <v/>
      </c>
      <c r="AA257" s="111">
        <f>IFERROR(C257/R257,0)</f>
        <v/>
      </c>
      <c r="AB257" s="111">
        <f>IFERROR(D257/U257,0)</f>
        <v/>
      </c>
      <c r="AD257" s="111">
        <f>IF(U257&gt;0,IFERROR(E257/U257,0),1)</f>
        <v/>
      </c>
      <c r="AE257" s="111">
        <f>IF(R257&gt;0,IFERROR(F257/R257,0),1)</f>
        <v/>
      </c>
      <c r="AF257" s="111">
        <f>IF(AL257&gt;0,IFERROR(G257/AL257,0),1)</f>
        <v/>
      </c>
      <c r="AG257" s="111">
        <f>IF(AM257&gt;0,IFERROR(H257/AM257,0),1)</f>
        <v/>
      </c>
      <c r="AH257" s="104">
        <f>U257-(V257+AN257+AR257)</f>
        <v/>
      </c>
      <c r="AI257" s="104">
        <f>R257-(V257+AO257+AR257)</f>
        <v/>
      </c>
      <c r="AJ257" s="104">
        <f>(AL257-AP257)</f>
        <v/>
      </c>
      <c r="AK257" s="104">
        <f>(AM257-AQ257)</f>
        <v/>
      </c>
      <c r="AL257" s="110">
        <f>S257+AI257</f>
        <v/>
      </c>
      <c r="AM257" s="110">
        <f>T257+AJ257</f>
        <v/>
      </c>
      <c r="AN257" s="104" t="n">
        <v>3600</v>
      </c>
      <c r="AO257" s="104" t="n">
        <v>0</v>
      </c>
      <c r="AP257" s="104" t="n">
        <v>3600</v>
      </c>
      <c r="AQ257" s="104" t="n">
        <v>0</v>
      </c>
      <c r="AR257" s="104" t="n">
        <v>0</v>
      </c>
      <c r="AS257" s="104" t="n"/>
      <c r="AT257" s="104" t="n"/>
    </row>
    <row r="258" ht="12.65" customHeight="1" s="79">
      <c r="A258" s="104">
        <f>MIN(V258,R258)</f>
        <v/>
      </c>
      <c r="B258" s="104">
        <f>MIN(V258,U258)</f>
        <v/>
      </c>
      <c r="C258" s="104">
        <f>MIN(X258,R258)</f>
        <v/>
      </c>
      <c r="D258" s="104">
        <f>MIN(X258,U258)</f>
        <v/>
      </c>
      <c r="E258" s="104">
        <f>MIN((V258+AN258+AR258),U258)</f>
        <v/>
      </c>
      <c r="F258" s="104">
        <f>MAX(MIN((V258+AO258+AR258),R258),0)</f>
        <v/>
      </c>
      <c r="G258" s="104">
        <f>MAX(MIN(AP258,AL258),0)</f>
        <v/>
      </c>
      <c r="H258" s="104">
        <f>MAX(MIN(AQ258,AM258),0)</f>
        <v/>
      </c>
      <c r="I258" s="105" t="inlineStr">
        <is>
          <t>ROOP KISHOR</t>
        </is>
      </c>
      <c r="J258" s="106" t="inlineStr">
        <is>
          <t>HOUSEHOLD</t>
        </is>
      </c>
      <c r="K258" s="107" t="inlineStr">
        <is>
          <t>HH_CLEANING AIDS</t>
        </is>
      </c>
      <c r="L258" s="107" t="inlineStr">
        <is>
          <t>HH_P_ROPE</t>
        </is>
      </c>
      <c r="M258" s="107" t="inlineStr">
        <is>
          <t>20MTR-[HHPC34]</t>
        </is>
      </c>
      <c r="N258" s="107" t="inlineStr">
        <is>
          <t>ACTIVE</t>
        </is>
      </c>
      <c r="O258" s="108" t="n">
        <v>0.112027558100044</v>
      </c>
      <c r="P258" s="108" t="n">
        <v>0.120695225172837</v>
      </c>
      <c r="Q258" s="109" t="n">
        <v>152</v>
      </c>
      <c r="R258" s="110" t="n">
        <v>2460</v>
      </c>
      <c r="S258" s="110" t="n">
        <v>3417.96795072601</v>
      </c>
      <c r="T258" s="110" t="n">
        <v>2255.7119381608</v>
      </c>
      <c r="U258" s="110" t="n">
        <v>8133.67988888681</v>
      </c>
      <c r="V258" s="104" t="n">
        <v>3597</v>
      </c>
      <c r="W258" s="104" t="n">
        <v>0</v>
      </c>
      <c r="X258" s="104">
        <f>$V258+W258</f>
        <v/>
      </c>
      <c r="Y258" s="111">
        <f>IFERROR(A258/R258,0)</f>
        <v/>
      </c>
      <c r="Z258" s="111">
        <f>IFERROR(B258/U258,0)</f>
        <v/>
      </c>
      <c r="AA258" s="111">
        <f>IFERROR(C258/R258,0)</f>
        <v/>
      </c>
      <c r="AB258" s="111">
        <f>IFERROR(D258/U258,0)</f>
        <v/>
      </c>
      <c r="AD258" s="111">
        <f>IF(U258&gt;0,IFERROR(E258/U258,0),1)</f>
        <v/>
      </c>
      <c r="AE258" s="111">
        <f>IF(R258&gt;0,IFERROR(F258/R258,0),1)</f>
        <v/>
      </c>
      <c r="AF258" s="111">
        <f>IF(AL258&gt;0,IFERROR(G258/AL258,0),1)</f>
        <v/>
      </c>
      <c r="AG258" s="111">
        <f>IF(AM258&gt;0,IFERROR(H258/AM258,0),1)</f>
        <v/>
      </c>
      <c r="AH258" s="104">
        <f>U258-(V258+AN258+AR258)</f>
        <v/>
      </c>
      <c r="AI258" s="104">
        <f>R258-(V258+AO258+AR258)</f>
        <v/>
      </c>
      <c r="AJ258" s="104">
        <f>(AL258-AP258)</f>
        <v/>
      </c>
      <c r="AK258" s="104">
        <f>(AM258-AQ258)</f>
        <v/>
      </c>
      <c r="AL258" s="110">
        <f>S258+AI258</f>
        <v/>
      </c>
      <c r="AM258" s="110">
        <f>T258+AJ258</f>
        <v/>
      </c>
      <c r="AN258" s="104" t="n">
        <v>5760</v>
      </c>
      <c r="AO258" s="104" t="n">
        <v>0</v>
      </c>
      <c r="AP258" s="104" t="n">
        <v>3600</v>
      </c>
      <c r="AQ258" s="104" t="n">
        <v>2160</v>
      </c>
      <c r="AR258" s="104" t="n">
        <v>0</v>
      </c>
      <c r="AS258" s="104" t="n"/>
      <c r="AT258" s="104" t="n"/>
    </row>
    <row r="259" ht="12.65" customHeight="1" s="79">
      <c r="A259" s="104">
        <f>MIN(V259,R259)</f>
        <v/>
      </c>
      <c r="B259" s="104">
        <f>MIN(V259,U259)</f>
        <v/>
      </c>
      <c r="C259" s="104">
        <f>MIN(X259,R259)</f>
        <v/>
      </c>
      <c r="D259" s="104">
        <f>MIN(X259,U259)</f>
        <v/>
      </c>
      <c r="E259" s="104">
        <f>MIN((V259+AN259+AR259),U259)</f>
        <v/>
      </c>
      <c r="F259" s="104">
        <f>MAX(MIN((V259+AO259+AR259),R259),0)</f>
        <v/>
      </c>
      <c r="G259" s="104">
        <f>MAX(MIN(AP259,AL259),0)</f>
        <v/>
      </c>
      <c r="H259" s="104">
        <f>MAX(MIN(AQ259,AM259),0)</f>
        <v/>
      </c>
      <c r="I259" s="105" t="inlineStr">
        <is>
          <t>ROOP KISHOR</t>
        </is>
      </c>
      <c r="J259" s="106" t="inlineStr">
        <is>
          <t>HOUSEHOLD</t>
        </is>
      </c>
      <c r="K259" s="107" t="inlineStr">
        <is>
          <t>HH_CLEANING AIDS</t>
        </is>
      </c>
      <c r="L259" s="107" t="inlineStr">
        <is>
          <t>HH_P_ROPE</t>
        </is>
      </c>
      <c r="M259" s="107" t="inlineStr">
        <is>
          <t>ROPE-[HHPC34]</t>
        </is>
      </c>
      <c r="N259" s="107" t="inlineStr">
        <is>
          <t>INACTIVE</t>
        </is>
      </c>
      <c r="O259" s="108" t="n">
        <v>0</v>
      </c>
      <c r="P259" s="108" t="n">
        <v>0</v>
      </c>
      <c r="Q259" s="109" t="n">
        <v>152</v>
      </c>
      <c r="R259" s="110" t="n">
        <v>0</v>
      </c>
      <c r="S259" s="110" t="n">
        <v>0</v>
      </c>
      <c r="T259" s="110" t="n">
        <v>0</v>
      </c>
      <c r="U259" s="110" t="n">
        <v>0</v>
      </c>
      <c r="V259" s="104" t="n">
        <v>4800</v>
      </c>
      <c r="W259" s="104" t="n">
        <v>0</v>
      </c>
      <c r="X259" s="104">
        <f>$V259+W259</f>
        <v/>
      </c>
      <c r="Y259" s="111">
        <f>IFERROR(A259/R259,0)</f>
        <v/>
      </c>
      <c r="Z259" s="111">
        <f>IFERROR(B259/U259,0)</f>
        <v/>
      </c>
      <c r="AA259" s="111">
        <f>IFERROR(C259/R259,0)</f>
        <v/>
      </c>
      <c r="AB259" s="111">
        <f>IFERROR(D259/U259,0)</f>
        <v/>
      </c>
      <c r="AD259" s="111">
        <f>IF(U259&gt;0,IFERROR(E259/U259,0),1)</f>
        <v/>
      </c>
      <c r="AE259" s="111">
        <f>IF(R259&gt;0,IFERROR(F259/R259,0),1)</f>
        <v/>
      </c>
      <c r="AF259" s="111">
        <f>IF(AL259&gt;0,IFERROR(G259/AL259,0),1)</f>
        <v/>
      </c>
      <c r="AG259" s="111">
        <f>IF(AM259&gt;0,IFERROR(H259/AM259,0),1)</f>
        <v/>
      </c>
      <c r="AH259" s="104">
        <f>U259-(V259+AN259+AR259)</f>
        <v/>
      </c>
      <c r="AI259" s="104">
        <f>R259-(V259+AO259+AR259)</f>
        <v/>
      </c>
      <c r="AJ259" s="104">
        <f>(AL259-AP259)</f>
        <v/>
      </c>
      <c r="AK259" s="104">
        <f>(AM259-AQ259)</f>
        <v/>
      </c>
      <c r="AL259" s="110">
        <f>S259+AI259</f>
        <v/>
      </c>
      <c r="AM259" s="110">
        <f>T259+AJ259</f>
        <v/>
      </c>
      <c r="AN259" s="104" t="n">
        <v>0</v>
      </c>
      <c r="AO259" s="104" t="n">
        <v>0</v>
      </c>
      <c r="AP259" s="104" t="n">
        <v>0</v>
      </c>
      <c r="AQ259" s="104" t="n">
        <v>0</v>
      </c>
      <c r="AR259" s="104" t="n">
        <v>0</v>
      </c>
      <c r="AS259" s="104" t="n"/>
      <c r="AT259" s="104" t="n"/>
    </row>
    <row r="260" ht="12.65" customHeight="1" s="79">
      <c r="A260" s="104">
        <f>MIN(V260,R260)</f>
        <v/>
      </c>
      <c r="B260" s="104">
        <f>MIN(V260,U260)</f>
        <v/>
      </c>
      <c r="C260" s="104">
        <f>MIN(X260,R260)</f>
        <v/>
      </c>
      <c r="D260" s="104">
        <f>MIN(X260,U260)</f>
        <v/>
      </c>
      <c r="E260" s="104">
        <f>MIN((V260+AN260+AR260),U260)</f>
        <v/>
      </c>
      <c r="F260" s="104">
        <f>MAX(MIN((V260+AO260+AR260),R260),0)</f>
        <v/>
      </c>
      <c r="G260" s="104">
        <f>MAX(MIN(AP260,AL260),0)</f>
        <v/>
      </c>
      <c r="H260" s="104">
        <f>MAX(MIN(AQ260,AM260),0)</f>
        <v/>
      </c>
      <c r="I260" s="105" t="inlineStr">
        <is>
          <t>ROOP KISHOR</t>
        </is>
      </c>
      <c r="J260" s="106" t="inlineStr">
        <is>
          <t>HOUSEHOLD</t>
        </is>
      </c>
      <c r="K260" s="107" t="inlineStr">
        <is>
          <t>HH_CLEANING AIDS</t>
        </is>
      </c>
      <c r="L260" s="107" t="inlineStr">
        <is>
          <t>HH_P_SOAP DISH</t>
        </is>
      </c>
      <c r="M260" s="107" t="inlineStr">
        <is>
          <t>SOAP DISH-[HHPC39]</t>
        </is>
      </c>
      <c r="N260" s="107" t="inlineStr">
        <is>
          <t>ACTIVE</t>
        </is>
      </c>
      <c r="O260" s="108" t="n">
        <v>0.205541762219737</v>
      </c>
      <c r="P260" s="108" t="n">
        <v>0.172265197273145</v>
      </c>
      <c r="Q260" s="109" t="n">
        <v>127</v>
      </c>
      <c r="R260" s="110" t="n">
        <v>6601</v>
      </c>
      <c r="S260" s="110" t="n">
        <v>3809.67964917327</v>
      </c>
      <c r="T260" s="110" t="n">
        <v>4193.56113201704</v>
      </c>
      <c r="U260" s="110" t="n">
        <v>14604.2407811903</v>
      </c>
      <c r="V260" s="104" t="n">
        <v>7186</v>
      </c>
      <c r="W260" s="104" t="n">
        <v>3600</v>
      </c>
      <c r="X260" s="104">
        <f>$V260+W260</f>
        <v/>
      </c>
      <c r="Y260" s="111">
        <f>IFERROR(A260/R260,0)</f>
        <v/>
      </c>
      <c r="Z260" s="111">
        <f>IFERROR(B260/U260,0)</f>
        <v/>
      </c>
      <c r="AA260" s="111">
        <f>IFERROR(C260/R260,0)</f>
        <v/>
      </c>
      <c r="AB260" s="111">
        <f>IFERROR(D260/U260,0)</f>
        <v/>
      </c>
      <c r="AD260" s="111">
        <f>IF(U260&gt;0,IFERROR(E260/U260,0),1)</f>
        <v/>
      </c>
      <c r="AE260" s="111">
        <f>IF(R260&gt;0,IFERROR(F260/R260,0),1)</f>
        <v/>
      </c>
      <c r="AF260" s="111">
        <f>IF(AL260&gt;0,IFERROR(G260/AL260,0),1)</f>
        <v/>
      </c>
      <c r="AG260" s="111">
        <f>IF(AM260&gt;0,IFERROR(H260/AM260,0),1)</f>
        <v/>
      </c>
      <c r="AH260" s="104">
        <f>U260-(V260+AN260+AR260)</f>
        <v/>
      </c>
      <c r="AI260" s="104">
        <f>R260-(V260+AO260+AR260)</f>
        <v/>
      </c>
      <c r="AJ260" s="104">
        <f>(AL260-AP260)</f>
        <v/>
      </c>
      <c r="AK260" s="104">
        <f>(AM260-AQ260)</f>
        <v/>
      </c>
      <c r="AL260" s="110">
        <f>S260+AI260</f>
        <v/>
      </c>
      <c r="AM260" s="110">
        <f>T260+AJ260</f>
        <v/>
      </c>
      <c r="AN260" s="104" t="n">
        <v>15612</v>
      </c>
      <c r="AO260" s="104" t="n">
        <v>3612</v>
      </c>
      <c r="AP260" s="104" t="n">
        <v>8400</v>
      </c>
      <c r="AQ260" s="104" t="n">
        <v>3600</v>
      </c>
      <c r="AR260" s="104" t="n">
        <v>0</v>
      </c>
      <c r="AS260" s="104" t="n"/>
      <c r="AT260" s="104" t="n"/>
    </row>
    <row r="261" ht="12.65" customHeight="1" s="79">
      <c r="A261" s="104">
        <f>MIN(V261,R261)</f>
        <v/>
      </c>
      <c r="B261" s="104">
        <f>MIN(V261,U261)</f>
        <v/>
      </c>
      <c r="C261" s="104">
        <f>MIN(X261,R261)</f>
        <v/>
      </c>
      <c r="D261" s="104">
        <f>MIN(X261,U261)</f>
        <v/>
      </c>
      <c r="E261" s="104">
        <f>MIN((V261+AN261+AR261),U261)</f>
        <v/>
      </c>
      <c r="F261" s="104">
        <f>MAX(MIN((V261+AO261+AR261),R261),0)</f>
        <v/>
      </c>
      <c r="G261" s="104">
        <f>MAX(MIN(AP261,AL261),0)</f>
        <v/>
      </c>
      <c r="H261" s="104">
        <f>MAX(MIN(AQ261,AM261),0)</f>
        <v/>
      </c>
      <c r="I261" s="105" t="inlineStr">
        <is>
          <t>ROOP KISHOR</t>
        </is>
      </c>
      <c r="J261" s="106" t="inlineStr">
        <is>
          <t>HOUSEHOLD</t>
        </is>
      </c>
      <c r="K261" s="107" t="inlineStr">
        <is>
          <t>HH_CLEANING AIDS</t>
        </is>
      </c>
      <c r="L261" s="107" t="inlineStr">
        <is>
          <t>HH_P_SOAP DISH</t>
        </is>
      </c>
      <c r="M261" s="107" t="inlineStr">
        <is>
          <t>DISPENSER-[HHPC39]</t>
        </is>
      </c>
      <c r="N261" s="107" t="inlineStr">
        <is>
          <t>ACTIVE</t>
        </is>
      </c>
      <c r="O261" s="108" t="n">
        <v>0.09314646919452001</v>
      </c>
      <c r="P261" s="108" t="n">
        <v>0.104129205217903</v>
      </c>
      <c r="Q261" s="109" t="n">
        <v>127</v>
      </c>
      <c r="R261" s="110" t="n">
        <v>0</v>
      </c>
      <c r="S261" s="110" t="n">
        <v>0</v>
      </c>
      <c r="T261" s="110" t="n">
        <v>0</v>
      </c>
      <c r="U261" s="110" t="n">
        <v>0</v>
      </c>
      <c r="V261" s="104" t="n">
        <v>2544</v>
      </c>
      <c r="W261" s="104" t="n">
        <v>2400</v>
      </c>
      <c r="X261" s="104">
        <f>$V261+W261</f>
        <v/>
      </c>
      <c r="Y261" s="111">
        <f>IFERROR(A261/R261,0)</f>
        <v/>
      </c>
      <c r="Z261" s="111">
        <f>IFERROR(B261/U261,0)</f>
        <v/>
      </c>
      <c r="AA261" s="111">
        <f>IFERROR(C261/R261,0)</f>
        <v/>
      </c>
      <c r="AB261" s="111">
        <f>IFERROR(D261/U261,0)</f>
        <v/>
      </c>
      <c r="AD261" s="111">
        <f>IF(U261&gt;0,IFERROR(E261/U261,0),1)</f>
        <v/>
      </c>
      <c r="AE261" s="111">
        <f>IF(R261&gt;0,IFERROR(F261/R261,0),1)</f>
        <v/>
      </c>
      <c r="AF261" s="111">
        <f>IF(AL261&gt;0,IFERROR(G261/AL261,0),1)</f>
        <v/>
      </c>
      <c r="AG261" s="111">
        <f>IF(AM261&gt;0,IFERROR(H261/AM261,0),1)</f>
        <v/>
      </c>
      <c r="AH261" s="104">
        <f>U261-(V261+AN261+AR261)</f>
        <v/>
      </c>
      <c r="AI261" s="104">
        <f>R261-(V261+AO261+AR261)</f>
        <v/>
      </c>
      <c r="AJ261" s="104">
        <f>(AL261-AP261)</f>
        <v/>
      </c>
      <c r="AK261" s="104">
        <f>(AM261-AQ261)</f>
        <v/>
      </c>
      <c r="AL261" s="110">
        <f>S261+AI261</f>
        <v/>
      </c>
      <c r="AM261" s="110">
        <f>T261+AJ261</f>
        <v/>
      </c>
      <c r="AN261" s="104" t="n">
        <v>2400</v>
      </c>
      <c r="AO261" s="104" t="n">
        <v>2400</v>
      </c>
      <c r="AP261" s="104" t="n">
        <v>0</v>
      </c>
      <c r="AQ261" s="104" t="n">
        <v>0</v>
      </c>
      <c r="AR261" s="104" t="n">
        <v>0</v>
      </c>
      <c r="AS261" s="104" t="n"/>
      <c r="AT261" s="104" t="n"/>
    </row>
    <row r="262" ht="12.65" customHeight="1" s="79">
      <c r="A262" s="104">
        <f>MIN(V262,R262)</f>
        <v/>
      </c>
      <c r="B262" s="104">
        <f>MIN(V262,U262)</f>
        <v/>
      </c>
      <c r="C262" s="104">
        <f>MIN(X262,R262)</f>
        <v/>
      </c>
      <c r="D262" s="104">
        <f>MIN(X262,U262)</f>
        <v/>
      </c>
      <c r="E262" s="104">
        <f>MIN((V262+AN262+AR262),U262)</f>
        <v/>
      </c>
      <c r="F262" s="104">
        <f>MAX(MIN((V262+AO262+AR262),R262),0)</f>
        <v/>
      </c>
      <c r="G262" s="104">
        <f>MAX(MIN(AP262,AL262),0)</f>
        <v/>
      </c>
      <c r="H262" s="104">
        <f>MAX(MIN(AQ262,AM262),0)</f>
        <v/>
      </c>
      <c r="I262" s="105" t="inlineStr">
        <is>
          <t>ROOP KISHOR</t>
        </is>
      </c>
      <c r="J262" s="106" t="inlineStr">
        <is>
          <t>HOUSEHOLD</t>
        </is>
      </c>
      <c r="K262" s="107" t="inlineStr">
        <is>
          <t>HH_CROCKERY</t>
        </is>
      </c>
      <c r="L262" s="107" t="inlineStr">
        <is>
          <t>HH_C_BC_COFFEE MUG</t>
        </is>
      </c>
      <c r="M262" s="107" t="inlineStr">
        <is>
          <t>BIO-[HHC36]</t>
        </is>
      </c>
      <c r="N262" s="107" t="inlineStr">
        <is>
          <t>ACTIVE</t>
        </is>
      </c>
      <c r="O262" s="108" t="n">
        <v>0.119949582931978</v>
      </c>
      <c r="P262" s="108" t="n">
        <v>0.112937498473488</v>
      </c>
      <c r="Q262" s="109" t="n">
        <v>71</v>
      </c>
      <c r="R262" s="110" t="n">
        <v>30661</v>
      </c>
      <c r="S262" s="110" t="n">
        <v>22681.1182437854</v>
      </c>
      <c r="T262" s="110" t="n">
        <v>13415.6002154078</v>
      </c>
      <c r="U262" s="110" t="n">
        <v>66757.7184591932</v>
      </c>
      <c r="V262" s="104" t="n">
        <v>17128</v>
      </c>
      <c r="W262" s="104" t="n">
        <v>3100</v>
      </c>
      <c r="X262" s="104">
        <f>$V262+W262</f>
        <v/>
      </c>
      <c r="Y262" s="111">
        <f>IFERROR(A262/R262,0)</f>
        <v/>
      </c>
      <c r="Z262" s="111">
        <f>IFERROR(B262/U262,0)</f>
        <v/>
      </c>
      <c r="AA262" s="111">
        <f>IFERROR(C262/R262,0)</f>
        <v/>
      </c>
      <c r="AB262" s="111">
        <f>IFERROR(D262/U262,0)</f>
        <v/>
      </c>
      <c r="AD262" s="111">
        <f>IF(U262&gt;0,IFERROR(E262/U262,0),1)</f>
        <v/>
      </c>
      <c r="AE262" s="111">
        <f>IF(R262&gt;0,IFERROR(F262/R262,0),1)</f>
        <v/>
      </c>
      <c r="AF262" s="111">
        <f>IF(AL262&gt;0,IFERROR(G262/AL262,0),1)</f>
        <v/>
      </c>
      <c r="AG262" s="111">
        <f>IF(AM262&gt;0,IFERROR(H262/AM262,0),1)</f>
        <v/>
      </c>
      <c r="AH262" s="104">
        <f>U262-(V262+AN262+AR262)</f>
        <v/>
      </c>
      <c r="AI262" s="104">
        <f>R262-(V262+AO262+AR262)</f>
        <v/>
      </c>
      <c r="AJ262" s="104">
        <f>(AL262-AP262)</f>
        <v/>
      </c>
      <c r="AK262" s="104">
        <f>(AM262-AQ262)</f>
        <v/>
      </c>
      <c r="AL262" s="110">
        <f>S262+AI262</f>
        <v/>
      </c>
      <c r="AM262" s="110">
        <f>T262+AJ262</f>
        <v/>
      </c>
      <c r="AN262" s="104" t="n">
        <v>62180</v>
      </c>
      <c r="AO262" s="104" t="n">
        <v>24380</v>
      </c>
      <c r="AP262" s="104" t="n">
        <v>24600</v>
      </c>
      <c r="AQ262" s="104" t="n">
        <v>13200</v>
      </c>
      <c r="AR262" s="104" t="n">
        <v>0</v>
      </c>
      <c r="AS262" s="104" t="n"/>
      <c r="AT262" s="104" t="n"/>
    </row>
    <row r="263" ht="12.65" customHeight="1" s="79">
      <c r="A263" s="104">
        <f>MIN(V263,R263)</f>
        <v/>
      </c>
      <c r="B263" s="104">
        <f>MIN(V263,U263)</f>
        <v/>
      </c>
      <c r="C263" s="104">
        <f>MIN(X263,R263)</f>
        <v/>
      </c>
      <c r="D263" s="104">
        <f>MIN(X263,U263)</f>
        <v/>
      </c>
      <c r="E263" s="104">
        <f>MIN((V263+AN263+AR263),U263)</f>
        <v/>
      </c>
      <c r="F263" s="104">
        <f>MAX(MIN((V263+AO263+AR263),R263),0)</f>
        <v/>
      </c>
      <c r="G263" s="104">
        <f>MAX(MIN(AP263,AL263),0)</f>
        <v/>
      </c>
      <c r="H263" s="104">
        <f>MAX(MIN(AQ263,AM263),0)</f>
        <v/>
      </c>
      <c r="I263" s="105" t="inlineStr">
        <is>
          <t>ROOP KISHOR</t>
        </is>
      </c>
      <c r="J263" s="106" t="inlineStr">
        <is>
          <t>HOUSEHOLD</t>
        </is>
      </c>
      <c r="K263" s="107" t="inlineStr">
        <is>
          <t>HH_CROCKERY</t>
        </is>
      </c>
      <c r="L263" s="107" t="inlineStr">
        <is>
          <t>HH_C_BC_COFFEE MUG</t>
        </is>
      </c>
      <c r="M263" s="107" t="inlineStr">
        <is>
          <t>BIO KULHAD-[HHC36]</t>
        </is>
      </c>
      <c r="N263" s="107" t="inlineStr">
        <is>
          <t>ACTIVE</t>
        </is>
      </c>
      <c r="O263" s="108" t="n">
        <v>0.116815007478232</v>
      </c>
      <c r="P263" s="108" t="n">
        <v>0.151715372466193</v>
      </c>
      <c r="Q263" s="109" t="n">
        <v>71</v>
      </c>
      <c r="R263" s="110" t="n">
        <v>19667</v>
      </c>
      <c r="S263" s="110" t="n">
        <v>14037.5632866647</v>
      </c>
      <c r="T263" s="110" t="n">
        <v>9981.615907859339</v>
      </c>
      <c r="U263" s="110" t="n">
        <v>43686.179194524</v>
      </c>
      <c r="V263" s="104" t="n">
        <v>17953</v>
      </c>
      <c r="W263" s="104" t="n">
        <v>0</v>
      </c>
      <c r="X263" s="104">
        <f>$V263+W263</f>
        <v/>
      </c>
      <c r="Y263" s="111">
        <f>IFERROR(A263/R263,0)</f>
        <v/>
      </c>
      <c r="Z263" s="111">
        <f>IFERROR(B263/U263,0)</f>
        <v/>
      </c>
      <c r="AA263" s="111">
        <f>IFERROR(C263/R263,0)</f>
        <v/>
      </c>
      <c r="AB263" s="111">
        <f>IFERROR(D263/U263,0)</f>
        <v/>
      </c>
      <c r="AD263" s="111">
        <f>IF(U263&gt;0,IFERROR(E263/U263,0),1)</f>
        <v/>
      </c>
      <c r="AE263" s="111">
        <f>IF(R263&gt;0,IFERROR(F263/R263,0),1)</f>
        <v/>
      </c>
      <c r="AF263" s="111">
        <f>IF(AL263&gt;0,IFERROR(G263/AL263,0),1)</f>
        <v/>
      </c>
      <c r="AG263" s="111">
        <f>IF(AM263&gt;0,IFERROR(H263/AM263,0),1)</f>
        <v/>
      </c>
      <c r="AH263" s="104">
        <f>U263-(V263+AN263+AR263)</f>
        <v/>
      </c>
      <c r="AI263" s="104">
        <f>R263-(V263+AO263+AR263)</f>
        <v/>
      </c>
      <c r="AJ263" s="104">
        <f>(AL263-AP263)</f>
        <v/>
      </c>
      <c r="AK263" s="104">
        <f>(AM263-AQ263)</f>
        <v/>
      </c>
      <c r="AL263" s="110">
        <f>S263+AI263</f>
        <v/>
      </c>
      <c r="AM263" s="110">
        <f>T263+AJ263</f>
        <v/>
      </c>
      <c r="AN263" s="104" t="n">
        <v>39708</v>
      </c>
      <c r="AO263" s="104" t="n">
        <v>8460</v>
      </c>
      <c r="AP263" s="104" t="n">
        <v>19224</v>
      </c>
      <c r="AQ263" s="104" t="n">
        <v>12024</v>
      </c>
      <c r="AR263" s="104" t="n">
        <v>0</v>
      </c>
      <c r="AS263" s="104" t="n"/>
      <c r="AT263" s="104" t="n"/>
    </row>
    <row r="264" ht="12.65" customHeight="1" s="79">
      <c r="A264" s="104">
        <f>MIN(V264,R264)</f>
        <v/>
      </c>
      <c r="B264" s="104">
        <f>MIN(V264,U264)</f>
        <v/>
      </c>
      <c r="C264" s="104">
        <f>MIN(X264,R264)</f>
        <v/>
      </c>
      <c r="D264" s="104">
        <f>MIN(X264,U264)</f>
        <v/>
      </c>
      <c r="E264" s="104">
        <f>MIN((V264+AN264+AR264),U264)</f>
        <v/>
      </c>
      <c r="F264" s="104">
        <f>MAX(MIN((V264+AO264+AR264),R264),0)</f>
        <v/>
      </c>
      <c r="G264" s="104">
        <f>MAX(MIN(AP264,AL264),0)</f>
        <v/>
      </c>
      <c r="H264" s="104">
        <f>MAX(MIN(AQ264,AM264),0)</f>
        <v/>
      </c>
      <c r="I264" s="105" t="inlineStr">
        <is>
          <t>ROOP KISHOR</t>
        </is>
      </c>
      <c r="J264" s="106" t="inlineStr">
        <is>
          <t>HOUSEHOLD</t>
        </is>
      </c>
      <c r="K264" s="107" t="inlineStr">
        <is>
          <t>HH_CROCKERY</t>
        </is>
      </c>
      <c r="L264" s="107" t="inlineStr">
        <is>
          <t>HH_C_BC_COFFEE SET</t>
        </is>
      </c>
      <c r="M264" s="107" t="inlineStr">
        <is>
          <t>BIO-[HHC03]</t>
        </is>
      </c>
      <c r="N264" s="107" t="inlineStr">
        <is>
          <t>ACTIVE</t>
        </is>
      </c>
      <c r="O264" s="108" t="n">
        <v>0.0852546851299114</v>
      </c>
      <c r="P264" s="108" t="n">
        <v>0.0745719605794995</v>
      </c>
      <c r="Q264" s="109" t="n">
        <v>16</v>
      </c>
      <c r="R264" s="110" t="n">
        <v>22944</v>
      </c>
      <c r="S264" s="110" t="n">
        <v>18134.5920667898</v>
      </c>
      <c r="T264" s="110" t="n">
        <v>14380.077327137</v>
      </c>
      <c r="U264" s="110" t="n">
        <v>55458.6693939268</v>
      </c>
      <c r="V264" s="104" t="n">
        <v>3599</v>
      </c>
      <c r="W264" s="104" t="n">
        <v>14040</v>
      </c>
      <c r="X264" s="104">
        <f>$V264+W264</f>
        <v/>
      </c>
      <c r="Y264" s="111">
        <f>IFERROR(A264/R264,0)</f>
        <v/>
      </c>
      <c r="Z264" s="111">
        <f>IFERROR(B264/U264,0)</f>
        <v/>
      </c>
      <c r="AA264" s="111">
        <f>IFERROR(C264/R264,0)</f>
        <v/>
      </c>
      <c r="AB264" s="111">
        <f>IFERROR(D264/U264,0)</f>
        <v/>
      </c>
      <c r="AD264" s="111">
        <f>IF(U264&gt;0,IFERROR(E264/U264,0),1)</f>
        <v/>
      </c>
      <c r="AE264" s="111">
        <f>IF(R264&gt;0,IFERROR(F264/R264,0),1)</f>
        <v/>
      </c>
      <c r="AF264" s="111">
        <f>IF(AL264&gt;0,IFERROR(G264/AL264,0),1)</f>
        <v/>
      </c>
      <c r="AG264" s="111">
        <f>IF(AM264&gt;0,IFERROR(H264/AM264,0),1)</f>
        <v/>
      </c>
      <c r="AH264" s="104">
        <f>U264-(V264+AN264+AR264)</f>
        <v/>
      </c>
      <c r="AI264" s="104">
        <f>R264-(V264+AO264+AR264)</f>
        <v/>
      </c>
      <c r="AJ264" s="104">
        <f>(AL264-AP264)</f>
        <v/>
      </c>
      <c r="AK264" s="104">
        <f>(AM264-AQ264)</f>
        <v/>
      </c>
      <c r="AL264" s="110">
        <f>S264+AI264</f>
        <v/>
      </c>
      <c r="AM264" s="110">
        <f>T264+AJ264</f>
        <v/>
      </c>
      <c r="AN264" s="104" t="n">
        <v>49800</v>
      </c>
      <c r="AO264" s="104" t="n">
        <v>34200</v>
      </c>
      <c r="AP264" s="104" t="n">
        <v>13200</v>
      </c>
      <c r="AQ264" s="104" t="n">
        <v>2400</v>
      </c>
      <c r="AR264" s="104" t="n">
        <v>0</v>
      </c>
      <c r="AS264" s="104" t="n"/>
      <c r="AT264" s="104" t="n"/>
    </row>
    <row r="265" ht="12.65" customHeight="1" s="79">
      <c r="A265" s="104">
        <f>MIN(V265,R265)</f>
        <v/>
      </c>
      <c r="B265" s="104">
        <f>MIN(V265,U265)</f>
        <v/>
      </c>
      <c r="C265" s="104">
        <f>MIN(X265,R265)</f>
        <v/>
      </c>
      <c r="D265" s="104">
        <f>MIN(X265,U265)</f>
        <v/>
      </c>
      <c r="E265" s="104">
        <f>MIN((V265+AN265+AR265),U265)</f>
        <v/>
      </c>
      <c r="F265" s="104">
        <f>MAX(MIN((V265+AO265+AR265),R265),0)</f>
        <v/>
      </c>
      <c r="G265" s="104">
        <f>MAX(MIN(AP265,AL265),0)</f>
        <v/>
      </c>
      <c r="H265" s="104">
        <f>MAX(MIN(AQ265,AM265),0)</f>
        <v/>
      </c>
      <c r="I265" s="105" t="inlineStr">
        <is>
          <t>ROOP KISHOR</t>
        </is>
      </c>
      <c r="J265" s="106" t="inlineStr">
        <is>
          <t>HOUSEHOLD</t>
        </is>
      </c>
      <c r="K265" s="107" t="inlineStr">
        <is>
          <t>HH_CROCKERY</t>
        </is>
      </c>
      <c r="L265" s="107" t="inlineStr">
        <is>
          <t>HH_C_BC_COFFEE SET</t>
        </is>
      </c>
      <c r="M265" s="107" t="inlineStr">
        <is>
          <t>LUSTURE-[HHC03]</t>
        </is>
      </c>
      <c r="N265" s="107" t="inlineStr">
        <is>
          <t>ACTIVE</t>
        </is>
      </c>
      <c r="O265" s="108" t="n">
        <v>0.123993950012319</v>
      </c>
      <c r="P265" s="108" t="n">
        <v>0.104825978547928</v>
      </c>
      <c r="Q265" s="109" t="n">
        <v>16</v>
      </c>
      <c r="R265" s="110" t="n">
        <v>18388</v>
      </c>
      <c r="S265" s="110" t="n">
        <v>14819.1441026788</v>
      </c>
      <c r="T265" s="110" t="n">
        <v>11825.4908803363</v>
      </c>
      <c r="U265" s="110" t="n">
        <v>45032.6349830151</v>
      </c>
      <c r="V265" s="104" t="n">
        <v>8486</v>
      </c>
      <c r="W265" s="104" t="n">
        <v>0</v>
      </c>
      <c r="X265" s="104">
        <f>$V265+W265</f>
        <v/>
      </c>
      <c r="Y265" s="111">
        <f>IFERROR(A265/R265,0)</f>
        <v/>
      </c>
      <c r="Z265" s="111">
        <f>IFERROR(B265/U265,0)</f>
        <v/>
      </c>
      <c r="AA265" s="111">
        <f>IFERROR(C265/R265,0)</f>
        <v/>
      </c>
      <c r="AB265" s="111">
        <f>IFERROR(D265/U265,0)</f>
        <v/>
      </c>
      <c r="AD265" s="111">
        <f>IF(U265&gt;0,IFERROR(E265/U265,0),1)</f>
        <v/>
      </c>
      <c r="AE265" s="111">
        <f>IF(R265&gt;0,IFERROR(F265/R265,0),1)</f>
        <v/>
      </c>
      <c r="AF265" s="111">
        <f>IF(AL265&gt;0,IFERROR(G265/AL265,0),1)</f>
        <v/>
      </c>
      <c r="AG265" s="111">
        <f>IF(AM265&gt;0,IFERROR(H265/AM265,0),1)</f>
        <v/>
      </c>
      <c r="AH265" s="104">
        <f>U265-(V265+AN265+AR265)</f>
        <v/>
      </c>
      <c r="AI265" s="104">
        <f>R265-(V265+AO265+AR265)</f>
        <v/>
      </c>
      <c r="AJ265" s="104">
        <f>(AL265-AP265)</f>
        <v/>
      </c>
      <c r="AK265" s="104">
        <f>(AM265-AQ265)</f>
        <v/>
      </c>
      <c r="AL265" s="110">
        <f>S265+AI265</f>
        <v/>
      </c>
      <c r="AM265" s="110">
        <f>T265+AJ265</f>
        <v/>
      </c>
      <c r="AN265" s="104" t="n">
        <v>41400</v>
      </c>
      <c r="AO265" s="104" t="n">
        <v>13200</v>
      </c>
      <c r="AP265" s="104" t="n">
        <v>15600</v>
      </c>
      <c r="AQ265" s="104" t="n">
        <v>12600</v>
      </c>
      <c r="AR265" s="104" t="n">
        <v>0</v>
      </c>
      <c r="AS265" s="104" t="n"/>
      <c r="AT265" s="104" t="n"/>
    </row>
    <row r="266" ht="12.65" customHeight="1" s="79">
      <c r="A266" s="104">
        <f>MIN(V266,R266)</f>
        <v/>
      </c>
      <c r="B266" s="104">
        <f>MIN(V266,U266)</f>
        <v/>
      </c>
      <c r="C266" s="104">
        <f>MIN(X266,R266)</f>
        <v/>
      </c>
      <c r="D266" s="104">
        <f>MIN(X266,U266)</f>
        <v/>
      </c>
      <c r="E266" s="104">
        <f>MIN((V266+AN266+AR266),U266)</f>
        <v/>
      </c>
      <c r="F266" s="104">
        <f>MAX(MIN((V266+AO266+AR266),R266),0)</f>
        <v/>
      </c>
      <c r="G266" s="104">
        <f>MAX(MIN(AP266,AL266),0)</f>
        <v/>
      </c>
      <c r="H266" s="104">
        <f>MAX(MIN(AQ266,AM266),0)</f>
        <v/>
      </c>
      <c r="I266" s="105" t="inlineStr">
        <is>
          <t>ROOP KISHOR</t>
        </is>
      </c>
      <c r="J266" s="106" t="inlineStr">
        <is>
          <t>HOUSEHOLD</t>
        </is>
      </c>
      <c r="K266" s="107" t="inlineStr">
        <is>
          <t>HH_CROCKERY</t>
        </is>
      </c>
      <c r="L266" s="107" t="inlineStr">
        <is>
          <t>HH_C_BC_COFFEE SET</t>
        </is>
      </c>
      <c r="M266" s="107" t="inlineStr">
        <is>
          <t>STL LINE-[HHC03]</t>
        </is>
      </c>
      <c r="N266" s="107" t="inlineStr">
        <is>
          <t>ACTIVE</t>
        </is>
      </c>
      <c r="O266" s="108" t="n">
        <v>0.0906131134798315</v>
      </c>
      <c r="P266" s="108" t="n">
        <v>0.0805681944290312</v>
      </c>
      <c r="Q266" s="109" t="n">
        <v>16</v>
      </c>
      <c r="R266" s="110" t="n">
        <v>6642</v>
      </c>
      <c r="S266" s="110" t="n">
        <v>4050.68464006197</v>
      </c>
      <c r="T266" s="110" t="n">
        <v>3185.31458659646</v>
      </c>
      <c r="U266" s="110" t="n">
        <v>13877.9992266584</v>
      </c>
      <c r="V266" s="104" t="n">
        <v>3593</v>
      </c>
      <c r="W266" s="104" t="n">
        <v>1800</v>
      </c>
      <c r="X266" s="104">
        <f>$V266+W266</f>
        <v/>
      </c>
      <c r="Y266" s="111">
        <f>IFERROR(A266/R266,0)</f>
        <v/>
      </c>
      <c r="Z266" s="111">
        <f>IFERROR(B266/U266,0)</f>
        <v/>
      </c>
      <c r="AA266" s="111">
        <f>IFERROR(C266/R266,0)</f>
        <v/>
      </c>
      <c r="AB266" s="111">
        <f>IFERROR(D266/U266,0)</f>
        <v/>
      </c>
      <c r="AD266" s="111">
        <f>IF(U266&gt;0,IFERROR(E266/U266,0),1)</f>
        <v/>
      </c>
      <c r="AE266" s="111">
        <f>IF(R266&gt;0,IFERROR(F266/R266,0),1)</f>
        <v/>
      </c>
      <c r="AF266" s="111">
        <f>IF(AL266&gt;0,IFERROR(G266/AL266,0),1)</f>
        <v/>
      </c>
      <c r="AG266" s="111">
        <f>IF(AM266&gt;0,IFERROR(H266/AM266,0),1)</f>
        <v/>
      </c>
      <c r="AH266" s="104">
        <f>U266-(V266+AN266+AR266)</f>
        <v/>
      </c>
      <c r="AI266" s="104">
        <f>R266-(V266+AO266+AR266)</f>
        <v/>
      </c>
      <c r="AJ266" s="104">
        <f>(AL266-AP266)</f>
        <v/>
      </c>
      <c r="AK266" s="104">
        <f>(AM266-AQ266)</f>
        <v/>
      </c>
      <c r="AL266" s="110">
        <f>S266+AI266</f>
        <v/>
      </c>
      <c r="AM266" s="110">
        <f>T266+AJ266</f>
        <v/>
      </c>
      <c r="AN266" s="104" t="n">
        <v>6000</v>
      </c>
      <c r="AO266" s="104" t="n">
        <v>1800</v>
      </c>
      <c r="AP266" s="104" t="n">
        <v>4200</v>
      </c>
      <c r="AQ266" s="104" t="n">
        <v>0</v>
      </c>
      <c r="AR266" s="104" t="n">
        <v>0</v>
      </c>
      <c r="AS266" s="104" t="n"/>
      <c r="AT266" s="104" t="n"/>
    </row>
    <row r="267" ht="12.65" customHeight="1" s="79">
      <c r="A267" s="104">
        <f>MIN(V267,R267)</f>
        <v/>
      </c>
      <c r="B267" s="104">
        <f>MIN(V267,U267)</f>
        <v/>
      </c>
      <c r="C267" s="104">
        <f>MIN(X267,R267)</f>
        <v/>
      </c>
      <c r="D267" s="104">
        <f>MIN(X267,U267)</f>
        <v/>
      </c>
      <c r="E267" s="104">
        <f>MIN((V267+AN267+AR267),U267)</f>
        <v/>
      </c>
      <c r="F267" s="104">
        <f>MAX(MIN((V267+AO267+AR267),R267),0)</f>
        <v/>
      </c>
      <c r="G267" s="104">
        <f>MAX(MIN(AP267,AL267),0)</f>
        <v/>
      </c>
      <c r="H267" s="104">
        <f>MAX(MIN(AQ267,AM267),0)</f>
        <v/>
      </c>
      <c r="I267" s="105" t="inlineStr">
        <is>
          <t>ROOP KISHOR</t>
        </is>
      </c>
      <c r="J267" s="106" t="inlineStr">
        <is>
          <t>HOUSEHOLD</t>
        </is>
      </c>
      <c r="K267" s="107" t="inlineStr">
        <is>
          <t>HH_CROCKERY</t>
        </is>
      </c>
      <c r="L267" s="107" t="inlineStr">
        <is>
          <t>HH_C_BC_COFFEE SET</t>
        </is>
      </c>
      <c r="M267" s="107" t="inlineStr">
        <is>
          <t>CUP &amp; SAUCER-[HHC03]</t>
        </is>
      </c>
      <c r="N267" s="107" t="inlineStr">
        <is>
          <t>ACTIVE</t>
        </is>
      </c>
      <c r="O267" s="108" t="n">
        <v>0.134754409881439</v>
      </c>
      <c r="P267" s="108" t="n">
        <v>0.0595225685395601</v>
      </c>
      <c r="Q267" s="109" t="n">
        <v>16</v>
      </c>
      <c r="R267" s="110" t="n">
        <v>128</v>
      </c>
      <c r="S267" s="110" t="n">
        <v>117.338969707249</v>
      </c>
      <c r="T267" s="110" t="n">
        <v>144.247610253706</v>
      </c>
      <c r="U267" s="110" t="n">
        <v>389.586579960955</v>
      </c>
      <c r="V267" s="104" t="n">
        <v>0</v>
      </c>
      <c r="W267" s="104" t="n">
        <v>0</v>
      </c>
      <c r="X267" s="104">
        <f>$V267+W267</f>
        <v/>
      </c>
      <c r="Y267" s="111">
        <f>IFERROR(A267/R267,0)</f>
        <v/>
      </c>
      <c r="Z267" s="111">
        <f>IFERROR(B267/U267,0)</f>
        <v/>
      </c>
      <c r="AA267" s="111">
        <f>IFERROR(C267/R267,0)</f>
        <v/>
      </c>
      <c r="AB267" s="111">
        <f>IFERROR(D267/U267,0)</f>
        <v/>
      </c>
      <c r="AD267" s="111">
        <f>IF(U267&gt;0,IFERROR(E267/U267,0),1)</f>
        <v/>
      </c>
      <c r="AE267" s="111">
        <f>IF(R267&gt;0,IFERROR(F267/R267,0),1)</f>
        <v/>
      </c>
      <c r="AF267" s="111">
        <f>IF(AL267&gt;0,IFERROR(G267/AL267,0),1)</f>
        <v/>
      </c>
      <c r="AG267" s="111">
        <f>IF(AM267&gt;0,IFERROR(H267/AM267,0),1)</f>
        <v/>
      </c>
      <c r="AH267" s="104">
        <f>U267-(V267+AN267+AR267)</f>
        <v/>
      </c>
      <c r="AI267" s="104">
        <f>R267-(V267+AO267+AR267)</f>
        <v/>
      </c>
      <c r="AJ267" s="104">
        <f>(AL267-AP267)</f>
        <v/>
      </c>
      <c r="AK267" s="104">
        <f>(AM267-AQ267)</f>
        <v/>
      </c>
      <c r="AL267" s="110">
        <f>S267+AI267</f>
        <v/>
      </c>
      <c r="AM267" s="110">
        <f>T267+AJ267</f>
        <v/>
      </c>
      <c r="AN267" s="104" t="n">
        <v>4800</v>
      </c>
      <c r="AO267" s="104" t="n">
        <v>2400</v>
      </c>
      <c r="AP267" s="104" t="n">
        <v>2400</v>
      </c>
      <c r="AQ267" s="104" t="n">
        <v>0</v>
      </c>
      <c r="AR267" s="104" t="n">
        <v>0</v>
      </c>
      <c r="AS267" s="104" t="n"/>
      <c r="AT267" s="104" t="n"/>
    </row>
    <row r="268" ht="12.65" customHeight="1" s="79">
      <c r="A268" s="104">
        <f>MIN(V268,R268)</f>
        <v/>
      </c>
      <c r="B268" s="104">
        <f>MIN(V268,U268)</f>
        <v/>
      </c>
      <c r="C268" s="104">
        <f>MIN(X268,R268)</f>
        <v/>
      </c>
      <c r="D268" s="104">
        <f>MIN(X268,U268)</f>
        <v/>
      </c>
      <c r="E268" s="104">
        <f>MIN((V268+AN268+AR268),U268)</f>
        <v/>
      </c>
      <c r="F268" s="104">
        <f>MAX(MIN((V268+AO268+AR268),R268),0)</f>
        <v/>
      </c>
      <c r="G268" s="104">
        <f>MAX(MIN(AP268,AL268),0)</f>
        <v/>
      </c>
      <c r="H268" s="104">
        <f>MAX(MIN(AQ268,AM268),0)</f>
        <v/>
      </c>
      <c r="I268" s="105" t="inlineStr">
        <is>
          <t>ROOP KISHOR</t>
        </is>
      </c>
      <c r="J268" s="106" t="inlineStr">
        <is>
          <t>HOUSEHOLD</t>
        </is>
      </c>
      <c r="K268" s="107" t="inlineStr">
        <is>
          <t>HH_CROCKERY</t>
        </is>
      </c>
      <c r="L268" s="107" t="inlineStr">
        <is>
          <t>HH_C_G_BEER MUG</t>
        </is>
      </c>
      <c r="M268" s="107" t="inlineStr">
        <is>
          <t>SML-[HHC07]</t>
        </is>
      </c>
      <c r="N268" s="107" t="inlineStr">
        <is>
          <t>ACTIVE</t>
        </is>
      </c>
      <c r="O268" s="108" t="n">
        <v>0.204955543933054</v>
      </c>
      <c r="P268" s="108" t="n">
        <v>0.209408439329699</v>
      </c>
      <c r="Q268" s="109" t="n">
        <v>140</v>
      </c>
      <c r="R268" s="110" t="n">
        <v>5775</v>
      </c>
      <c r="S268" s="110" t="n">
        <v>4572.64050010234</v>
      </c>
      <c r="T268" s="110" t="n">
        <v>3449.06806637104</v>
      </c>
      <c r="U268" s="110" t="n">
        <v>13796.7085664734</v>
      </c>
      <c r="V268" s="104" t="n">
        <v>0</v>
      </c>
      <c r="W268" s="104" t="n">
        <v>0</v>
      </c>
      <c r="X268" s="104">
        <f>$V268+W268</f>
        <v/>
      </c>
      <c r="Y268" s="111">
        <f>IFERROR(A268/R268,0)</f>
        <v/>
      </c>
      <c r="Z268" s="111">
        <f>IFERROR(B268/U268,0)</f>
        <v/>
      </c>
      <c r="AA268" s="111">
        <f>IFERROR(C268/R268,0)</f>
        <v/>
      </c>
      <c r="AB268" s="111">
        <f>IFERROR(D268/U268,0)</f>
        <v/>
      </c>
      <c r="AD268" s="111">
        <f>IF(U268&gt;0,IFERROR(E268/U268,0),1)</f>
        <v/>
      </c>
      <c r="AE268" s="111">
        <f>IF(R268&gt;0,IFERROR(F268/R268,0),1)</f>
        <v/>
      </c>
      <c r="AF268" s="111">
        <f>IF(AL268&gt;0,IFERROR(G268/AL268,0),1)</f>
        <v/>
      </c>
      <c r="AG268" s="111">
        <f>IF(AM268&gt;0,IFERROR(H268/AM268,0),1)</f>
        <v/>
      </c>
      <c r="AH268" s="104">
        <f>U268-(V268+AN268+AR268)</f>
        <v/>
      </c>
      <c r="AI268" s="104">
        <f>R268-(V268+AO268+AR268)</f>
        <v/>
      </c>
      <c r="AJ268" s="104">
        <f>(AL268-AP268)</f>
        <v/>
      </c>
      <c r="AK268" s="104">
        <f>(AM268-AQ268)</f>
        <v/>
      </c>
      <c r="AL268" s="110">
        <f>S268+AI268</f>
        <v/>
      </c>
      <c r="AM268" s="110">
        <f>T268+AJ268</f>
        <v/>
      </c>
      <c r="AN268" s="104" t="n">
        <v>14364</v>
      </c>
      <c r="AO268" s="104" t="n">
        <v>4788</v>
      </c>
      <c r="AP268" s="104" t="n">
        <v>4788</v>
      </c>
      <c r="AQ268" s="104" t="n">
        <v>4788</v>
      </c>
      <c r="AR268" s="104" t="n">
        <v>0</v>
      </c>
      <c r="AS268" s="104" t="n"/>
      <c r="AT268" s="104" t="n"/>
    </row>
    <row r="269" ht="12.65" customHeight="1" s="79">
      <c r="A269" s="104">
        <f>MIN(V269,R269)</f>
        <v/>
      </c>
      <c r="B269" s="104">
        <f>MIN(V269,U269)</f>
        <v/>
      </c>
      <c r="C269" s="104">
        <f>MIN(X269,R269)</f>
        <v/>
      </c>
      <c r="D269" s="104">
        <f>MIN(X269,U269)</f>
        <v/>
      </c>
      <c r="E269" s="104">
        <f>MIN((V269+AN269+AR269),U269)</f>
        <v/>
      </c>
      <c r="F269" s="104">
        <f>MAX(MIN((V269+AO269+AR269),R269),0)</f>
        <v/>
      </c>
      <c r="G269" s="104">
        <f>MAX(MIN(AP269,AL269),0)</f>
        <v/>
      </c>
      <c r="H269" s="104">
        <f>MAX(MIN(AQ269,AM269),0)</f>
        <v/>
      </c>
      <c r="I269" s="105" t="inlineStr">
        <is>
          <t>ROOP KISHOR</t>
        </is>
      </c>
      <c r="J269" s="106" t="inlineStr">
        <is>
          <t>HOUSEHOLD</t>
        </is>
      </c>
      <c r="K269" s="107" t="inlineStr">
        <is>
          <t>HH_CROCKERY</t>
        </is>
      </c>
      <c r="L269" s="107" t="inlineStr">
        <is>
          <t>HH_C_G_BEER MUG</t>
        </is>
      </c>
      <c r="M269" s="107" t="inlineStr">
        <is>
          <t>BIG-[HHC07]</t>
        </is>
      </c>
      <c r="N269" s="107" t="inlineStr">
        <is>
          <t>ACTIVE</t>
        </is>
      </c>
      <c r="O269" s="108" t="n">
        <v>0.0926680045983282</v>
      </c>
      <c r="P269" s="108" t="n">
        <v>0.112156686177398</v>
      </c>
      <c r="Q269" s="109" t="n">
        <v>140</v>
      </c>
      <c r="R269" s="110" t="n">
        <v>1742</v>
      </c>
      <c r="S269" s="110" t="n">
        <v>1766.92085367675</v>
      </c>
      <c r="T269" s="110" t="n">
        <v>1492.367903066</v>
      </c>
      <c r="U269" s="110" t="n">
        <v>5001.28875674275</v>
      </c>
      <c r="V269" s="104" t="n">
        <v>2412</v>
      </c>
      <c r="W269" s="104" t="n">
        <v>1200</v>
      </c>
      <c r="X269" s="104">
        <f>$V269+W269</f>
        <v/>
      </c>
      <c r="Y269" s="111">
        <f>IFERROR(A269/R269,0)</f>
        <v/>
      </c>
      <c r="Z269" s="111">
        <f>IFERROR(B269/U269,0)</f>
        <v/>
      </c>
      <c r="AA269" s="111">
        <f>IFERROR(C269/R269,0)</f>
        <v/>
      </c>
      <c r="AB269" s="111">
        <f>IFERROR(D269/U269,0)</f>
        <v/>
      </c>
      <c r="AD269" s="111">
        <f>IF(U269&gt;0,IFERROR(E269/U269,0),1)</f>
        <v/>
      </c>
      <c r="AE269" s="111">
        <f>IF(R269&gt;0,IFERROR(F269/R269,0),1)</f>
        <v/>
      </c>
      <c r="AF269" s="111">
        <f>IF(AL269&gt;0,IFERROR(G269/AL269,0),1)</f>
        <v/>
      </c>
      <c r="AG269" s="111">
        <f>IF(AM269&gt;0,IFERROR(H269/AM269,0),1)</f>
        <v/>
      </c>
      <c r="AH269" s="104">
        <f>U269-(V269+AN269+AR269)</f>
        <v/>
      </c>
      <c r="AI269" s="104">
        <f>R269-(V269+AO269+AR269)</f>
        <v/>
      </c>
      <c r="AJ269" s="104">
        <f>(AL269-AP269)</f>
        <v/>
      </c>
      <c r="AK269" s="104">
        <f>(AM269-AQ269)</f>
        <v/>
      </c>
      <c r="AL269" s="110">
        <f>S269+AI269</f>
        <v/>
      </c>
      <c r="AM269" s="110">
        <f>T269+AJ269</f>
        <v/>
      </c>
      <c r="AN269" s="104" t="n">
        <v>6024</v>
      </c>
      <c r="AO269" s="104" t="n">
        <v>1200</v>
      </c>
      <c r="AP269" s="104" t="n">
        <v>2412</v>
      </c>
      <c r="AQ269" s="104" t="n">
        <v>2412</v>
      </c>
      <c r="AR269" s="104" t="n">
        <v>0</v>
      </c>
      <c r="AS269" s="104" t="n"/>
      <c r="AT269" s="104" t="n"/>
    </row>
    <row r="270" ht="12.65" customHeight="1" s="79">
      <c r="A270" s="104">
        <f>MIN(V270,R270)</f>
        <v/>
      </c>
      <c r="B270" s="104">
        <f>MIN(V270,U270)</f>
        <v/>
      </c>
      <c r="C270" s="104">
        <f>MIN(X270,R270)</f>
        <v/>
      </c>
      <c r="D270" s="104">
        <f>MIN(X270,U270)</f>
        <v/>
      </c>
      <c r="E270" s="104">
        <f>MIN((V270+AN270+AR270),U270)</f>
        <v/>
      </c>
      <c r="F270" s="104">
        <f>MAX(MIN((V270+AO270+AR270),R270),0)</f>
        <v/>
      </c>
      <c r="G270" s="104">
        <f>MAX(MIN(AP270,AL270),0)</f>
        <v/>
      </c>
      <c r="H270" s="104">
        <f>MAX(MIN(AQ270,AM270),0)</f>
        <v/>
      </c>
      <c r="I270" s="105" t="inlineStr">
        <is>
          <t>ROOP KISHOR</t>
        </is>
      </c>
      <c r="J270" s="106" t="inlineStr">
        <is>
          <t>HOUSEHOLD</t>
        </is>
      </c>
      <c r="K270" s="107" t="inlineStr">
        <is>
          <t>HH_CROCKERY</t>
        </is>
      </c>
      <c r="L270" s="107" t="inlineStr">
        <is>
          <t>HH_C_G_BOWL SET</t>
        </is>
      </c>
      <c r="M270" s="107" t="inlineStr">
        <is>
          <t>6PCST-[HHC08]</t>
        </is>
      </c>
      <c r="N270" s="107" t="inlineStr">
        <is>
          <t>ACTIVE</t>
        </is>
      </c>
      <c r="O270" s="108" t="n">
        <v>0.08916323731138549</v>
      </c>
      <c r="P270" s="108" t="n">
        <v>0.0428765599901149</v>
      </c>
      <c r="Q270" s="109" t="n">
        <v>57</v>
      </c>
      <c r="R270" s="110" t="n">
        <v>21456</v>
      </c>
      <c r="S270" s="110" t="n">
        <v>5034.74105260211</v>
      </c>
      <c r="T270" s="110" t="n">
        <v>2777.48184217154</v>
      </c>
      <c r="U270" s="110" t="n">
        <v>29268.2228947736</v>
      </c>
      <c r="V270" s="104" t="n">
        <v>11758</v>
      </c>
      <c r="W270" s="104" t="n">
        <v>12812</v>
      </c>
      <c r="X270" s="104">
        <f>$V270+W270</f>
        <v/>
      </c>
      <c r="Y270" s="111">
        <f>IFERROR(A270/R270,0)</f>
        <v/>
      </c>
      <c r="Z270" s="111">
        <f>IFERROR(B270/U270,0)</f>
        <v/>
      </c>
      <c r="AA270" s="111">
        <f>IFERROR(C270/R270,0)</f>
        <v/>
      </c>
      <c r="AB270" s="111">
        <f>IFERROR(D270/U270,0)</f>
        <v/>
      </c>
      <c r="AD270" s="111">
        <f>IF(U270&gt;0,IFERROR(E270/U270,0),1)</f>
        <v/>
      </c>
      <c r="AE270" s="111">
        <f>IF(R270&gt;0,IFERROR(F270/R270,0),1)</f>
        <v/>
      </c>
      <c r="AF270" s="111">
        <f>IF(AL270&gt;0,IFERROR(G270/AL270,0),1)</f>
        <v/>
      </c>
      <c r="AG270" s="111">
        <f>IF(AM270&gt;0,IFERROR(H270/AM270,0),1)</f>
        <v/>
      </c>
      <c r="AH270" s="104">
        <f>U270-(V270+AN270+AR270)</f>
        <v/>
      </c>
      <c r="AI270" s="104">
        <f>R270-(V270+AO270+AR270)</f>
        <v/>
      </c>
      <c r="AJ270" s="104">
        <f>(AL270-AP270)</f>
        <v/>
      </c>
      <c r="AK270" s="104">
        <f>(AM270-AQ270)</f>
        <v/>
      </c>
      <c r="AL270" s="110">
        <f>S270+AI270</f>
        <v/>
      </c>
      <c r="AM270" s="110">
        <f>T270+AJ270</f>
        <v/>
      </c>
      <c r="AN270" s="104" t="n">
        <v>19452</v>
      </c>
      <c r="AO270" s="104" t="n">
        <v>19452</v>
      </c>
      <c r="AP270" s="104" t="n">
        <v>0</v>
      </c>
      <c r="AQ270" s="104" t="n">
        <v>0</v>
      </c>
      <c r="AR270" s="104" t="n">
        <v>0</v>
      </c>
      <c r="AS270" s="104" t="n"/>
      <c r="AT270" s="104" t="n"/>
    </row>
    <row r="271" ht="12.65" customHeight="1" s="79">
      <c r="A271" s="104">
        <f>MIN(V271,R271)</f>
        <v/>
      </c>
      <c r="B271" s="104">
        <f>MIN(V271,U271)</f>
        <v/>
      </c>
      <c r="C271" s="104">
        <f>MIN(X271,R271)</f>
        <v/>
      </c>
      <c r="D271" s="104">
        <f>MIN(X271,U271)</f>
        <v/>
      </c>
      <c r="E271" s="104">
        <f>MIN((V271+AN271+AR271),U271)</f>
        <v/>
      </c>
      <c r="F271" s="104">
        <f>MAX(MIN((V271+AO271+AR271),R271),0)</f>
        <v/>
      </c>
      <c r="G271" s="104">
        <f>MAX(MIN(AP271,AL271),0)</f>
        <v/>
      </c>
      <c r="H271" s="104">
        <f>MAX(MIN(AQ271,AM271),0)</f>
        <v/>
      </c>
      <c r="I271" s="105" t="inlineStr">
        <is>
          <t>ROOP KISHOR</t>
        </is>
      </c>
      <c r="J271" s="106" t="inlineStr">
        <is>
          <t>HOUSEHOLD</t>
        </is>
      </c>
      <c r="K271" s="107" t="inlineStr">
        <is>
          <t>HH_CROCKERY</t>
        </is>
      </c>
      <c r="L271" s="107" t="inlineStr">
        <is>
          <t>HH_C_G_BOWL SET</t>
        </is>
      </c>
      <c r="M271" s="107" t="inlineStr">
        <is>
          <t>9PCST-[HHC08]</t>
        </is>
      </c>
      <c r="N271" s="107" t="inlineStr">
        <is>
          <t>ACTIVE</t>
        </is>
      </c>
      <c r="O271" s="108" t="n">
        <v>0.141439286176128</v>
      </c>
      <c r="P271" s="108" t="n">
        <v>0.06599674090168391</v>
      </c>
      <c r="Q271" s="109" t="n">
        <v>57</v>
      </c>
      <c r="R271" s="110" t="n">
        <v>11542</v>
      </c>
      <c r="S271" s="110" t="n">
        <v>2520.15943919704</v>
      </c>
      <c r="T271" s="110" t="n">
        <v>1384.20939231472</v>
      </c>
      <c r="U271" s="110" t="n">
        <v>15446.3688315118</v>
      </c>
      <c r="V271" s="104" t="n">
        <v>4800</v>
      </c>
      <c r="W271" s="104" t="n">
        <v>3600</v>
      </c>
      <c r="X271" s="104">
        <f>$V271+W271</f>
        <v/>
      </c>
      <c r="Y271" s="111">
        <f>IFERROR(A271/R271,0)</f>
        <v/>
      </c>
      <c r="Z271" s="111">
        <f>IFERROR(B271/U271,0)</f>
        <v/>
      </c>
      <c r="AA271" s="111">
        <f>IFERROR(C271/R271,0)</f>
        <v/>
      </c>
      <c r="AB271" s="111">
        <f>IFERROR(D271/U271,0)</f>
        <v/>
      </c>
      <c r="AD271" s="111">
        <f>IF(U271&gt;0,IFERROR(E271/U271,0),1)</f>
        <v/>
      </c>
      <c r="AE271" s="111">
        <f>IF(R271&gt;0,IFERROR(F271/R271,0),1)</f>
        <v/>
      </c>
      <c r="AF271" s="111">
        <f>IF(AL271&gt;0,IFERROR(G271/AL271,0),1)</f>
        <v/>
      </c>
      <c r="AG271" s="111">
        <f>IF(AM271&gt;0,IFERROR(H271/AM271,0),1)</f>
        <v/>
      </c>
      <c r="AH271" s="104">
        <f>U271-(V271+AN271+AR271)</f>
        <v/>
      </c>
      <c r="AI271" s="104">
        <f>R271-(V271+AO271+AR271)</f>
        <v/>
      </c>
      <c r="AJ271" s="104">
        <f>(AL271-AP271)</f>
        <v/>
      </c>
      <c r="AK271" s="104">
        <f>(AM271-AQ271)</f>
        <v/>
      </c>
      <c r="AL271" s="110">
        <f>S271+AI271</f>
        <v/>
      </c>
      <c r="AM271" s="110">
        <f>T271+AJ271</f>
        <v/>
      </c>
      <c r="AN271" s="104" t="n">
        <v>10800</v>
      </c>
      <c r="AO271" s="104" t="n">
        <v>6000</v>
      </c>
      <c r="AP271" s="104" t="n">
        <v>4800</v>
      </c>
      <c r="AQ271" s="104" t="n">
        <v>0</v>
      </c>
      <c r="AR271" s="104" t="n">
        <v>0</v>
      </c>
      <c r="AS271" s="104" t="n"/>
      <c r="AT271" s="104" t="n"/>
    </row>
    <row r="272" ht="12.65" customHeight="1" s="79">
      <c r="A272" s="104">
        <f>MIN(V272,R272)</f>
        <v/>
      </c>
      <c r="B272" s="104">
        <f>MIN(V272,U272)</f>
        <v/>
      </c>
      <c r="C272" s="104">
        <f>MIN(X272,R272)</f>
        <v/>
      </c>
      <c r="D272" s="104">
        <f>MIN(X272,U272)</f>
        <v/>
      </c>
      <c r="E272" s="104">
        <f>MIN((V272+AN272+AR272),U272)</f>
        <v/>
      </c>
      <c r="F272" s="104">
        <f>MAX(MIN((V272+AO272+AR272),R272),0)</f>
        <v/>
      </c>
      <c r="G272" s="104">
        <f>MAX(MIN(AP272,AL272),0)</f>
        <v/>
      </c>
      <c r="H272" s="104">
        <f>MAX(MIN(AQ272,AM272),0)</f>
        <v/>
      </c>
      <c r="I272" s="105" t="inlineStr">
        <is>
          <t>ROOP KISHOR</t>
        </is>
      </c>
      <c r="J272" s="106" t="inlineStr">
        <is>
          <t>HOUSEHOLD</t>
        </is>
      </c>
      <c r="K272" s="107" t="inlineStr">
        <is>
          <t>HH_CROCKERY</t>
        </is>
      </c>
      <c r="L272" s="107" t="inlineStr">
        <is>
          <t>HH_C_G_TUMBLER</t>
        </is>
      </c>
      <c r="M272" s="107" t="inlineStr">
        <is>
          <t>IND GLASS-[HHC13]</t>
        </is>
      </c>
      <c r="N272" s="107" t="inlineStr">
        <is>
          <t>ACTIVE</t>
        </is>
      </c>
      <c r="O272" s="108" t="n">
        <v>0.0967124671113828</v>
      </c>
      <c r="P272" s="108" t="n">
        <v>0.07301937722040309</v>
      </c>
      <c r="Q272" s="109" t="n">
        <v>88</v>
      </c>
      <c r="R272" s="110" t="n">
        <v>1162</v>
      </c>
      <c r="S272" s="110" t="n">
        <v>2412.32361247746</v>
      </c>
      <c r="T272" s="110" t="n">
        <v>2337.55893724601</v>
      </c>
      <c r="U272" s="110" t="n">
        <v>5911.88254972346</v>
      </c>
      <c r="V272" s="104" t="n">
        <v>0</v>
      </c>
      <c r="W272" s="104" t="n">
        <v>1754</v>
      </c>
      <c r="X272" s="104">
        <f>$V272+W272</f>
        <v/>
      </c>
      <c r="Y272" s="111">
        <f>IFERROR(A272/R272,0)</f>
        <v/>
      </c>
      <c r="Z272" s="111">
        <f>IFERROR(B272/U272,0)</f>
        <v/>
      </c>
      <c r="AA272" s="111">
        <f>IFERROR(C272/R272,0)</f>
        <v/>
      </c>
      <c r="AB272" s="111">
        <f>IFERROR(D272/U272,0)</f>
        <v/>
      </c>
      <c r="AD272" s="111">
        <f>IF(U272&gt;0,IFERROR(E272/U272,0),1)</f>
        <v/>
      </c>
      <c r="AE272" s="111">
        <f>IF(R272&gt;0,IFERROR(F272/R272,0),1)</f>
        <v/>
      </c>
      <c r="AF272" s="111">
        <f>IF(AL272&gt;0,IFERROR(G272/AL272,0),1)</f>
        <v/>
      </c>
      <c r="AG272" s="111">
        <f>IF(AM272&gt;0,IFERROR(H272/AM272,0),1)</f>
        <v/>
      </c>
      <c r="AH272" s="104">
        <f>U272-(V272+AN272+AR272)</f>
        <v/>
      </c>
      <c r="AI272" s="104">
        <f>R272-(V272+AO272+AR272)</f>
        <v/>
      </c>
      <c r="AJ272" s="104">
        <f>(AL272-AP272)</f>
        <v/>
      </c>
      <c r="AK272" s="104">
        <f>(AM272-AQ272)</f>
        <v/>
      </c>
      <c r="AL272" s="110">
        <f>S272+AI272</f>
        <v/>
      </c>
      <c r="AM272" s="110">
        <f>T272+AJ272</f>
        <v/>
      </c>
      <c r="AN272" s="104" t="n">
        <v>1992</v>
      </c>
      <c r="AO272" s="104" t="n">
        <v>1992</v>
      </c>
      <c r="AP272" s="104" t="n">
        <v>0</v>
      </c>
      <c r="AQ272" s="104" t="n">
        <v>0</v>
      </c>
      <c r="AR272" s="104" t="n">
        <v>0</v>
      </c>
      <c r="AS272" s="104" t="n"/>
      <c r="AT272" s="104" t="n"/>
    </row>
    <row r="273" ht="12.65" customHeight="1" s="79">
      <c r="A273" s="104">
        <f>MIN(V273,R273)</f>
        <v/>
      </c>
      <c r="B273" s="104">
        <f>MIN(V273,U273)</f>
        <v/>
      </c>
      <c r="C273" s="104">
        <f>MIN(X273,R273)</f>
        <v/>
      </c>
      <c r="D273" s="104">
        <f>MIN(X273,U273)</f>
        <v/>
      </c>
      <c r="E273" s="104">
        <f>MIN((V273+AN273+AR273),U273)</f>
        <v/>
      </c>
      <c r="F273" s="104">
        <f>MAX(MIN((V273+AO273+AR273),R273),0)</f>
        <v/>
      </c>
      <c r="G273" s="104">
        <f>MAX(MIN(AP273,AL273),0)</f>
        <v/>
      </c>
      <c r="H273" s="104">
        <f>MAX(MIN(AQ273,AM273),0)</f>
        <v/>
      </c>
      <c r="I273" s="105" t="inlineStr">
        <is>
          <t>ROOP KISHOR</t>
        </is>
      </c>
      <c r="J273" s="106" t="inlineStr">
        <is>
          <t>HOUSEHOLD</t>
        </is>
      </c>
      <c r="K273" s="107" t="inlineStr">
        <is>
          <t>HH_CROCKERY</t>
        </is>
      </c>
      <c r="L273" s="107" t="inlineStr">
        <is>
          <t>HH_C_G_TUMBLER</t>
        </is>
      </c>
      <c r="M273" s="107" t="inlineStr">
        <is>
          <t>IMP GLASS-[HHC13]</t>
        </is>
      </c>
      <c r="N273" s="107" t="inlineStr">
        <is>
          <t>INACTIVE</t>
        </is>
      </c>
      <c r="O273" s="108" t="n">
        <v>0</v>
      </c>
      <c r="P273" s="108" t="n">
        <v>0</v>
      </c>
      <c r="Q273" s="109" t="n">
        <v>88</v>
      </c>
      <c r="R273" s="110" t="n">
        <v>0</v>
      </c>
      <c r="S273" s="110" t="n">
        <v>0</v>
      </c>
      <c r="T273" s="110" t="n">
        <v>0</v>
      </c>
      <c r="U273" s="110" t="n">
        <v>0</v>
      </c>
      <c r="V273" s="104" t="n">
        <v>2356</v>
      </c>
      <c r="W273" s="104" t="n">
        <v>0</v>
      </c>
      <c r="X273" s="104">
        <f>$V273+W273</f>
        <v/>
      </c>
      <c r="Y273" s="111">
        <f>IFERROR(A273/R273,0)</f>
        <v/>
      </c>
      <c r="Z273" s="111">
        <f>IFERROR(B273/U273,0)</f>
        <v/>
      </c>
      <c r="AA273" s="111">
        <f>IFERROR(C273/R273,0)</f>
        <v/>
      </c>
      <c r="AB273" s="111">
        <f>IFERROR(D273/U273,0)</f>
        <v/>
      </c>
      <c r="AD273" s="111">
        <f>IF(U273&gt;0,IFERROR(E273/U273,0),1)</f>
        <v/>
      </c>
      <c r="AE273" s="111">
        <f>IF(R273&gt;0,IFERROR(F273/R273,0),1)</f>
        <v/>
      </c>
      <c r="AF273" s="111">
        <f>IF(AL273&gt;0,IFERROR(G273/AL273,0),1)</f>
        <v/>
      </c>
      <c r="AG273" s="111">
        <f>IF(AM273&gt;0,IFERROR(H273/AM273,0),1)</f>
        <v/>
      </c>
      <c r="AH273" s="104">
        <f>U273-(V273+AN273+AR273)</f>
        <v/>
      </c>
      <c r="AI273" s="104">
        <f>R273-(V273+AO273+AR273)</f>
        <v/>
      </c>
      <c r="AJ273" s="104">
        <f>(AL273-AP273)</f>
        <v/>
      </c>
      <c r="AK273" s="104">
        <f>(AM273-AQ273)</f>
        <v/>
      </c>
      <c r="AL273" s="110">
        <f>S273+AI273</f>
        <v/>
      </c>
      <c r="AM273" s="110">
        <f>T273+AJ273</f>
        <v/>
      </c>
      <c r="AN273" s="104" t="n">
        <v>2400</v>
      </c>
      <c r="AO273" s="104" t="n">
        <v>2400</v>
      </c>
      <c r="AP273" s="104" t="n">
        <v>0</v>
      </c>
      <c r="AQ273" s="104" t="n">
        <v>0</v>
      </c>
      <c r="AR273" s="104" t="n">
        <v>0</v>
      </c>
      <c r="AS273" s="104" t="n"/>
      <c r="AT273" s="104" t="n"/>
    </row>
    <row r="274" ht="12.65" customHeight="1" s="79">
      <c r="A274" s="104">
        <f>MIN(V274,R274)</f>
        <v/>
      </c>
      <c r="B274" s="104">
        <f>MIN(V274,U274)</f>
        <v/>
      </c>
      <c r="C274" s="104">
        <f>MIN(X274,R274)</f>
        <v/>
      </c>
      <c r="D274" s="104">
        <f>MIN(X274,U274)</f>
        <v/>
      </c>
      <c r="E274" s="104">
        <f>MIN((V274+AN274+AR274),U274)</f>
        <v/>
      </c>
      <c r="F274" s="104">
        <f>MAX(MIN((V274+AO274+AR274),R274),0)</f>
        <v/>
      </c>
      <c r="G274" s="104">
        <f>MAX(MIN(AP274,AL274),0)</f>
        <v/>
      </c>
      <c r="H274" s="104">
        <f>MAX(MIN(AQ274,AM274),0)</f>
        <v/>
      </c>
      <c r="I274" s="105" t="inlineStr">
        <is>
          <t>ROOP KISHOR</t>
        </is>
      </c>
      <c r="J274" s="106" t="inlineStr">
        <is>
          <t>HOUSEHOLD</t>
        </is>
      </c>
      <c r="K274" s="107" t="inlineStr">
        <is>
          <t>HH_CROCKERY</t>
        </is>
      </c>
      <c r="L274" s="107" t="inlineStr">
        <is>
          <t>HH_C_G_WATER BOTTLE</t>
        </is>
      </c>
      <c r="M274" s="107" t="inlineStr">
        <is>
          <t>INSLTD 99-[HHC38]</t>
        </is>
      </c>
      <c r="N274" s="107" t="inlineStr">
        <is>
          <t>ACTIVE</t>
        </is>
      </c>
      <c r="O274" s="108" t="n">
        <v>0.058532099761668</v>
      </c>
      <c r="P274" s="108" t="n">
        <v>0.0689047788798255</v>
      </c>
      <c r="Q274" s="109" t="n">
        <v>167</v>
      </c>
      <c r="R274" s="110" t="n">
        <v>0</v>
      </c>
      <c r="S274" s="110" t="n">
        <v>843.398033986727</v>
      </c>
      <c r="T274" s="110" t="n">
        <v>0</v>
      </c>
      <c r="U274" s="110" t="n">
        <v>843.398033986727</v>
      </c>
      <c r="V274" s="104" t="n">
        <v>0</v>
      </c>
      <c r="W274" s="104" t="n">
        <v>1440</v>
      </c>
      <c r="X274" s="104">
        <f>$V274+W274</f>
        <v/>
      </c>
      <c r="Y274" s="111">
        <f>IFERROR(A274/R274,0)</f>
        <v/>
      </c>
      <c r="Z274" s="111">
        <f>IFERROR(B274/U274,0)</f>
        <v/>
      </c>
      <c r="AA274" s="111">
        <f>IFERROR(C274/R274,0)</f>
        <v/>
      </c>
      <c r="AB274" s="111">
        <f>IFERROR(D274/U274,0)</f>
        <v/>
      </c>
      <c r="AD274" s="111">
        <f>IF(U274&gt;0,IFERROR(E274/U274,0),1)</f>
        <v/>
      </c>
      <c r="AE274" s="111">
        <f>IF(R274&gt;0,IFERROR(F274/R274,0),1)</f>
        <v/>
      </c>
      <c r="AF274" s="111">
        <f>IF(AL274&gt;0,IFERROR(G274/AL274,0),1)</f>
        <v/>
      </c>
      <c r="AG274" s="111">
        <f>IF(AM274&gt;0,IFERROR(H274/AM274,0),1)</f>
        <v/>
      </c>
      <c r="AH274" s="104">
        <f>U274-(V274+AN274+AR274)</f>
        <v/>
      </c>
      <c r="AI274" s="104">
        <f>R274-(V274+AO274+AR274)</f>
        <v/>
      </c>
      <c r="AJ274" s="104">
        <f>(AL274-AP274)</f>
        <v/>
      </c>
      <c r="AK274" s="104">
        <f>(AM274-AQ274)</f>
        <v/>
      </c>
      <c r="AL274" s="110">
        <f>S274+AI274</f>
        <v/>
      </c>
      <c r="AM274" s="110">
        <f>T274+AJ274</f>
        <v/>
      </c>
      <c r="AN274" s="104" t="n">
        <v>1440</v>
      </c>
      <c r="AO274" s="104" t="n">
        <v>1440</v>
      </c>
      <c r="AP274" s="104" t="n">
        <v>0</v>
      </c>
      <c r="AQ274" s="104" t="n">
        <v>0</v>
      </c>
      <c r="AR274" s="104" t="n">
        <v>0</v>
      </c>
      <c r="AS274" s="104" t="n"/>
      <c r="AT274" s="104" t="n"/>
    </row>
    <row r="275" ht="12.65" customHeight="1" s="79">
      <c r="A275" s="104">
        <f>MIN(V275,R275)</f>
        <v/>
      </c>
      <c r="B275" s="104">
        <f>MIN(V275,U275)</f>
        <v/>
      </c>
      <c r="C275" s="104">
        <f>MIN(X275,R275)</f>
        <v/>
      </c>
      <c r="D275" s="104">
        <f>MIN(X275,U275)</f>
        <v/>
      </c>
      <c r="E275" s="104">
        <f>MIN((V275+AN275+AR275),U275)</f>
        <v/>
      </c>
      <c r="F275" s="104">
        <f>MAX(MIN((V275+AO275+AR275),R275),0)</f>
        <v/>
      </c>
      <c r="G275" s="104">
        <f>MAX(MIN(AP275,AL275),0)</f>
        <v/>
      </c>
      <c r="H275" s="104">
        <f>MAX(MIN(AQ275,AM275),0)</f>
        <v/>
      </c>
      <c r="I275" s="105" t="inlineStr">
        <is>
          <t>ROOP KISHOR</t>
        </is>
      </c>
      <c r="J275" s="106" t="inlineStr">
        <is>
          <t>HOUSEHOLD</t>
        </is>
      </c>
      <c r="K275" s="107" t="inlineStr">
        <is>
          <t>HH_CROCKERY</t>
        </is>
      </c>
      <c r="L275" s="107" t="inlineStr">
        <is>
          <t>HH_C_G_WATER BOTTLE</t>
        </is>
      </c>
      <c r="M275" s="107" t="inlineStr">
        <is>
          <t>INSLTD 149-[HHC38]</t>
        </is>
      </c>
      <c r="N275" s="107" t="inlineStr">
        <is>
          <t>INACTIVE</t>
        </is>
      </c>
      <c r="O275" s="108" t="n">
        <v>0</v>
      </c>
      <c r="P275" s="108" t="n">
        <v>0</v>
      </c>
      <c r="Q275" s="109" t="n">
        <v>167</v>
      </c>
      <c r="R275" s="110" t="n">
        <v>0</v>
      </c>
      <c r="S275" s="110" t="n">
        <v>0</v>
      </c>
      <c r="T275" s="110" t="n">
        <v>0</v>
      </c>
      <c r="U275" s="110" t="n">
        <v>0</v>
      </c>
      <c r="V275" s="104" t="n">
        <v>0</v>
      </c>
      <c r="W275" s="104" t="n">
        <v>0</v>
      </c>
      <c r="X275" s="104">
        <f>$V275+W275</f>
        <v/>
      </c>
      <c r="Y275" s="111">
        <f>IFERROR(A275/R275,0)</f>
        <v/>
      </c>
      <c r="Z275" s="111">
        <f>IFERROR(B275/U275,0)</f>
        <v/>
      </c>
      <c r="AA275" s="111">
        <f>IFERROR(C275/R275,0)</f>
        <v/>
      </c>
      <c r="AB275" s="111">
        <f>IFERROR(D275/U275,0)</f>
        <v/>
      </c>
      <c r="AD275" s="111">
        <f>IF(U275&gt;0,IFERROR(E275/U275,0),1)</f>
        <v/>
      </c>
      <c r="AE275" s="111">
        <f>IF(R275&gt;0,IFERROR(F275/R275,0),1)</f>
        <v/>
      </c>
      <c r="AF275" s="111">
        <f>IF(AL275&gt;0,IFERROR(G275/AL275,0),1)</f>
        <v/>
      </c>
      <c r="AG275" s="111">
        <f>IF(AM275&gt;0,IFERROR(H275/AM275,0),1)</f>
        <v/>
      </c>
      <c r="AH275" s="104">
        <f>U275-(V275+AN275+AR275)</f>
        <v/>
      </c>
      <c r="AI275" s="104">
        <f>R275-(V275+AO275+AR275)</f>
        <v/>
      </c>
      <c r="AJ275" s="104">
        <f>(AL275-AP275)</f>
        <v/>
      </c>
      <c r="AK275" s="104">
        <f>(AM275-AQ275)</f>
        <v/>
      </c>
      <c r="AL275" s="110">
        <f>S275+AI275</f>
        <v/>
      </c>
      <c r="AM275" s="110">
        <f>T275+AJ275</f>
        <v/>
      </c>
      <c r="AN275" s="104" t="n">
        <v>0</v>
      </c>
      <c r="AO275" s="104" t="n">
        <v>0</v>
      </c>
      <c r="AP275" s="104" t="n">
        <v>0</v>
      </c>
      <c r="AQ275" s="104" t="n">
        <v>0</v>
      </c>
      <c r="AR275" s="104" t="n">
        <v>0</v>
      </c>
      <c r="AS275" s="104" t="n"/>
      <c r="AT275" s="104" t="n"/>
    </row>
    <row r="276" ht="12.65" customHeight="1" s="79">
      <c r="A276" s="104">
        <f>MIN(V276,R276)</f>
        <v/>
      </c>
      <c r="B276" s="104">
        <f>MIN(V276,U276)</f>
        <v/>
      </c>
      <c r="C276" s="104">
        <f>MIN(X276,R276)</f>
        <v/>
      </c>
      <c r="D276" s="104">
        <f>MIN(X276,U276)</f>
        <v/>
      </c>
      <c r="E276" s="104">
        <f>MIN((V276+AN276+AR276),U276)</f>
        <v/>
      </c>
      <c r="F276" s="104">
        <f>MAX(MIN((V276+AO276+AR276),R276),0)</f>
        <v/>
      </c>
      <c r="G276" s="104">
        <f>MAX(MIN(AP276,AL276),0)</f>
        <v/>
      </c>
      <c r="H276" s="104">
        <f>MAX(MIN(AQ276,AM276),0)</f>
        <v/>
      </c>
      <c r="I276" s="105" t="inlineStr">
        <is>
          <t>ROOP KISHOR</t>
        </is>
      </c>
      <c r="J276" s="106" t="inlineStr">
        <is>
          <t>HOUSEHOLD</t>
        </is>
      </c>
      <c r="K276" s="107" t="inlineStr">
        <is>
          <t>HH_CROCKERY</t>
        </is>
      </c>
      <c r="L276" s="107" t="inlineStr">
        <is>
          <t>HH_C_M_BABY PLATE</t>
        </is>
      </c>
      <c r="M276" s="107" t="inlineStr">
        <is>
          <t>3PARTITION-[HHC15]</t>
        </is>
      </c>
      <c r="N276" s="107" t="inlineStr">
        <is>
          <t>ACTIVE</t>
        </is>
      </c>
      <c r="O276" s="108" t="n">
        <v>0.09618992038017431</v>
      </c>
      <c r="P276" s="108" t="n">
        <v>0.103222918531782</v>
      </c>
      <c r="Q276" s="109" t="n">
        <v>138</v>
      </c>
      <c r="R276" s="110" t="n">
        <v>6132</v>
      </c>
      <c r="S276" s="110" t="n">
        <v>6549.72544643896</v>
      </c>
      <c r="T276" s="110" t="n">
        <v>4325.86533210209</v>
      </c>
      <c r="U276" s="110" t="n">
        <v>17007.590778541</v>
      </c>
      <c r="V276" s="104" t="n">
        <v>4800</v>
      </c>
      <c r="W276" s="104" t="n">
        <v>0</v>
      </c>
      <c r="X276" s="104">
        <f>$V276+W276</f>
        <v/>
      </c>
      <c r="Y276" s="111">
        <f>IFERROR(A276/R276,0)</f>
        <v/>
      </c>
      <c r="Z276" s="111">
        <f>IFERROR(B276/U276,0)</f>
        <v/>
      </c>
      <c r="AA276" s="111">
        <f>IFERROR(C276/R276,0)</f>
        <v/>
      </c>
      <c r="AB276" s="111">
        <f>IFERROR(D276/U276,0)</f>
        <v/>
      </c>
      <c r="AD276" s="111">
        <f>IF(U276&gt;0,IFERROR(E276/U276,0),1)</f>
        <v/>
      </c>
      <c r="AE276" s="111">
        <f>IF(R276&gt;0,IFERROR(F276/R276,0),1)</f>
        <v/>
      </c>
      <c r="AF276" s="111">
        <f>IF(AL276&gt;0,IFERROR(G276/AL276,0),1)</f>
        <v/>
      </c>
      <c r="AG276" s="111">
        <f>IF(AM276&gt;0,IFERROR(H276/AM276,0),1)</f>
        <v/>
      </c>
      <c r="AH276" s="104">
        <f>U276-(V276+AN276+AR276)</f>
        <v/>
      </c>
      <c r="AI276" s="104">
        <f>R276-(V276+AO276+AR276)</f>
        <v/>
      </c>
      <c r="AJ276" s="104">
        <f>(AL276-AP276)</f>
        <v/>
      </c>
      <c r="AK276" s="104">
        <f>(AM276-AQ276)</f>
        <v/>
      </c>
      <c r="AL276" s="110">
        <f>S276+AI276</f>
        <v/>
      </c>
      <c r="AM276" s="110">
        <f>T276+AJ276</f>
        <v/>
      </c>
      <c r="AN276" s="104" t="n">
        <v>12000</v>
      </c>
      <c r="AO276" s="104" t="n">
        <v>3600</v>
      </c>
      <c r="AP276" s="104" t="n">
        <v>8400</v>
      </c>
      <c r="AQ276" s="104" t="n">
        <v>0</v>
      </c>
      <c r="AR276" s="104" t="n">
        <v>0</v>
      </c>
      <c r="AS276" s="104" t="n"/>
      <c r="AT276" s="104" t="n"/>
    </row>
    <row r="277" ht="12.65" customHeight="1" s="79">
      <c r="A277" s="104">
        <f>MIN(V277,R277)</f>
        <v/>
      </c>
      <c r="B277" s="104">
        <f>MIN(V277,U277)</f>
        <v/>
      </c>
      <c r="C277" s="104">
        <f>MIN(X277,R277)</f>
        <v/>
      </c>
      <c r="D277" s="104">
        <f>MIN(X277,U277)</f>
        <v/>
      </c>
      <c r="E277" s="104">
        <f>MIN((V277+AN277+AR277),U277)</f>
        <v/>
      </c>
      <c r="F277" s="104">
        <f>MAX(MIN((V277+AO277+AR277),R277),0)</f>
        <v/>
      </c>
      <c r="G277" s="104">
        <f>MAX(MIN(AP277,AL277),0)</f>
        <v/>
      </c>
      <c r="H277" s="104">
        <f>MAX(MIN(AQ277,AM277),0)</f>
        <v/>
      </c>
      <c r="I277" s="105" t="inlineStr">
        <is>
          <t>ROOP KISHOR</t>
        </is>
      </c>
      <c r="J277" s="106" t="inlineStr">
        <is>
          <t>HOUSEHOLD</t>
        </is>
      </c>
      <c r="K277" s="107" t="inlineStr">
        <is>
          <t>HH_CROCKERY</t>
        </is>
      </c>
      <c r="L277" s="107" t="inlineStr">
        <is>
          <t>HH_C_M_BABY PLATE</t>
        </is>
      </c>
      <c r="M277" s="107" t="inlineStr">
        <is>
          <t>5PARTITION-[HHC15]</t>
        </is>
      </c>
      <c r="N277" s="107" t="inlineStr">
        <is>
          <t>INACTIVE</t>
        </is>
      </c>
      <c r="O277" s="108" t="n">
        <v>0.108335725906785</v>
      </c>
      <c r="P277" s="108" t="n">
        <v>0.086693127219553</v>
      </c>
      <c r="Q277" s="109" t="n">
        <v>138</v>
      </c>
      <c r="R277" s="110" t="n">
        <v>0</v>
      </c>
      <c r="S277" s="110" t="n">
        <v>0</v>
      </c>
      <c r="T277" s="110" t="n">
        <v>0</v>
      </c>
      <c r="U277" s="110" t="n">
        <v>0</v>
      </c>
      <c r="V277" s="104" t="n">
        <v>0</v>
      </c>
      <c r="W277" s="104" t="n">
        <v>0</v>
      </c>
      <c r="X277" s="104">
        <f>$V277+W277</f>
        <v/>
      </c>
      <c r="Y277" s="111">
        <f>IFERROR(A277/R277,0)</f>
        <v/>
      </c>
      <c r="Z277" s="111">
        <f>IFERROR(B277/U277,0)</f>
        <v/>
      </c>
      <c r="AA277" s="111">
        <f>IFERROR(C277/R277,0)</f>
        <v/>
      </c>
      <c r="AB277" s="111">
        <f>IFERROR(D277/U277,0)</f>
        <v/>
      </c>
      <c r="AD277" s="111">
        <f>IF(U277&gt;0,IFERROR(E277/U277,0),1)</f>
        <v/>
      </c>
      <c r="AE277" s="111">
        <f>IF(R277&gt;0,IFERROR(F277/R277,0),1)</f>
        <v/>
      </c>
      <c r="AF277" s="111">
        <f>IF(AL277&gt;0,IFERROR(G277/AL277,0),1)</f>
        <v/>
      </c>
      <c r="AG277" s="111">
        <f>IF(AM277&gt;0,IFERROR(H277/AM277,0),1)</f>
        <v/>
      </c>
      <c r="AH277" s="104">
        <f>U277-(V277+AN277+AR277)</f>
        <v/>
      </c>
      <c r="AI277" s="104">
        <f>R277-(V277+AO277+AR277)</f>
        <v/>
      </c>
      <c r="AJ277" s="104">
        <f>(AL277-AP277)</f>
        <v/>
      </c>
      <c r="AK277" s="104">
        <f>(AM277-AQ277)</f>
        <v/>
      </c>
      <c r="AL277" s="110">
        <f>S277+AI277</f>
        <v/>
      </c>
      <c r="AM277" s="110">
        <f>T277+AJ277</f>
        <v/>
      </c>
      <c r="AN277" s="104" t="n">
        <v>0</v>
      </c>
      <c r="AO277" s="104" t="n">
        <v>0</v>
      </c>
      <c r="AP277" s="104" t="n">
        <v>0</v>
      </c>
      <c r="AQ277" s="104" t="n">
        <v>0</v>
      </c>
      <c r="AR277" s="104" t="n">
        <v>0</v>
      </c>
      <c r="AS277" s="104" t="n"/>
      <c r="AT277" s="104" t="n"/>
    </row>
    <row r="278" ht="12.65" customHeight="1" s="79">
      <c r="A278" s="104">
        <f>MIN(V278,R278)</f>
        <v/>
      </c>
      <c r="B278" s="104">
        <f>MIN(V278,U278)</f>
        <v/>
      </c>
      <c r="C278" s="104">
        <f>MIN(X278,R278)</f>
        <v/>
      </c>
      <c r="D278" s="104">
        <f>MIN(X278,U278)</f>
        <v/>
      </c>
      <c r="E278" s="104">
        <f>MIN((V278+AN278+AR278),U278)</f>
        <v/>
      </c>
      <c r="F278" s="104">
        <f>MAX(MIN((V278+AO278+AR278),R278),0)</f>
        <v/>
      </c>
      <c r="G278" s="104">
        <f>MAX(MIN(AP278,AL278),0)</f>
        <v/>
      </c>
      <c r="H278" s="104">
        <f>MAX(MIN(AQ278,AM278),0)</f>
        <v/>
      </c>
      <c r="I278" s="105" t="inlineStr">
        <is>
          <t>ROOP KISHOR</t>
        </is>
      </c>
      <c r="J278" s="106" t="inlineStr">
        <is>
          <t>HOUSEHOLD</t>
        </is>
      </c>
      <c r="K278" s="107" t="inlineStr">
        <is>
          <t>HH_CROCKERY</t>
        </is>
      </c>
      <c r="L278" s="107" t="inlineStr">
        <is>
          <t>HH_C_M_DINNER SET</t>
        </is>
      </c>
      <c r="M278" s="107" t="inlineStr">
        <is>
          <t>RND-[HHC16]</t>
        </is>
      </c>
      <c r="N278" s="107" t="inlineStr">
        <is>
          <t>ACTIVE</t>
        </is>
      </c>
      <c r="O278" s="108" t="n">
        <v>0</v>
      </c>
      <c r="P278" s="108" t="n">
        <v>0</v>
      </c>
      <c r="Q278" s="109" t="n">
        <v>151</v>
      </c>
      <c r="R278" s="110" t="n">
        <v>2700</v>
      </c>
      <c r="S278" s="110" t="n">
        <v>650.759642974248</v>
      </c>
      <c r="T278" s="110" t="n">
        <v>31.1973076116824</v>
      </c>
      <c r="U278" s="110" t="n">
        <v>3381.95695058593</v>
      </c>
      <c r="V278" s="104" t="n">
        <v>0</v>
      </c>
      <c r="W278" s="104" t="n">
        <v>0</v>
      </c>
      <c r="X278" s="104">
        <f>$V278+W278</f>
        <v/>
      </c>
      <c r="Y278" s="111">
        <f>IFERROR(A278/R278,0)</f>
        <v/>
      </c>
      <c r="Z278" s="111">
        <f>IFERROR(B278/U278,0)</f>
        <v/>
      </c>
      <c r="AA278" s="111">
        <f>IFERROR(C278/R278,0)</f>
        <v/>
      </c>
      <c r="AB278" s="111">
        <f>IFERROR(D278/U278,0)</f>
        <v/>
      </c>
      <c r="AD278" s="111">
        <f>IF(U278&gt;0,IFERROR(E278/U278,0),1)</f>
        <v/>
      </c>
      <c r="AE278" s="111">
        <f>IF(R278&gt;0,IFERROR(F278/R278,0),1)</f>
        <v/>
      </c>
      <c r="AF278" s="111">
        <f>IF(AL278&gt;0,IFERROR(G278/AL278,0),1)</f>
        <v/>
      </c>
      <c r="AG278" s="111">
        <f>IF(AM278&gt;0,IFERROR(H278/AM278,0),1)</f>
        <v/>
      </c>
      <c r="AH278" s="104">
        <f>U278-(V278+AN278+AR278)</f>
        <v/>
      </c>
      <c r="AI278" s="104">
        <f>R278-(V278+AO278+AR278)</f>
        <v/>
      </c>
      <c r="AJ278" s="104">
        <f>(AL278-AP278)</f>
        <v/>
      </c>
      <c r="AK278" s="104">
        <f>(AM278-AQ278)</f>
        <v/>
      </c>
      <c r="AL278" s="110">
        <f>S278+AI278</f>
        <v/>
      </c>
      <c r="AM278" s="110">
        <f>T278+AJ278</f>
        <v/>
      </c>
      <c r="AN278" s="104" t="n">
        <v>0</v>
      </c>
      <c r="AO278" s="104" t="n">
        <v>0</v>
      </c>
      <c r="AP278" s="104" t="n">
        <v>0</v>
      </c>
      <c r="AQ278" s="104" t="n">
        <v>0</v>
      </c>
      <c r="AR278" s="104" t="n">
        <v>0</v>
      </c>
      <c r="AS278" s="104" t="n"/>
      <c r="AT278" s="104" t="n"/>
    </row>
    <row r="279" ht="12.65" customHeight="1" s="79">
      <c r="A279" s="104">
        <f>MIN(V279,R279)</f>
        <v/>
      </c>
      <c r="B279" s="104">
        <f>MIN(V279,U279)</f>
        <v/>
      </c>
      <c r="C279" s="104">
        <f>MIN(X279,R279)</f>
        <v/>
      </c>
      <c r="D279" s="104">
        <f>MIN(X279,U279)</f>
        <v/>
      </c>
      <c r="E279" s="104">
        <f>MIN((V279+AN279+AR279),U279)</f>
        <v/>
      </c>
      <c r="F279" s="104">
        <f>MAX(MIN((V279+AO279+AR279),R279),0)</f>
        <v/>
      </c>
      <c r="G279" s="104">
        <f>MAX(MIN(AP279,AL279),0)</f>
        <v/>
      </c>
      <c r="H279" s="104">
        <f>MAX(MIN(AQ279,AM279),0)</f>
        <v/>
      </c>
      <c r="I279" s="105" t="inlineStr">
        <is>
          <t>ROOP KISHOR</t>
        </is>
      </c>
      <c r="J279" s="106" t="inlineStr">
        <is>
          <t>HOUSEHOLD</t>
        </is>
      </c>
      <c r="K279" s="107" t="inlineStr">
        <is>
          <t>HH_CROCKERY</t>
        </is>
      </c>
      <c r="L279" s="107" t="inlineStr">
        <is>
          <t>HH_C_M_FULL PLATE</t>
        </is>
      </c>
      <c r="M279" s="107" t="inlineStr">
        <is>
          <t>RND-[HHC17]</t>
        </is>
      </c>
      <c r="N279" s="107" t="inlineStr">
        <is>
          <t>ACTIVE</t>
        </is>
      </c>
      <c r="O279" s="108" t="n">
        <v>0.08845222331236149</v>
      </c>
      <c r="P279" s="108" t="n">
        <v>0.0788582998398356</v>
      </c>
      <c r="Q279" s="109" t="n">
        <v>130</v>
      </c>
      <c r="R279" s="110" t="n">
        <v>1722</v>
      </c>
      <c r="S279" s="110" t="n">
        <v>2516.20714455203</v>
      </c>
      <c r="T279" s="110" t="n">
        <v>3016.17621974942</v>
      </c>
      <c r="U279" s="110" t="n">
        <v>7254.38336430144</v>
      </c>
      <c r="V279" s="104" t="n">
        <v>5712</v>
      </c>
      <c r="W279" s="104" t="n">
        <v>3888</v>
      </c>
      <c r="X279" s="104">
        <f>$V279+W279</f>
        <v/>
      </c>
      <c r="Y279" s="111">
        <f>IFERROR(A279/R279,0)</f>
        <v/>
      </c>
      <c r="Z279" s="111">
        <f>IFERROR(B279/U279,0)</f>
        <v/>
      </c>
      <c r="AA279" s="111">
        <f>IFERROR(C279/R279,0)</f>
        <v/>
      </c>
      <c r="AB279" s="111">
        <f>IFERROR(D279/U279,0)</f>
        <v/>
      </c>
      <c r="AD279" s="111">
        <f>IF(U279&gt;0,IFERROR(E279/U279,0),1)</f>
        <v/>
      </c>
      <c r="AE279" s="111">
        <f>IF(R279&gt;0,IFERROR(F279/R279,0),1)</f>
        <v/>
      </c>
      <c r="AF279" s="111">
        <f>IF(AL279&gt;0,IFERROR(G279/AL279,0),1)</f>
        <v/>
      </c>
      <c r="AG279" s="111">
        <f>IF(AM279&gt;0,IFERROR(H279/AM279,0),1)</f>
        <v/>
      </c>
      <c r="AH279" s="104">
        <f>U279-(V279+AN279+AR279)</f>
        <v/>
      </c>
      <c r="AI279" s="104">
        <f>R279-(V279+AO279+AR279)</f>
        <v/>
      </c>
      <c r="AJ279" s="104">
        <f>(AL279-AP279)</f>
        <v/>
      </c>
      <c r="AK279" s="104">
        <f>(AM279-AQ279)</f>
        <v/>
      </c>
      <c r="AL279" s="110">
        <f>S279+AI279</f>
        <v/>
      </c>
      <c r="AM279" s="110">
        <f>T279+AJ279</f>
        <v/>
      </c>
      <c r="AN279" s="104" t="n">
        <v>15888</v>
      </c>
      <c r="AO279" s="104" t="n">
        <v>9888</v>
      </c>
      <c r="AP279" s="104" t="n">
        <v>6000</v>
      </c>
      <c r="AQ279" s="104" t="n">
        <v>0</v>
      </c>
      <c r="AR279" s="104" t="n">
        <v>0</v>
      </c>
      <c r="AS279" s="104" t="n"/>
      <c r="AT279" s="104" t="n"/>
    </row>
    <row r="280" ht="12.65" customHeight="1" s="79">
      <c r="A280" s="104">
        <f>MIN(V280,R280)</f>
        <v/>
      </c>
      <c r="B280" s="104">
        <f>MIN(V280,U280)</f>
        <v/>
      </c>
      <c r="C280" s="104">
        <f>MIN(X280,R280)</f>
        <v/>
      </c>
      <c r="D280" s="104">
        <f>MIN(X280,U280)</f>
        <v/>
      </c>
      <c r="E280" s="104">
        <f>MIN((V280+AN280+AR280),U280)</f>
        <v/>
      </c>
      <c r="F280" s="104">
        <f>MAX(MIN((V280+AO280+AR280),R280),0)</f>
        <v/>
      </c>
      <c r="G280" s="104">
        <f>MAX(MIN(AP280,AL280),0)</f>
        <v/>
      </c>
      <c r="H280" s="104">
        <f>MAX(MIN(AQ280,AM280),0)</f>
        <v/>
      </c>
      <c r="I280" s="105" t="inlineStr">
        <is>
          <t>ROOP KISHOR</t>
        </is>
      </c>
      <c r="J280" s="106" t="inlineStr">
        <is>
          <t>HOUSEHOLD</t>
        </is>
      </c>
      <c r="K280" s="107" t="inlineStr">
        <is>
          <t>HH_CROCKERY</t>
        </is>
      </c>
      <c r="L280" s="107" t="inlineStr">
        <is>
          <t>HH_C_M_FULL PLATE</t>
        </is>
      </c>
      <c r="M280" s="107" t="inlineStr">
        <is>
          <t>SQR-[HHC17]</t>
        </is>
      </c>
      <c r="N280" s="107" t="inlineStr">
        <is>
          <t>ACTIVE</t>
        </is>
      </c>
      <c r="O280" s="108" t="n">
        <v>0.0867737948084054</v>
      </c>
      <c r="P280" s="108" t="n">
        <v>0.06571282947429739</v>
      </c>
      <c r="Q280" s="109" t="n">
        <v>130</v>
      </c>
      <c r="R280" s="110" t="n">
        <v>1768</v>
      </c>
      <c r="S280" s="110" t="n">
        <v>1284.87013888912</v>
      </c>
      <c r="T280" s="110" t="n">
        <v>1253.77922907413</v>
      </c>
      <c r="U280" s="110" t="n">
        <v>4306.64936796325</v>
      </c>
      <c r="V280" s="104" t="n">
        <v>2400</v>
      </c>
      <c r="W280" s="104" t="n">
        <v>0</v>
      </c>
      <c r="X280" s="104">
        <f>$V280+W280</f>
        <v/>
      </c>
      <c r="Y280" s="111">
        <f>IFERROR(A280/R280,0)</f>
        <v/>
      </c>
      <c r="Z280" s="111">
        <f>IFERROR(B280/U280,0)</f>
        <v/>
      </c>
      <c r="AA280" s="111">
        <f>IFERROR(C280/R280,0)</f>
        <v/>
      </c>
      <c r="AB280" s="111">
        <f>IFERROR(D280/U280,0)</f>
        <v/>
      </c>
      <c r="AD280" s="111">
        <f>IF(U280&gt;0,IFERROR(E280/U280,0),1)</f>
        <v/>
      </c>
      <c r="AE280" s="111">
        <f>IF(R280&gt;0,IFERROR(F280/R280,0),1)</f>
        <v/>
      </c>
      <c r="AF280" s="111">
        <f>IF(AL280&gt;0,IFERROR(G280/AL280,0),1)</f>
        <v/>
      </c>
      <c r="AG280" s="111">
        <f>IF(AM280&gt;0,IFERROR(H280/AM280,0),1)</f>
        <v/>
      </c>
      <c r="AH280" s="104">
        <f>U280-(V280+AN280+AR280)</f>
        <v/>
      </c>
      <c r="AI280" s="104">
        <f>R280-(V280+AO280+AR280)</f>
        <v/>
      </c>
      <c r="AJ280" s="104">
        <f>(AL280-AP280)</f>
        <v/>
      </c>
      <c r="AK280" s="104">
        <f>(AM280-AQ280)</f>
        <v/>
      </c>
      <c r="AL280" s="110">
        <f>S280+AI280</f>
        <v/>
      </c>
      <c r="AM280" s="110">
        <f>T280+AJ280</f>
        <v/>
      </c>
      <c r="AN280" s="104" t="n">
        <v>2400</v>
      </c>
      <c r="AO280" s="104" t="n">
        <v>0</v>
      </c>
      <c r="AP280" s="104" t="n">
        <v>2400</v>
      </c>
      <c r="AQ280" s="104" t="n">
        <v>0</v>
      </c>
      <c r="AR280" s="104" t="n">
        <v>0</v>
      </c>
      <c r="AS280" s="104" t="n"/>
      <c r="AT280" s="104" t="n"/>
    </row>
    <row r="281" ht="12.65" customHeight="1" s="79">
      <c r="A281" s="104">
        <f>MIN(V281,R281)</f>
        <v/>
      </c>
      <c r="B281" s="104">
        <f>MIN(V281,U281)</f>
        <v/>
      </c>
      <c r="C281" s="104">
        <f>MIN(X281,R281)</f>
        <v/>
      </c>
      <c r="D281" s="104">
        <f>MIN(X281,U281)</f>
        <v/>
      </c>
      <c r="E281" s="104">
        <f>MIN((V281+AN281+AR281),U281)</f>
        <v/>
      </c>
      <c r="F281" s="104">
        <f>MAX(MIN((V281+AO281+AR281),R281),0)</f>
        <v/>
      </c>
      <c r="G281" s="104">
        <f>MAX(MIN(AP281,AL281),0)</f>
        <v/>
      </c>
      <c r="H281" s="104">
        <f>MAX(MIN(AQ281,AM281),0)</f>
        <v/>
      </c>
      <c r="I281" s="105" t="inlineStr">
        <is>
          <t>ROOP KISHOR</t>
        </is>
      </c>
      <c r="J281" s="106" t="inlineStr">
        <is>
          <t>HOUSEHOLD</t>
        </is>
      </c>
      <c r="K281" s="107" t="inlineStr">
        <is>
          <t>HH_CROCKERY</t>
        </is>
      </c>
      <c r="L281" s="107" t="inlineStr">
        <is>
          <t>HH_C_M_HALF PLATE</t>
        </is>
      </c>
      <c r="M281" s="107" t="inlineStr">
        <is>
          <t>RND-[HHC19]</t>
        </is>
      </c>
      <c r="N281" s="107" t="inlineStr">
        <is>
          <t>ACTIVE</t>
        </is>
      </c>
      <c r="O281" s="108" t="n">
        <v>0.107582331151368</v>
      </c>
      <c r="P281" s="108" t="n">
        <v>0.103136265320836</v>
      </c>
      <c r="Q281" s="109" t="n">
        <v>119</v>
      </c>
      <c r="R281" s="110" t="n">
        <v>7397</v>
      </c>
      <c r="S281" s="110" t="n">
        <v>7360.12701971625</v>
      </c>
      <c r="T281" s="110" t="n">
        <v>8115.23144867808</v>
      </c>
      <c r="U281" s="110" t="n">
        <v>22872.3584683943</v>
      </c>
      <c r="V281" s="104" t="n">
        <v>6606</v>
      </c>
      <c r="W281" s="104" t="n">
        <v>4806</v>
      </c>
      <c r="X281" s="104">
        <f>$V281+W281</f>
        <v/>
      </c>
      <c r="Y281" s="111">
        <f>IFERROR(A281/R281,0)</f>
        <v/>
      </c>
      <c r="Z281" s="111">
        <f>IFERROR(B281/U281,0)</f>
        <v/>
      </c>
      <c r="AA281" s="111">
        <f>IFERROR(C281/R281,0)</f>
        <v/>
      </c>
      <c r="AB281" s="111">
        <f>IFERROR(D281/U281,0)</f>
        <v/>
      </c>
      <c r="AD281" s="111">
        <f>IF(U281&gt;0,IFERROR(E281/U281,0),1)</f>
        <v/>
      </c>
      <c r="AE281" s="111">
        <f>IF(R281&gt;0,IFERROR(F281/R281,0),1)</f>
        <v/>
      </c>
      <c r="AF281" s="111">
        <f>IF(AL281&gt;0,IFERROR(G281/AL281,0),1)</f>
        <v/>
      </c>
      <c r="AG281" s="111">
        <f>IF(AM281&gt;0,IFERROR(H281/AM281,0),1)</f>
        <v/>
      </c>
      <c r="AH281" s="104">
        <f>U281-(V281+AN281+AR281)</f>
        <v/>
      </c>
      <c r="AI281" s="104">
        <f>R281-(V281+AO281+AR281)</f>
        <v/>
      </c>
      <c r="AJ281" s="104">
        <f>(AL281-AP281)</f>
        <v/>
      </c>
      <c r="AK281" s="104">
        <f>(AM281-AQ281)</f>
        <v/>
      </c>
      <c r="AL281" s="110">
        <f>S281+AI281</f>
        <v/>
      </c>
      <c r="AM281" s="110">
        <f>T281+AJ281</f>
        <v/>
      </c>
      <c r="AN281" s="104" t="n">
        <v>19206</v>
      </c>
      <c r="AO281" s="104" t="n">
        <v>13206</v>
      </c>
      <c r="AP281" s="104" t="n">
        <v>6000</v>
      </c>
      <c r="AQ281" s="104" t="n">
        <v>0</v>
      </c>
      <c r="AR281" s="104" t="n">
        <v>0</v>
      </c>
      <c r="AS281" s="104" t="n"/>
      <c r="AT281" s="104" t="n"/>
    </row>
    <row r="282" ht="12.65" customHeight="1" s="79">
      <c r="A282" s="104">
        <f>MIN(V282,R282)</f>
        <v/>
      </c>
      <c r="B282" s="104">
        <f>MIN(V282,U282)</f>
        <v/>
      </c>
      <c r="C282" s="104">
        <f>MIN(X282,R282)</f>
        <v/>
      </c>
      <c r="D282" s="104">
        <f>MIN(X282,U282)</f>
        <v/>
      </c>
      <c r="E282" s="104">
        <f>MIN((V282+AN282+AR282),U282)</f>
        <v/>
      </c>
      <c r="F282" s="104">
        <f>MAX(MIN((V282+AO282+AR282),R282),0)</f>
        <v/>
      </c>
      <c r="G282" s="104">
        <f>MAX(MIN(AP282,AL282),0)</f>
        <v/>
      </c>
      <c r="H282" s="104">
        <f>MAX(MIN(AQ282,AM282),0)</f>
        <v/>
      </c>
      <c r="I282" s="105" t="inlineStr">
        <is>
          <t>ROOP KISHOR</t>
        </is>
      </c>
      <c r="J282" s="106" t="inlineStr">
        <is>
          <t>HOUSEHOLD</t>
        </is>
      </c>
      <c r="K282" s="107" t="inlineStr">
        <is>
          <t>HH_CROCKERY</t>
        </is>
      </c>
      <c r="L282" s="107" t="inlineStr">
        <is>
          <t>HH_C_M_HALF PLATE</t>
        </is>
      </c>
      <c r="M282" s="107" t="inlineStr">
        <is>
          <t>SQR-[HHC19]</t>
        </is>
      </c>
      <c r="N282" s="107" t="inlineStr">
        <is>
          <t>ACTIVE</t>
        </is>
      </c>
      <c r="O282" s="108" t="n">
        <v>0.138166068273779</v>
      </c>
      <c r="P282" s="108" t="n">
        <v>0.13342425949536</v>
      </c>
      <c r="Q282" s="109" t="n">
        <v>119</v>
      </c>
      <c r="R282" s="110" t="n">
        <v>8243</v>
      </c>
      <c r="S282" s="110" t="n">
        <v>4587.64370923384</v>
      </c>
      <c r="T282" s="110" t="n">
        <v>4622.19195922841</v>
      </c>
      <c r="U282" s="110" t="n">
        <v>17452.8356684623</v>
      </c>
      <c r="V282" s="104" t="n">
        <v>3600</v>
      </c>
      <c r="W282" s="104" t="n">
        <v>0</v>
      </c>
      <c r="X282" s="104">
        <f>$V282+W282</f>
        <v/>
      </c>
      <c r="Y282" s="111">
        <f>IFERROR(A282/R282,0)</f>
        <v/>
      </c>
      <c r="Z282" s="111">
        <f>IFERROR(B282/U282,0)</f>
        <v/>
      </c>
      <c r="AA282" s="111">
        <f>IFERROR(C282/R282,0)</f>
        <v/>
      </c>
      <c r="AB282" s="111">
        <f>IFERROR(D282/U282,0)</f>
        <v/>
      </c>
      <c r="AD282" s="111">
        <f>IF(U282&gt;0,IFERROR(E282/U282,0),1)</f>
        <v/>
      </c>
      <c r="AE282" s="111">
        <f>IF(R282&gt;0,IFERROR(F282/R282,0),1)</f>
        <v/>
      </c>
      <c r="AF282" s="111">
        <f>IF(AL282&gt;0,IFERROR(G282/AL282,0),1)</f>
        <v/>
      </c>
      <c r="AG282" s="111">
        <f>IF(AM282&gt;0,IFERROR(H282/AM282,0),1)</f>
        <v/>
      </c>
      <c r="AH282" s="104">
        <f>U282-(V282+AN282+AR282)</f>
        <v/>
      </c>
      <c r="AI282" s="104">
        <f>R282-(V282+AO282+AR282)</f>
        <v/>
      </c>
      <c r="AJ282" s="104">
        <f>(AL282-AP282)</f>
        <v/>
      </c>
      <c r="AK282" s="104">
        <f>(AM282-AQ282)</f>
        <v/>
      </c>
      <c r="AL282" s="110">
        <f>S282+AI282</f>
        <v/>
      </c>
      <c r="AM282" s="110">
        <f>T282+AJ282</f>
        <v/>
      </c>
      <c r="AN282" s="104" t="n">
        <v>3600</v>
      </c>
      <c r="AO282" s="104" t="n">
        <v>0</v>
      </c>
      <c r="AP282" s="104" t="n">
        <v>3600</v>
      </c>
      <c r="AQ282" s="104" t="n">
        <v>0</v>
      </c>
      <c r="AR282" s="104" t="n">
        <v>0</v>
      </c>
      <c r="AS282" s="104" t="n"/>
      <c r="AT282" s="104" t="n"/>
    </row>
    <row r="283" ht="12.65" customHeight="1" s="79">
      <c r="A283" s="104">
        <f>MIN(V283,R283)</f>
        <v/>
      </c>
      <c r="B283" s="104">
        <f>MIN(V283,U283)</f>
        <v/>
      </c>
      <c r="C283" s="104">
        <f>MIN(X283,R283)</f>
        <v/>
      </c>
      <c r="D283" s="104">
        <f>MIN(X283,U283)</f>
        <v/>
      </c>
      <c r="E283" s="104">
        <f>MIN((V283+AN283+AR283),U283)</f>
        <v/>
      </c>
      <c r="F283" s="104">
        <f>MAX(MIN((V283+AO283+AR283),R283),0)</f>
        <v/>
      </c>
      <c r="G283" s="104">
        <f>MAX(MIN(AP283,AL283),0)</f>
        <v/>
      </c>
      <c r="H283" s="104">
        <f>MAX(MIN(AQ283,AM283),0)</f>
        <v/>
      </c>
      <c r="I283" s="105" t="inlineStr">
        <is>
          <t>ROOP KISHOR</t>
        </is>
      </c>
      <c r="J283" s="106" t="inlineStr">
        <is>
          <t>HOUSEHOLD</t>
        </is>
      </c>
      <c r="K283" s="107" t="inlineStr">
        <is>
          <t>HH_CROCKERY</t>
        </is>
      </c>
      <c r="L283" s="107" t="inlineStr">
        <is>
          <t>HH_C_M_SERVING TRAY</t>
        </is>
      </c>
      <c r="M283" s="107" t="inlineStr">
        <is>
          <t>MDM-[HHC20]</t>
        </is>
      </c>
      <c r="N283" s="107" t="inlineStr">
        <is>
          <t>ACTIVE</t>
        </is>
      </c>
      <c r="O283" s="108" t="n">
        <v>0.1068194455477</v>
      </c>
      <c r="P283" s="108" t="n">
        <v>0.0992785348708146</v>
      </c>
      <c r="Q283" s="109" t="n">
        <v>47</v>
      </c>
      <c r="R283" s="110" t="n">
        <v>15086</v>
      </c>
      <c r="S283" s="110" t="n">
        <v>8417.21104788358</v>
      </c>
      <c r="T283" s="110" t="n">
        <v>5875.0552615293</v>
      </c>
      <c r="U283" s="110" t="n">
        <v>29378.2663094129</v>
      </c>
      <c r="V283" s="104" t="n">
        <v>6558</v>
      </c>
      <c r="W283" s="104" t="n">
        <v>10800</v>
      </c>
      <c r="X283" s="104">
        <f>$V283+W283</f>
        <v/>
      </c>
      <c r="Y283" s="111">
        <f>IFERROR(A283/R283,0)</f>
        <v/>
      </c>
      <c r="Z283" s="111">
        <f>IFERROR(B283/U283,0)</f>
        <v/>
      </c>
      <c r="AA283" s="111">
        <f>IFERROR(C283/R283,0)</f>
        <v/>
      </c>
      <c r="AB283" s="111">
        <f>IFERROR(D283/U283,0)</f>
        <v/>
      </c>
      <c r="AD283" s="111">
        <f>IF(U283&gt;0,IFERROR(E283/U283,0),1)</f>
        <v/>
      </c>
      <c r="AE283" s="111">
        <f>IF(R283&gt;0,IFERROR(F283/R283,0),1)</f>
        <v/>
      </c>
      <c r="AF283" s="111">
        <f>IF(AL283&gt;0,IFERROR(G283/AL283,0),1)</f>
        <v/>
      </c>
      <c r="AG283" s="111">
        <f>IF(AM283&gt;0,IFERROR(H283/AM283,0),1)</f>
        <v/>
      </c>
      <c r="AH283" s="104">
        <f>U283-(V283+AN283+AR283)</f>
        <v/>
      </c>
      <c r="AI283" s="104">
        <f>R283-(V283+AO283+AR283)</f>
        <v/>
      </c>
      <c r="AJ283" s="104">
        <f>(AL283-AP283)</f>
        <v/>
      </c>
      <c r="AK283" s="104">
        <f>(AM283-AQ283)</f>
        <v/>
      </c>
      <c r="AL283" s="110">
        <f>S283+AI283</f>
        <v/>
      </c>
      <c r="AM283" s="110">
        <f>T283+AJ283</f>
        <v/>
      </c>
      <c r="AN283" s="104" t="n">
        <v>31840</v>
      </c>
      <c r="AO283" s="104" t="n">
        <v>23440</v>
      </c>
      <c r="AP283" s="104" t="n">
        <v>8400</v>
      </c>
      <c r="AQ283" s="104" t="n">
        <v>0</v>
      </c>
      <c r="AR283" s="104" t="n">
        <v>0</v>
      </c>
      <c r="AS283" s="104" t="n"/>
      <c r="AT283" s="104" t="n"/>
    </row>
    <row r="284" ht="12.65" customHeight="1" s="79">
      <c r="A284" s="104">
        <f>MIN(V284,R284)</f>
        <v/>
      </c>
      <c r="B284" s="104">
        <f>MIN(V284,U284)</f>
        <v/>
      </c>
      <c r="C284" s="104">
        <f>MIN(X284,R284)</f>
        <v/>
      </c>
      <c r="D284" s="104">
        <f>MIN(X284,U284)</f>
        <v/>
      </c>
      <c r="E284" s="104">
        <f>MIN((V284+AN284+AR284),U284)</f>
        <v/>
      </c>
      <c r="F284" s="104">
        <f>MAX(MIN((V284+AO284+AR284),R284),0)</f>
        <v/>
      </c>
      <c r="G284" s="104">
        <f>MAX(MIN(AP284,AL284),0)</f>
        <v/>
      </c>
      <c r="H284" s="104">
        <f>MAX(MIN(AQ284,AM284),0)</f>
        <v/>
      </c>
      <c r="I284" s="105" t="inlineStr">
        <is>
          <t>ROOP KISHOR</t>
        </is>
      </c>
      <c r="J284" s="106" t="inlineStr">
        <is>
          <t>HOUSEHOLD</t>
        </is>
      </c>
      <c r="K284" s="107" t="inlineStr">
        <is>
          <t>HH_CROCKERY</t>
        </is>
      </c>
      <c r="L284" s="107" t="inlineStr">
        <is>
          <t>HH_C_M_SERVING TRAY</t>
        </is>
      </c>
      <c r="M284" s="107" t="inlineStr">
        <is>
          <t>SML-[HHC20]</t>
        </is>
      </c>
      <c r="N284" s="107" t="inlineStr">
        <is>
          <t>ACTIVE</t>
        </is>
      </c>
      <c r="O284" s="108" t="n">
        <v>0.09734280884307971</v>
      </c>
      <c r="P284" s="108" t="n">
        <v>0.113896481987688</v>
      </c>
      <c r="Q284" s="109" t="n">
        <v>47</v>
      </c>
      <c r="R284" s="110" t="n">
        <v>13646</v>
      </c>
      <c r="S284" s="110" t="n">
        <v>6790.28577170636</v>
      </c>
      <c r="T284" s="110" t="n">
        <v>4739.89953978405</v>
      </c>
      <c r="U284" s="110" t="n">
        <v>25176.1853114904</v>
      </c>
      <c r="V284" s="104" t="n">
        <v>3228</v>
      </c>
      <c r="W284" s="104" t="n">
        <v>1200</v>
      </c>
      <c r="X284" s="104">
        <f>$V284+W284</f>
        <v/>
      </c>
      <c r="Y284" s="111">
        <f>IFERROR(A284/R284,0)</f>
        <v/>
      </c>
      <c r="Z284" s="111">
        <f>IFERROR(B284/U284,0)</f>
        <v/>
      </c>
      <c r="AA284" s="111">
        <f>IFERROR(C284/R284,0)</f>
        <v/>
      </c>
      <c r="AB284" s="111">
        <f>IFERROR(D284/U284,0)</f>
        <v/>
      </c>
      <c r="AD284" s="111">
        <f>IF(U284&gt;0,IFERROR(E284/U284,0),1)</f>
        <v/>
      </c>
      <c r="AE284" s="111">
        <f>IF(R284&gt;0,IFERROR(F284/R284,0),1)</f>
        <v/>
      </c>
      <c r="AF284" s="111">
        <f>IF(AL284&gt;0,IFERROR(G284/AL284,0),1)</f>
        <v/>
      </c>
      <c r="AG284" s="111">
        <f>IF(AM284&gt;0,IFERROR(H284/AM284,0),1)</f>
        <v/>
      </c>
      <c r="AH284" s="104">
        <f>U284-(V284+AN284+AR284)</f>
        <v/>
      </c>
      <c r="AI284" s="104">
        <f>R284-(V284+AO284+AR284)</f>
        <v/>
      </c>
      <c r="AJ284" s="104">
        <f>(AL284-AP284)</f>
        <v/>
      </c>
      <c r="AK284" s="104">
        <f>(AM284-AQ284)</f>
        <v/>
      </c>
      <c r="AL284" s="110">
        <f>S284+AI284</f>
        <v/>
      </c>
      <c r="AM284" s="110">
        <f>T284+AJ284</f>
        <v/>
      </c>
      <c r="AN284" s="104" t="n">
        <v>18372</v>
      </c>
      <c r="AO284" s="104" t="n">
        <v>14772</v>
      </c>
      <c r="AP284" s="104" t="n">
        <v>3600</v>
      </c>
      <c r="AQ284" s="104" t="n">
        <v>0</v>
      </c>
      <c r="AR284" s="104" t="n">
        <v>0</v>
      </c>
      <c r="AS284" s="104" t="n"/>
      <c r="AT284" s="104" t="n"/>
    </row>
    <row r="285" ht="12.65" customHeight="1" s="79">
      <c r="A285" s="104">
        <f>MIN(V285,R285)</f>
        <v/>
      </c>
      <c r="B285" s="104">
        <f>MIN(V285,U285)</f>
        <v/>
      </c>
      <c r="C285" s="104">
        <f>MIN(X285,R285)</f>
        <v/>
      </c>
      <c r="D285" s="104">
        <f>MIN(X285,U285)</f>
        <v/>
      </c>
      <c r="E285" s="104">
        <f>MIN((V285+AN285+AR285),U285)</f>
        <v/>
      </c>
      <c r="F285" s="104">
        <f>MAX(MIN((V285+AO285+AR285),R285),0)</f>
        <v/>
      </c>
      <c r="G285" s="104">
        <f>MAX(MIN(AP285,AL285),0)</f>
        <v/>
      </c>
      <c r="H285" s="104">
        <f>MAX(MIN(AQ285,AM285),0)</f>
        <v/>
      </c>
      <c r="I285" s="105" t="inlineStr">
        <is>
          <t>ROOP KISHOR</t>
        </is>
      </c>
      <c r="J285" s="106" t="inlineStr">
        <is>
          <t>HOUSEHOLD</t>
        </is>
      </c>
      <c r="K285" s="107" t="inlineStr">
        <is>
          <t>HH_CROCKERY</t>
        </is>
      </c>
      <c r="L285" s="107" t="inlineStr">
        <is>
          <t>HH_C_M_SERVING TRAY</t>
        </is>
      </c>
      <c r="M285" s="107" t="inlineStr">
        <is>
          <t>BIG-[HHC20]</t>
        </is>
      </c>
      <c r="N285" s="107" t="inlineStr">
        <is>
          <t>ACTIVE</t>
        </is>
      </c>
      <c r="O285" s="108" t="n">
        <v>0.105186697879829</v>
      </c>
      <c r="P285" s="108" t="n">
        <v>0.08325071055588611</v>
      </c>
      <c r="Q285" s="109" t="n">
        <v>47</v>
      </c>
      <c r="R285" s="110" t="n">
        <v>7447</v>
      </c>
      <c r="S285" s="110" t="n">
        <v>4527.3893360477</v>
      </c>
      <c r="T285" s="110" t="n">
        <v>3253.93107616244</v>
      </c>
      <c r="U285" s="110" t="n">
        <v>15228.3204122101</v>
      </c>
      <c r="V285" s="104" t="n">
        <v>3326</v>
      </c>
      <c r="W285" s="104" t="n">
        <v>3600</v>
      </c>
      <c r="X285" s="104">
        <f>$V285+W285</f>
        <v/>
      </c>
      <c r="Y285" s="111">
        <f>IFERROR(A285/R285,0)</f>
        <v/>
      </c>
      <c r="Z285" s="111">
        <f>IFERROR(B285/U285,0)</f>
        <v/>
      </c>
      <c r="AA285" s="111">
        <f>IFERROR(C285/R285,0)</f>
        <v/>
      </c>
      <c r="AB285" s="111">
        <f>IFERROR(D285/U285,0)</f>
        <v/>
      </c>
      <c r="AD285" s="111">
        <f>IF(U285&gt;0,IFERROR(E285/U285,0),1)</f>
        <v/>
      </c>
      <c r="AE285" s="111">
        <f>IF(R285&gt;0,IFERROR(F285/R285,0),1)</f>
        <v/>
      </c>
      <c r="AF285" s="111">
        <f>IF(AL285&gt;0,IFERROR(G285/AL285,0),1)</f>
        <v/>
      </c>
      <c r="AG285" s="111">
        <f>IF(AM285&gt;0,IFERROR(H285/AM285,0),1)</f>
        <v/>
      </c>
      <c r="AH285" s="104">
        <f>U285-(V285+AN285+AR285)</f>
        <v/>
      </c>
      <c r="AI285" s="104">
        <f>R285-(V285+AO285+AR285)</f>
        <v/>
      </c>
      <c r="AJ285" s="104">
        <f>(AL285-AP285)</f>
        <v/>
      </c>
      <c r="AK285" s="104">
        <f>(AM285-AQ285)</f>
        <v/>
      </c>
      <c r="AL285" s="110">
        <f>S285+AI285</f>
        <v/>
      </c>
      <c r="AM285" s="110">
        <f>T285+AJ285</f>
        <v/>
      </c>
      <c r="AN285" s="104" t="n">
        <v>18872</v>
      </c>
      <c r="AO285" s="104" t="n">
        <v>10472</v>
      </c>
      <c r="AP285" s="104" t="n">
        <v>6000</v>
      </c>
      <c r="AQ285" s="104" t="n">
        <v>2400</v>
      </c>
      <c r="AR285" s="104" t="n">
        <v>0</v>
      </c>
      <c r="AS285" s="104" t="n"/>
      <c r="AT285" s="104" t="n"/>
    </row>
    <row r="286" ht="12.65" customHeight="1" s="79">
      <c r="A286" s="104">
        <f>MIN(V286,R286)</f>
        <v/>
      </c>
      <c r="B286" s="104">
        <f>MIN(V286,U286)</f>
        <v/>
      </c>
      <c r="C286" s="104">
        <f>MIN(X286,R286)</f>
        <v/>
      </c>
      <c r="D286" s="104">
        <f>MIN(X286,U286)</f>
        <v/>
      </c>
      <c r="E286" s="104">
        <f>MIN((V286+AN286+AR286),U286)</f>
        <v/>
      </c>
      <c r="F286" s="104">
        <f>MAX(MIN((V286+AO286+AR286),R286),0)</f>
        <v/>
      </c>
      <c r="G286" s="104">
        <f>MAX(MIN(AP286,AL286),0)</f>
        <v/>
      </c>
      <c r="H286" s="104">
        <f>MAX(MIN(AQ286,AM286),0)</f>
        <v/>
      </c>
      <c r="I286" s="105" t="inlineStr">
        <is>
          <t>ROOP KISHOR</t>
        </is>
      </c>
      <c r="J286" s="106" t="inlineStr">
        <is>
          <t>HOUSEHOLD</t>
        </is>
      </c>
      <c r="K286" s="107" t="inlineStr">
        <is>
          <t>HH_CROCKERY</t>
        </is>
      </c>
      <c r="L286" s="107" t="inlineStr">
        <is>
          <t>HH_C_M_SNACKS PLATE</t>
        </is>
      </c>
      <c r="M286" s="107" t="inlineStr">
        <is>
          <t>SQR-[HHC23]</t>
        </is>
      </c>
      <c r="N286" s="107" t="inlineStr">
        <is>
          <t>ACTIVE</t>
        </is>
      </c>
      <c r="O286" s="108" t="n">
        <v>0.143749711276389</v>
      </c>
      <c r="P286" s="108" t="n">
        <v>0.1442150843788</v>
      </c>
      <c r="Q286" s="109" t="n">
        <v>86</v>
      </c>
      <c r="R286" s="110" t="n">
        <v>11925</v>
      </c>
      <c r="S286" s="110" t="n">
        <v>8468.57492939328</v>
      </c>
      <c r="T286" s="110" t="n">
        <v>6337.78790100439</v>
      </c>
      <c r="U286" s="110" t="n">
        <v>26731.3628303977</v>
      </c>
      <c r="V286" s="104" t="n">
        <v>720</v>
      </c>
      <c r="W286" s="104" t="n">
        <v>15480</v>
      </c>
      <c r="X286" s="104">
        <f>$V286+W286</f>
        <v/>
      </c>
      <c r="Y286" s="111">
        <f>IFERROR(A286/R286,0)</f>
        <v/>
      </c>
      <c r="Z286" s="111">
        <f>IFERROR(B286/U286,0)</f>
        <v/>
      </c>
      <c r="AA286" s="111">
        <f>IFERROR(C286/R286,0)</f>
        <v/>
      </c>
      <c r="AB286" s="111">
        <f>IFERROR(D286/U286,0)</f>
        <v/>
      </c>
      <c r="AD286" s="111">
        <f>IF(U286&gt;0,IFERROR(E286/U286,0),1)</f>
        <v/>
      </c>
      <c r="AE286" s="111">
        <f>IF(R286&gt;0,IFERROR(F286/R286,0),1)</f>
        <v/>
      </c>
      <c r="AF286" s="111">
        <f>IF(AL286&gt;0,IFERROR(G286/AL286,0),1)</f>
        <v/>
      </c>
      <c r="AG286" s="111">
        <f>IF(AM286&gt;0,IFERROR(H286/AM286,0),1)</f>
        <v/>
      </c>
      <c r="AH286" s="104">
        <f>U286-(V286+AN286+AR286)</f>
        <v/>
      </c>
      <c r="AI286" s="104">
        <f>R286-(V286+AO286+AR286)</f>
        <v/>
      </c>
      <c r="AJ286" s="104">
        <f>(AL286-AP286)</f>
        <v/>
      </c>
      <c r="AK286" s="104">
        <f>(AM286-AQ286)</f>
        <v/>
      </c>
      <c r="AL286" s="110">
        <f>S286+AI286</f>
        <v/>
      </c>
      <c r="AM286" s="110">
        <f>T286+AJ286</f>
        <v/>
      </c>
      <c r="AN286" s="104" t="n">
        <v>37680</v>
      </c>
      <c r="AO286" s="104" t="n">
        <v>28080</v>
      </c>
      <c r="AP286" s="104" t="n">
        <v>9600</v>
      </c>
      <c r="AQ286" s="104" t="n">
        <v>0</v>
      </c>
      <c r="AR286" s="104" t="n">
        <v>0</v>
      </c>
      <c r="AS286" s="104" t="n"/>
      <c r="AT286" s="104" t="n"/>
    </row>
    <row r="287" ht="12.65" customHeight="1" s="79">
      <c r="A287" s="104">
        <f>MIN(V287,R287)</f>
        <v/>
      </c>
      <c r="B287" s="104">
        <f>MIN(V287,U287)</f>
        <v/>
      </c>
      <c r="C287" s="104">
        <f>MIN(X287,R287)</f>
        <v/>
      </c>
      <c r="D287" s="104">
        <f>MIN(X287,U287)</f>
        <v/>
      </c>
      <c r="E287" s="104">
        <f>MIN((V287+AN287+AR287),U287)</f>
        <v/>
      </c>
      <c r="F287" s="104">
        <f>MAX(MIN((V287+AO287+AR287),R287),0)</f>
        <v/>
      </c>
      <c r="G287" s="104">
        <f>MAX(MIN(AP287,AL287),0)</f>
        <v/>
      </c>
      <c r="H287" s="104">
        <f>MAX(MIN(AQ287,AM287),0)</f>
        <v/>
      </c>
      <c r="I287" s="105" t="inlineStr">
        <is>
          <t>ROOP KISHOR</t>
        </is>
      </c>
      <c r="J287" s="106" t="inlineStr">
        <is>
          <t>HOUSEHOLD</t>
        </is>
      </c>
      <c r="K287" s="107" t="inlineStr">
        <is>
          <t>HH_CROCKERY</t>
        </is>
      </c>
      <c r="L287" s="107" t="inlineStr">
        <is>
          <t>HH_C_M_SNACKS PLATE</t>
        </is>
      </c>
      <c r="M287" s="107" t="inlineStr">
        <is>
          <t>DEEP-[HHC23]</t>
        </is>
      </c>
      <c r="N287" s="107" t="inlineStr">
        <is>
          <t>ACTIVE</t>
        </is>
      </c>
      <c r="O287" s="108" t="n">
        <v>0.126284673878119</v>
      </c>
      <c r="P287" s="108" t="n">
        <v>0.116802864036112</v>
      </c>
      <c r="Q287" s="109" t="n">
        <v>86</v>
      </c>
      <c r="R287" s="110" t="n">
        <v>11273</v>
      </c>
      <c r="S287" s="110" t="n">
        <v>6992.25663565602</v>
      </c>
      <c r="T287" s="110" t="n">
        <v>5303.87057155929</v>
      </c>
      <c r="U287" s="110" t="n">
        <v>23569.1272072153</v>
      </c>
      <c r="V287" s="104" t="n">
        <v>8184</v>
      </c>
      <c r="W287" s="104" t="n">
        <v>9600</v>
      </c>
      <c r="X287" s="104">
        <f>$V287+W287</f>
        <v/>
      </c>
      <c r="Y287" s="111">
        <f>IFERROR(A287/R287,0)</f>
        <v/>
      </c>
      <c r="Z287" s="111">
        <f>IFERROR(B287/U287,0)</f>
        <v/>
      </c>
      <c r="AA287" s="111">
        <f>IFERROR(C287/R287,0)</f>
        <v/>
      </c>
      <c r="AB287" s="111">
        <f>IFERROR(D287/U287,0)</f>
        <v/>
      </c>
      <c r="AD287" s="111">
        <f>IF(U287&gt;0,IFERROR(E287/U287,0),1)</f>
        <v/>
      </c>
      <c r="AE287" s="111">
        <f>IF(R287&gt;0,IFERROR(F287/R287,0),1)</f>
        <v/>
      </c>
      <c r="AF287" s="111">
        <f>IF(AL287&gt;0,IFERROR(G287/AL287,0),1)</f>
        <v/>
      </c>
      <c r="AG287" s="111">
        <f>IF(AM287&gt;0,IFERROR(H287/AM287,0),1)</f>
        <v/>
      </c>
      <c r="AH287" s="104">
        <f>U287-(V287+AN287+AR287)</f>
        <v/>
      </c>
      <c r="AI287" s="104">
        <f>R287-(V287+AO287+AR287)</f>
        <v/>
      </c>
      <c r="AJ287" s="104">
        <f>(AL287-AP287)</f>
        <v/>
      </c>
      <c r="AK287" s="104">
        <f>(AM287-AQ287)</f>
        <v/>
      </c>
      <c r="AL287" s="110">
        <f>S287+AI287</f>
        <v/>
      </c>
      <c r="AM287" s="110">
        <f>T287+AJ287</f>
        <v/>
      </c>
      <c r="AN287" s="104" t="n">
        <v>38616</v>
      </c>
      <c r="AO287" s="104" t="n">
        <v>26616</v>
      </c>
      <c r="AP287" s="104" t="n">
        <v>12000</v>
      </c>
      <c r="AQ287" s="104" t="n">
        <v>0</v>
      </c>
      <c r="AR287" s="104" t="n">
        <v>0</v>
      </c>
      <c r="AS287" s="104" t="n"/>
      <c r="AT287" s="104" t="n"/>
    </row>
    <row r="288" ht="12.65" customHeight="1" s="79">
      <c r="A288" s="104">
        <f>MIN(V288,R288)</f>
        <v/>
      </c>
      <c r="B288" s="104">
        <f>MIN(V288,U288)</f>
        <v/>
      </c>
      <c r="C288" s="104">
        <f>MIN(X288,R288)</f>
        <v/>
      </c>
      <c r="D288" s="104">
        <f>MIN(X288,U288)</f>
        <v/>
      </c>
      <c r="E288" s="104">
        <f>MIN((V288+AN288+AR288),U288)</f>
        <v/>
      </c>
      <c r="F288" s="104">
        <f>MAX(MIN((V288+AO288+AR288),R288),0)</f>
        <v/>
      </c>
      <c r="G288" s="104">
        <f>MAX(MIN(AP288,AL288),0)</f>
        <v/>
      </c>
      <c r="H288" s="104">
        <f>MAX(MIN(AQ288,AM288),0)</f>
        <v/>
      </c>
      <c r="I288" s="105" t="inlineStr">
        <is>
          <t>ROOP KISHOR</t>
        </is>
      </c>
      <c r="J288" s="106" t="inlineStr">
        <is>
          <t>HOUSEHOLD</t>
        </is>
      </c>
      <c r="K288" s="107" t="inlineStr">
        <is>
          <t>HH_CROCKERY</t>
        </is>
      </c>
      <c r="L288" s="107" t="inlineStr">
        <is>
          <t>HH_C_M_VEG BOWL</t>
        </is>
      </c>
      <c r="M288" s="107" t="inlineStr">
        <is>
          <t>RND-[HHC22]</t>
        </is>
      </c>
      <c r="N288" s="107" t="inlineStr">
        <is>
          <t>ACTIVE</t>
        </is>
      </c>
      <c r="O288" s="108" t="n">
        <v>0.105043479991244</v>
      </c>
      <c r="P288" s="108" t="n">
        <v>0.09186023227873449</v>
      </c>
      <c r="Q288" s="109" t="n">
        <v>149</v>
      </c>
      <c r="R288" s="110" t="n">
        <v>4411</v>
      </c>
      <c r="S288" s="110" t="n">
        <v>6382.46409813532</v>
      </c>
      <c r="T288" s="110" t="n">
        <v>7726.46644198277</v>
      </c>
      <c r="U288" s="110" t="n">
        <v>18519.9305401181</v>
      </c>
      <c r="V288" s="104" t="n">
        <v>6412</v>
      </c>
      <c r="W288" s="104" t="n">
        <v>3600</v>
      </c>
      <c r="X288" s="104">
        <f>$V288+W288</f>
        <v/>
      </c>
      <c r="Y288" s="111">
        <f>IFERROR(A288/R288,0)</f>
        <v/>
      </c>
      <c r="Z288" s="111">
        <f>IFERROR(B288/U288,0)</f>
        <v/>
      </c>
      <c r="AA288" s="111">
        <f>IFERROR(C288/R288,0)</f>
        <v/>
      </c>
      <c r="AB288" s="111">
        <f>IFERROR(D288/U288,0)</f>
        <v/>
      </c>
      <c r="AD288" s="111">
        <f>IF(U288&gt;0,IFERROR(E288/U288,0),1)</f>
        <v/>
      </c>
      <c r="AE288" s="111">
        <f>IF(R288&gt;0,IFERROR(F288/R288,0),1)</f>
        <v/>
      </c>
      <c r="AF288" s="111">
        <f>IF(AL288&gt;0,IFERROR(G288/AL288,0),1)</f>
        <v/>
      </c>
      <c r="AG288" s="111">
        <f>IF(AM288&gt;0,IFERROR(H288/AM288,0),1)</f>
        <v/>
      </c>
      <c r="AH288" s="104">
        <f>U288-(V288+AN288+AR288)</f>
        <v/>
      </c>
      <c r="AI288" s="104">
        <f>R288-(V288+AO288+AR288)</f>
        <v/>
      </c>
      <c r="AJ288" s="104">
        <f>(AL288-AP288)</f>
        <v/>
      </c>
      <c r="AK288" s="104">
        <f>(AM288-AQ288)</f>
        <v/>
      </c>
      <c r="AL288" s="110">
        <f>S288+AI288</f>
        <v/>
      </c>
      <c r="AM288" s="110">
        <f>T288+AJ288</f>
        <v/>
      </c>
      <c r="AN288" s="104" t="n">
        <v>51908</v>
      </c>
      <c r="AO288" s="104" t="n">
        <v>36308</v>
      </c>
      <c r="AP288" s="104" t="n">
        <v>15600</v>
      </c>
      <c r="AQ288" s="104" t="n">
        <v>0</v>
      </c>
      <c r="AR288" s="104" t="n">
        <v>0</v>
      </c>
      <c r="AS288" s="104" t="n"/>
      <c r="AT288" s="104" t="n"/>
    </row>
    <row r="289" ht="12.65" customHeight="1" s="79">
      <c r="A289" s="104">
        <f>MIN(V289,R289)</f>
        <v/>
      </c>
      <c r="B289" s="104">
        <f>MIN(V289,U289)</f>
        <v/>
      </c>
      <c r="C289" s="104">
        <f>MIN(X289,R289)</f>
        <v/>
      </c>
      <c r="D289" s="104">
        <f>MIN(X289,U289)</f>
        <v/>
      </c>
      <c r="E289" s="104">
        <f>MIN((V289+AN289+AR289),U289)</f>
        <v/>
      </c>
      <c r="F289" s="104">
        <f>MAX(MIN((V289+AO289+AR289),R289),0)</f>
        <v/>
      </c>
      <c r="G289" s="104">
        <f>MAX(MIN(AP289,AL289),0)</f>
        <v/>
      </c>
      <c r="H289" s="104">
        <f>MAX(MIN(AQ289,AM289),0)</f>
        <v/>
      </c>
      <c r="I289" s="105" t="inlineStr">
        <is>
          <t>ROOP KISHOR</t>
        </is>
      </c>
      <c r="J289" s="106" t="inlineStr">
        <is>
          <t>HOUSEHOLD</t>
        </is>
      </c>
      <c r="K289" s="107" t="inlineStr">
        <is>
          <t>HH_CROCKERY</t>
        </is>
      </c>
      <c r="L289" s="107" t="inlineStr">
        <is>
          <t>HH_C_M_VEG BOWL</t>
        </is>
      </c>
      <c r="M289" s="107" t="inlineStr">
        <is>
          <t>SQR-[HHC22]</t>
        </is>
      </c>
      <c r="N289" s="107" t="inlineStr">
        <is>
          <t>ACTIVE</t>
        </is>
      </c>
      <c r="O289" s="108" t="n">
        <v>0.09927140255009111</v>
      </c>
      <c r="P289" s="108" t="n">
        <v>0.08895102781136641</v>
      </c>
      <c r="Q289" s="109" t="n">
        <v>149</v>
      </c>
      <c r="R289" s="110" t="n">
        <v>2826</v>
      </c>
      <c r="S289" s="110" t="n">
        <v>1670.31426575716</v>
      </c>
      <c r="T289" s="110" t="n">
        <v>1962.86103654162</v>
      </c>
      <c r="U289" s="110" t="n">
        <v>6459.17530229878</v>
      </c>
      <c r="V289" s="104" t="n">
        <v>2400</v>
      </c>
      <c r="W289" s="104" t="n">
        <v>0</v>
      </c>
      <c r="X289" s="104">
        <f>$V289+W289</f>
        <v/>
      </c>
      <c r="Y289" s="111">
        <f>IFERROR(A289/R289,0)</f>
        <v/>
      </c>
      <c r="Z289" s="111">
        <f>IFERROR(B289/U289,0)</f>
        <v/>
      </c>
      <c r="AA289" s="111">
        <f>IFERROR(C289/R289,0)</f>
        <v/>
      </c>
      <c r="AB289" s="111">
        <f>IFERROR(D289/U289,0)</f>
        <v/>
      </c>
      <c r="AD289" s="111">
        <f>IF(U289&gt;0,IFERROR(E289/U289,0),1)</f>
        <v/>
      </c>
      <c r="AE289" s="111">
        <f>IF(R289&gt;0,IFERROR(F289/R289,0),1)</f>
        <v/>
      </c>
      <c r="AF289" s="111">
        <f>IF(AL289&gt;0,IFERROR(G289/AL289,0),1)</f>
        <v/>
      </c>
      <c r="AG289" s="111">
        <f>IF(AM289&gt;0,IFERROR(H289/AM289,0),1)</f>
        <v/>
      </c>
      <c r="AH289" s="104">
        <f>U289-(V289+AN289+AR289)</f>
        <v/>
      </c>
      <c r="AI289" s="104">
        <f>R289-(V289+AO289+AR289)</f>
        <v/>
      </c>
      <c r="AJ289" s="104">
        <f>(AL289-AP289)</f>
        <v/>
      </c>
      <c r="AK289" s="104">
        <f>(AM289-AQ289)</f>
        <v/>
      </c>
      <c r="AL289" s="110">
        <f>S289+AI289</f>
        <v/>
      </c>
      <c r="AM289" s="110">
        <f>T289+AJ289</f>
        <v/>
      </c>
      <c r="AN289" s="104" t="n">
        <v>4800</v>
      </c>
      <c r="AO289" s="104" t="n">
        <v>1200</v>
      </c>
      <c r="AP289" s="104" t="n">
        <v>3600</v>
      </c>
      <c r="AQ289" s="104" t="n">
        <v>0</v>
      </c>
      <c r="AR289" s="104" t="n">
        <v>0</v>
      </c>
      <c r="AS289" s="104" t="n"/>
      <c r="AT289" s="104" t="n"/>
    </row>
    <row r="290" ht="12.65" customHeight="1" s="79">
      <c r="A290" s="104">
        <f>MIN(V290,R290)</f>
        <v/>
      </c>
      <c r="B290" s="104">
        <f>MIN(V290,U290)</f>
        <v/>
      </c>
      <c r="C290" s="104">
        <f>MIN(X290,R290)</f>
        <v/>
      </c>
      <c r="D290" s="104">
        <f>MIN(X290,U290)</f>
        <v/>
      </c>
      <c r="E290" s="104">
        <f>MIN((V290+AN290+AR290),U290)</f>
        <v/>
      </c>
      <c r="F290" s="104">
        <f>MAX(MIN((V290+AO290+AR290),R290),0)</f>
        <v/>
      </c>
      <c r="G290" s="104">
        <f>MAX(MIN(AP290,AL290),0)</f>
        <v/>
      </c>
      <c r="H290" s="104">
        <f>MAX(MIN(AQ290,AM290),0)</f>
        <v/>
      </c>
      <c r="I290" s="105" t="inlineStr">
        <is>
          <t>ROOP KISHOR</t>
        </is>
      </c>
      <c r="J290" s="106" t="inlineStr">
        <is>
          <t>HOUSEHOLD</t>
        </is>
      </c>
      <c r="K290" s="107" t="inlineStr">
        <is>
          <t>HH_KITCHEN AIDS</t>
        </is>
      </c>
      <c r="L290" s="107" t="inlineStr">
        <is>
          <t>HH_C_S_BASKET</t>
        </is>
      </c>
      <c r="M290" s="107" t="inlineStr">
        <is>
          <t>COLLANDER-[HHC29]</t>
        </is>
      </c>
      <c r="N290" s="107" t="inlineStr">
        <is>
          <t>ACTIVE</t>
        </is>
      </c>
      <c r="O290" s="108" t="n">
        <v>0.148863532215196</v>
      </c>
      <c r="P290" s="108" t="n">
        <v>0.136932073774179</v>
      </c>
      <c r="Q290" s="109" t="n">
        <v>110</v>
      </c>
      <c r="R290" s="110" t="n">
        <v>3371</v>
      </c>
      <c r="S290" s="110" t="n">
        <v>3095.53300042444</v>
      </c>
      <c r="T290" s="110" t="n">
        <v>1724.84185324597</v>
      </c>
      <c r="U290" s="110" t="n">
        <v>8191.37485367041</v>
      </c>
      <c r="V290" s="104" t="n">
        <v>1200</v>
      </c>
      <c r="W290" s="104" t="n">
        <v>1920</v>
      </c>
      <c r="X290" s="104">
        <f>$V290+W290</f>
        <v/>
      </c>
      <c r="Y290" s="111">
        <f>IFERROR(A290/R290,0)</f>
        <v/>
      </c>
      <c r="Z290" s="111">
        <f>IFERROR(B290/U290,0)</f>
        <v/>
      </c>
      <c r="AA290" s="111">
        <f>IFERROR(C290/R290,0)</f>
        <v/>
      </c>
      <c r="AB290" s="111">
        <f>IFERROR(D290/U290,0)</f>
        <v/>
      </c>
      <c r="AD290" s="111">
        <f>IF(U290&gt;0,IFERROR(E290/U290,0),1)</f>
        <v/>
      </c>
      <c r="AE290" s="111">
        <f>IF(R290&gt;0,IFERROR(F290/R290,0),1)</f>
        <v/>
      </c>
      <c r="AF290" s="111">
        <f>IF(AL290&gt;0,IFERROR(G290/AL290,0),1)</f>
        <v/>
      </c>
      <c r="AG290" s="111">
        <f>IF(AM290&gt;0,IFERROR(H290/AM290,0),1)</f>
        <v/>
      </c>
      <c r="AH290" s="104">
        <f>U290-(V290+AN290+AR290)</f>
        <v/>
      </c>
      <c r="AI290" s="104">
        <f>R290-(V290+AO290+AR290)</f>
        <v/>
      </c>
      <c r="AJ290" s="104">
        <f>(AL290-AP290)</f>
        <v/>
      </c>
      <c r="AK290" s="104">
        <f>(AM290-AQ290)</f>
        <v/>
      </c>
      <c r="AL290" s="110">
        <f>S290+AI290</f>
        <v/>
      </c>
      <c r="AM290" s="110">
        <f>T290+AJ290</f>
        <v/>
      </c>
      <c r="AN290" s="104" t="n">
        <v>9120</v>
      </c>
      <c r="AO290" s="104" t="n">
        <v>1920</v>
      </c>
      <c r="AP290" s="104" t="n">
        <v>4800</v>
      </c>
      <c r="AQ290" s="104" t="n">
        <v>2400</v>
      </c>
      <c r="AR290" s="104" t="n">
        <v>0</v>
      </c>
      <c r="AS290" s="104" t="n"/>
      <c r="AT290" s="104" t="n"/>
    </row>
    <row r="291" ht="12.65" customHeight="1" s="79">
      <c r="A291" s="104">
        <f>MIN(V291,R291)</f>
        <v/>
      </c>
      <c r="B291" s="104">
        <f>MIN(V291,U291)</f>
        <v/>
      </c>
      <c r="C291" s="104">
        <f>MIN(X291,R291)</f>
        <v/>
      </c>
      <c r="D291" s="104">
        <f>MIN(X291,U291)</f>
        <v/>
      </c>
      <c r="E291" s="104">
        <f>MIN((V291+AN291+AR291),U291)</f>
        <v/>
      </c>
      <c r="F291" s="104">
        <f>MAX(MIN((V291+AO291+AR291),R291),0)</f>
        <v/>
      </c>
      <c r="G291" s="104">
        <f>MAX(MIN(AP291,AL291),0)</f>
        <v/>
      </c>
      <c r="H291" s="104">
        <f>MAX(MIN(AQ291,AM291),0)</f>
        <v/>
      </c>
      <c r="I291" s="105" t="inlineStr">
        <is>
          <t>ROOP KISHOR</t>
        </is>
      </c>
      <c r="J291" s="106" t="inlineStr">
        <is>
          <t>HOUSEHOLD</t>
        </is>
      </c>
      <c r="K291" s="107" t="inlineStr">
        <is>
          <t>HH_KITCHEN AIDS</t>
        </is>
      </c>
      <c r="L291" s="107" t="inlineStr">
        <is>
          <t>HH_C_S_BASKET</t>
        </is>
      </c>
      <c r="M291" s="107" t="inlineStr">
        <is>
          <t>FRUIT BSKT-[HHC29]</t>
        </is>
      </c>
      <c r="N291" s="107" t="inlineStr">
        <is>
          <t>ACTIVE</t>
        </is>
      </c>
      <c r="O291" s="108" t="n">
        <v>0.140656205420827</v>
      </c>
      <c r="P291" s="108" t="n">
        <v>0.0773501577287066</v>
      </c>
      <c r="Q291" s="109" t="n">
        <v>110</v>
      </c>
      <c r="R291" s="110" t="n">
        <v>1695</v>
      </c>
      <c r="S291" s="110" t="n">
        <v>1522.81235297084</v>
      </c>
      <c r="T291" s="110" t="n">
        <v>1101.15366422132</v>
      </c>
      <c r="U291" s="110" t="n">
        <v>4318.96601719215</v>
      </c>
      <c r="V291" s="104" t="n">
        <v>2718</v>
      </c>
      <c r="W291" s="104" t="n">
        <v>0</v>
      </c>
      <c r="X291" s="104">
        <f>$V291+W291</f>
        <v/>
      </c>
      <c r="Y291" s="111">
        <f>IFERROR(A291/R291,0)</f>
        <v/>
      </c>
      <c r="Z291" s="111">
        <f>IFERROR(B291/U291,0)</f>
        <v/>
      </c>
      <c r="AA291" s="111">
        <f>IFERROR(C291/R291,0)</f>
        <v/>
      </c>
      <c r="AB291" s="111">
        <f>IFERROR(D291/U291,0)</f>
        <v/>
      </c>
      <c r="AD291" s="111">
        <f>IF(U291&gt;0,IFERROR(E291/U291,0),1)</f>
        <v/>
      </c>
      <c r="AE291" s="111">
        <f>IF(R291&gt;0,IFERROR(F291/R291,0),1)</f>
        <v/>
      </c>
      <c r="AF291" s="111">
        <f>IF(AL291&gt;0,IFERROR(G291/AL291,0),1)</f>
        <v/>
      </c>
      <c r="AG291" s="111">
        <f>IF(AM291&gt;0,IFERROR(H291/AM291,0),1)</f>
        <v/>
      </c>
      <c r="AH291" s="104">
        <f>U291-(V291+AN291+AR291)</f>
        <v/>
      </c>
      <c r="AI291" s="104">
        <f>R291-(V291+AO291+AR291)</f>
        <v/>
      </c>
      <c r="AJ291" s="104">
        <f>(AL291-AP291)</f>
        <v/>
      </c>
      <c r="AK291" s="104">
        <f>(AM291-AQ291)</f>
        <v/>
      </c>
      <c r="AL291" s="110">
        <f>S291+AI291</f>
        <v/>
      </c>
      <c r="AM291" s="110">
        <f>T291+AJ291</f>
        <v/>
      </c>
      <c r="AN291" s="104" t="n">
        <v>3480</v>
      </c>
      <c r="AO291" s="104" t="n">
        <v>1080</v>
      </c>
      <c r="AP291" s="104" t="n">
        <v>2400</v>
      </c>
      <c r="AQ291" s="104" t="n">
        <v>0</v>
      </c>
      <c r="AR291" s="104" t="n">
        <v>0</v>
      </c>
      <c r="AS291" s="104" t="n"/>
      <c r="AT291" s="104" t="n"/>
    </row>
    <row r="292" ht="12.65" customHeight="1" s="79">
      <c r="A292" s="104">
        <f>MIN(V292,R292)</f>
        <v/>
      </c>
      <c r="B292" s="104">
        <f>MIN(V292,U292)</f>
        <v/>
      </c>
      <c r="C292" s="104">
        <f>MIN(X292,R292)</f>
        <v/>
      </c>
      <c r="D292" s="104">
        <f>MIN(X292,U292)</f>
        <v/>
      </c>
      <c r="E292" s="104">
        <f>MIN((V292+AN292+AR292),U292)</f>
        <v/>
      </c>
      <c r="F292" s="104">
        <f>MAX(MIN((V292+AO292+AR292),R292),0)</f>
        <v/>
      </c>
      <c r="G292" s="104">
        <f>MAX(MIN(AP292,AL292),0)</f>
        <v/>
      </c>
      <c r="H292" s="104">
        <f>MAX(MIN(AQ292,AM292),0)</f>
        <v/>
      </c>
      <c r="I292" s="105" t="inlineStr">
        <is>
          <t>ROOP KISHOR</t>
        </is>
      </c>
      <c r="J292" s="106" t="inlineStr">
        <is>
          <t>HOUSEHOLD</t>
        </is>
      </c>
      <c r="K292" s="107" t="inlineStr">
        <is>
          <t>HH_KITCHEN AIDS</t>
        </is>
      </c>
      <c r="L292" s="107" t="inlineStr">
        <is>
          <t>HH_CUTLERY STAND</t>
        </is>
      </c>
      <c r="M292" s="107" t="inlineStr">
        <is>
          <t>PLST-[HHUK03]</t>
        </is>
      </c>
      <c r="N292" s="107" t="inlineStr">
        <is>
          <t>ACTIVE</t>
        </is>
      </c>
      <c r="O292" s="108" t="n">
        <v>0.113660591764292</v>
      </c>
      <c r="P292" s="108" t="n">
        <v>0.117878749108987</v>
      </c>
      <c r="Q292" s="109" t="n">
        <v>85</v>
      </c>
      <c r="R292" s="110" t="n">
        <v>5309</v>
      </c>
      <c r="S292" s="110" t="n">
        <v>9851.689947649869</v>
      </c>
      <c r="T292" s="110" t="n">
        <v>9244.265287216591</v>
      </c>
      <c r="U292" s="110" t="n">
        <v>24404.9552348665</v>
      </c>
      <c r="V292" s="104" t="n">
        <v>4800</v>
      </c>
      <c r="W292" s="104" t="n">
        <v>1680</v>
      </c>
      <c r="X292" s="104">
        <f>$V292+W292</f>
        <v/>
      </c>
      <c r="Y292" s="111">
        <f>IFERROR(A292/R292,0)</f>
        <v/>
      </c>
      <c r="Z292" s="111">
        <f>IFERROR(B292/U292,0)</f>
        <v/>
      </c>
      <c r="AA292" s="111">
        <f>IFERROR(C292/R292,0)</f>
        <v/>
      </c>
      <c r="AB292" s="111">
        <f>IFERROR(D292/U292,0)</f>
        <v/>
      </c>
      <c r="AD292" s="111">
        <f>IF(U292&gt;0,IFERROR(E292/U292,0),1)</f>
        <v/>
      </c>
      <c r="AE292" s="111">
        <f>IF(R292&gt;0,IFERROR(F292/R292,0),1)</f>
        <v/>
      </c>
      <c r="AF292" s="111">
        <f>IF(AL292&gt;0,IFERROR(G292/AL292,0),1)</f>
        <v/>
      </c>
      <c r="AG292" s="111">
        <f>IF(AM292&gt;0,IFERROR(H292/AM292,0),1)</f>
        <v/>
      </c>
      <c r="AH292" s="104">
        <f>U292-(V292+AN292+AR292)</f>
        <v/>
      </c>
      <c r="AI292" s="104">
        <f>R292-(V292+AO292+AR292)</f>
        <v/>
      </c>
      <c r="AJ292" s="104">
        <f>(AL292-AP292)</f>
        <v/>
      </c>
      <c r="AK292" s="104">
        <f>(AM292-AQ292)</f>
        <v/>
      </c>
      <c r="AL292" s="110">
        <f>S292+AI292</f>
        <v/>
      </c>
      <c r="AM292" s="110">
        <f>T292+AJ292</f>
        <v/>
      </c>
      <c r="AN292" s="104" t="n">
        <v>18000</v>
      </c>
      <c r="AO292" s="104" t="n">
        <v>4800</v>
      </c>
      <c r="AP292" s="104" t="n">
        <v>8400</v>
      </c>
      <c r="AQ292" s="104" t="n">
        <v>4800</v>
      </c>
      <c r="AR292" s="104" t="n">
        <v>0</v>
      </c>
      <c r="AS292" s="104" t="n"/>
      <c r="AT292" s="104" t="n"/>
    </row>
    <row r="293" ht="12.65" customHeight="1" s="79">
      <c r="A293" s="104">
        <f>MIN(V293,R293)</f>
        <v/>
      </c>
      <c r="B293" s="104">
        <f>MIN(V293,U293)</f>
        <v/>
      </c>
      <c r="C293" s="104">
        <f>MIN(X293,R293)</f>
        <v/>
      </c>
      <c r="D293" s="104">
        <f>MIN(X293,U293)</f>
        <v/>
      </c>
      <c r="E293" s="104">
        <f>MIN((V293+AN293+AR293),U293)</f>
        <v/>
      </c>
      <c r="F293" s="104">
        <f>MAX(MIN((V293+AO293+AR293),R293),0)</f>
        <v/>
      </c>
      <c r="G293" s="104">
        <f>MAX(MIN(AP293,AL293),0)</f>
        <v/>
      </c>
      <c r="H293" s="104">
        <f>MAX(MIN(AQ293,AM293),0)</f>
        <v/>
      </c>
      <c r="I293" s="105" t="inlineStr">
        <is>
          <t>ROOP KISHOR</t>
        </is>
      </c>
      <c r="J293" s="106" t="inlineStr">
        <is>
          <t>HOUSEHOLD</t>
        </is>
      </c>
      <c r="K293" s="107" t="inlineStr">
        <is>
          <t>HH_KITCHEN AIDS</t>
        </is>
      </c>
      <c r="L293" s="107" t="inlineStr">
        <is>
          <t>HH_CUTLERY STAND</t>
        </is>
      </c>
      <c r="M293" s="107" t="inlineStr">
        <is>
          <t>STL-[HHUK03]</t>
        </is>
      </c>
      <c r="N293" s="107" t="inlineStr">
        <is>
          <t>ACTIVE</t>
        </is>
      </c>
      <c r="O293" s="108" t="n">
        <v>0.151955413709332</v>
      </c>
      <c r="P293" s="108" t="n">
        <v>0.130485990577734</v>
      </c>
      <c r="Q293" s="109" t="n">
        <v>85</v>
      </c>
      <c r="R293" s="110" t="n">
        <v>4062</v>
      </c>
      <c r="S293" s="110" t="n">
        <v>4940.43773846719</v>
      </c>
      <c r="T293" s="110" t="n">
        <v>4384.75262341511</v>
      </c>
      <c r="U293" s="110" t="n">
        <v>13387.1903618823</v>
      </c>
      <c r="V293" s="104" t="n">
        <v>13069</v>
      </c>
      <c r="W293" s="104" t="n">
        <v>0</v>
      </c>
      <c r="X293" s="104">
        <f>$V293+W293</f>
        <v/>
      </c>
      <c r="Y293" s="111">
        <f>IFERROR(A293/R293,0)</f>
        <v/>
      </c>
      <c r="Z293" s="111">
        <f>IFERROR(B293/U293,0)</f>
        <v/>
      </c>
      <c r="AA293" s="111">
        <f>IFERROR(C293/R293,0)</f>
        <v/>
      </c>
      <c r="AB293" s="111">
        <f>IFERROR(D293/U293,0)</f>
        <v/>
      </c>
      <c r="AD293" s="111">
        <f>IF(U293&gt;0,IFERROR(E293/U293,0),1)</f>
        <v/>
      </c>
      <c r="AE293" s="111">
        <f>IF(R293&gt;0,IFERROR(F293/R293,0),1)</f>
        <v/>
      </c>
      <c r="AF293" s="111">
        <f>IF(AL293&gt;0,IFERROR(G293/AL293,0),1)</f>
        <v/>
      </c>
      <c r="AG293" s="111">
        <f>IF(AM293&gt;0,IFERROR(H293/AM293,0),1)</f>
        <v/>
      </c>
      <c r="AH293" s="104">
        <f>U293-(V293+AN293+AR293)</f>
        <v/>
      </c>
      <c r="AI293" s="104">
        <f>R293-(V293+AO293+AR293)</f>
        <v/>
      </c>
      <c r="AJ293" s="104">
        <f>(AL293-AP293)</f>
        <v/>
      </c>
      <c r="AK293" s="104">
        <f>(AM293-AQ293)</f>
        <v/>
      </c>
      <c r="AL293" s="110">
        <f>S293+AI293</f>
        <v/>
      </c>
      <c r="AM293" s="110">
        <f>T293+AJ293</f>
        <v/>
      </c>
      <c r="AN293" s="104" t="n">
        <v>8520</v>
      </c>
      <c r="AO293" s="104" t="n">
        <v>1320</v>
      </c>
      <c r="AP293" s="104" t="n">
        <v>4800</v>
      </c>
      <c r="AQ293" s="104" t="n">
        <v>2400</v>
      </c>
      <c r="AR293" s="104" t="n">
        <v>0</v>
      </c>
      <c r="AS293" s="104" t="n"/>
      <c r="AT293" s="104" t="n"/>
    </row>
    <row r="294" ht="12.65" customHeight="1" s="79">
      <c r="A294" s="104">
        <f>MIN(V294,R294)</f>
        <v/>
      </c>
      <c r="B294" s="104">
        <f>MIN(V294,U294)</f>
        <v/>
      </c>
      <c r="C294" s="104">
        <f>MIN(X294,R294)</f>
        <v/>
      </c>
      <c r="D294" s="104">
        <f>MIN(X294,U294)</f>
        <v/>
      </c>
      <c r="E294" s="104">
        <f>MIN((V294+AN294+AR294),U294)</f>
        <v/>
      </c>
      <c r="F294" s="104">
        <f>MAX(MIN((V294+AO294+AR294),R294),0)</f>
        <v/>
      </c>
      <c r="G294" s="104">
        <f>MAX(MIN(AP294,AL294),0)</f>
        <v/>
      </c>
      <c r="H294" s="104">
        <f>MAX(MIN(AQ294,AM294),0)</f>
        <v/>
      </c>
      <c r="I294" s="105" t="inlineStr">
        <is>
          <t>ROOP KISHOR</t>
        </is>
      </c>
      <c r="J294" s="106" t="inlineStr">
        <is>
          <t>HOUSEHOLD</t>
        </is>
      </c>
      <c r="K294" s="107" t="inlineStr">
        <is>
          <t>HH_KITCHEN AIDS</t>
        </is>
      </c>
      <c r="L294" s="107" t="inlineStr">
        <is>
          <t>HH_KA_CHOPPING BOARD</t>
        </is>
      </c>
      <c r="M294" s="107" t="inlineStr">
        <is>
          <t>WDN-[HHUK06]</t>
        </is>
      </c>
      <c r="N294" s="107" t="inlineStr">
        <is>
          <t>ACTIVE</t>
        </is>
      </c>
      <c r="O294" s="108" t="n">
        <v>0.130496576079935</v>
      </c>
      <c r="P294" s="108" t="n">
        <v>0.138406904612065</v>
      </c>
      <c r="Q294" s="109" t="n">
        <v>114</v>
      </c>
      <c r="R294" s="110" t="n">
        <v>3101</v>
      </c>
      <c r="S294" s="110" t="n">
        <v>2731.74889589383</v>
      </c>
      <c r="T294" s="110" t="n">
        <v>2237.61943421465</v>
      </c>
      <c r="U294" s="110" t="n">
        <v>8070.36833010848</v>
      </c>
      <c r="V294" s="104" t="n">
        <v>2400</v>
      </c>
      <c r="W294" s="104" t="n">
        <v>0</v>
      </c>
      <c r="X294" s="104">
        <f>$V294+W294</f>
        <v/>
      </c>
      <c r="Y294" s="111">
        <f>IFERROR(A294/R294,0)</f>
        <v/>
      </c>
      <c r="Z294" s="111">
        <f>IFERROR(B294/U294,0)</f>
        <v/>
      </c>
      <c r="AA294" s="111">
        <f>IFERROR(C294/R294,0)</f>
        <v/>
      </c>
      <c r="AB294" s="111">
        <f>IFERROR(D294/U294,0)</f>
        <v/>
      </c>
      <c r="AD294" s="111">
        <f>IF(U294&gt;0,IFERROR(E294/U294,0),1)</f>
        <v/>
      </c>
      <c r="AE294" s="111">
        <f>IF(R294&gt;0,IFERROR(F294/R294,0),1)</f>
        <v/>
      </c>
      <c r="AF294" s="111">
        <f>IF(AL294&gt;0,IFERROR(G294/AL294,0),1)</f>
        <v/>
      </c>
      <c r="AG294" s="111">
        <f>IF(AM294&gt;0,IFERROR(H294/AM294,0),1)</f>
        <v/>
      </c>
      <c r="AH294" s="104">
        <f>U294-(V294+AN294+AR294)</f>
        <v/>
      </c>
      <c r="AI294" s="104">
        <f>R294-(V294+AO294+AR294)</f>
        <v/>
      </c>
      <c r="AJ294" s="104">
        <f>(AL294-AP294)</f>
        <v/>
      </c>
      <c r="AK294" s="104">
        <f>(AM294-AQ294)</f>
        <v/>
      </c>
      <c r="AL294" s="110">
        <f>S294+AI294</f>
        <v/>
      </c>
      <c r="AM294" s="110">
        <f>T294+AJ294</f>
        <v/>
      </c>
      <c r="AN294" s="104" t="n">
        <v>7200</v>
      </c>
      <c r="AO294" s="104" t="n">
        <v>0</v>
      </c>
      <c r="AP294" s="104" t="n">
        <v>3600</v>
      </c>
      <c r="AQ294" s="104" t="n">
        <v>3600</v>
      </c>
      <c r="AR294" s="104" t="n">
        <v>0</v>
      </c>
      <c r="AS294" s="104" t="n"/>
      <c r="AT294" s="104" t="n"/>
    </row>
    <row r="295" ht="12.65" customHeight="1" s="79">
      <c r="A295" s="104">
        <f>MIN(V295,R295)</f>
        <v/>
      </c>
      <c r="B295" s="104">
        <f>MIN(V295,U295)</f>
        <v/>
      </c>
      <c r="C295" s="104">
        <f>MIN(X295,R295)</f>
        <v/>
      </c>
      <c r="D295" s="104">
        <f>MIN(X295,U295)</f>
        <v/>
      </c>
      <c r="E295" s="104">
        <f>MIN((V295+AN295+AR295),U295)</f>
        <v/>
      </c>
      <c r="F295" s="104">
        <f>MAX(MIN((V295+AO295+AR295),R295),0)</f>
        <v/>
      </c>
      <c r="G295" s="104">
        <f>MAX(MIN(AP295,AL295),0)</f>
        <v/>
      </c>
      <c r="H295" s="104">
        <f>MAX(MIN(AQ295,AM295),0)</f>
        <v/>
      </c>
      <c r="I295" s="105" t="inlineStr">
        <is>
          <t>ROOP KISHOR</t>
        </is>
      </c>
      <c r="J295" s="106" t="inlineStr">
        <is>
          <t>HOUSEHOLD</t>
        </is>
      </c>
      <c r="K295" s="107" t="inlineStr">
        <is>
          <t>HH_KITCHEN AIDS</t>
        </is>
      </c>
      <c r="L295" s="107" t="inlineStr">
        <is>
          <t>HH_KA_CHOPPING BOARD</t>
        </is>
      </c>
      <c r="M295" s="107" t="inlineStr">
        <is>
          <t>PLST-[HHUK06]</t>
        </is>
      </c>
      <c r="N295" s="107" t="inlineStr">
        <is>
          <t>ACTIVE</t>
        </is>
      </c>
      <c r="O295" s="108" t="n">
        <v>0.11645415084102</v>
      </c>
      <c r="P295" s="108" t="n">
        <v>0.148308823529412</v>
      </c>
      <c r="Q295" s="109" t="n">
        <v>114</v>
      </c>
      <c r="R295" s="110" t="n">
        <v>1176</v>
      </c>
      <c r="S295" s="110" t="n">
        <v>952.593934107979</v>
      </c>
      <c r="T295" s="110" t="n">
        <v>918.1696577777381</v>
      </c>
      <c r="U295" s="110" t="n">
        <v>3046.76359188572</v>
      </c>
      <c r="V295" s="104" t="n">
        <v>1200</v>
      </c>
      <c r="W295" s="104" t="n">
        <v>0</v>
      </c>
      <c r="X295" s="104">
        <f>$V295+W295</f>
        <v/>
      </c>
      <c r="Y295" s="111">
        <f>IFERROR(A295/R295,0)</f>
        <v/>
      </c>
      <c r="Z295" s="111">
        <f>IFERROR(B295/U295,0)</f>
        <v/>
      </c>
      <c r="AA295" s="111">
        <f>IFERROR(C295/R295,0)</f>
        <v/>
      </c>
      <c r="AB295" s="111">
        <f>IFERROR(D295/U295,0)</f>
        <v/>
      </c>
      <c r="AD295" s="111">
        <f>IF(U295&gt;0,IFERROR(E295/U295,0),1)</f>
        <v/>
      </c>
      <c r="AE295" s="111">
        <f>IF(R295&gt;0,IFERROR(F295/R295,0),1)</f>
        <v/>
      </c>
      <c r="AF295" s="111">
        <f>IF(AL295&gt;0,IFERROR(G295/AL295,0),1)</f>
        <v/>
      </c>
      <c r="AG295" s="111">
        <f>IF(AM295&gt;0,IFERROR(H295/AM295,0),1)</f>
        <v/>
      </c>
      <c r="AH295" s="104">
        <f>U295-(V295+AN295+AR295)</f>
        <v/>
      </c>
      <c r="AI295" s="104">
        <f>R295-(V295+AO295+AR295)</f>
        <v/>
      </c>
      <c r="AJ295" s="104">
        <f>(AL295-AP295)</f>
        <v/>
      </c>
      <c r="AK295" s="104">
        <f>(AM295-AQ295)</f>
        <v/>
      </c>
      <c r="AL295" s="110">
        <f>S295+AI295</f>
        <v/>
      </c>
      <c r="AM295" s="110">
        <f>T295+AJ295</f>
        <v/>
      </c>
      <c r="AN295" s="104" t="n">
        <v>1200</v>
      </c>
      <c r="AO295" s="104" t="n">
        <v>0</v>
      </c>
      <c r="AP295" s="104" t="n">
        <v>1200</v>
      </c>
      <c r="AQ295" s="104" t="n">
        <v>0</v>
      </c>
      <c r="AR295" s="104" t="n">
        <v>0</v>
      </c>
      <c r="AS295" s="104" t="n"/>
      <c r="AT295" s="104" t="n"/>
    </row>
    <row r="296" ht="12.65" customHeight="1" s="79">
      <c r="A296" s="104">
        <f>MIN(V296,R296)</f>
        <v/>
      </c>
      <c r="B296" s="104">
        <f>MIN(V296,U296)</f>
        <v/>
      </c>
      <c r="C296" s="104">
        <f>MIN(X296,R296)</f>
        <v/>
      </c>
      <c r="D296" s="104">
        <f>MIN(X296,U296)</f>
        <v/>
      </c>
      <c r="E296" s="104">
        <f>MIN((V296+AN296+AR296),U296)</f>
        <v/>
      </c>
      <c r="F296" s="104">
        <f>MAX(MIN((V296+AO296+AR296),R296),0)</f>
        <v/>
      </c>
      <c r="G296" s="104">
        <f>MAX(MIN(AP296,AL296),0)</f>
        <v/>
      </c>
      <c r="H296" s="104">
        <f>MAX(MIN(AQ296,AM296),0)</f>
        <v/>
      </c>
      <c r="I296" s="105" t="inlineStr">
        <is>
          <t>ROOP KISHOR</t>
        </is>
      </c>
      <c r="J296" s="106" t="inlineStr">
        <is>
          <t>HOUSEHOLD</t>
        </is>
      </c>
      <c r="K296" s="107" t="inlineStr">
        <is>
          <t>HH_KITCHEN AIDS</t>
        </is>
      </c>
      <c r="L296" s="107" t="inlineStr">
        <is>
          <t>HH_KA_CUTTER</t>
        </is>
      </c>
      <c r="M296" s="107" t="inlineStr">
        <is>
          <t>DORI CHOPPER-[HHUK08]</t>
        </is>
      </c>
      <c r="N296" s="107" t="inlineStr">
        <is>
          <t>ACTIVE</t>
        </is>
      </c>
      <c r="O296" s="108" t="n">
        <v>0.144254496142987</v>
      </c>
      <c r="P296" s="108" t="n">
        <v>0.141380285102774</v>
      </c>
      <c r="Q296" s="109" t="n">
        <v>139</v>
      </c>
      <c r="R296" s="110" t="n">
        <v>3790</v>
      </c>
      <c r="S296" s="110" t="n">
        <v>2111.83238397434</v>
      </c>
      <c r="T296" s="110" t="n">
        <v>0</v>
      </c>
      <c r="U296" s="110" t="n">
        <v>5901.83238397434</v>
      </c>
      <c r="V296" s="104" t="n">
        <v>4594</v>
      </c>
      <c r="W296" s="104" t="n">
        <v>0</v>
      </c>
      <c r="X296" s="104">
        <f>$V296+W296</f>
        <v/>
      </c>
      <c r="Y296" s="111">
        <f>IFERROR(A296/R296,0)</f>
        <v/>
      </c>
      <c r="Z296" s="111">
        <f>IFERROR(B296/U296,0)</f>
        <v/>
      </c>
      <c r="AA296" s="111">
        <f>IFERROR(C296/R296,0)</f>
        <v/>
      </c>
      <c r="AB296" s="111">
        <f>IFERROR(D296/U296,0)</f>
        <v/>
      </c>
      <c r="AD296" s="111">
        <f>IF(U296&gt;0,IFERROR(E296/U296,0),1)</f>
        <v/>
      </c>
      <c r="AE296" s="111">
        <f>IF(R296&gt;0,IFERROR(F296/R296,0),1)</f>
        <v/>
      </c>
      <c r="AF296" s="111">
        <f>IF(AL296&gt;0,IFERROR(G296/AL296,0),1)</f>
        <v/>
      </c>
      <c r="AG296" s="111">
        <f>IF(AM296&gt;0,IFERROR(H296/AM296,0),1)</f>
        <v/>
      </c>
      <c r="AH296" s="104">
        <f>U296-(V296+AN296+AR296)</f>
        <v/>
      </c>
      <c r="AI296" s="104">
        <f>R296-(V296+AO296+AR296)</f>
        <v/>
      </c>
      <c r="AJ296" s="104">
        <f>(AL296-AP296)</f>
        <v/>
      </c>
      <c r="AK296" s="104">
        <f>(AM296-AQ296)</f>
        <v/>
      </c>
      <c r="AL296" s="110">
        <f>S296+AI296</f>
        <v/>
      </c>
      <c r="AM296" s="110">
        <f>T296+AJ296</f>
        <v/>
      </c>
      <c r="AN296" s="104" t="n">
        <v>8604</v>
      </c>
      <c r="AO296" s="104" t="n">
        <v>1404</v>
      </c>
      <c r="AP296" s="104" t="n">
        <v>3600</v>
      </c>
      <c r="AQ296" s="104" t="n">
        <v>3600</v>
      </c>
      <c r="AR296" s="104" t="n">
        <v>0</v>
      </c>
      <c r="AS296" s="104" t="n"/>
      <c r="AT296" s="104" t="n"/>
    </row>
    <row r="297" ht="12.65" customHeight="1" s="79">
      <c r="A297" s="104">
        <f>MIN(V297,R297)</f>
        <v/>
      </c>
      <c r="B297" s="104">
        <f>MIN(V297,U297)</f>
        <v/>
      </c>
      <c r="C297" s="104">
        <f>MIN(X297,R297)</f>
        <v/>
      </c>
      <c r="D297" s="104">
        <f>MIN(X297,U297)</f>
        <v/>
      </c>
      <c r="E297" s="104">
        <f>MIN((V297+AN297+AR297),U297)</f>
        <v/>
      </c>
      <c r="F297" s="104">
        <f>MAX(MIN((V297+AO297+AR297),R297),0)</f>
        <v/>
      </c>
      <c r="G297" s="104">
        <f>MAX(MIN(AP297,AL297),0)</f>
        <v/>
      </c>
      <c r="H297" s="104">
        <f>MAX(MIN(AQ297,AM297),0)</f>
        <v/>
      </c>
      <c r="I297" s="105" t="inlineStr">
        <is>
          <t>ROOP KISHOR</t>
        </is>
      </c>
      <c r="J297" s="106" t="inlineStr">
        <is>
          <t>HOUSEHOLD</t>
        </is>
      </c>
      <c r="K297" s="107" t="inlineStr">
        <is>
          <t>HH_KITCHEN AIDS</t>
        </is>
      </c>
      <c r="L297" s="107" t="inlineStr">
        <is>
          <t>HH_KA_CUTTER</t>
        </is>
      </c>
      <c r="M297" s="107" t="inlineStr">
        <is>
          <t>PUSH CHOPPER-[HHUK08]</t>
        </is>
      </c>
      <c r="N297" s="107" t="inlineStr">
        <is>
          <t>ACTIVE</t>
        </is>
      </c>
      <c r="O297" s="108" t="n">
        <v>0.0732318544644515</v>
      </c>
      <c r="P297" s="108" t="n">
        <v>0.058449109492625</v>
      </c>
      <c r="Q297" s="109" t="n">
        <v>139</v>
      </c>
      <c r="R297" s="110" t="n">
        <v>0</v>
      </c>
      <c r="S297" s="110" t="n">
        <v>0</v>
      </c>
      <c r="T297" s="110" t="n">
        <v>0</v>
      </c>
      <c r="U297" s="110" t="n">
        <v>0</v>
      </c>
      <c r="V297" s="104" t="n">
        <v>0</v>
      </c>
      <c r="W297" s="104" t="n">
        <v>0</v>
      </c>
      <c r="X297" s="104">
        <f>$V297+W297</f>
        <v/>
      </c>
      <c r="Y297" s="111">
        <f>IFERROR(A297/R297,0)</f>
        <v/>
      </c>
      <c r="Z297" s="111">
        <f>IFERROR(B297/U297,0)</f>
        <v/>
      </c>
      <c r="AA297" s="111">
        <f>IFERROR(C297/R297,0)</f>
        <v/>
      </c>
      <c r="AB297" s="111">
        <f>IFERROR(D297/U297,0)</f>
        <v/>
      </c>
      <c r="AD297" s="111">
        <f>IF(U297&gt;0,IFERROR(E297/U297,0),1)</f>
        <v/>
      </c>
      <c r="AE297" s="111">
        <f>IF(R297&gt;0,IFERROR(F297/R297,0),1)</f>
        <v/>
      </c>
      <c r="AF297" s="111">
        <f>IF(AL297&gt;0,IFERROR(G297/AL297,0),1)</f>
        <v/>
      </c>
      <c r="AG297" s="111">
        <f>IF(AM297&gt;0,IFERROR(H297/AM297,0),1)</f>
        <v/>
      </c>
      <c r="AH297" s="104">
        <f>U297-(V297+AN297+AR297)</f>
        <v/>
      </c>
      <c r="AI297" s="104">
        <f>R297-(V297+AO297+AR297)</f>
        <v/>
      </c>
      <c r="AJ297" s="104">
        <f>(AL297-AP297)</f>
        <v/>
      </c>
      <c r="AK297" s="104">
        <f>(AM297-AQ297)</f>
        <v/>
      </c>
      <c r="AL297" s="110">
        <f>S297+AI297</f>
        <v/>
      </c>
      <c r="AM297" s="110">
        <f>T297+AJ297</f>
        <v/>
      </c>
      <c r="AN297" s="104" t="n">
        <v>0</v>
      </c>
      <c r="AO297" s="104" t="n">
        <v>0</v>
      </c>
      <c r="AP297" s="104" t="n">
        <v>0</v>
      </c>
      <c r="AQ297" s="104" t="n">
        <v>0</v>
      </c>
      <c r="AR297" s="104" t="n">
        <v>0</v>
      </c>
      <c r="AS297" s="104" t="n"/>
      <c r="AT297" s="104" t="n"/>
    </row>
    <row r="298" ht="12.65" customHeight="1" s="79">
      <c r="A298" s="104">
        <f>MIN(V298,R298)</f>
        <v/>
      </c>
      <c r="B298" s="104">
        <f>MIN(V298,U298)</f>
        <v/>
      </c>
      <c r="C298" s="104">
        <f>MIN(X298,R298)</f>
        <v/>
      </c>
      <c r="D298" s="104">
        <f>MIN(X298,U298)</f>
        <v/>
      </c>
      <c r="E298" s="104">
        <f>MIN((V298+AN298+AR298),U298)</f>
        <v/>
      </c>
      <c r="F298" s="104">
        <f>MAX(MIN((V298+AO298+AR298),R298),0)</f>
        <v/>
      </c>
      <c r="G298" s="104">
        <f>MAX(MIN(AP298,AL298),0)</f>
        <v/>
      </c>
      <c r="H298" s="104">
        <f>MAX(MIN(AQ298,AM298),0)</f>
        <v/>
      </c>
      <c r="I298" s="105" t="inlineStr">
        <is>
          <t>ROOP KISHOR</t>
        </is>
      </c>
      <c r="J298" s="106" t="inlineStr">
        <is>
          <t>HOUSEHOLD</t>
        </is>
      </c>
      <c r="K298" s="107" t="inlineStr">
        <is>
          <t>HH_KITCHEN AIDS</t>
        </is>
      </c>
      <c r="L298" s="107" t="inlineStr">
        <is>
          <t>HH_KA_GAS LIGHTER</t>
        </is>
      </c>
      <c r="M298" s="107" t="inlineStr">
        <is>
          <t>5PCST-[HHUK09]</t>
        </is>
      </c>
      <c r="N298" s="107" t="inlineStr">
        <is>
          <t>ACTIVE</t>
        </is>
      </c>
      <c r="O298" s="108" t="n">
        <v>0.119535324596937</v>
      </c>
      <c r="P298" s="108" t="n">
        <v>0.146496518097727</v>
      </c>
      <c r="Q298" s="109" t="n">
        <v>60</v>
      </c>
      <c r="R298" s="110" t="n">
        <v>14829</v>
      </c>
      <c r="S298" s="110" t="n">
        <v>12135.7224317192</v>
      </c>
      <c r="T298" s="110" t="n">
        <v>10781.5269795613</v>
      </c>
      <c r="U298" s="110" t="n">
        <v>37746.2494112805</v>
      </c>
      <c r="V298" s="104" t="n">
        <v>8400</v>
      </c>
      <c r="W298" s="104" t="n">
        <v>0</v>
      </c>
      <c r="X298" s="104">
        <f>$V298+W298</f>
        <v/>
      </c>
      <c r="Y298" s="111">
        <f>IFERROR(A298/R298,0)</f>
        <v/>
      </c>
      <c r="Z298" s="111">
        <f>IFERROR(B298/U298,0)</f>
        <v/>
      </c>
      <c r="AA298" s="111">
        <f>IFERROR(C298/R298,0)</f>
        <v/>
      </c>
      <c r="AB298" s="111">
        <f>IFERROR(D298/U298,0)</f>
        <v/>
      </c>
      <c r="AD298" s="111">
        <f>IF(U298&gt;0,IFERROR(E298/U298,0),1)</f>
        <v/>
      </c>
      <c r="AE298" s="111">
        <f>IF(R298&gt;0,IFERROR(F298/R298,0),1)</f>
        <v/>
      </c>
      <c r="AF298" s="111">
        <f>IF(AL298&gt;0,IFERROR(G298/AL298,0),1)</f>
        <v/>
      </c>
      <c r="AG298" s="111">
        <f>IF(AM298&gt;0,IFERROR(H298/AM298,0),1)</f>
        <v/>
      </c>
      <c r="AH298" s="104">
        <f>U298-(V298+AN298+AR298)</f>
        <v/>
      </c>
      <c r="AI298" s="104">
        <f>R298-(V298+AO298+AR298)</f>
        <v/>
      </c>
      <c r="AJ298" s="104">
        <f>(AL298-AP298)</f>
        <v/>
      </c>
      <c r="AK298" s="104">
        <f>(AM298-AQ298)</f>
        <v/>
      </c>
      <c r="AL298" s="110">
        <f>S298+AI298</f>
        <v/>
      </c>
      <c r="AM298" s="110">
        <f>T298+AJ298</f>
        <v/>
      </c>
      <c r="AN298" s="104" t="n">
        <v>28800</v>
      </c>
      <c r="AO298" s="104" t="n">
        <v>7200</v>
      </c>
      <c r="AP298" s="104" t="n">
        <v>12000</v>
      </c>
      <c r="AQ298" s="104" t="n">
        <v>9600</v>
      </c>
      <c r="AR298" s="104" t="n">
        <v>0</v>
      </c>
      <c r="AS298" s="104" t="n"/>
      <c r="AT298" s="104" t="n"/>
    </row>
    <row r="299" ht="12.65" customHeight="1" s="79">
      <c r="A299" s="104">
        <f>MIN(V299,R299)</f>
        <v/>
      </c>
      <c r="B299" s="104">
        <f>MIN(V299,U299)</f>
        <v/>
      </c>
      <c r="C299" s="104">
        <f>MIN(X299,R299)</f>
        <v/>
      </c>
      <c r="D299" s="104">
        <f>MIN(X299,U299)</f>
        <v/>
      </c>
      <c r="E299" s="104">
        <f>MIN((V299+AN299+AR299),U299)</f>
        <v/>
      </c>
      <c r="F299" s="104">
        <f>MAX(MIN((V299+AO299+AR299),R299),0)</f>
        <v/>
      </c>
      <c r="G299" s="104">
        <f>MAX(MIN(AP299,AL299),0)</f>
        <v/>
      </c>
      <c r="H299" s="104">
        <f>MAX(MIN(AQ299,AM299),0)</f>
        <v/>
      </c>
      <c r="I299" s="105" t="inlineStr">
        <is>
          <t>ROOP KISHOR</t>
        </is>
      </c>
      <c r="J299" s="106" t="inlineStr">
        <is>
          <t>HOUSEHOLD</t>
        </is>
      </c>
      <c r="K299" s="107" t="inlineStr">
        <is>
          <t>HH_KITCHEN AIDS</t>
        </is>
      </c>
      <c r="L299" s="107" t="inlineStr">
        <is>
          <t>HH_KA_GAS LIGHTER</t>
        </is>
      </c>
      <c r="M299" s="107" t="inlineStr">
        <is>
          <t>3PCST-[HHUK09]</t>
        </is>
      </c>
      <c r="N299" s="107" t="inlineStr">
        <is>
          <t>ACTIVE</t>
        </is>
      </c>
      <c r="O299" s="108" t="n">
        <v>0.09923282575845641</v>
      </c>
      <c r="P299" s="108" t="n">
        <v>0.112809810772153</v>
      </c>
      <c r="Q299" s="109" t="n">
        <v>60</v>
      </c>
      <c r="R299" s="110" t="n">
        <v>4004</v>
      </c>
      <c r="S299" s="110" t="n">
        <v>4193.03489998154</v>
      </c>
      <c r="T299" s="110" t="n">
        <v>4113.11886773792</v>
      </c>
      <c r="U299" s="110" t="n">
        <v>12310.1537677195</v>
      </c>
      <c r="V299" s="104" t="n">
        <v>3600</v>
      </c>
      <c r="W299" s="104" t="n">
        <v>6000</v>
      </c>
      <c r="X299" s="104">
        <f>$V299+W299</f>
        <v/>
      </c>
      <c r="Y299" s="111">
        <f>IFERROR(A299/R299,0)</f>
        <v/>
      </c>
      <c r="Z299" s="111">
        <f>IFERROR(B299/U299,0)</f>
        <v/>
      </c>
      <c r="AA299" s="111">
        <f>IFERROR(C299/R299,0)</f>
        <v/>
      </c>
      <c r="AB299" s="111">
        <f>IFERROR(D299/U299,0)</f>
        <v/>
      </c>
      <c r="AD299" s="111">
        <f>IF(U299&gt;0,IFERROR(E299/U299,0),1)</f>
        <v/>
      </c>
      <c r="AE299" s="111">
        <f>IF(R299&gt;0,IFERROR(F299/R299,0),1)</f>
        <v/>
      </c>
      <c r="AF299" s="111">
        <f>IF(AL299&gt;0,IFERROR(G299/AL299,0),1)</f>
        <v/>
      </c>
      <c r="AG299" s="111">
        <f>IF(AM299&gt;0,IFERROR(H299/AM299,0),1)</f>
        <v/>
      </c>
      <c r="AH299" s="104">
        <f>U299-(V299+AN299+AR299)</f>
        <v/>
      </c>
      <c r="AI299" s="104">
        <f>R299-(V299+AO299+AR299)</f>
        <v/>
      </c>
      <c r="AJ299" s="104">
        <f>(AL299-AP299)</f>
        <v/>
      </c>
      <c r="AK299" s="104">
        <f>(AM299-AQ299)</f>
        <v/>
      </c>
      <c r="AL299" s="110">
        <f>S299+AI299</f>
        <v/>
      </c>
      <c r="AM299" s="110">
        <f>T299+AJ299</f>
        <v/>
      </c>
      <c r="AN299" s="104" t="n">
        <v>20400</v>
      </c>
      <c r="AO299" s="104" t="n">
        <v>6000</v>
      </c>
      <c r="AP299" s="104" t="n">
        <v>7200</v>
      </c>
      <c r="AQ299" s="104" t="n">
        <v>7200</v>
      </c>
      <c r="AR299" s="104" t="n">
        <v>0</v>
      </c>
      <c r="AS299" s="104" t="n"/>
      <c r="AT299" s="104" t="n"/>
    </row>
    <row r="300" ht="12.65" customHeight="1" s="79">
      <c r="A300" s="104">
        <f>MIN(V300,R300)</f>
        <v/>
      </c>
      <c r="B300" s="104">
        <f>MIN(V300,U300)</f>
        <v/>
      </c>
      <c r="C300" s="104">
        <f>MIN(X300,R300)</f>
        <v/>
      </c>
      <c r="D300" s="104">
        <f>MIN(X300,U300)</f>
        <v/>
      </c>
      <c r="E300" s="104">
        <f>MIN((V300+AN300+AR300),U300)</f>
        <v/>
      </c>
      <c r="F300" s="104">
        <f>MAX(MIN((V300+AO300+AR300),R300),0)</f>
        <v/>
      </c>
      <c r="G300" s="104">
        <f>MAX(MIN(AP300,AL300),0)</f>
        <v/>
      </c>
      <c r="H300" s="104">
        <f>MAX(MIN(AQ300,AM300),0)</f>
        <v/>
      </c>
      <c r="I300" s="105" t="inlineStr">
        <is>
          <t>ROOP KISHOR</t>
        </is>
      </c>
      <c r="J300" s="106" t="inlineStr">
        <is>
          <t>HOUSEHOLD</t>
        </is>
      </c>
      <c r="K300" s="107" t="inlineStr">
        <is>
          <t>HH_KITCHEN AIDS</t>
        </is>
      </c>
      <c r="L300" s="107" t="inlineStr">
        <is>
          <t>HH_KA_GRATER</t>
        </is>
      </c>
      <c r="M300" s="107" t="inlineStr">
        <is>
          <t>GRATER-[HHUK10]</t>
        </is>
      </c>
      <c r="N300" s="107" t="inlineStr">
        <is>
          <t>ACTIVE</t>
        </is>
      </c>
      <c r="O300" s="108" t="n">
        <v>0.109308875773145</v>
      </c>
      <c r="P300" s="108" t="n">
        <v>0.101825895901205</v>
      </c>
      <c r="Q300" s="109" t="n">
        <v>103</v>
      </c>
      <c r="R300" s="110" t="n">
        <v>3507</v>
      </c>
      <c r="S300" s="110" t="n">
        <v>4404.58392489568</v>
      </c>
      <c r="T300" s="110" t="n">
        <v>2989.51988268583</v>
      </c>
      <c r="U300" s="110" t="n">
        <v>10901.1038075815</v>
      </c>
      <c r="V300" s="104" t="n">
        <v>7601</v>
      </c>
      <c r="W300" s="104" t="n">
        <v>1700</v>
      </c>
      <c r="X300" s="104">
        <f>$V300+W300</f>
        <v/>
      </c>
      <c r="Y300" s="111">
        <f>IFERROR(A300/R300,0)</f>
        <v/>
      </c>
      <c r="Z300" s="111">
        <f>IFERROR(B300/U300,0)</f>
        <v/>
      </c>
      <c r="AA300" s="111">
        <f>IFERROR(C300/R300,0)</f>
        <v/>
      </c>
      <c r="AB300" s="111">
        <f>IFERROR(D300/U300,0)</f>
        <v/>
      </c>
      <c r="AD300" s="111">
        <f>IF(U300&gt;0,IFERROR(E300/U300,0),1)</f>
        <v/>
      </c>
      <c r="AE300" s="111">
        <f>IF(R300&gt;0,IFERROR(F300/R300,0),1)</f>
        <v/>
      </c>
      <c r="AF300" s="111">
        <f>IF(AL300&gt;0,IFERROR(G300/AL300,0),1)</f>
        <v/>
      </c>
      <c r="AG300" s="111">
        <f>IF(AM300&gt;0,IFERROR(H300/AM300,0),1)</f>
        <v/>
      </c>
      <c r="AH300" s="104">
        <f>U300-(V300+AN300+AR300)</f>
        <v/>
      </c>
      <c r="AI300" s="104">
        <f>R300-(V300+AO300+AR300)</f>
        <v/>
      </c>
      <c r="AJ300" s="104">
        <f>(AL300-AP300)</f>
        <v/>
      </c>
      <c r="AK300" s="104">
        <f>(AM300-AQ300)</f>
        <v/>
      </c>
      <c r="AL300" s="110">
        <f>S300+AI300</f>
        <v/>
      </c>
      <c r="AM300" s="110">
        <f>T300+AJ300</f>
        <v/>
      </c>
      <c r="AN300" s="104" t="n">
        <v>5907</v>
      </c>
      <c r="AO300" s="104" t="n">
        <v>1707</v>
      </c>
      <c r="AP300" s="104" t="n">
        <v>2400</v>
      </c>
      <c r="AQ300" s="104" t="n">
        <v>1800</v>
      </c>
      <c r="AR300" s="104" t="n">
        <v>0</v>
      </c>
      <c r="AS300" s="104" t="n"/>
      <c r="AT300" s="104" t="n"/>
    </row>
    <row r="301" ht="12.65" customHeight="1" s="79">
      <c r="A301" s="104">
        <f>MIN(V301,R301)</f>
        <v/>
      </c>
      <c r="B301" s="104">
        <f>MIN(V301,U301)</f>
        <v/>
      </c>
      <c r="C301" s="104">
        <f>MIN(X301,R301)</f>
        <v/>
      </c>
      <c r="D301" s="104">
        <f>MIN(X301,U301)</f>
        <v/>
      </c>
      <c r="E301" s="104">
        <f>MIN((V301+AN301+AR301),U301)</f>
        <v/>
      </c>
      <c r="F301" s="104">
        <f>MAX(MIN((V301+AO301+AR301),R301),0)</f>
        <v/>
      </c>
      <c r="G301" s="104">
        <f>MAX(MIN(AP301,AL301),0)</f>
        <v/>
      </c>
      <c r="H301" s="104">
        <f>MAX(MIN(AQ301,AM301),0)</f>
        <v/>
      </c>
      <c r="I301" s="105" t="inlineStr">
        <is>
          <t>ROOP KISHOR</t>
        </is>
      </c>
      <c r="J301" s="106" t="inlineStr">
        <is>
          <t>HOUSEHOLD</t>
        </is>
      </c>
      <c r="K301" s="107" t="inlineStr">
        <is>
          <t>HH_KITCHEN AIDS</t>
        </is>
      </c>
      <c r="L301" s="107" t="inlineStr">
        <is>
          <t>HH_KA_GRATER</t>
        </is>
      </c>
      <c r="M301" s="107" t="inlineStr">
        <is>
          <t>PELLER-[HHUK10]</t>
        </is>
      </c>
      <c r="N301" s="107" t="inlineStr">
        <is>
          <t>ACTIVE</t>
        </is>
      </c>
      <c r="O301" s="108" t="n">
        <v>0.103761520901022</v>
      </c>
      <c r="P301" s="108" t="n">
        <v>0.127376706069628</v>
      </c>
      <c r="Q301" s="109" t="n">
        <v>103</v>
      </c>
      <c r="R301" s="110" t="n">
        <v>2749</v>
      </c>
      <c r="S301" s="110" t="n">
        <v>4511.11386038465</v>
      </c>
      <c r="T301" s="110" t="n">
        <v>2702.74798467403</v>
      </c>
      <c r="U301" s="110" t="n">
        <v>9962.86184505868</v>
      </c>
      <c r="V301" s="104" t="n">
        <v>1152</v>
      </c>
      <c r="W301" s="104" t="n">
        <v>7200</v>
      </c>
      <c r="X301" s="104">
        <f>$V301+W301</f>
        <v/>
      </c>
      <c r="Y301" s="111">
        <f>IFERROR(A301/R301,0)</f>
        <v/>
      </c>
      <c r="Z301" s="111">
        <f>IFERROR(B301/U301,0)</f>
        <v/>
      </c>
      <c r="AA301" s="111">
        <f>IFERROR(C301/R301,0)</f>
        <v/>
      </c>
      <c r="AB301" s="111">
        <f>IFERROR(D301/U301,0)</f>
        <v/>
      </c>
      <c r="AD301" s="111">
        <f>IF(U301&gt;0,IFERROR(E301/U301,0),1)</f>
        <v/>
      </c>
      <c r="AE301" s="111">
        <f>IF(R301&gt;0,IFERROR(F301/R301,0),1)</f>
        <v/>
      </c>
      <c r="AF301" s="111">
        <f>IF(AL301&gt;0,IFERROR(G301/AL301,0),1)</f>
        <v/>
      </c>
      <c r="AG301" s="111">
        <f>IF(AM301&gt;0,IFERROR(H301/AM301,0),1)</f>
        <v/>
      </c>
      <c r="AH301" s="104">
        <f>U301-(V301+AN301+AR301)</f>
        <v/>
      </c>
      <c r="AI301" s="104">
        <f>R301-(V301+AO301+AR301)</f>
        <v/>
      </c>
      <c r="AJ301" s="104">
        <f>(AL301-AP301)</f>
        <v/>
      </c>
      <c r="AK301" s="104">
        <f>(AM301-AQ301)</f>
        <v/>
      </c>
      <c r="AL301" s="110">
        <f>S301+AI301</f>
        <v/>
      </c>
      <c r="AM301" s="110">
        <f>T301+AJ301</f>
        <v/>
      </c>
      <c r="AN301" s="104" t="n">
        <v>8448</v>
      </c>
      <c r="AO301" s="104" t="n">
        <v>6048</v>
      </c>
      <c r="AP301" s="104" t="n">
        <v>2400</v>
      </c>
      <c r="AQ301" s="104" t="n">
        <v>0</v>
      </c>
      <c r="AR301" s="104" t="n">
        <v>0</v>
      </c>
      <c r="AS301" s="104" t="n"/>
      <c r="AT301" s="104" t="n"/>
    </row>
    <row r="302" ht="12.65" customHeight="1" s="79">
      <c r="A302" s="104">
        <f>MIN(V302,R302)</f>
        <v/>
      </c>
      <c r="B302" s="104">
        <f>MIN(V302,U302)</f>
        <v/>
      </c>
      <c r="C302" s="104">
        <f>MIN(X302,R302)</f>
        <v/>
      </c>
      <c r="D302" s="104">
        <f>MIN(X302,U302)</f>
        <v/>
      </c>
      <c r="E302" s="104">
        <f>MIN((V302+AN302+AR302),U302)</f>
        <v/>
      </c>
      <c r="F302" s="104">
        <f>MAX(MIN((V302+AO302+AR302),R302),0)</f>
        <v/>
      </c>
      <c r="G302" s="104">
        <f>MAX(MIN(AP302,AL302),0)</f>
        <v/>
      </c>
      <c r="H302" s="104">
        <f>MAX(MIN(AQ302,AM302),0)</f>
        <v/>
      </c>
      <c r="I302" s="105" t="inlineStr">
        <is>
          <t>ROOP KISHOR</t>
        </is>
      </c>
      <c r="J302" s="106" t="inlineStr">
        <is>
          <t>HOUSEHOLD</t>
        </is>
      </c>
      <c r="K302" s="107" t="inlineStr">
        <is>
          <t>HH_KITCHEN AIDS</t>
        </is>
      </c>
      <c r="L302" s="107" t="inlineStr">
        <is>
          <t>HH_KA_KNIFE</t>
        </is>
      </c>
      <c r="M302" s="107" t="inlineStr">
        <is>
          <t>3PCST-[HHUK12]</t>
        </is>
      </c>
      <c r="N302" s="107" t="inlineStr">
        <is>
          <t>ACTIVE</t>
        </is>
      </c>
      <c r="O302" s="108" t="n">
        <v>0.119956390306755</v>
      </c>
      <c r="P302" s="108" t="n">
        <v>0.115493394289257</v>
      </c>
      <c r="Q302" s="109" t="n">
        <v>113</v>
      </c>
      <c r="R302" s="110" t="n">
        <v>3042</v>
      </c>
      <c r="S302" s="110" t="n">
        <v>4018.82289653859</v>
      </c>
      <c r="T302" s="110" t="n">
        <v>3479.26914797408</v>
      </c>
      <c r="U302" s="110" t="n">
        <v>10540.0920445127</v>
      </c>
      <c r="V302" s="104" t="n">
        <v>3600</v>
      </c>
      <c r="W302" s="104" t="n">
        <v>4800</v>
      </c>
      <c r="X302" s="104">
        <f>$V302+W302</f>
        <v/>
      </c>
      <c r="Y302" s="111">
        <f>IFERROR(A302/R302,0)</f>
        <v/>
      </c>
      <c r="Z302" s="111">
        <f>IFERROR(B302/U302,0)</f>
        <v/>
      </c>
      <c r="AA302" s="111">
        <f>IFERROR(C302/R302,0)</f>
        <v/>
      </c>
      <c r="AB302" s="111">
        <f>IFERROR(D302/U302,0)</f>
        <v/>
      </c>
      <c r="AD302" s="111">
        <f>IF(U302&gt;0,IFERROR(E302/U302,0),1)</f>
        <v/>
      </c>
      <c r="AE302" s="111">
        <f>IF(R302&gt;0,IFERROR(F302/R302,0),1)</f>
        <v/>
      </c>
      <c r="AF302" s="111">
        <f>IF(AL302&gt;0,IFERROR(G302/AL302,0),1)</f>
        <v/>
      </c>
      <c r="AG302" s="111">
        <f>IF(AM302&gt;0,IFERROR(H302/AM302,0),1)</f>
        <v/>
      </c>
      <c r="AH302" s="104">
        <f>U302-(V302+AN302+AR302)</f>
        <v/>
      </c>
      <c r="AI302" s="104">
        <f>R302-(V302+AO302+AR302)</f>
        <v/>
      </c>
      <c r="AJ302" s="104">
        <f>(AL302-AP302)</f>
        <v/>
      </c>
      <c r="AK302" s="104">
        <f>(AM302-AQ302)</f>
        <v/>
      </c>
      <c r="AL302" s="110">
        <f>S302+AI302</f>
        <v/>
      </c>
      <c r="AM302" s="110">
        <f>T302+AJ302</f>
        <v/>
      </c>
      <c r="AN302" s="104" t="n">
        <v>10800</v>
      </c>
      <c r="AO302" s="104" t="n">
        <v>4800</v>
      </c>
      <c r="AP302" s="104" t="n">
        <v>3600</v>
      </c>
      <c r="AQ302" s="104" t="n">
        <v>2400</v>
      </c>
      <c r="AR302" s="104" t="n">
        <v>0</v>
      </c>
      <c r="AS302" s="104" t="n"/>
      <c r="AT302" s="104" t="n"/>
    </row>
    <row r="303" ht="12.65" customHeight="1" s="79">
      <c r="A303" s="104">
        <f>MIN(V303,R303)</f>
        <v/>
      </c>
      <c r="B303" s="104">
        <f>MIN(V303,U303)</f>
        <v/>
      </c>
      <c r="C303" s="104">
        <f>MIN(X303,R303)</f>
        <v/>
      </c>
      <c r="D303" s="104">
        <f>MIN(X303,U303)</f>
        <v/>
      </c>
      <c r="E303" s="104">
        <f>MIN((V303+AN303+AR303),U303)</f>
        <v/>
      </c>
      <c r="F303" s="104">
        <f>MAX(MIN((V303+AO303+AR303),R303),0)</f>
        <v/>
      </c>
      <c r="G303" s="104">
        <f>MAX(MIN(AP303,AL303),0)</f>
        <v/>
      </c>
      <c r="H303" s="104">
        <f>MAX(MIN(AQ303,AM303),0)</f>
        <v/>
      </c>
      <c r="I303" s="105" t="inlineStr">
        <is>
          <t>ROOP KISHOR</t>
        </is>
      </c>
      <c r="J303" s="106" t="inlineStr">
        <is>
          <t>HOUSEHOLD</t>
        </is>
      </c>
      <c r="K303" s="107" t="inlineStr">
        <is>
          <t>HH_KITCHEN AIDS</t>
        </is>
      </c>
      <c r="L303" s="107" t="inlineStr">
        <is>
          <t>HH_KA_KNIFE</t>
        </is>
      </c>
      <c r="M303" s="107" t="inlineStr">
        <is>
          <t>6PCST-[HHUK12]</t>
        </is>
      </c>
      <c r="N303" s="107" t="inlineStr">
        <is>
          <t>ACTIVE</t>
        </is>
      </c>
      <c r="O303" s="108" t="n">
        <v>0.136942229682473</v>
      </c>
      <c r="P303" s="108" t="n">
        <v>0.172694394213382</v>
      </c>
      <c r="Q303" s="109" t="n">
        <v>113</v>
      </c>
      <c r="R303" s="110" t="n">
        <v>2077</v>
      </c>
      <c r="S303" s="110" t="n">
        <v>887.199859297334</v>
      </c>
      <c r="T303" s="110" t="n">
        <v>656.322558690792</v>
      </c>
      <c r="U303" s="110" t="n">
        <v>3620.52241798813</v>
      </c>
      <c r="V303" s="104" t="n">
        <v>3600</v>
      </c>
      <c r="W303" s="104" t="n">
        <v>0</v>
      </c>
      <c r="X303" s="104">
        <f>$V303+W303</f>
        <v/>
      </c>
      <c r="Y303" s="111">
        <f>IFERROR(A303/R303,0)</f>
        <v/>
      </c>
      <c r="Z303" s="111">
        <f>IFERROR(B303/U303,0)</f>
        <v/>
      </c>
      <c r="AA303" s="111">
        <f>IFERROR(C303/R303,0)</f>
        <v/>
      </c>
      <c r="AB303" s="111">
        <f>IFERROR(D303/U303,0)</f>
        <v/>
      </c>
      <c r="AD303" s="111">
        <f>IF(U303&gt;0,IFERROR(E303/U303,0),1)</f>
        <v/>
      </c>
      <c r="AE303" s="111">
        <f>IF(R303&gt;0,IFERROR(F303/R303,0),1)</f>
        <v/>
      </c>
      <c r="AF303" s="111">
        <f>IF(AL303&gt;0,IFERROR(G303/AL303,0),1)</f>
        <v/>
      </c>
      <c r="AG303" s="111">
        <f>IF(AM303&gt;0,IFERROR(H303/AM303,0),1)</f>
        <v/>
      </c>
      <c r="AH303" s="104">
        <f>U303-(V303+AN303+AR303)</f>
        <v/>
      </c>
      <c r="AI303" s="104">
        <f>R303-(V303+AO303+AR303)</f>
        <v/>
      </c>
      <c r="AJ303" s="104">
        <f>(AL303-AP303)</f>
        <v/>
      </c>
      <c r="AK303" s="104">
        <f>(AM303-AQ303)</f>
        <v/>
      </c>
      <c r="AL303" s="110">
        <f>S303+AI303</f>
        <v/>
      </c>
      <c r="AM303" s="110">
        <f>T303+AJ303</f>
        <v/>
      </c>
      <c r="AN303" s="104" t="n">
        <v>0</v>
      </c>
      <c r="AO303" s="104" t="n">
        <v>0</v>
      </c>
      <c r="AP303" s="104" t="n">
        <v>0</v>
      </c>
      <c r="AQ303" s="104" t="n">
        <v>0</v>
      </c>
      <c r="AR303" s="104" t="n">
        <v>0</v>
      </c>
      <c r="AS303" s="104" t="n"/>
      <c r="AT303" s="104" t="n"/>
    </row>
    <row r="304" ht="12.65" customHeight="1" s="79">
      <c r="A304" s="104">
        <f>MIN(V304,R304)</f>
        <v/>
      </c>
      <c r="B304" s="104">
        <f>MIN(V304,U304)</f>
        <v/>
      </c>
      <c r="C304" s="104">
        <f>MIN(X304,R304)</f>
        <v/>
      </c>
      <c r="D304" s="104">
        <f>MIN(X304,U304)</f>
        <v/>
      </c>
      <c r="E304" s="104">
        <f>MIN((V304+AN304+AR304),U304)</f>
        <v/>
      </c>
      <c r="F304" s="104">
        <f>MAX(MIN((V304+AO304+AR304),R304),0)</f>
        <v/>
      </c>
      <c r="G304" s="104">
        <f>MAX(MIN(AP304,AL304),0)</f>
        <v/>
      </c>
      <c r="H304" s="104">
        <f>MAX(MIN(AQ304,AM304),0)</f>
        <v/>
      </c>
      <c r="I304" s="105" t="inlineStr">
        <is>
          <t>ROOP KISHOR</t>
        </is>
      </c>
      <c r="J304" s="106" t="inlineStr">
        <is>
          <t>HOUSEHOLD</t>
        </is>
      </c>
      <c r="K304" s="107" t="inlineStr">
        <is>
          <t>HH_KITCHEN AIDS</t>
        </is>
      </c>
      <c r="L304" s="107" t="inlineStr">
        <is>
          <t>HH_KA_KNIFE</t>
        </is>
      </c>
      <c r="M304" s="107" t="inlineStr">
        <is>
          <t>SCISSOR-[HHUK12]</t>
        </is>
      </c>
      <c r="N304" s="107" t="inlineStr">
        <is>
          <t>ACTIVE</t>
        </is>
      </c>
      <c r="O304" s="108" t="n">
        <v>0.116262002324017</v>
      </c>
      <c r="P304" s="108" t="n">
        <v>0.103936381709742</v>
      </c>
      <c r="Q304" s="109" t="n">
        <v>113</v>
      </c>
      <c r="R304" s="110" t="n">
        <v>142</v>
      </c>
      <c r="S304" s="110" t="n">
        <v>101.196702778918</v>
      </c>
      <c r="T304" s="110" t="n">
        <v>97.5033094619929</v>
      </c>
      <c r="U304" s="110" t="n">
        <v>340.700012240911</v>
      </c>
      <c r="V304" s="104" t="n">
        <v>0</v>
      </c>
      <c r="W304" s="104" t="n">
        <v>2400</v>
      </c>
      <c r="X304" s="104">
        <f>$V304+W304</f>
        <v/>
      </c>
      <c r="Y304" s="111">
        <f>IFERROR(A304/R304,0)</f>
        <v/>
      </c>
      <c r="Z304" s="111">
        <f>IFERROR(B304/U304,0)</f>
        <v/>
      </c>
      <c r="AA304" s="111">
        <f>IFERROR(C304/R304,0)</f>
        <v/>
      </c>
      <c r="AB304" s="111">
        <f>IFERROR(D304/U304,0)</f>
        <v/>
      </c>
      <c r="AD304" s="111">
        <f>IF(U304&gt;0,IFERROR(E304/U304,0),1)</f>
        <v/>
      </c>
      <c r="AE304" s="111">
        <f>IF(R304&gt;0,IFERROR(F304/R304,0),1)</f>
        <v/>
      </c>
      <c r="AF304" s="111">
        <f>IF(AL304&gt;0,IFERROR(G304/AL304,0),1)</f>
        <v/>
      </c>
      <c r="AG304" s="111">
        <f>IF(AM304&gt;0,IFERROR(H304/AM304,0),1)</f>
        <v/>
      </c>
      <c r="AH304" s="104">
        <f>U304-(V304+AN304+AR304)</f>
        <v/>
      </c>
      <c r="AI304" s="104">
        <f>R304-(V304+AO304+AR304)</f>
        <v/>
      </c>
      <c r="AJ304" s="104">
        <f>(AL304-AP304)</f>
        <v/>
      </c>
      <c r="AK304" s="104">
        <f>(AM304-AQ304)</f>
        <v/>
      </c>
      <c r="AL304" s="110">
        <f>S304+AI304</f>
        <v/>
      </c>
      <c r="AM304" s="110">
        <f>T304+AJ304</f>
        <v/>
      </c>
      <c r="AN304" s="104" t="n">
        <v>2400</v>
      </c>
      <c r="AO304" s="104" t="n">
        <v>2400</v>
      </c>
      <c r="AP304" s="104" t="n">
        <v>0</v>
      </c>
      <c r="AQ304" s="104" t="n">
        <v>0</v>
      </c>
      <c r="AR304" s="104" t="n">
        <v>0</v>
      </c>
      <c r="AS304" s="104" t="n"/>
      <c r="AT304" s="104" t="n"/>
    </row>
    <row r="305" ht="12.65" customHeight="1" s="79">
      <c r="A305" s="104">
        <f>MIN(V305,R305)</f>
        <v/>
      </c>
      <c r="B305" s="104">
        <f>MIN(V305,U305)</f>
        <v/>
      </c>
      <c r="C305" s="104">
        <f>MIN(X305,R305)</f>
        <v/>
      </c>
      <c r="D305" s="104">
        <f>MIN(X305,U305)</f>
        <v/>
      </c>
      <c r="E305" s="104">
        <f>MIN((V305+AN305+AR305),U305)</f>
        <v/>
      </c>
      <c r="F305" s="104">
        <f>MAX(MIN((V305+AO305+AR305),R305),0)</f>
        <v/>
      </c>
      <c r="G305" s="104">
        <f>MAX(MIN(AP305,AL305),0)</f>
        <v/>
      </c>
      <c r="H305" s="104">
        <f>MAX(MIN(AQ305,AM305),0)</f>
        <v/>
      </c>
      <c r="I305" s="105" t="inlineStr">
        <is>
          <t>ROOP KISHOR</t>
        </is>
      </c>
      <c r="J305" s="106" t="inlineStr">
        <is>
          <t>HOUSEHOLD</t>
        </is>
      </c>
      <c r="K305" s="107" t="inlineStr">
        <is>
          <t>HH_KITCHEN AIDS</t>
        </is>
      </c>
      <c r="L305" s="107" t="inlineStr">
        <is>
          <t>HH_KA_SKIMMER</t>
        </is>
      </c>
      <c r="M305" s="107" t="inlineStr">
        <is>
          <t>16INCH-[HHUK21]</t>
        </is>
      </c>
      <c r="N305" s="107" t="inlineStr">
        <is>
          <t>ACTIVE</t>
        </is>
      </c>
      <c r="O305" s="108" t="n">
        <v>0.0993876188175786</v>
      </c>
      <c r="P305" s="108" t="n">
        <v>0.07057619186896751</v>
      </c>
      <c r="Q305" s="109" t="n">
        <v>102</v>
      </c>
      <c r="R305" s="110" t="n">
        <v>6194</v>
      </c>
      <c r="S305" s="110" t="n">
        <v>5985.82479903672</v>
      </c>
      <c r="T305" s="110" t="n">
        <v>3986.34442793205</v>
      </c>
      <c r="U305" s="110" t="n">
        <v>16166.1692269688</v>
      </c>
      <c r="V305" s="104" t="n">
        <v>0</v>
      </c>
      <c r="W305" s="104" t="n">
        <v>0</v>
      </c>
      <c r="X305" s="104">
        <f>$V305+W305</f>
        <v/>
      </c>
      <c r="Y305" s="111">
        <f>IFERROR(A305/R305,0)</f>
        <v/>
      </c>
      <c r="Z305" s="111">
        <f>IFERROR(B305/U305,0)</f>
        <v/>
      </c>
      <c r="AA305" s="111">
        <f>IFERROR(C305/R305,0)</f>
        <v/>
      </c>
      <c r="AB305" s="111">
        <f>IFERROR(D305/U305,0)</f>
        <v/>
      </c>
      <c r="AD305" s="111">
        <f>IF(U305&gt;0,IFERROR(E305/U305,0),1)</f>
        <v/>
      </c>
      <c r="AE305" s="111">
        <f>IF(R305&gt;0,IFERROR(F305/R305,0),1)</f>
        <v/>
      </c>
      <c r="AF305" s="111">
        <f>IF(AL305&gt;0,IFERROR(G305/AL305,0),1)</f>
        <v/>
      </c>
      <c r="AG305" s="111">
        <f>IF(AM305&gt;0,IFERROR(H305/AM305,0),1)</f>
        <v/>
      </c>
      <c r="AH305" s="104">
        <f>U305-(V305+AN305+AR305)</f>
        <v/>
      </c>
      <c r="AI305" s="104">
        <f>R305-(V305+AO305+AR305)</f>
        <v/>
      </c>
      <c r="AJ305" s="104">
        <f>(AL305-AP305)</f>
        <v/>
      </c>
      <c r="AK305" s="104">
        <f>(AM305-AQ305)</f>
        <v/>
      </c>
      <c r="AL305" s="110">
        <f>S305+AI305</f>
        <v/>
      </c>
      <c r="AM305" s="110">
        <f>T305+AJ305</f>
        <v/>
      </c>
      <c r="AN305" s="104" t="n">
        <v>0</v>
      </c>
      <c r="AO305" s="104" t="n">
        <v>0</v>
      </c>
      <c r="AP305" s="104" t="n">
        <v>0</v>
      </c>
      <c r="AQ305" s="104" t="n">
        <v>0</v>
      </c>
      <c r="AR305" s="104" t="n">
        <v>0</v>
      </c>
      <c r="AS305" s="104" t="n"/>
      <c r="AT305" s="104" t="n"/>
    </row>
    <row r="306" ht="12.65" customHeight="1" s="79">
      <c r="A306" s="104">
        <f>MIN(V306,R306)</f>
        <v/>
      </c>
      <c r="B306" s="104">
        <f>MIN(V306,U306)</f>
        <v/>
      </c>
      <c r="C306" s="104">
        <f>MIN(X306,R306)</f>
        <v/>
      </c>
      <c r="D306" s="104">
        <f>MIN(X306,U306)</f>
        <v/>
      </c>
      <c r="E306" s="104">
        <f>MIN((V306+AN306+AR306),U306)</f>
        <v/>
      </c>
      <c r="F306" s="104">
        <f>MAX(MIN((V306+AO306+AR306),R306),0)</f>
        <v/>
      </c>
      <c r="G306" s="104">
        <f>MAX(MIN(AP306,AL306),0)</f>
        <v/>
      </c>
      <c r="H306" s="104">
        <f>MAX(MIN(AQ306,AM306),0)</f>
        <v/>
      </c>
      <c r="I306" s="105" t="inlineStr">
        <is>
          <t>ROOP KISHOR</t>
        </is>
      </c>
      <c r="J306" s="106" t="inlineStr">
        <is>
          <t>HOUSEHOLD</t>
        </is>
      </c>
      <c r="K306" s="107" t="inlineStr">
        <is>
          <t>HH_KITCHEN AIDS</t>
        </is>
      </c>
      <c r="L306" s="107" t="inlineStr">
        <is>
          <t>HH_KA_SKIMMER</t>
        </is>
      </c>
      <c r="M306" s="107" t="inlineStr">
        <is>
          <t>14INCH-[HHUK21]</t>
        </is>
      </c>
      <c r="N306" s="107" t="inlineStr">
        <is>
          <t>ACTIVE</t>
        </is>
      </c>
      <c r="O306" s="108" t="n">
        <v>0.0878546282874301</v>
      </c>
      <c r="P306" s="108" t="n">
        <v>0.0859569877974786</v>
      </c>
      <c r="Q306" s="109" t="n">
        <v>102</v>
      </c>
      <c r="R306" s="110" t="n">
        <v>1498</v>
      </c>
      <c r="S306" s="110" t="n">
        <v>1336.96154730782</v>
      </c>
      <c r="T306" s="110" t="n">
        <v>920.632249073491</v>
      </c>
      <c r="U306" s="110" t="n">
        <v>3755.59379638131</v>
      </c>
      <c r="V306" s="104" t="n">
        <v>2400</v>
      </c>
      <c r="W306" s="104" t="n">
        <v>0</v>
      </c>
      <c r="X306" s="104">
        <f>$V306+W306</f>
        <v/>
      </c>
      <c r="Y306" s="111">
        <f>IFERROR(A306/R306,0)</f>
        <v/>
      </c>
      <c r="Z306" s="111">
        <f>IFERROR(B306/U306,0)</f>
        <v/>
      </c>
      <c r="AA306" s="111">
        <f>IFERROR(C306/R306,0)</f>
        <v/>
      </c>
      <c r="AB306" s="111">
        <f>IFERROR(D306/U306,0)</f>
        <v/>
      </c>
      <c r="AD306" s="111">
        <f>IF(U306&gt;0,IFERROR(E306/U306,0),1)</f>
        <v/>
      </c>
      <c r="AE306" s="111">
        <f>IF(R306&gt;0,IFERROR(F306/R306,0),1)</f>
        <v/>
      </c>
      <c r="AF306" s="111">
        <f>IF(AL306&gt;0,IFERROR(G306/AL306,0),1)</f>
        <v/>
      </c>
      <c r="AG306" s="111">
        <f>IF(AM306&gt;0,IFERROR(H306/AM306,0),1)</f>
        <v/>
      </c>
      <c r="AH306" s="104">
        <f>U306-(V306+AN306+AR306)</f>
        <v/>
      </c>
      <c r="AI306" s="104">
        <f>R306-(V306+AO306+AR306)</f>
        <v/>
      </c>
      <c r="AJ306" s="104">
        <f>(AL306-AP306)</f>
        <v/>
      </c>
      <c r="AK306" s="104">
        <f>(AM306-AQ306)</f>
        <v/>
      </c>
      <c r="AL306" s="110">
        <f>S306+AI306</f>
        <v/>
      </c>
      <c r="AM306" s="110">
        <f>T306+AJ306</f>
        <v/>
      </c>
      <c r="AN306" s="104" t="n">
        <v>13200</v>
      </c>
      <c r="AO306" s="104" t="n">
        <v>9600</v>
      </c>
      <c r="AP306" s="104" t="n">
        <v>3600</v>
      </c>
      <c r="AQ306" s="104" t="n">
        <v>0</v>
      </c>
      <c r="AR306" s="104" t="n">
        <v>0</v>
      </c>
      <c r="AS306" s="104" t="n"/>
      <c r="AT306" s="104" t="n"/>
    </row>
    <row r="307" ht="12.65" customHeight="1" s="79">
      <c r="A307" s="104">
        <f>MIN(V307,R307)</f>
        <v/>
      </c>
      <c r="B307" s="104">
        <f>MIN(V307,U307)</f>
        <v/>
      </c>
      <c r="C307" s="104">
        <f>MIN(X307,R307)</f>
        <v/>
      </c>
      <c r="D307" s="104">
        <f>MIN(X307,U307)</f>
        <v/>
      </c>
      <c r="E307" s="104">
        <f>MIN((V307+AN307+AR307),U307)</f>
        <v/>
      </c>
      <c r="F307" s="104">
        <f>MAX(MIN((V307+AO307+AR307),R307),0)</f>
        <v/>
      </c>
      <c r="G307" s="104">
        <f>MAX(MIN(AP307,AL307),0)</f>
        <v/>
      </c>
      <c r="H307" s="104">
        <f>MAX(MIN(AQ307,AM307),0)</f>
        <v/>
      </c>
      <c r="I307" s="105" t="inlineStr">
        <is>
          <t>ROOP KISHOR</t>
        </is>
      </c>
      <c r="J307" s="106" t="inlineStr">
        <is>
          <t>HOUSEHOLD</t>
        </is>
      </c>
      <c r="K307" s="107" t="inlineStr">
        <is>
          <t>HH_KITCHEN AIDS</t>
        </is>
      </c>
      <c r="L307" s="107" t="inlineStr">
        <is>
          <t>HH_KA_SKIMMER</t>
        </is>
      </c>
      <c r="M307" s="107" t="inlineStr">
        <is>
          <t>18INCH-[HHUK21]</t>
        </is>
      </c>
      <c r="N307" s="107" t="inlineStr">
        <is>
          <t>ACTIVE</t>
        </is>
      </c>
      <c r="O307" s="108" t="n">
        <v>0.0929826363916572</v>
      </c>
      <c r="P307" s="108" t="n">
        <v>0.0764371812702828</v>
      </c>
      <c r="Q307" s="109" t="n">
        <v>102</v>
      </c>
      <c r="R307" s="110" t="n">
        <v>1390</v>
      </c>
      <c r="S307" s="110" t="n">
        <v>908.323862659284</v>
      </c>
      <c r="T307" s="110" t="n">
        <v>649.166998339202</v>
      </c>
      <c r="U307" s="110" t="n">
        <v>2947.49086099849</v>
      </c>
      <c r="V307" s="104" t="n">
        <v>0</v>
      </c>
      <c r="W307" s="104" t="n">
        <v>0</v>
      </c>
      <c r="X307" s="104">
        <f>$V307+W307</f>
        <v/>
      </c>
      <c r="Y307" s="111">
        <f>IFERROR(A307/R307,0)</f>
        <v/>
      </c>
      <c r="Z307" s="111">
        <f>IFERROR(B307/U307,0)</f>
        <v/>
      </c>
      <c r="AA307" s="111">
        <f>IFERROR(C307/R307,0)</f>
        <v/>
      </c>
      <c r="AB307" s="111">
        <f>IFERROR(D307/U307,0)</f>
        <v/>
      </c>
      <c r="AD307" s="111">
        <f>IF(U307&gt;0,IFERROR(E307/U307,0),1)</f>
        <v/>
      </c>
      <c r="AE307" s="111">
        <f>IF(R307&gt;0,IFERROR(F307/R307,0),1)</f>
        <v/>
      </c>
      <c r="AF307" s="111">
        <f>IF(AL307&gt;0,IFERROR(G307/AL307,0),1)</f>
        <v/>
      </c>
      <c r="AG307" s="111">
        <f>IF(AM307&gt;0,IFERROR(H307/AM307,0),1)</f>
        <v/>
      </c>
      <c r="AH307" s="104">
        <f>U307-(V307+AN307+AR307)</f>
        <v/>
      </c>
      <c r="AI307" s="104">
        <f>R307-(V307+AO307+AR307)</f>
        <v/>
      </c>
      <c r="AJ307" s="104">
        <f>(AL307-AP307)</f>
        <v/>
      </c>
      <c r="AK307" s="104">
        <f>(AM307-AQ307)</f>
        <v/>
      </c>
      <c r="AL307" s="110">
        <f>S307+AI307</f>
        <v/>
      </c>
      <c r="AM307" s="110">
        <f>T307+AJ307</f>
        <v/>
      </c>
      <c r="AN307" s="104" t="n">
        <v>0</v>
      </c>
      <c r="AO307" s="104" t="n">
        <v>0</v>
      </c>
      <c r="AP307" s="104" t="n">
        <v>0</v>
      </c>
      <c r="AQ307" s="104" t="n">
        <v>0</v>
      </c>
      <c r="AR307" s="104" t="n">
        <v>0</v>
      </c>
      <c r="AS307" s="104" t="n"/>
      <c r="AT307" s="104" t="n"/>
    </row>
    <row r="308" ht="12.65" customHeight="1" s="79">
      <c r="A308" s="104">
        <f>MIN(V308,R308)</f>
        <v/>
      </c>
      <c r="B308" s="104">
        <f>MIN(V308,U308)</f>
        <v/>
      </c>
      <c r="C308" s="104">
        <f>MIN(X308,R308)</f>
        <v/>
      </c>
      <c r="D308" s="104">
        <f>MIN(X308,U308)</f>
        <v/>
      </c>
      <c r="E308" s="104">
        <f>MIN((V308+AN308+AR308),U308)</f>
        <v/>
      </c>
      <c r="F308" s="104">
        <f>MAX(MIN((V308+AO308+AR308),R308),0)</f>
        <v/>
      </c>
      <c r="G308" s="104">
        <f>MAX(MIN(AP308,AL308),0)</f>
        <v/>
      </c>
      <c r="H308" s="104">
        <f>MAX(MIN(AQ308,AM308),0)</f>
        <v/>
      </c>
      <c r="I308" s="105" t="inlineStr">
        <is>
          <t>ROOP KISHOR</t>
        </is>
      </c>
      <c r="J308" s="106" t="inlineStr">
        <is>
          <t>HOUSEHOLD</t>
        </is>
      </c>
      <c r="K308" s="107" t="inlineStr">
        <is>
          <t>HH_KITCHEN AIDS</t>
        </is>
      </c>
      <c r="L308" s="107" t="inlineStr">
        <is>
          <t>HH_KA_SKIMMER</t>
        </is>
      </c>
      <c r="M308" s="107" t="inlineStr">
        <is>
          <t>16CM-[HHUK21]</t>
        </is>
      </c>
      <c r="N308" s="107" t="inlineStr">
        <is>
          <t>INACTIVE</t>
        </is>
      </c>
      <c r="O308" s="108" t="n">
        <v>0</v>
      </c>
      <c r="P308" s="108" t="n">
        <v>0</v>
      </c>
      <c r="Q308" s="109" t="n">
        <v>102</v>
      </c>
      <c r="R308" s="110" t="n">
        <v>0</v>
      </c>
      <c r="S308" s="110" t="n">
        <v>0</v>
      </c>
      <c r="T308" s="110" t="n">
        <v>0</v>
      </c>
      <c r="U308" s="110" t="n">
        <v>0</v>
      </c>
      <c r="V308" s="104" t="n">
        <v>0</v>
      </c>
      <c r="W308" s="104" t="n">
        <v>1800</v>
      </c>
      <c r="X308" s="104">
        <f>$V308+W308</f>
        <v/>
      </c>
      <c r="Y308" s="111">
        <f>IFERROR(A308/R308,0)</f>
        <v/>
      </c>
      <c r="Z308" s="111">
        <f>IFERROR(B308/U308,0)</f>
        <v/>
      </c>
      <c r="AA308" s="111">
        <f>IFERROR(C308/R308,0)</f>
        <v/>
      </c>
      <c r="AB308" s="111">
        <f>IFERROR(D308/U308,0)</f>
        <v/>
      </c>
      <c r="AD308" s="111">
        <f>IF(U308&gt;0,IFERROR(E308/U308,0),1)</f>
        <v/>
      </c>
      <c r="AE308" s="111">
        <f>IF(R308&gt;0,IFERROR(F308/R308,0),1)</f>
        <v/>
      </c>
      <c r="AF308" s="111">
        <f>IF(AL308&gt;0,IFERROR(G308/AL308,0),1)</f>
        <v/>
      </c>
      <c r="AG308" s="111">
        <f>IF(AM308&gt;0,IFERROR(H308/AM308,0),1)</f>
        <v/>
      </c>
      <c r="AH308" s="104">
        <f>U308-(V308+AN308+AR308)</f>
        <v/>
      </c>
      <c r="AI308" s="104">
        <f>R308-(V308+AO308+AR308)</f>
        <v/>
      </c>
      <c r="AJ308" s="104">
        <f>(AL308-AP308)</f>
        <v/>
      </c>
      <c r="AK308" s="104">
        <f>(AM308-AQ308)</f>
        <v/>
      </c>
      <c r="AL308" s="110">
        <f>S308+AI308</f>
        <v/>
      </c>
      <c r="AM308" s="110">
        <f>T308+AJ308</f>
        <v/>
      </c>
      <c r="AN308" s="104" t="n">
        <v>1800</v>
      </c>
      <c r="AO308" s="104" t="n">
        <v>1800</v>
      </c>
      <c r="AP308" s="104" t="n">
        <v>0</v>
      </c>
      <c r="AQ308" s="104" t="n">
        <v>0</v>
      </c>
      <c r="AR308" s="104" t="n">
        <v>0</v>
      </c>
      <c r="AS308" s="104" t="n"/>
      <c r="AT308" s="104" t="n"/>
    </row>
    <row r="309" ht="12.65" customHeight="1" s="79">
      <c r="A309" s="104">
        <f>MIN(V309,R309)</f>
        <v/>
      </c>
      <c r="B309" s="104">
        <f>MIN(V309,U309)</f>
        <v/>
      </c>
      <c r="C309" s="104">
        <f>MIN(X309,R309)</f>
        <v/>
      </c>
      <c r="D309" s="104">
        <f>MIN(X309,U309)</f>
        <v/>
      </c>
      <c r="E309" s="104">
        <f>MIN((V309+AN309+AR309),U309)</f>
        <v/>
      </c>
      <c r="F309" s="104">
        <f>MAX(MIN((V309+AO309+AR309),R309),0)</f>
        <v/>
      </c>
      <c r="G309" s="104">
        <f>MAX(MIN(AP309,AL309),0)</f>
        <v/>
      </c>
      <c r="H309" s="104">
        <f>MAX(MIN(AQ309,AM309),0)</f>
        <v/>
      </c>
      <c r="I309" s="105" t="inlineStr">
        <is>
          <t>ROOP KISHOR</t>
        </is>
      </c>
      <c r="J309" s="106" t="inlineStr">
        <is>
          <t>HOUSEHOLD</t>
        </is>
      </c>
      <c r="K309" s="107" t="inlineStr">
        <is>
          <t>HH_KITCHEN AIDS</t>
        </is>
      </c>
      <c r="L309" s="107" t="inlineStr">
        <is>
          <t>HH_KA_SQUEEZER</t>
        </is>
      </c>
      <c r="M309" s="107" t="inlineStr">
        <is>
          <t>PLST-[HHUK22]</t>
        </is>
      </c>
      <c r="N309" s="107" t="inlineStr">
        <is>
          <t>ACTIVE</t>
        </is>
      </c>
      <c r="O309" s="108" t="n">
        <v>0.114424349360388</v>
      </c>
      <c r="P309" s="108" t="n">
        <v>0.121212121212121</v>
      </c>
      <c r="Q309" s="109" t="n">
        <v>168</v>
      </c>
      <c r="R309" s="110" t="n">
        <v>2325</v>
      </c>
      <c r="S309" s="110" t="n">
        <v>1131.37057070546</v>
      </c>
      <c r="T309" s="110" t="n">
        <v>701.063300961665</v>
      </c>
      <c r="U309" s="110" t="n">
        <v>4157.43387166712</v>
      </c>
      <c r="V309" s="104" t="n">
        <v>1200</v>
      </c>
      <c r="W309" s="104" t="n">
        <v>2400</v>
      </c>
      <c r="X309" s="104">
        <f>$V309+W309</f>
        <v/>
      </c>
      <c r="Y309" s="111">
        <f>IFERROR(A309/R309,0)</f>
        <v/>
      </c>
      <c r="Z309" s="111">
        <f>IFERROR(B309/U309,0)</f>
        <v/>
      </c>
      <c r="AA309" s="111">
        <f>IFERROR(C309/R309,0)</f>
        <v/>
      </c>
      <c r="AB309" s="111">
        <f>IFERROR(D309/U309,0)</f>
        <v/>
      </c>
      <c r="AD309" s="111">
        <f>IF(U309&gt;0,IFERROR(E309/U309,0),1)</f>
        <v/>
      </c>
      <c r="AE309" s="111">
        <f>IF(R309&gt;0,IFERROR(F309/R309,0),1)</f>
        <v/>
      </c>
      <c r="AF309" s="111">
        <f>IF(AL309&gt;0,IFERROR(G309/AL309,0),1)</f>
        <v/>
      </c>
      <c r="AG309" s="111">
        <f>IF(AM309&gt;0,IFERROR(H309/AM309,0),1)</f>
        <v/>
      </c>
      <c r="AH309" s="104">
        <f>U309-(V309+AN309+AR309)</f>
        <v/>
      </c>
      <c r="AI309" s="104">
        <f>R309-(V309+AO309+AR309)</f>
        <v/>
      </c>
      <c r="AJ309" s="104">
        <f>(AL309-AP309)</f>
        <v/>
      </c>
      <c r="AK309" s="104">
        <f>(AM309-AQ309)</f>
        <v/>
      </c>
      <c r="AL309" s="110">
        <f>S309+AI309</f>
        <v/>
      </c>
      <c r="AM309" s="110">
        <f>T309+AJ309</f>
        <v/>
      </c>
      <c r="AN309" s="104" t="n">
        <v>3600</v>
      </c>
      <c r="AO309" s="104" t="n">
        <v>1200</v>
      </c>
      <c r="AP309" s="104" t="n">
        <v>2400</v>
      </c>
      <c r="AQ309" s="104" t="n">
        <v>0</v>
      </c>
      <c r="AR309" s="104" t="n">
        <v>0</v>
      </c>
      <c r="AS309" s="104" t="n"/>
      <c r="AT309" s="104" t="n"/>
    </row>
    <row r="310" ht="12.65" customHeight="1" s="79">
      <c r="A310" s="104">
        <f>MIN(V310,R310)</f>
        <v/>
      </c>
      <c r="B310" s="104">
        <f>MIN(V310,U310)</f>
        <v/>
      </c>
      <c r="C310" s="104">
        <f>MIN(X310,R310)</f>
        <v/>
      </c>
      <c r="D310" s="104">
        <f>MIN(X310,U310)</f>
        <v/>
      </c>
      <c r="E310" s="104">
        <f>MIN((V310+AN310+AR310),U310)</f>
        <v/>
      </c>
      <c r="F310" s="104">
        <f>MAX(MIN((V310+AO310+AR310),R310),0)</f>
        <v/>
      </c>
      <c r="G310" s="104">
        <f>MAX(MIN(AP310,AL310),0)</f>
        <v/>
      </c>
      <c r="H310" s="104">
        <f>MAX(MIN(AQ310,AM310),0)</f>
        <v/>
      </c>
      <c r="I310" s="105" t="inlineStr">
        <is>
          <t>ROOP KISHOR</t>
        </is>
      </c>
      <c r="J310" s="106" t="inlineStr">
        <is>
          <t>HOUSEHOLD</t>
        </is>
      </c>
      <c r="K310" s="107" t="inlineStr">
        <is>
          <t>HH_KITCHEN AIDS</t>
        </is>
      </c>
      <c r="L310" s="107" t="inlineStr">
        <is>
          <t>HH_KA_SQUEEZER</t>
        </is>
      </c>
      <c r="M310" s="107" t="inlineStr">
        <is>
          <t>STL-[HHUK22]</t>
        </is>
      </c>
      <c r="N310" s="107" t="inlineStr">
        <is>
          <t>ACTIVE</t>
        </is>
      </c>
      <c r="O310" s="108" t="n">
        <v>0.126354345431726</v>
      </c>
      <c r="P310" s="108" t="n">
        <v>0.11785731773001</v>
      </c>
      <c r="Q310" s="109" t="n">
        <v>168</v>
      </c>
      <c r="R310" s="110" t="n">
        <v>443</v>
      </c>
      <c r="S310" s="110" t="n">
        <v>397.371222992173</v>
      </c>
      <c r="T310" s="110" t="n">
        <v>314.769958104413</v>
      </c>
      <c r="U310" s="110" t="n">
        <v>1155.14118109659</v>
      </c>
      <c r="V310" s="104" t="n">
        <v>2400</v>
      </c>
      <c r="W310" s="104" t="n">
        <v>0</v>
      </c>
      <c r="X310" s="104">
        <f>$V310+W310</f>
        <v/>
      </c>
      <c r="Y310" s="111">
        <f>IFERROR(A310/R310,0)</f>
        <v/>
      </c>
      <c r="Z310" s="111">
        <f>IFERROR(B310/U310,0)</f>
        <v/>
      </c>
      <c r="AA310" s="111">
        <f>IFERROR(C310/R310,0)</f>
        <v/>
      </c>
      <c r="AB310" s="111">
        <f>IFERROR(D310/U310,0)</f>
        <v/>
      </c>
      <c r="AD310" s="111">
        <f>IF(U310&gt;0,IFERROR(E310/U310,0),1)</f>
        <v/>
      </c>
      <c r="AE310" s="111">
        <f>IF(R310&gt;0,IFERROR(F310/R310,0),1)</f>
        <v/>
      </c>
      <c r="AF310" s="111">
        <f>IF(AL310&gt;0,IFERROR(G310/AL310,0),1)</f>
        <v/>
      </c>
      <c r="AG310" s="111">
        <f>IF(AM310&gt;0,IFERROR(H310/AM310,0),1)</f>
        <v/>
      </c>
      <c r="AH310" s="104">
        <f>U310-(V310+AN310+AR310)</f>
        <v/>
      </c>
      <c r="AI310" s="104">
        <f>R310-(V310+AO310+AR310)</f>
        <v/>
      </c>
      <c r="AJ310" s="104">
        <f>(AL310-AP310)</f>
        <v/>
      </c>
      <c r="AK310" s="104">
        <f>(AM310-AQ310)</f>
        <v/>
      </c>
      <c r="AL310" s="110">
        <f>S310+AI310</f>
        <v/>
      </c>
      <c r="AM310" s="110">
        <f>T310+AJ310</f>
        <v/>
      </c>
      <c r="AN310" s="104" t="n">
        <v>2400</v>
      </c>
      <c r="AO310" s="104" t="n">
        <v>0</v>
      </c>
      <c r="AP310" s="104" t="n">
        <v>0</v>
      </c>
      <c r="AQ310" s="104" t="n">
        <v>2400</v>
      </c>
      <c r="AR310" s="104" t="n">
        <v>0</v>
      </c>
      <c r="AS310" s="104" t="n"/>
      <c r="AT310" s="104" t="n"/>
    </row>
    <row r="311" ht="12.65" customHeight="1" s="79">
      <c r="A311" s="104">
        <f>MIN(V311,R311)</f>
        <v/>
      </c>
      <c r="B311" s="104">
        <f>MIN(V311,U311)</f>
        <v/>
      </c>
      <c r="C311" s="104">
        <f>MIN(X311,R311)</f>
        <v/>
      </c>
      <c r="D311" s="104">
        <f>MIN(X311,U311)</f>
        <v/>
      </c>
      <c r="E311" s="104">
        <f>MIN((V311+AN311+AR311),U311)</f>
        <v/>
      </c>
      <c r="F311" s="104">
        <f>MAX(MIN((V311+AO311+AR311),R311),0)</f>
        <v/>
      </c>
      <c r="G311" s="104">
        <f>MAX(MIN(AP311,AL311),0)</f>
        <v/>
      </c>
      <c r="H311" s="104">
        <f>MAX(MIN(AQ311,AM311),0)</f>
        <v/>
      </c>
      <c r="I311" s="105" t="inlineStr">
        <is>
          <t>ROOP KISHOR</t>
        </is>
      </c>
      <c r="J311" s="106" t="inlineStr">
        <is>
          <t>HOUSEHOLD</t>
        </is>
      </c>
      <c r="K311" s="107" t="inlineStr">
        <is>
          <t>HH_KITCHEN AIDS</t>
        </is>
      </c>
      <c r="L311" s="107" t="inlineStr">
        <is>
          <t>HH_KA_STRAINER</t>
        </is>
      </c>
      <c r="M311" s="107" t="inlineStr">
        <is>
          <t>TEA STNR-[HHUK23]</t>
        </is>
      </c>
      <c r="N311" s="107" t="inlineStr">
        <is>
          <t>ACTIVE</t>
        </is>
      </c>
      <c r="O311" s="108" t="n">
        <v>0.124087961877978</v>
      </c>
      <c r="P311" s="108" t="n">
        <v>0.140933691734671</v>
      </c>
      <c r="Q311" s="109" t="n">
        <v>54</v>
      </c>
      <c r="R311" s="110" t="n">
        <v>11972</v>
      </c>
      <c r="S311" s="110" t="n">
        <v>14549.1825393136</v>
      </c>
      <c r="T311" s="110" t="n">
        <v>11898.6718802697</v>
      </c>
      <c r="U311" s="110" t="n">
        <v>38419.8544195834</v>
      </c>
      <c r="V311" s="104" t="n">
        <v>7200</v>
      </c>
      <c r="W311" s="104" t="n">
        <v>16800</v>
      </c>
      <c r="X311" s="104">
        <f>$V311+W311</f>
        <v/>
      </c>
      <c r="Y311" s="111">
        <f>IFERROR(A311/R311,0)</f>
        <v/>
      </c>
      <c r="Z311" s="111">
        <f>IFERROR(B311/U311,0)</f>
        <v/>
      </c>
      <c r="AA311" s="111">
        <f>IFERROR(C311/R311,0)</f>
        <v/>
      </c>
      <c r="AB311" s="111">
        <f>IFERROR(D311/U311,0)</f>
        <v/>
      </c>
      <c r="AD311" s="111">
        <f>IF(U311&gt;0,IFERROR(E311/U311,0),1)</f>
        <v/>
      </c>
      <c r="AE311" s="111">
        <f>IF(R311&gt;0,IFERROR(F311/R311,0),1)</f>
        <v/>
      </c>
      <c r="AF311" s="111">
        <f>IF(AL311&gt;0,IFERROR(G311/AL311,0),1)</f>
        <v/>
      </c>
      <c r="AG311" s="111">
        <f>IF(AM311&gt;0,IFERROR(H311/AM311,0),1)</f>
        <v/>
      </c>
      <c r="AH311" s="104">
        <f>U311-(V311+AN311+AR311)</f>
        <v/>
      </c>
      <c r="AI311" s="104">
        <f>R311-(V311+AO311+AR311)</f>
        <v/>
      </c>
      <c r="AJ311" s="104">
        <f>(AL311-AP311)</f>
        <v/>
      </c>
      <c r="AK311" s="104">
        <f>(AM311-AQ311)</f>
        <v/>
      </c>
      <c r="AL311" s="110">
        <f>S311+AI311</f>
        <v/>
      </c>
      <c r="AM311" s="110">
        <f>T311+AJ311</f>
        <v/>
      </c>
      <c r="AN311" s="104" t="n">
        <v>45600</v>
      </c>
      <c r="AO311" s="104" t="n">
        <v>16800</v>
      </c>
      <c r="AP311" s="104" t="n">
        <v>14400</v>
      </c>
      <c r="AQ311" s="104" t="n">
        <v>14400</v>
      </c>
      <c r="AR311" s="104" t="n">
        <v>0</v>
      </c>
      <c r="AS311" s="104" t="n"/>
      <c r="AT311" s="104" t="n"/>
    </row>
    <row r="312" ht="12.65" customHeight="1" s="79">
      <c r="A312" s="104">
        <f>MIN(V312,R312)</f>
        <v/>
      </c>
      <c r="B312" s="104">
        <f>MIN(V312,U312)</f>
        <v/>
      </c>
      <c r="C312" s="104">
        <f>MIN(X312,R312)</f>
        <v/>
      </c>
      <c r="D312" s="104">
        <f>MIN(X312,U312)</f>
        <v/>
      </c>
      <c r="E312" s="104">
        <f>MIN((V312+AN312+AR312),U312)</f>
        <v/>
      </c>
      <c r="F312" s="104">
        <f>MAX(MIN((V312+AO312+AR312),R312),0)</f>
        <v/>
      </c>
      <c r="G312" s="104">
        <f>MAX(MIN(AP312,AL312),0)</f>
        <v/>
      </c>
      <c r="H312" s="104">
        <f>MAX(MIN(AQ312,AM312),0)</f>
        <v/>
      </c>
      <c r="I312" s="105" t="inlineStr">
        <is>
          <t>ROOP KISHOR</t>
        </is>
      </c>
      <c r="J312" s="106" t="inlineStr">
        <is>
          <t>HOUSEHOLD</t>
        </is>
      </c>
      <c r="K312" s="107" t="inlineStr">
        <is>
          <t>HH_KITCHEN AIDS</t>
        </is>
      </c>
      <c r="L312" s="107" t="inlineStr">
        <is>
          <t>HH_KA_STRAINER</t>
        </is>
      </c>
      <c r="M312" s="107" t="inlineStr">
        <is>
          <t>JUICE STNR-[HHUK23]</t>
        </is>
      </c>
      <c r="N312" s="107" t="inlineStr">
        <is>
          <t>ACTIVE</t>
        </is>
      </c>
      <c r="O312" s="108" t="n">
        <v>0.131805547162971</v>
      </c>
      <c r="P312" s="108" t="n">
        <v>0.108595430796025</v>
      </c>
      <c r="Q312" s="109" t="n">
        <v>54</v>
      </c>
      <c r="R312" s="110" t="n">
        <v>1614</v>
      </c>
      <c r="S312" s="110" t="n">
        <v>2148.44101565146</v>
      </c>
      <c r="T312" s="110" t="n">
        <v>2312.36653317588</v>
      </c>
      <c r="U312" s="110" t="n">
        <v>6074.80754882734</v>
      </c>
      <c r="V312" s="104" t="n">
        <v>6600</v>
      </c>
      <c r="W312" s="104" t="n">
        <v>2400</v>
      </c>
      <c r="X312" s="104">
        <f>$V312+W312</f>
        <v/>
      </c>
      <c r="Y312" s="111">
        <f>IFERROR(A312/R312,0)</f>
        <v/>
      </c>
      <c r="Z312" s="111">
        <f>IFERROR(B312/U312,0)</f>
        <v/>
      </c>
      <c r="AA312" s="111">
        <f>IFERROR(C312/R312,0)</f>
        <v/>
      </c>
      <c r="AB312" s="111">
        <f>IFERROR(D312/U312,0)</f>
        <v/>
      </c>
      <c r="AD312" s="111">
        <f>IF(U312&gt;0,IFERROR(E312/U312,0),1)</f>
        <v/>
      </c>
      <c r="AE312" s="111">
        <f>IF(R312&gt;0,IFERROR(F312/R312,0),1)</f>
        <v/>
      </c>
      <c r="AF312" s="111">
        <f>IF(AL312&gt;0,IFERROR(G312/AL312,0),1)</f>
        <v/>
      </c>
      <c r="AG312" s="111">
        <f>IF(AM312&gt;0,IFERROR(H312/AM312,0),1)</f>
        <v/>
      </c>
      <c r="AH312" s="104">
        <f>U312-(V312+AN312+AR312)</f>
        <v/>
      </c>
      <c r="AI312" s="104">
        <f>R312-(V312+AO312+AR312)</f>
        <v/>
      </c>
      <c r="AJ312" s="104">
        <f>(AL312-AP312)</f>
        <v/>
      </c>
      <c r="AK312" s="104">
        <f>(AM312-AQ312)</f>
        <v/>
      </c>
      <c r="AL312" s="110">
        <f>S312+AI312</f>
        <v/>
      </c>
      <c r="AM312" s="110">
        <f>T312+AJ312</f>
        <v/>
      </c>
      <c r="AN312" s="104" t="n">
        <v>24600</v>
      </c>
      <c r="AO312" s="104" t="n">
        <v>2400</v>
      </c>
      <c r="AP312" s="104" t="n">
        <v>10200</v>
      </c>
      <c r="AQ312" s="104" t="n">
        <v>12000</v>
      </c>
      <c r="AR312" s="104" t="n">
        <v>0</v>
      </c>
      <c r="AS312" s="104" t="n"/>
      <c r="AT312" s="104" t="n"/>
    </row>
    <row r="313" ht="12.65" customHeight="1" s="79">
      <c r="A313" s="104">
        <f>MIN(V313,R313)</f>
        <v/>
      </c>
      <c r="B313" s="104">
        <f>MIN(V313,U313)</f>
        <v/>
      </c>
      <c r="C313" s="104">
        <f>MIN(X313,R313)</f>
        <v/>
      </c>
      <c r="D313" s="104">
        <f>MIN(X313,U313)</f>
        <v/>
      </c>
      <c r="E313" s="104">
        <f>MIN((V313+AN313+AR313),U313)</f>
        <v/>
      </c>
      <c r="F313" s="104">
        <f>MAX(MIN((V313+AO313+AR313),R313),0)</f>
        <v/>
      </c>
      <c r="G313" s="104">
        <f>MAX(MIN(AP313,AL313),0)</f>
        <v/>
      </c>
      <c r="H313" s="104">
        <f>MAX(MIN(AQ313,AM313),0)</f>
        <v/>
      </c>
      <c r="I313" s="105" t="inlineStr">
        <is>
          <t>ROOP KISHOR</t>
        </is>
      </c>
      <c r="J313" s="106" t="inlineStr">
        <is>
          <t>HOUSEHOLD</t>
        </is>
      </c>
      <c r="K313" s="107" t="inlineStr">
        <is>
          <t>HH_KITCHEN AIDS</t>
        </is>
      </c>
      <c r="L313" s="107" t="inlineStr">
        <is>
          <t>HH_KA_STRAINER</t>
        </is>
      </c>
      <c r="M313" s="107" t="inlineStr">
        <is>
          <t>NET COVER-[HHUK23]</t>
        </is>
      </c>
      <c r="N313" s="107" t="inlineStr">
        <is>
          <t>ACTIVE</t>
        </is>
      </c>
      <c r="O313" s="108" t="n">
        <v>0.0944535731788175</v>
      </c>
      <c r="P313" s="108" t="n">
        <v>0.102848250495143</v>
      </c>
      <c r="Q313" s="109" t="n">
        <v>54</v>
      </c>
      <c r="R313" s="110" t="n">
        <v>435</v>
      </c>
      <c r="S313" s="110" t="n">
        <v>327.112675472361</v>
      </c>
      <c r="T313" s="110" t="n">
        <v>334.640265122005</v>
      </c>
      <c r="U313" s="110" t="n">
        <v>1096.75294059437</v>
      </c>
      <c r="V313" s="104" t="n">
        <v>0</v>
      </c>
      <c r="W313" s="104" t="n">
        <v>1200</v>
      </c>
      <c r="X313" s="104">
        <f>$V313+W313</f>
        <v/>
      </c>
      <c r="Y313" s="111">
        <f>IFERROR(A313/R313,0)</f>
        <v/>
      </c>
      <c r="Z313" s="111">
        <f>IFERROR(B313/U313,0)</f>
        <v/>
      </c>
      <c r="AA313" s="111">
        <f>IFERROR(C313/R313,0)</f>
        <v/>
      </c>
      <c r="AB313" s="111">
        <f>IFERROR(D313/U313,0)</f>
        <v/>
      </c>
      <c r="AD313" s="111">
        <f>IF(U313&gt;0,IFERROR(E313/U313,0),1)</f>
        <v/>
      </c>
      <c r="AE313" s="111">
        <f>IF(R313&gt;0,IFERROR(F313/R313,0),1)</f>
        <v/>
      </c>
      <c r="AF313" s="111">
        <f>IF(AL313&gt;0,IFERROR(G313/AL313,0),1)</f>
        <v/>
      </c>
      <c r="AG313" s="111">
        <f>IF(AM313&gt;0,IFERROR(H313/AM313,0),1)</f>
        <v/>
      </c>
      <c r="AH313" s="104">
        <f>U313-(V313+AN313+AR313)</f>
        <v/>
      </c>
      <c r="AI313" s="104">
        <f>R313-(V313+AO313+AR313)</f>
        <v/>
      </c>
      <c r="AJ313" s="104">
        <f>(AL313-AP313)</f>
        <v/>
      </c>
      <c r="AK313" s="104">
        <f>(AM313-AQ313)</f>
        <v/>
      </c>
      <c r="AL313" s="110">
        <f>S313+AI313</f>
        <v/>
      </c>
      <c r="AM313" s="110">
        <f>T313+AJ313</f>
        <v/>
      </c>
      <c r="AN313" s="104" t="n">
        <v>1200</v>
      </c>
      <c r="AO313" s="104" t="n">
        <v>1200</v>
      </c>
      <c r="AP313" s="104" t="n">
        <v>0</v>
      </c>
      <c r="AQ313" s="104" t="n">
        <v>0</v>
      </c>
      <c r="AR313" s="104" t="n">
        <v>0</v>
      </c>
      <c r="AS313" s="104" t="n"/>
      <c r="AT313" s="104" t="n"/>
    </row>
    <row r="314" ht="12.65" customHeight="1" s="79">
      <c r="A314" s="104">
        <f>MIN(V314,R314)</f>
        <v/>
      </c>
      <c r="B314" s="104">
        <f>MIN(V314,U314)</f>
        <v/>
      </c>
      <c r="C314" s="104">
        <f>MIN(X314,R314)</f>
        <v/>
      </c>
      <c r="D314" s="104">
        <f>MIN(X314,U314)</f>
        <v/>
      </c>
      <c r="E314" s="104">
        <f>MIN((V314+AN314+AR314),U314)</f>
        <v/>
      </c>
      <c r="F314" s="104">
        <f>MAX(MIN((V314+AO314+AR314),R314),0)</f>
        <v/>
      </c>
      <c r="G314" s="104">
        <f>MAX(MIN(AP314,AL314),0)</f>
        <v/>
      </c>
      <c r="H314" s="104">
        <f>MAX(MIN(AQ314,AM314),0)</f>
        <v/>
      </c>
      <c r="I314" s="105" t="inlineStr">
        <is>
          <t>ROOP KISHOR</t>
        </is>
      </c>
      <c r="J314" s="106" t="inlineStr">
        <is>
          <t>HOUSEHOLD</t>
        </is>
      </c>
      <c r="K314" s="107" t="inlineStr">
        <is>
          <t>HH_KITCHEN AIDS</t>
        </is>
      </c>
      <c r="L314" s="107" t="inlineStr">
        <is>
          <t>HH_OTHER</t>
        </is>
      </c>
      <c r="M314" s="107" t="inlineStr">
        <is>
          <t>ROTI PAPER-[HHUK47]</t>
        </is>
      </c>
      <c r="N314" s="107" t="inlineStr">
        <is>
          <t>ACTIVE</t>
        </is>
      </c>
      <c r="O314" s="108" t="n">
        <v>0.163753675859627</v>
      </c>
      <c r="P314" s="108" t="n">
        <v>0.19656074103621</v>
      </c>
      <c r="Q314" s="109" t="n">
        <v>36</v>
      </c>
      <c r="R314" s="110" t="n">
        <v>11326</v>
      </c>
      <c r="S314" s="110" t="n">
        <v>8714.319007373209</v>
      </c>
      <c r="T314" s="110" t="n">
        <v>7519.7073004778</v>
      </c>
      <c r="U314" s="110" t="n">
        <v>27560.026307851</v>
      </c>
      <c r="V314" s="104" t="n">
        <v>5520</v>
      </c>
      <c r="W314" s="104" t="n">
        <v>0</v>
      </c>
      <c r="X314" s="104">
        <f>$V314+W314</f>
        <v/>
      </c>
      <c r="Y314" s="111">
        <f>IFERROR(A314/R314,0)</f>
        <v/>
      </c>
      <c r="Z314" s="111">
        <f>IFERROR(B314/U314,0)</f>
        <v/>
      </c>
      <c r="AA314" s="111">
        <f>IFERROR(C314/R314,0)</f>
        <v/>
      </c>
      <c r="AB314" s="111">
        <f>IFERROR(D314/U314,0)</f>
        <v/>
      </c>
      <c r="AD314" s="111">
        <f>IF(U314&gt;0,IFERROR(E314/U314,0),1)</f>
        <v/>
      </c>
      <c r="AE314" s="111">
        <f>IF(R314&gt;0,IFERROR(F314/R314,0),1)</f>
        <v/>
      </c>
      <c r="AF314" s="111">
        <f>IF(AL314&gt;0,IFERROR(G314/AL314,0),1)</f>
        <v/>
      </c>
      <c r="AG314" s="111">
        <f>IF(AM314&gt;0,IFERROR(H314/AM314,0),1)</f>
        <v/>
      </c>
      <c r="AH314" s="104">
        <f>U314-(V314+AN314+AR314)</f>
        <v/>
      </c>
      <c r="AI314" s="104">
        <f>R314-(V314+AO314+AR314)</f>
        <v/>
      </c>
      <c r="AJ314" s="104">
        <f>(AL314-AP314)</f>
        <v/>
      </c>
      <c r="AK314" s="104">
        <f>(AM314-AQ314)</f>
        <v/>
      </c>
      <c r="AL314" s="110">
        <f>S314+AI314</f>
        <v/>
      </c>
      <c r="AM314" s="110">
        <f>T314+AJ314</f>
        <v/>
      </c>
      <c r="AN314" s="104" t="n">
        <v>43200</v>
      </c>
      <c r="AO314" s="104" t="n">
        <v>9600</v>
      </c>
      <c r="AP314" s="104" t="n">
        <v>16800</v>
      </c>
      <c r="AQ314" s="104" t="n">
        <v>16800</v>
      </c>
      <c r="AR314" s="104" t="n">
        <v>0</v>
      </c>
      <c r="AS314" s="104" t="n"/>
      <c r="AT314" s="104" t="n"/>
    </row>
    <row r="315" ht="12.65" customHeight="1" s="79">
      <c r="A315" s="104">
        <f>MIN(V315,R315)</f>
        <v/>
      </c>
      <c r="B315" s="104">
        <f>MIN(V315,U315)</f>
        <v/>
      </c>
      <c r="C315" s="104">
        <f>MIN(X315,R315)</f>
        <v/>
      </c>
      <c r="D315" s="104">
        <f>MIN(X315,U315)</f>
        <v/>
      </c>
      <c r="E315" s="104">
        <f>MIN((V315+AN315+AR315),U315)</f>
        <v/>
      </c>
      <c r="F315" s="104">
        <f>MAX(MIN((V315+AO315+AR315),R315),0)</f>
        <v/>
      </c>
      <c r="G315" s="104">
        <f>MAX(MIN(AP315,AL315),0)</f>
        <v/>
      </c>
      <c r="H315" s="104">
        <f>MAX(MIN(AQ315,AM315),0)</f>
        <v/>
      </c>
      <c r="I315" s="105" t="inlineStr">
        <is>
          <t>ROOP KISHOR</t>
        </is>
      </c>
      <c r="J315" s="106" t="inlineStr">
        <is>
          <t>HOUSEHOLD</t>
        </is>
      </c>
      <c r="K315" s="107" t="inlineStr">
        <is>
          <t>HH_KITCHEN AIDS</t>
        </is>
      </c>
      <c r="L315" s="107" t="inlineStr">
        <is>
          <t>HH_OTHER</t>
        </is>
      </c>
      <c r="M315" s="107" t="inlineStr">
        <is>
          <t>PLST-[HHUK47]</t>
        </is>
      </c>
      <c r="N315" s="107" t="inlineStr">
        <is>
          <t>ACTIVE</t>
        </is>
      </c>
      <c r="O315" s="108" t="n">
        <v>0.09605341211775791</v>
      </c>
      <c r="P315" s="108" t="n">
        <v>0.0830942436898493</v>
      </c>
      <c r="Q315" s="109" t="n">
        <v>36</v>
      </c>
      <c r="R315" s="110" t="n">
        <v>1881</v>
      </c>
      <c r="S315" s="110" t="n">
        <v>3029.13856017196</v>
      </c>
      <c r="T315" s="110" t="n">
        <v>3796.9547321338</v>
      </c>
      <c r="U315" s="110" t="n">
        <v>8707.093292305761</v>
      </c>
      <c r="V315" s="104" t="n">
        <v>2400</v>
      </c>
      <c r="W315" s="104" t="n">
        <v>0</v>
      </c>
      <c r="X315" s="104">
        <f>$V315+W315</f>
        <v/>
      </c>
      <c r="Y315" s="111">
        <f>IFERROR(A315/R315,0)</f>
        <v/>
      </c>
      <c r="Z315" s="111">
        <f>IFERROR(B315/U315,0)</f>
        <v/>
      </c>
      <c r="AA315" s="111">
        <f>IFERROR(C315/R315,0)</f>
        <v/>
      </c>
      <c r="AB315" s="111">
        <f>IFERROR(D315/U315,0)</f>
        <v/>
      </c>
      <c r="AD315" s="111">
        <f>IF(U315&gt;0,IFERROR(E315/U315,0),1)</f>
        <v/>
      </c>
      <c r="AE315" s="111">
        <f>IF(R315&gt;0,IFERROR(F315/R315,0),1)</f>
        <v/>
      </c>
      <c r="AF315" s="111">
        <f>IF(AL315&gt;0,IFERROR(G315/AL315,0),1)</f>
        <v/>
      </c>
      <c r="AG315" s="111">
        <f>IF(AM315&gt;0,IFERROR(H315/AM315,0),1)</f>
        <v/>
      </c>
      <c r="AH315" s="104">
        <f>U315-(V315+AN315+AR315)</f>
        <v/>
      </c>
      <c r="AI315" s="104">
        <f>R315-(V315+AO315+AR315)</f>
        <v/>
      </c>
      <c r="AJ315" s="104">
        <f>(AL315-AP315)</f>
        <v/>
      </c>
      <c r="AK315" s="104">
        <f>(AM315-AQ315)</f>
        <v/>
      </c>
      <c r="AL315" s="110">
        <f>S315+AI315</f>
        <v/>
      </c>
      <c r="AM315" s="110">
        <f>T315+AJ315</f>
        <v/>
      </c>
      <c r="AN315" s="104" t="n">
        <v>8400</v>
      </c>
      <c r="AO315" s="104" t="n">
        <v>3600</v>
      </c>
      <c r="AP315" s="104" t="n">
        <v>4800</v>
      </c>
      <c r="AQ315" s="104" t="n">
        <v>0</v>
      </c>
      <c r="AR315" s="104" t="n">
        <v>0</v>
      </c>
      <c r="AS315" s="104" t="n"/>
      <c r="AT315" s="104" t="n"/>
    </row>
    <row r="316" ht="12.65" customHeight="1" s="79">
      <c r="A316" s="104">
        <f>MIN(V316,R316)</f>
        <v/>
      </c>
      <c r="B316" s="104">
        <f>MIN(V316,U316)</f>
        <v/>
      </c>
      <c r="C316" s="104">
        <f>MIN(X316,R316)</f>
        <v/>
      </c>
      <c r="D316" s="104">
        <f>MIN(X316,U316)</f>
        <v/>
      </c>
      <c r="E316" s="104">
        <f>MIN((V316+AN316+AR316),U316)</f>
        <v/>
      </c>
      <c r="F316" s="104">
        <f>MAX(MIN((V316+AO316+AR316),R316),0)</f>
        <v/>
      </c>
      <c r="G316" s="104">
        <f>MAX(MIN(AP316,AL316),0)</f>
        <v/>
      </c>
      <c r="H316" s="104">
        <f>MAX(MIN(AQ316,AM316),0)</f>
        <v/>
      </c>
      <c r="I316" s="105" t="inlineStr">
        <is>
          <t>ROOP KISHOR</t>
        </is>
      </c>
      <c r="J316" s="106" t="inlineStr">
        <is>
          <t>HOUSEHOLD</t>
        </is>
      </c>
      <c r="K316" s="107" t="inlineStr">
        <is>
          <t>HH_KITCHEN AIDS</t>
        </is>
      </c>
      <c r="L316" s="107" t="inlineStr">
        <is>
          <t>HH_OTHER</t>
        </is>
      </c>
      <c r="M316" s="107" t="inlineStr">
        <is>
          <t>IMP-[HHUK47]</t>
        </is>
      </c>
      <c r="N316" s="107" t="inlineStr">
        <is>
          <t>ACTIVE</t>
        </is>
      </c>
      <c r="O316" s="108" t="n">
        <v>0.0922642147789918</v>
      </c>
      <c r="P316" s="108" t="n">
        <v>0.09202386212991601</v>
      </c>
      <c r="Q316" s="109" t="n">
        <v>36</v>
      </c>
      <c r="R316" s="110" t="n">
        <v>2870</v>
      </c>
      <c r="S316" s="110" t="n">
        <v>2169.38621142728</v>
      </c>
      <c r="T316" s="110" t="n">
        <v>1997.97713129485</v>
      </c>
      <c r="U316" s="110" t="n">
        <v>7037.36334272214</v>
      </c>
      <c r="V316" s="104" t="n">
        <v>4320</v>
      </c>
      <c r="W316" s="104" t="n">
        <v>1200</v>
      </c>
      <c r="X316" s="104">
        <f>$V316+W316</f>
        <v/>
      </c>
      <c r="Y316" s="111">
        <f>IFERROR(A316/R316,0)</f>
        <v/>
      </c>
      <c r="Z316" s="111">
        <f>IFERROR(B316/U316,0)</f>
        <v/>
      </c>
      <c r="AA316" s="111">
        <f>IFERROR(C316/R316,0)</f>
        <v/>
      </c>
      <c r="AB316" s="111">
        <f>IFERROR(D316/U316,0)</f>
        <v/>
      </c>
      <c r="AD316" s="111">
        <f>IF(U316&gt;0,IFERROR(E316/U316,0),1)</f>
        <v/>
      </c>
      <c r="AE316" s="111">
        <f>IF(R316&gt;0,IFERROR(F316/R316,0),1)</f>
        <v/>
      </c>
      <c r="AF316" s="111">
        <f>IF(AL316&gt;0,IFERROR(G316/AL316,0),1)</f>
        <v/>
      </c>
      <c r="AG316" s="111">
        <f>IF(AM316&gt;0,IFERROR(H316/AM316,0),1)</f>
        <v/>
      </c>
      <c r="AH316" s="104">
        <f>U316-(V316+AN316+AR316)</f>
        <v/>
      </c>
      <c r="AI316" s="104">
        <f>R316-(V316+AO316+AR316)</f>
        <v/>
      </c>
      <c r="AJ316" s="104">
        <f>(AL316-AP316)</f>
        <v/>
      </c>
      <c r="AK316" s="104">
        <f>(AM316-AQ316)</f>
        <v/>
      </c>
      <c r="AL316" s="110">
        <f>S316+AI316</f>
        <v/>
      </c>
      <c r="AM316" s="110">
        <f>T316+AJ316</f>
        <v/>
      </c>
      <c r="AN316" s="104" t="n">
        <v>6960</v>
      </c>
      <c r="AO316" s="104" t="n">
        <v>4560</v>
      </c>
      <c r="AP316" s="104" t="n">
        <v>2400</v>
      </c>
      <c r="AQ316" s="104" t="n">
        <v>0</v>
      </c>
      <c r="AR316" s="104" t="n">
        <v>0</v>
      </c>
      <c r="AS316" s="104" t="n"/>
      <c r="AT316" s="104" t="n"/>
    </row>
    <row r="317" ht="12.65" customHeight="1" s="79">
      <c r="A317" s="104">
        <f>MIN(V317,R317)</f>
        <v/>
      </c>
      <c r="B317" s="104">
        <f>MIN(V317,U317)</f>
        <v/>
      </c>
      <c r="C317" s="104">
        <f>MIN(X317,R317)</f>
        <v/>
      </c>
      <c r="D317" s="104">
        <f>MIN(X317,U317)</f>
        <v/>
      </c>
      <c r="E317" s="104">
        <f>MIN((V317+AN317+AR317),U317)</f>
        <v/>
      </c>
      <c r="F317" s="104">
        <f>MAX(MIN((V317+AO317+AR317),R317),0)</f>
        <v/>
      </c>
      <c r="G317" s="104">
        <f>MAX(MIN(AP317,AL317),0)</f>
        <v/>
      </c>
      <c r="H317" s="104">
        <f>MAX(MIN(AQ317,AM317),0)</f>
        <v/>
      </c>
      <c r="I317" s="105" t="inlineStr">
        <is>
          <t>ROOP KISHOR</t>
        </is>
      </c>
      <c r="J317" s="106" t="inlineStr">
        <is>
          <t>HOUSEHOLD</t>
        </is>
      </c>
      <c r="K317" s="107" t="inlineStr">
        <is>
          <t>HH_KITCHEN AIDS</t>
        </is>
      </c>
      <c r="L317" s="107" t="inlineStr">
        <is>
          <t>HH_OTHER</t>
        </is>
      </c>
      <c r="M317" s="107" t="inlineStr">
        <is>
          <t>GLASS-[HHUK47]</t>
        </is>
      </c>
      <c r="N317" s="107" t="inlineStr">
        <is>
          <t>ACTIVE</t>
        </is>
      </c>
      <c r="O317" s="108" t="n">
        <v>0.0712166172106825</v>
      </c>
      <c r="P317" s="108" t="n">
        <v>0.0676093456996604</v>
      </c>
      <c r="Q317" s="109" t="n">
        <v>36</v>
      </c>
      <c r="R317" s="110" t="n">
        <v>2954</v>
      </c>
      <c r="S317" s="110" t="n">
        <v>1708.86711619193</v>
      </c>
      <c r="T317" s="110" t="n">
        <v>1460.20103995422</v>
      </c>
      <c r="U317" s="110" t="n">
        <v>6123.06815614615</v>
      </c>
      <c r="V317" s="104" t="n">
        <v>0</v>
      </c>
      <c r="W317" s="104" t="n">
        <v>5556</v>
      </c>
      <c r="X317" s="104">
        <f>$V317+W317</f>
        <v/>
      </c>
      <c r="Y317" s="111">
        <f>IFERROR(A317/R317,0)</f>
        <v/>
      </c>
      <c r="Z317" s="111">
        <f>IFERROR(B317/U317,0)</f>
        <v/>
      </c>
      <c r="AA317" s="111">
        <f>IFERROR(C317/R317,0)</f>
        <v/>
      </c>
      <c r="AB317" s="111">
        <f>IFERROR(D317/U317,0)</f>
        <v/>
      </c>
      <c r="AD317" s="111">
        <f>IF(U317&gt;0,IFERROR(E317/U317,0),1)</f>
        <v/>
      </c>
      <c r="AE317" s="111">
        <f>IF(R317&gt;0,IFERROR(F317/R317,0),1)</f>
        <v/>
      </c>
      <c r="AF317" s="111">
        <f>IF(AL317&gt;0,IFERROR(G317/AL317,0),1)</f>
        <v/>
      </c>
      <c r="AG317" s="111">
        <f>IF(AM317&gt;0,IFERROR(H317/AM317,0),1)</f>
        <v/>
      </c>
      <c r="AH317" s="104">
        <f>U317-(V317+AN317+AR317)</f>
        <v/>
      </c>
      <c r="AI317" s="104">
        <f>R317-(V317+AO317+AR317)</f>
        <v/>
      </c>
      <c r="AJ317" s="104">
        <f>(AL317-AP317)</f>
        <v/>
      </c>
      <c r="AK317" s="104">
        <f>(AM317-AQ317)</f>
        <v/>
      </c>
      <c r="AL317" s="110">
        <f>S317+AI317</f>
        <v/>
      </c>
      <c r="AM317" s="110">
        <f>T317+AJ317</f>
        <v/>
      </c>
      <c r="AN317" s="104" t="n">
        <v>7356</v>
      </c>
      <c r="AO317" s="104" t="n">
        <v>3756</v>
      </c>
      <c r="AP317" s="104" t="n">
        <v>1800</v>
      </c>
      <c r="AQ317" s="104" t="n">
        <v>1800</v>
      </c>
      <c r="AR317" s="104" t="n">
        <v>0</v>
      </c>
      <c r="AS317" s="104" t="n"/>
      <c r="AT317" s="104" t="n"/>
    </row>
    <row r="318" ht="12.65" customHeight="1" s="79">
      <c r="A318" s="104">
        <f>MIN(V318,R318)</f>
        <v/>
      </c>
      <c r="B318" s="104">
        <f>MIN(V318,U318)</f>
        <v/>
      </c>
      <c r="C318" s="104">
        <f>MIN(X318,R318)</f>
        <v/>
      </c>
      <c r="D318" s="104">
        <f>MIN(X318,U318)</f>
        <v/>
      </c>
      <c r="E318" s="104">
        <f>MIN((V318+AN318+AR318),U318)</f>
        <v/>
      </c>
      <c r="F318" s="104">
        <f>MAX(MIN((V318+AO318+AR318),R318),0)</f>
        <v/>
      </c>
      <c r="G318" s="104">
        <f>MAX(MIN(AP318,AL318),0)</f>
        <v/>
      </c>
      <c r="H318" s="104">
        <f>MAX(MIN(AQ318,AM318),0)</f>
        <v/>
      </c>
      <c r="I318" s="105" t="inlineStr">
        <is>
          <t>ROOP KISHOR</t>
        </is>
      </c>
      <c r="J318" s="106" t="inlineStr">
        <is>
          <t>HOUSEHOLD</t>
        </is>
      </c>
      <c r="K318" s="107" t="inlineStr">
        <is>
          <t>HH_KITCHEN AIDS</t>
        </is>
      </c>
      <c r="L318" s="107" t="inlineStr">
        <is>
          <t>HH_OTHER</t>
        </is>
      </c>
      <c r="M318" s="107" t="inlineStr">
        <is>
          <t>SALT &amp; PEPPER-[HHUK47]</t>
        </is>
      </c>
      <c r="N318" s="107" t="inlineStr">
        <is>
          <t>ACTIVE</t>
        </is>
      </c>
      <c r="O318" s="108" t="n">
        <v>0.180037452070267</v>
      </c>
      <c r="P318" s="108" t="n">
        <v>0.161978092325201</v>
      </c>
      <c r="Q318" s="109" t="n">
        <v>36</v>
      </c>
      <c r="R318" s="110" t="n">
        <v>3031</v>
      </c>
      <c r="S318" s="110" t="n">
        <v>1538.47290874252</v>
      </c>
      <c r="T318" s="110" t="n">
        <v>1335.08171158391</v>
      </c>
      <c r="U318" s="110" t="n">
        <v>5904.55462032643</v>
      </c>
      <c r="V318" s="104" t="n">
        <v>3456</v>
      </c>
      <c r="W318" s="104" t="n">
        <v>3600</v>
      </c>
      <c r="X318" s="104">
        <f>$V318+W318</f>
        <v/>
      </c>
      <c r="Y318" s="111">
        <f>IFERROR(A318/R318,0)</f>
        <v/>
      </c>
      <c r="Z318" s="111">
        <f>IFERROR(B318/U318,0)</f>
        <v/>
      </c>
      <c r="AA318" s="111">
        <f>IFERROR(C318/R318,0)</f>
        <v/>
      </c>
      <c r="AB318" s="111">
        <f>IFERROR(D318/U318,0)</f>
        <v/>
      </c>
      <c r="AD318" s="111">
        <f>IF(U318&gt;0,IFERROR(E318/U318,0),1)</f>
        <v/>
      </c>
      <c r="AE318" s="111">
        <f>IF(R318&gt;0,IFERROR(F318/R318,0),1)</f>
        <v/>
      </c>
      <c r="AF318" s="111">
        <f>IF(AL318&gt;0,IFERROR(G318/AL318,0),1)</f>
        <v/>
      </c>
      <c r="AG318" s="111">
        <f>IF(AM318&gt;0,IFERROR(H318/AM318,0),1)</f>
        <v/>
      </c>
      <c r="AH318" s="104">
        <f>U318-(V318+AN318+AR318)</f>
        <v/>
      </c>
      <c r="AI318" s="104">
        <f>R318-(V318+AO318+AR318)</f>
        <v/>
      </c>
      <c r="AJ318" s="104">
        <f>(AL318-AP318)</f>
        <v/>
      </c>
      <c r="AK318" s="104">
        <f>(AM318-AQ318)</f>
        <v/>
      </c>
      <c r="AL318" s="110">
        <f>S318+AI318</f>
        <v/>
      </c>
      <c r="AM318" s="110">
        <f>T318+AJ318</f>
        <v/>
      </c>
      <c r="AN318" s="104" t="n">
        <v>45216</v>
      </c>
      <c r="AO318" s="104" t="n">
        <v>20016</v>
      </c>
      <c r="AP318" s="104" t="n">
        <v>14400</v>
      </c>
      <c r="AQ318" s="104" t="n">
        <v>10800</v>
      </c>
      <c r="AR318" s="104" t="n">
        <v>0</v>
      </c>
      <c r="AS318" s="104" t="n"/>
      <c r="AT318" s="104" t="n"/>
    </row>
    <row r="319" ht="12.65" customHeight="1" s="79">
      <c r="A319" s="104">
        <f>MIN(V319,R319)</f>
        <v/>
      </c>
      <c r="B319" s="104">
        <f>MIN(V319,U319)</f>
        <v/>
      </c>
      <c r="C319" s="104">
        <f>MIN(X319,R319)</f>
        <v/>
      </c>
      <c r="D319" s="104">
        <f>MIN(X319,U319)</f>
        <v/>
      </c>
      <c r="E319" s="104">
        <f>MIN((V319+AN319+AR319),U319)</f>
        <v/>
      </c>
      <c r="F319" s="104">
        <f>MAX(MIN((V319+AO319+AR319),R319),0)</f>
        <v/>
      </c>
      <c r="G319" s="104">
        <f>MAX(MIN(AP319,AL319),0)</f>
        <v/>
      </c>
      <c r="H319" s="104">
        <f>MAX(MIN(AQ319,AM319),0)</f>
        <v/>
      </c>
      <c r="I319" s="105" t="inlineStr">
        <is>
          <t>ROOP KISHOR</t>
        </is>
      </c>
      <c r="J319" s="106" t="inlineStr">
        <is>
          <t>HOUSEHOLD</t>
        </is>
      </c>
      <c r="K319" s="107" t="inlineStr">
        <is>
          <t>HH_KITCHEN AIDS</t>
        </is>
      </c>
      <c r="L319" s="107" t="inlineStr">
        <is>
          <t>HH_OTHER</t>
        </is>
      </c>
      <c r="M319" s="107" t="inlineStr">
        <is>
          <t>OIL DISPENCER-[HHUK47]</t>
        </is>
      </c>
      <c r="N319" s="107" t="inlineStr">
        <is>
          <t>ACTIVE</t>
        </is>
      </c>
      <c r="O319" s="108" t="n">
        <v>0.129404678245156</v>
      </c>
      <c r="P319" s="108" t="n">
        <v>0.130370697914364</v>
      </c>
      <c r="Q319" s="109" t="n">
        <v>36</v>
      </c>
      <c r="R319" s="110" t="n">
        <v>2427</v>
      </c>
      <c r="S319" s="110" t="n">
        <v>1654.47589468697</v>
      </c>
      <c r="T319" s="110" t="n">
        <v>1208.41376365724</v>
      </c>
      <c r="U319" s="110" t="n">
        <v>5289.8896583442</v>
      </c>
      <c r="V319" s="104" t="n">
        <v>3599</v>
      </c>
      <c r="W319" s="104" t="n">
        <v>672</v>
      </c>
      <c r="X319" s="104">
        <f>$V319+W319</f>
        <v/>
      </c>
      <c r="Y319" s="111">
        <f>IFERROR(A319/R319,0)</f>
        <v/>
      </c>
      <c r="Z319" s="111">
        <f>IFERROR(B319/U319,0)</f>
        <v/>
      </c>
      <c r="AA319" s="111">
        <f>IFERROR(C319/R319,0)</f>
        <v/>
      </c>
      <c r="AB319" s="111">
        <f>IFERROR(D319/U319,0)</f>
        <v/>
      </c>
      <c r="AD319" s="111">
        <f>IF(U319&gt;0,IFERROR(E319/U319,0),1)</f>
        <v/>
      </c>
      <c r="AE319" s="111">
        <f>IF(R319&gt;0,IFERROR(F319/R319,0),1)</f>
        <v/>
      </c>
      <c r="AF319" s="111">
        <f>IF(AL319&gt;0,IFERROR(G319/AL319,0),1)</f>
        <v/>
      </c>
      <c r="AG319" s="111">
        <f>IF(AM319&gt;0,IFERROR(H319/AM319,0),1)</f>
        <v/>
      </c>
      <c r="AH319" s="104">
        <f>U319-(V319+AN319+AR319)</f>
        <v/>
      </c>
      <c r="AI319" s="104">
        <f>R319-(V319+AO319+AR319)</f>
        <v/>
      </c>
      <c r="AJ319" s="104">
        <f>(AL319-AP319)</f>
        <v/>
      </c>
      <c r="AK319" s="104">
        <f>(AM319-AQ319)</f>
        <v/>
      </c>
      <c r="AL319" s="110">
        <f>S319+AI319</f>
        <v/>
      </c>
      <c r="AM319" s="110">
        <f>T319+AJ319</f>
        <v/>
      </c>
      <c r="AN319" s="104" t="n">
        <v>6672</v>
      </c>
      <c r="AO319" s="104" t="n">
        <v>3072</v>
      </c>
      <c r="AP319" s="104" t="n">
        <v>3600</v>
      </c>
      <c r="AQ319" s="104" t="n">
        <v>0</v>
      </c>
      <c r="AR319" s="104" t="n">
        <v>0</v>
      </c>
      <c r="AS319" s="104" t="n"/>
      <c r="AT319" s="104" t="n"/>
    </row>
    <row r="320" ht="12.65" customHeight="1" s="79">
      <c r="A320" s="104">
        <f>MIN(V320,R320)</f>
        <v/>
      </c>
      <c r="B320" s="104">
        <f>MIN(V320,U320)</f>
        <v/>
      </c>
      <c r="C320" s="104">
        <f>MIN(X320,R320)</f>
        <v/>
      </c>
      <c r="D320" s="104">
        <f>MIN(X320,U320)</f>
        <v/>
      </c>
      <c r="E320" s="104">
        <f>MIN((V320+AN320+AR320),U320)</f>
        <v/>
      </c>
      <c r="F320" s="104">
        <f>MAX(MIN((V320+AO320+AR320),R320),0)</f>
        <v/>
      </c>
      <c r="G320" s="104">
        <f>MAX(MIN(AP320,AL320),0)</f>
        <v/>
      </c>
      <c r="H320" s="104">
        <f>MAX(MIN(AQ320,AM320),0)</f>
        <v/>
      </c>
      <c r="I320" s="105" t="inlineStr">
        <is>
          <t>ROOP KISHOR</t>
        </is>
      </c>
      <c r="J320" s="106" t="inlineStr">
        <is>
          <t>HOUSEHOLD</t>
        </is>
      </c>
      <c r="K320" s="107" t="inlineStr">
        <is>
          <t>HH_KITCHEN AIDS</t>
        </is>
      </c>
      <c r="L320" s="107" t="inlineStr">
        <is>
          <t>HH_OTHER</t>
        </is>
      </c>
      <c r="M320" s="107" t="inlineStr">
        <is>
          <t>STL-[HHUK47]</t>
        </is>
      </c>
      <c r="N320" s="107" t="inlineStr">
        <is>
          <t>ACTIVE</t>
        </is>
      </c>
      <c r="O320" s="108" t="n">
        <v>0.08051024675867841</v>
      </c>
      <c r="P320" s="108" t="n">
        <v>0.0685422586400582</v>
      </c>
      <c r="Q320" s="109" t="n">
        <v>36</v>
      </c>
      <c r="R320" s="110" t="n">
        <v>0</v>
      </c>
      <c r="S320" s="110" t="n">
        <v>0</v>
      </c>
      <c r="T320" s="110" t="n">
        <v>0</v>
      </c>
      <c r="U320" s="110" t="n">
        <v>0</v>
      </c>
      <c r="V320" s="104" t="n">
        <v>2592</v>
      </c>
      <c r="W320" s="104" t="n">
        <v>2400</v>
      </c>
      <c r="X320" s="104">
        <f>$V320+W320</f>
        <v/>
      </c>
      <c r="Y320" s="111">
        <f>IFERROR(A320/R320,0)</f>
        <v/>
      </c>
      <c r="Z320" s="111">
        <f>IFERROR(B320/U320,0)</f>
        <v/>
      </c>
      <c r="AA320" s="111">
        <f>IFERROR(C320/R320,0)</f>
        <v/>
      </c>
      <c r="AB320" s="111">
        <f>IFERROR(D320/U320,0)</f>
        <v/>
      </c>
      <c r="AD320" s="111">
        <f>IF(U320&gt;0,IFERROR(E320/U320,0),1)</f>
        <v/>
      </c>
      <c r="AE320" s="111">
        <f>IF(R320&gt;0,IFERROR(F320/R320,0),1)</f>
        <v/>
      </c>
      <c r="AF320" s="111">
        <f>IF(AL320&gt;0,IFERROR(G320/AL320,0),1)</f>
        <v/>
      </c>
      <c r="AG320" s="111">
        <f>IF(AM320&gt;0,IFERROR(H320/AM320,0),1)</f>
        <v/>
      </c>
      <c r="AH320" s="104">
        <f>U320-(V320+AN320+AR320)</f>
        <v/>
      </c>
      <c r="AI320" s="104">
        <f>R320-(V320+AO320+AR320)</f>
        <v/>
      </c>
      <c r="AJ320" s="104">
        <f>(AL320-AP320)</f>
        <v/>
      </c>
      <c r="AK320" s="104">
        <f>(AM320-AQ320)</f>
        <v/>
      </c>
      <c r="AL320" s="110">
        <f>S320+AI320</f>
        <v/>
      </c>
      <c r="AM320" s="110">
        <f>T320+AJ320</f>
        <v/>
      </c>
      <c r="AN320" s="104" t="n">
        <v>6024</v>
      </c>
      <c r="AO320" s="104" t="n">
        <v>4824</v>
      </c>
      <c r="AP320" s="104" t="n">
        <v>1200</v>
      </c>
      <c r="AQ320" s="104" t="n">
        <v>0</v>
      </c>
      <c r="AR320" s="104" t="n">
        <v>0</v>
      </c>
      <c r="AS320" s="104" t="n"/>
      <c r="AT320" s="104" t="n"/>
    </row>
    <row r="321" ht="12.65" customHeight="1" s="79">
      <c r="A321" s="104">
        <f>MIN(V321,R321)</f>
        <v/>
      </c>
      <c r="B321" s="104">
        <f>MIN(V321,U321)</f>
        <v/>
      </c>
      <c r="C321" s="104">
        <f>MIN(X321,R321)</f>
        <v/>
      </c>
      <c r="D321" s="104">
        <f>MIN(X321,U321)</f>
        <v/>
      </c>
      <c r="E321" s="104">
        <f>MIN((V321+AN321+AR321),U321)</f>
        <v/>
      </c>
      <c r="F321" s="104">
        <f>MAX(MIN((V321+AO321+AR321),R321),0)</f>
        <v/>
      </c>
      <c r="G321" s="104">
        <f>MAX(MIN(AP321,AL321),0)</f>
        <v/>
      </c>
      <c r="H321" s="104">
        <f>MAX(MIN(AQ321,AM321),0)</f>
        <v/>
      </c>
      <c r="I321" s="105" t="inlineStr">
        <is>
          <t>ROOP KISHOR</t>
        </is>
      </c>
      <c r="J321" s="106" t="inlineStr">
        <is>
          <t>HOUSEHOLD</t>
        </is>
      </c>
      <c r="K321" s="107" t="inlineStr">
        <is>
          <t>HH_KITCHEN AIDS</t>
        </is>
      </c>
      <c r="L321" s="107" t="inlineStr">
        <is>
          <t>HH_OTHER</t>
        </is>
      </c>
      <c r="M321" s="107" t="inlineStr">
        <is>
          <t>BLENDER-[HHUK47]</t>
        </is>
      </c>
      <c r="N321" s="107" t="inlineStr">
        <is>
          <t>INACTIVE</t>
        </is>
      </c>
      <c r="O321" s="108" t="n">
        <v>0</v>
      </c>
      <c r="P321" s="108" t="n">
        <v>0</v>
      </c>
      <c r="Q321" s="109" t="n">
        <v>36</v>
      </c>
      <c r="R321" s="110" t="n">
        <v>0</v>
      </c>
      <c r="S321" s="110" t="n">
        <v>0</v>
      </c>
      <c r="T321" s="110" t="n">
        <v>0</v>
      </c>
      <c r="U321" s="110" t="n">
        <v>0</v>
      </c>
      <c r="V321" s="104" t="n">
        <v>3596</v>
      </c>
      <c r="W321" s="104" t="n">
        <v>0</v>
      </c>
      <c r="X321" s="104">
        <f>$V321+W321</f>
        <v/>
      </c>
      <c r="Y321" s="111">
        <f>IFERROR(A321/R321,0)</f>
        <v/>
      </c>
      <c r="Z321" s="111">
        <f>IFERROR(B321/U321,0)</f>
        <v/>
      </c>
      <c r="AA321" s="111">
        <f>IFERROR(C321/R321,0)</f>
        <v/>
      </c>
      <c r="AB321" s="111">
        <f>IFERROR(D321/U321,0)</f>
        <v/>
      </c>
      <c r="AD321" s="111">
        <f>IF(U321&gt;0,IFERROR(E321/U321,0),1)</f>
        <v/>
      </c>
      <c r="AE321" s="111">
        <f>IF(R321&gt;0,IFERROR(F321/R321,0),1)</f>
        <v/>
      </c>
      <c r="AF321" s="111">
        <f>IF(AL321&gt;0,IFERROR(G321/AL321,0),1)</f>
        <v/>
      </c>
      <c r="AG321" s="111">
        <f>IF(AM321&gt;0,IFERROR(H321/AM321,0),1)</f>
        <v/>
      </c>
      <c r="AH321" s="104">
        <f>U321-(V321+AN321+AR321)</f>
        <v/>
      </c>
      <c r="AI321" s="104">
        <f>R321-(V321+AO321+AR321)</f>
        <v/>
      </c>
      <c r="AJ321" s="104">
        <f>(AL321-AP321)</f>
        <v/>
      </c>
      <c r="AK321" s="104">
        <f>(AM321-AQ321)</f>
        <v/>
      </c>
      <c r="AL321" s="110">
        <f>S321+AI321</f>
        <v/>
      </c>
      <c r="AM321" s="110">
        <f>T321+AJ321</f>
        <v/>
      </c>
      <c r="AN321" s="104" t="n">
        <v>4</v>
      </c>
      <c r="AO321" s="104" t="n">
        <v>4</v>
      </c>
      <c r="AP321" s="104" t="n">
        <v>0</v>
      </c>
      <c r="AQ321" s="104" t="n">
        <v>0</v>
      </c>
      <c r="AR321" s="104" t="n">
        <v>0</v>
      </c>
      <c r="AS321" s="104" t="n"/>
      <c r="AT321" s="104" t="n"/>
    </row>
    <row r="322" ht="12.65" customHeight="1" s="79">
      <c r="A322" s="104">
        <f>MIN(V322,R322)</f>
        <v/>
      </c>
      <c r="B322" s="104">
        <f>MIN(V322,U322)</f>
        <v/>
      </c>
      <c r="C322" s="104">
        <f>MIN(X322,R322)</f>
        <v/>
      </c>
      <c r="D322" s="104">
        <f>MIN(X322,U322)</f>
        <v/>
      </c>
      <c r="E322" s="104">
        <f>MIN((V322+AN322+AR322),U322)</f>
        <v/>
      </c>
      <c r="F322" s="104">
        <f>MAX(MIN((V322+AO322+AR322),R322),0)</f>
        <v/>
      </c>
      <c r="G322" s="104">
        <f>MAX(MIN(AP322,AL322),0)</f>
        <v/>
      </c>
      <c r="H322" s="104">
        <f>MAX(MIN(AQ322,AM322),0)</f>
        <v/>
      </c>
      <c r="I322" s="105" t="inlineStr">
        <is>
          <t>ROOP KISHOR</t>
        </is>
      </c>
      <c r="J322" s="106" t="inlineStr">
        <is>
          <t>HOUSEHOLD</t>
        </is>
      </c>
      <c r="K322" s="107" t="inlineStr">
        <is>
          <t>HH_KITCHEN AIDS</t>
        </is>
      </c>
      <c r="L322" s="107" t="inlineStr">
        <is>
          <t>HH_OTHER</t>
        </is>
      </c>
      <c r="M322" s="107" t="inlineStr">
        <is>
          <t>PLATE STAND-[HHUK47]</t>
        </is>
      </c>
      <c r="N322" s="107" t="inlineStr">
        <is>
          <t>INACTIVE</t>
        </is>
      </c>
      <c r="O322" s="108" t="n">
        <v>0</v>
      </c>
      <c r="P322" s="108" t="n">
        <v>0</v>
      </c>
      <c r="Q322" s="109" t="n">
        <v>36</v>
      </c>
      <c r="R322" s="110" t="n">
        <v>0</v>
      </c>
      <c r="S322" s="110" t="n">
        <v>0</v>
      </c>
      <c r="T322" s="110" t="n">
        <v>0</v>
      </c>
      <c r="U322" s="110" t="n">
        <v>0</v>
      </c>
      <c r="V322" s="104" t="n">
        <v>1200</v>
      </c>
      <c r="W322" s="104" t="n">
        <v>0</v>
      </c>
      <c r="X322" s="104">
        <f>$V322+W322</f>
        <v/>
      </c>
      <c r="Y322" s="111">
        <f>IFERROR(A322/R322,0)</f>
        <v/>
      </c>
      <c r="Z322" s="111">
        <f>IFERROR(B322/U322,0)</f>
        <v/>
      </c>
      <c r="AA322" s="111">
        <f>IFERROR(C322/R322,0)</f>
        <v/>
      </c>
      <c r="AB322" s="111">
        <f>IFERROR(D322/U322,0)</f>
        <v/>
      </c>
      <c r="AD322" s="111">
        <f>IF(U322&gt;0,IFERROR(E322/U322,0),1)</f>
        <v/>
      </c>
      <c r="AE322" s="111">
        <f>IF(R322&gt;0,IFERROR(F322/R322,0),1)</f>
        <v/>
      </c>
      <c r="AF322" s="111">
        <f>IF(AL322&gt;0,IFERROR(G322/AL322,0),1)</f>
        <v/>
      </c>
      <c r="AG322" s="111">
        <f>IF(AM322&gt;0,IFERROR(H322/AM322,0),1)</f>
        <v/>
      </c>
      <c r="AH322" s="104">
        <f>U322-(V322+AN322+AR322)</f>
        <v/>
      </c>
      <c r="AI322" s="104">
        <f>R322-(V322+AO322+AR322)</f>
        <v/>
      </c>
      <c r="AJ322" s="104">
        <f>(AL322-AP322)</f>
        <v/>
      </c>
      <c r="AK322" s="104">
        <f>(AM322-AQ322)</f>
        <v/>
      </c>
      <c r="AL322" s="110">
        <f>S322+AI322</f>
        <v/>
      </c>
      <c r="AM322" s="110">
        <f>T322+AJ322</f>
        <v/>
      </c>
      <c r="AN322" s="104" t="n">
        <v>0</v>
      </c>
      <c r="AO322" s="104" t="n">
        <v>0</v>
      </c>
      <c r="AP322" s="104" t="n">
        <v>0</v>
      </c>
      <c r="AQ322" s="104" t="n">
        <v>0</v>
      </c>
      <c r="AR322" s="104" t="n">
        <v>0</v>
      </c>
      <c r="AS322" s="104" t="n"/>
      <c r="AT322" s="104" t="n"/>
    </row>
    <row r="323" ht="12.65" customHeight="1" s="79">
      <c r="A323" s="104">
        <f>MIN(V323,R323)</f>
        <v/>
      </c>
      <c r="B323" s="104">
        <f>MIN(V323,U323)</f>
        <v/>
      </c>
      <c r="C323" s="104">
        <f>MIN(X323,R323)</f>
        <v/>
      </c>
      <c r="D323" s="104">
        <f>MIN(X323,U323)</f>
        <v/>
      </c>
      <c r="E323" s="104">
        <f>MIN((V323+AN323+AR323),U323)</f>
        <v/>
      </c>
      <c r="F323" s="104">
        <f>MAX(MIN((V323+AO323+AR323),R323),0)</f>
        <v/>
      </c>
      <c r="G323" s="104">
        <f>MAX(MIN(AP323,AL323),0)</f>
        <v/>
      </c>
      <c r="H323" s="104">
        <f>MAX(MIN(AQ323,AM323),0)</f>
        <v/>
      </c>
      <c r="I323" s="105" t="inlineStr">
        <is>
          <t>ROOP KISHOR</t>
        </is>
      </c>
      <c r="J323" s="106" t="inlineStr">
        <is>
          <t>HOUSEHOLD</t>
        </is>
      </c>
      <c r="K323" s="107" t="inlineStr">
        <is>
          <t>HH_KITCHEN AIDS</t>
        </is>
      </c>
      <c r="L323" s="107" t="inlineStr">
        <is>
          <t>HH_OTHER</t>
        </is>
      </c>
      <c r="M323" s="107" t="inlineStr">
        <is>
          <t>TRIVET-[HHUK47]</t>
        </is>
      </c>
      <c r="N323" s="107" t="inlineStr">
        <is>
          <t>INACTIVE</t>
        </is>
      </c>
      <c r="O323" s="108" t="n">
        <v>0</v>
      </c>
      <c r="P323" s="108" t="n">
        <v>0</v>
      </c>
      <c r="Q323" s="109" t="n">
        <v>36</v>
      </c>
      <c r="R323" s="110" t="n">
        <v>0</v>
      </c>
      <c r="S323" s="110" t="n">
        <v>0</v>
      </c>
      <c r="T323" s="110" t="n">
        <v>0</v>
      </c>
      <c r="U323" s="110" t="n">
        <v>0</v>
      </c>
      <c r="V323" s="104" t="n">
        <v>3598</v>
      </c>
      <c r="W323" s="104" t="n">
        <v>0</v>
      </c>
      <c r="X323" s="104">
        <f>$V323+W323</f>
        <v/>
      </c>
      <c r="Y323" s="111">
        <f>IFERROR(A323/R323,0)</f>
        <v/>
      </c>
      <c r="Z323" s="111">
        <f>IFERROR(B323/U323,0)</f>
        <v/>
      </c>
      <c r="AA323" s="111">
        <f>IFERROR(C323/R323,0)</f>
        <v/>
      </c>
      <c r="AB323" s="111">
        <f>IFERROR(D323/U323,0)</f>
        <v/>
      </c>
      <c r="AD323" s="111">
        <f>IF(U323&gt;0,IFERROR(E323/U323,0),1)</f>
        <v/>
      </c>
      <c r="AE323" s="111">
        <f>IF(R323&gt;0,IFERROR(F323/R323,0),1)</f>
        <v/>
      </c>
      <c r="AF323" s="111">
        <f>IF(AL323&gt;0,IFERROR(G323/AL323,0),1)</f>
        <v/>
      </c>
      <c r="AG323" s="111">
        <f>IF(AM323&gt;0,IFERROR(H323/AM323,0),1)</f>
        <v/>
      </c>
      <c r="AH323" s="104">
        <f>U323-(V323+AN323+AR323)</f>
        <v/>
      </c>
      <c r="AI323" s="104">
        <f>R323-(V323+AO323+AR323)</f>
        <v/>
      </c>
      <c r="AJ323" s="104">
        <f>(AL323-AP323)</f>
        <v/>
      </c>
      <c r="AK323" s="104">
        <f>(AM323-AQ323)</f>
        <v/>
      </c>
      <c r="AL323" s="110">
        <f>S323+AI323</f>
        <v/>
      </c>
      <c r="AM323" s="110">
        <f>T323+AJ323</f>
        <v/>
      </c>
      <c r="AN323" s="104" t="n">
        <v>0</v>
      </c>
      <c r="AO323" s="104" t="n">
        <v>0</v>
      </c>
      <c r="AP323" s="104" t="n">
        <v>0</v>
      </c>
      <c r="AQ323" s="104" t="n">
        <v>0</v>
      </c>
      <c r="AR323" s="104" t="n">
        <v>0</v>
      </c>
      <c r="AS323" s="104" t="n"/>
      <c r="AT323" s="104" t="n"/>
    </row>
    <row r="324" ht="12.65" customHeight="1" s="79">
      <c r="A324" s="104">
        <f>MIN(V324,R324)</f>
        <v/>
      </c>
      <c r="B324" s="104">
        <f>MIN(V324,U324)</f>
        <v/>
      </c>
      <c r="C324" s="104">
        <f>MIN(X324,R324)</f>
        <v/>
      </c>
      <c r="D324" s="104">
        <f>MIN(X324,U324)</f>
        <v/>
      </c>
      <c r="E324" s="104">
        <f>MIN((V324+AN324+AR324),U324)</f>
        <v/>
      </c>
      <c r="F324" s="104">
        <f>MAX(MIN((V324+AO324+AR324),R324),0)</f>
        <v/>
      </c>
      <c r="G324" s="104">
        <f>MAX(MIN(AP324,AL324),0)</f>
        <v/>
      </c>
      <c r="H324" s="104">
        <f>MAX(MIN(AQ324,AM324),0)</f>
        <v/>
      </c>
      <c r="I324" s="105" t="inlineStr">
        <is>
          <t>ROOP KISHOR</t>
        </is>
      </c>
      <c r="J324" s="106" t="inlineStr">
        <is>
          <t>HOUSEHOLD</t>
        </is>
      </c>
      <c r="K324" s="107" t="inlineStr">
        <is>
          <t>HH_KITCHEN AIDS</t>
        </is>
      </c>
      <c r="L324" s="107" t="inlineStr">
        <is>
          <t>HH_U_S_FORK</t>
        </is>
      </c>
      <c r="M324" s="107" t="inlineStr">
        <is>
          <t>6PCST-[HHUK37]</t>
        </is>
      </c>
      <c r="N324" s="107" t="inlineStr">
        <is>
          <t>ACTIVE</t>
        </is>
      </c>
      <c r="O324" s="108" t="n">
        <v>0.113210984106744</v>
      </c>
      <c r="P324" s="108" t="n">
        <v>0.101220674599514</v>
      </c>
      <c r="Q324" s="109" t="n">
        <v>134</v>
      </c>
      <c r="R324" s="110" t="n">
        <v>3587</v>
      </c>
      <c r="S324" s="110" t="n">
        <v>4223.02546707638</v>
      </c>
      <c r="T324" s="110" t="n">
        <v>2885.84995629857</v>
      </c>
      <c r="U324" s="110" t="n">
        <v>10695.875423375</v>
      </c>
      <c r="V324" s="104" t="n">
        <v>4547</v>
      </c>
      <c r="W324" s="104" t="n">
        <v>6400</v>
      </c>
      <c r="X324" s="104">
        <f>$V324+W324</f>
        <v/>
      </c>
      <c r="Y324" s="111">
        <f>IFERROR(A324/R324,0)</f>
        <v/>
      </c>
      <c r="Z324" s="111">
        <f>IFERROR(B324/U324,0)</f>
        <v/>
      </c>
      <c r="AA324" s="111">
        <f>IFERROR(C324/R324,0)</f>
        <v/>
      </c>
      <c r="AB324" s="111">
        <f>IFERROR(D324/U324,0)</f>
        <v/>
      </c>
      <c r="AD324" s="111">
        <f>IF(U324&gt;0,IFERROR(E324/U324,0),1)</f>
        <v/>
      </c>
      <c r="AE324" s="111">
        <f>IF(R324&gt;0,IFERROR(F324/R324,0),1)</f>
        <v/>
      </c>
      <c r="AF324" s="111">
        <f>IF(AL324&gt;0,IFERROR(G324/AL324,0),1)</f>
        <v/>
      </c>
      <c r="AG324" s="111">
        <f>IF(AM324&gt;0,IFERROR(H324/AM324,0),1)</f>
        <v/>
      </c>
      <c r="AH324" s="104">
        <f>U324-(V324+AN324+AR324)</f>
        <v/>
      </c>
      <c r="AI324" s="104">
        <f>R324-(V324+AO324+AR324)</f>
        <v/>
      </c>
      <c r="AJ324" s="104">
        <f>(AL324-AP324)</f>
        <v/>
      </c>
      <c r="AK324" s="104">
        <f>(AM324-AQ324)</f>
        <v/>
      </c>
      <c r="AL324" s="110">
        <f>S324+AI324</f>
        <v/>
      </c>
      <c r="AM324" s="110">
        <f>T324+AJ324</f>
        <v/>
      </c>
      <c r="AN324" s="104" t="n">
        <v>6413</v>
      </c>
      <c r="AO324" s="104" t="n">
        <v>6413</v>
      </c>
      <c r="AP324" s="104" t="n">
        <v>0</v>
      </c>
      <c r="AQ324" s="104" t="n">
        <v>0</v>
      </c>
      <c r="AR324" s="104" t="n">
        <v>0</v>
      </c>
      <c r="AS324" s="104" t="n"/>
      <c r="AT324" s="104" t="n"/>
    </row>
    <row r="325" ht="12.65" customHeight="1" s="79">
      <c r="A325" s="104">
        <f>MIN(V325,R325)</f>
        <v/>
      </c>
      <c r="B325" s="104">
        <f>MIN(V325,U325)</f>
        <v/>
      </c>
      <c r="C325" s="104">
        <f>MIN(X325,R325)</f>
        <v/>
      </c>
      <c r="D325" s="104">
        <f>MIN(X325,U325)</f>
        <v/>
      </c>
      <c r="E325" s="104">
        <f>MIN((V325+AN325+AR325),U325)</f>
        <v/>
      </c>
      <c r="F325" s="104">
        <f>MAX(MIN((V325+AO325+AR325),R325),0)</f>
        <v/>
      </c>
      <c r="G325" s="104">
        <f>MAX(MIN(AP325,AL325),0)</f>
        <v/>
      </c>
      <c r="H325" s="104">
        <f>MAX(MIN(AQ325,AM325),0)</f>
        <v/>
      </c>
      <c r="I325" s="105" t="inlineStr">
        <is>
          <t>ROOP KISHOR</t>
        </is>
      </c>
      <c r="J325" s="106" t="inlineStr">
        <is>
          <t>HOUSEHOLD</t>
        </is>
      </c>
      <c r="K325" s="107" t="inlineStr">
        <is>
          <t>HH_KITCHEN AIDS</t>
        </is>
      </c>
      <c r="L325" s="107" t="inlineStr">
        <is>
          <t>HH_U_S_FORK</t>
        </is>
      </c>
      <c r="M325" s="107" t="inlineStr">
        <is>
          <t>FORK BABY-[HHUK37]</t>
        </is>
      </c>
      <c r="N325" s="107" t="inlineStr">
        <is>
          <t>ACTIVE</t>
        </is>
      </c>
      <c r="O325" s="108" t="n">
        <v>0.09063128266988341</v>
      </c>
      <c r="P325" s="108" t="n">
        <v>0.0811350919264588</v>
      </c>
      <c r="Q325" s="109" t="n">
        <v>134</v>
      </c>
      <c r="R325" s="110" t="n">
        <v>2374</v>
      </c>
      <c r="S325" s="110" t="n">
        <v>1913.34038716428</v>
      </c>
      <c r="T325" s="110" t="n">
        <v>1174.28027763502</v>
      </c>
      <c r="U325" s="110" t="n">
        <v>5461.6206647993</v>
      </c>
      <c r="V325" s="104" t="n">
        <v>0</v>
      </c>
      <c r="W325" s="104" t="n">
        <v>0</v>
      </c>
      <c r="X325" s="104">
        <f>$V325+W325</f>
        <v/>
      </c>
      <c r="Y325" s="111">
        <f>IFERROR(A325/R325,0)</f>
        <v/>
      </c>
      <c r="Z325" s="111">
        <f>IFERROR(B325/U325,0)</f>
        <v/>
      </c>
      <c r="AA325" s="111">
        <f>IFERROR(C325/R325,0)</f>
        <v/>
      </c>
      <c r="AB325" s="111">
        <f>IFERROR(D325/U325,0)</f>
        <v/>
      </c>
      <c r="AD325" s="111">
        <f>IF(U325&gt;0,IFERROR(E325/U325,0),1)</f>
        <v/>
      </c>
      <c r="AE325" s="111">
        <f>IF(R325&gt;0,IFERROR(F325/R325,0),1)</f>
        <v/>
      </c>
      <c r="AF325" s="111">
        <f>IF(AL325&gt;0,IFERROR(G325/AL325,0),1)</f>
        <v/>
      </c>
      <c r="AG325" s="111">
        <f>IF(AM325&gt;0,IFERROR(H325/AM325,0),1)</f>
        <v/>
      </c>
      <c r="AH325" s="104">
        <f>U325-(V325+AN325+AR325)</f>
        <v/>
      </c>
      <c r="AI325" s="104">
        <f>R325-(V325+AO325+AR325)</f>
        <v/>
      </c>
      <c r="AJ325" s="104">
        <f>(AL325-AP325)</f>
        <v/>
      </c>
      <c r="AK325" s="104">
        <f>(AM325-AQ325)</f>
        <v/>
      </c>
      <c r="AL325" s="110">
        <f>S325+AI325</f>
        <v/>
      </c>
      <c r="AM325" s="110">
        <f>T325+AJ325</f>
        <v/>
      </c>
      <c r="AN325" s="104" t="n">
        <v>0</v>
      </c>
      <c r="AO325" s="104" t="n">
        <v>0</v>
      </c>
      <c r="AP325" s="104" t="n">
        <v>0</v>
      </c>
      <c r="AQ325" s="104" t="n">
        <v>0</v>
      </c>
      <c r="AR325" s="104" t="n">
        <v>0</v>
      </c>
      <c r="AS325" s="104" t="n"/>
      <c r="AT325" s="104" t="n"/>
    </row>
    <row r="326" ht="12.65" customHeight="1" s="79">
      <c r="A326" s="104">
        <f>MIN(V326,R326)</f>
        <v/>
      </c>
      <c r="B326" s="104">
        <f>MIN(V326,U326)</f>
        <v/>
      </c>
      <c r="C326" s="104">
        <f>MIN(X326,R326)</f>
        <v/>
      </c>
      <c r="D326" s="104">
        <f>MIN(X326,U326)</f>
        <v/>
      </c>
      <c r="E326" s="104">
        <f>MIN((V326+AN326+AR326),U326)</f>
        <v/>
      </c>
      <c r="F326" s="104">
        <f>MAX(MIN((V326+AO326+AR326),R326),0)</f>
        <v/>
      </c>
      <c r="G326" s="104">
        <f>MAX(MIN(AP326,AL326),0)</f>
        <v/>
      </c>
      <c r="H326" s="104">
        <f>MAX(MIN(AQ326,AM326),0)</f>
        <v/>
      </c>
      <c r="I326" s="105" t="inlineStr">
        <is>
          <t>ROOP KISHOR</t>
        </is>
      </c>
      <c r="J326" s="106" t="inlineStr">
        <is>
          <t>HOUSEHOLD</t>
        </is>
      </c>
      <c r="K326" s="107" t="inlineStr">
        <is>
          <t>HH_KITCHEN AIDS</t>
        </is>
      </c>
      <c r="L326" s="107" t="inlineStr">
        <is>
          <t>HH_U_S_ROASTER</t>
        </is>
      </c>
      <c r="M326" s="107" t="inlineStr">
        <is>
          <t>WDN HNDL-[HHUK41]</t>
        </is>
      </c>
      <c r="N326" s="107" t="inlineStr">
        <is>
          <t>ACTIVE</t>
        </is>
      </c>
      <c r="O326" s="108" t="n">
        <v>0.100112880973285</v>
      </c>
      <c r="P326" s="108" t="n">
        <v>0.117379343137588</v>
      </c>
      <c r="Q326" s="109" t="n">
        <v>141</v>
      </c>
      <c r="R326" s="110" t="n">
        <v>6015</v>
      </c>
      <c r="S326" s="110" t="n">
        <v>4369.00928273586</v>
      </c>
      <c r="T326" s="110" t="n">
        <v>3207.20231486277</v>
      </c>
      <c r="U326" s="110" t="n">
        <v>13591.2115975986</v>
      </c>
      <c r="V326" s="104" t="n">
        <v>4200</v>
      </c>
      <c r="W326" s="104" t="n">
        <v>0</v>
      </c>
      <c r="X326" s="104">
        <f>$V326+W326</f>
        <v/>
      </c>
      <c r="Y326" s="111">
        <f>IFERROR(A326/R326,0)</f>
        <v/>
      </c>
      <c r="Z326" s="111">
        <f>IFERROR(B326/U326,0)</f>
        <v/>
      </c>
      <c r="AA326" s="111">
        <f>IFERROR(C326/R326,0)</f>
        <v/>
      </c>
      <c r="AB326" s="111">
        <f>IFERROR(D326/U326,0)</f>
        <v/>
      </c>
      <c r="AD326" s="111">
        <f>IF(U326&gt;0,IFERROR(E326/U326,0),1)</f>
        <v/>
      </c>
      <c r="AE326" s="111">
        <f>IF(R326&gt;0,IFERROR(F326/R326,0),1)</f>
        <v/>
      </c>
      <c r="AF326" s="111">
        <f>IF(AL326&gt;0,IFERROR(G326/AL326,0),1)</f>
        <v/>
      </c>
      <c r="AG326" s="111">
        <f>IF(AM326&gt;0,IFERROR(H326/AM326,0),1)</f>
        <v/>
      </c>
      <c r="AH326" s="104">
        <f>U326-(V326+AN326+AR326)</f>
        <v/>
      </c>
      <c r="AI326" s="104">
        <f>R326-(V326+AO326+AR326)</f>
        <v/>
      </c>
      <c r="AJ326" s="104">
        <f>(AL326-AP326)</f>
        <v/>
      </c>
      <c r="AK326" s="104">
        <f>(AM326-AQ326)</f>
        <v/>
      </c>
      <c r="AL326" s="110">
        <f>S326+AI326</f>
        <v/>
      </c>
      <c r="AM326" s="110">
        <f>T326+AJ326</f>
        <v/>
      </c>
      <c r="AN326" s="104" t="n">
        <v>9600</v>
      </c>
      <c r="AO326" s="104" t="n">
        <v>0</v>
      </c>
      <c r="AP326" s="104" t="n">
        <v>4800</v>
      </c>
      <c r="AQ326" s="104" t="n">
        <v>4800</v>
      </c>
      <c r="AR326" s="104" t="n">
        <v>0</v>
      </c>
      <c r="AS326" s="104" t="n"/>
      <c r="AT326" s="104" t="n"/>
    </row>
    <row r="327" ht="12.65" customHeight="1" s="79">
      <c r="A327" s="104">
        <f>MIN(V327,R327)</f>
        <v/>
      </c>
      <c r="B327" s="104">
        <f>MIN(V327,U327)</f>
        <v/>
      </c>
      <c r="C327" s="104">
        <f>MIN(X327,R327)</f>
        <v/>
      </c>
      <c r="D327" s="104">
        <f>MIN(X327,U327)</f>
        <v/>
      </c>
      <c r="E327" s="104">
        <f>MIN((V327+AN327+AR327),U327)</f>
        <v/>
      </c>
      <c r="F327" s="104">
        <f>MAX(MIN((V327+AO327+AR327),R327),0)</f>
        <v/>
      </c>
      <c r="G327" s="104">
        <f>MAX(MIN(AP327,AL327),0)</f>
        <v/>
      </c>
      <c r="H327" s="104">
        <f>MAX(MIN(AQ327,AM327),0)</f>
        <v/>
      </c>
      <c r="I327" s="105" t="inlineStr">
        <is>
          <t>ROOP KISHOR</t>
        </is>
      </c>
      <c r="J327" s="106" t="inlineStr">
        <is>
          <t>HOUSEHOLD</t>
        </is>
      </c>
      <c r="K327" s="107" t="inlineStr">
        <is>
          <t>HH_KITCHEN AIDS</t>
        </is>
      </c>
      <c r="L327" s="107" t="inlineStr">
        <is>
          <t>HH_U_S_ROASTER</t>
        </is>
      </c>
      <c r="M327" s="107" t="inlineStr">
        <is>
          <t>STL-[HHUK41]</t>
        </is>
      </c>
      <c r="N327" s="107" t="inlineStr">
        <is>
          <t>ACTIVE</t>
        </is>
      </c>
      <c r="O327" s="108" t="n">
        <v>0.0532442230387926</v>
      </c>
      <c r="P327" s="108" t="n">
        <v>0.0633880711307751</v>
      </c>
      <c r="Q327" s="109" t="n">
        <v>141</v>
      </c>
      <c r="R327" s="110" t="n">
        <v>1081</v>
      </c>
      <c r="S327" s="110" t="n">
        <v>555.356577146501</v>
      </c>
      <c r="T327" s="110" t="n">
        <v>396.130166077821</v>
      </c>
      <c r="U327" s="110" t="n">
        <v>2032.48674322432</v>
      </c>
      <c r="V327" s="104" t="n">
        <v>0</v>
      </c>
      <c r="W327" s="104" t="n">
        <v>0</v>
      </c>
      <c r="X327" s="104">
        <f>$V327+W327</f>
        <v/>
      </c>
      <c r="Y327" s="111">
        <f>IFERROR(A327/R327,0)</f>
        <v/>
      </c>
      <c r="Z327" s="111">
        <f>IFERROR(B327/U327,0)</f>
        <v/>
      </c>
      <c r="AA327" s="111">
        <f>IFERROR(C327/R327,0)</f>
        <v/>
      </c>
      <c r="AB327" s="111">
        <f>IFERROR(D327/U327,0)</f>
        <v/>
      </c>
      <c r="AD327" s="111">
        <f>IF(U327&gt;0,IFERROR(E327/U327,0),1)</f>
        <v/>
      </c>
      <c r="AE327" s="111">
        <f>IF(R327&gt;0,IFERROR(F327/R327,0),1)</f>
        <v/>
      </c>
      <c r="AF327" s="111">
        <f>IF(AL327&gt;0,IFERROR(G327/AL327,0),1)</f>
        <v/>
      </c>
      <c r="AG327" s="111">
        <f>IF(AM327&gt;0,IFERROR(H327/AM327,0),1)</f>
        <v/>
      </c>
      <c r="AH327" s="104">
        <f>U327-(V327+AN327+AR327)</f>
        <v/>
      </c>
      <c r="AI327" s="104">
        <f>R327-(V327+AO327+AR327)</f>
        <v/>
      </c>
      <c r="AJ327" s="104">
        <f>(AL327-AP327)</f>
        <v/>
      </c>
      <c r="AK327" s="104">
        <f>(AM327-AQ327)</f>
        <v/>
      </c>
      <c r="AL327" s="110">
        <f>S327+AI327</f>
        <v/>
      </c>
      <c r="AM327" s="110">
        <f>T327+AJ327</f>
        <v/>
      </c>
      <c r="AN327" s="104" t="n">
        <v>0</v>
      </c>
      <c r="AO327" s="104" t="n">
        <v>0</v>
      </c>
      <c r="AP327" s="104" t="n">
        <v>0</v>
      </c>
      <c r="AQ327" s="104" t="n">
        <v>0</v>
      </c>
      <c r="AR327" s="104" t="n">
        <v>0</v>
      </c>
      <c r="AS327" s="104" t="n"/>
      <c r="AT327" s="104" t="n"/>
    </row>
    <row r="328" ht="12.65" customHeight="1" s="79">
      <c r="A328" s="104">
        <f>MIN(V328,R328)</f>
        <v/>
      </c>
      <c r="B328" s="104">
        <f>MIN(V328,U328)</f>
        <v/>
      </c>
      <c r="C328" s="104">
        <f>MIN(X328,R328)</f>
        <v/>
      </c>
      <c r="D328" s="104">
        <f>MIN(X328,U328)</f>
        <v/>
      </c>
      <c r="E328" s="104">
        <f>MIN((V328+AN328+AR328),U328)</f>
        <v/>
      </c>
      <c r="F328" s="104">
        <f>MAX(MIN((V328+AO328+AR328),R328),0)</f>
        <v/>
      </c>
      <c r="G328" s="104">
        <f>MAX(MIN(AP328,AL328),0)</f>
        <v/>
      </c>
      <c r="H328" s="104">
        <f>MAX(MIN(AQ328,AM328),0)</f>
        <v/>
      </c>
      <c r="I328" s="105" t="inlineStr">
        <is>
          <t>ROOP KISHOR</t>
        </is>
      </c>
      <c r="J328" s="106" t="inlineStr">
        <is>
          <t>HOUSEHOLD</t>
        </is>
      </c>
      <c r="K328" s="107" t="inlineStr">
        <is>
          <t>HH_KITCHEN AIDS</t>
        </is>
      </c>
      <c r="L328" s="107" t="inlineStr">
        <is>
          <t>HH_U_S_SPOON</t>
        </is>
      </c>
      <c r="M328" s="107" t="inlineStr">
        <is>
          <t>6PCST-[HHUK43]</t>
        </is>
      </c>
      <c r="N328" s="107" t="inlineStr">
        <is>
          <t>ACTIVE</t>
        </is>
      </c>
      <c r="O328" s="108" t="n">
        <v>0.111686647470685</v>
      </c>
      <c r="P328" s="108" t="n">
        <v>0.0661217794620889</v>
      </c>
      <c r="Q328" s="109" t="n">
        <v>96</v>
      </c>
      <c r="R328" s="110" t="n">
        <v>1976</v>
      </c>
      <c r="S328" s="110" t="n">
        <v>3144.28001371307</v>
      </c>
      <c r="T328" s="110" t="n">
        <v>3491.32529971123</v>
      </c>
      <c r="U328" s="110" t="n">
        <v>8611.605313424299</v>
      </c>
      <c r="V328" s="104" t="n">
        <v>3354</v>
      </c>
      <c r="W328" s="104" t="n">
        <v>6600</v>
      </c>
      <c r="X328" s="104">
        <f>$V328+W328</f>
        <v/>
      </c>
      <c r="Y328" s="111">
        <f>IFERROR(A328/R328,0)</f>
        <v/>
      </c>
      <c r="Z328" s="111">
        <f>IFERROR(B328/U328,0)</f>
        <v/>
      </c>
      <c r="AA328" s="111">
        <f>IFERROR(C328/R328,0)</f>
        <v/>
      </c>
      <c r="AB328" s="111">
        <f>IFERROR(D328/U328,0)</f>
        <v/>
      </c>
      <c r="AD328" s="111">
        <f>IF(U328&gt;0,IFERROR(E328/U328,0),1)</f>
        <v/>
      </c>
      <c r="AE328" s="111">
        <f>IF(R328&gt;0,IFERROR(F328/R328,0),1)</f>
        <v/>
      </c>
      <c r="AF328" s="111">
        <f>IF(AL328&gt;0,IFERROR(G328/AL328,0),1)</f>
        <v/>
      </c>
      <c r="AG328" s="111">
        <f>IF(AM328&gt;0,IFERROR(H328/AM328,0),1)</f>
        <v/>
      </c>
      <c r="AH328" s="104">
        <f>U328-(V328+AN328+AR328)</f>
        <v/>
      </c>
      <c r="AI328" s="104">
        <f>R328-(V328+AO328+AR328)</f>
        <v/>
      </c>
      <c r="AJ328" s="104">
        <f>(AL328-AP328)</f>
        <v/>
      </c>
      <c r="AK328" s="104">
        <f>(AM328-AQ328)</f>
        <v/>
      </c>
      <c r="AL328" s="110">
        <f>S328+AI328</f>
        <v/>
      </c>
      <c r="AM328" s="110">
        <f>T328+AJ328</f>
        <v/>
      </c>
      <c r="AN328" s="104" t="n">
        <v>13806</v>
      </c>
      <c r="AO328" s="104" t="n">
        <v>10206</v>
      </c>
      <c r="AP328" s="104" t="n">
        <v>3600</v>
      </c>
      <c r="AQ328" s="104" t="n">
        <v>0</v>
      </c>
      <c r="AR328" s="104" t="n">
        <v>0</v>
      </c>
      <c r="AS328" s="104" t="n"/>
      <c r="AT328" s="104" t="n"/>
    </row>
    <row r="329" ht="12.65" customHeight="1" s="79">
      <c r="A329" s="104">
        <f>MIN(V329,R329)</f>
        <v/>
      </c>
      <c r="B329" s="104">
        <f>MIN(V329,U329)</f>
        <v/>
      </c>
      <c r="C329" s="104">
        <f>MIN(X329,R329)</f>
        <v/>
      </c>
      <c r="D329" s="104">
        <f>MIN(X329,U329)</f>
        <v/>
      </c>
      <c r="E329" s="104">
        <f>MIN((V329+AN329+AR329),U329)</f>
        <v/>
      </c>
      <c r="F329" s="104">
        <f>MAX(MIN((V329+AO329+AR329),R329),0)</f>
        <v/>
      </c>
      <c r="G329" s="104">
        <f>MAX(MIN(AP329,AL329),0)</f>
        <v/>
      </c>
      <c r="H329" s="104">
        <f>MAX(MIN(AQ329,AM329),0)</f>
        <v/>
      </c>
      <c r="I329" s="105" t="inlineStr">
        <is>
          <t>ROOP KISHOR</t>
        </is>
      </c>
      <c r="J329" s="106" t="inlineStr">
        <is>
          <t>HOUSEHOLD</t>
        </is>
      </c>
      <c r="K329" s="107" t="inlineStr">
        <is>
          <t>HH_KITCHEN AIDS</t>
        </is>
      </c>
      <c r="L329" s="107" t="inlineStr">
        <is>
          <t>HH_U_S_SPOON</t>
        </is>
      </c>
      <c r="M329" s="107" t="inlineStr">
        <is>
          <t>SPOON BABY-[HHUK43]</t>
        </is>
      </c>
      <c r="N329" s="107" t="inlineStr">
        <is>
          <t>ACTIVE</t>
        </is>
      </c>
      <c r="O329" s="108" t="n">
        <v>0.09323412013994969</v>
      </c>
      <c r="P329" s="108" t="n">
        <v>0.0846441947565543</v>
      </c>
      <c r="Q329" s="109" t="n">
        <v>96</v>
      </c>
      <c r="R329" s="110" t="n">
        <v>2225</v>
      </c>
      <c r="S329" s="110" t="n">
        <v>1317.50473789263</v>
      </c>
      <c r="T329" s="110" t="n">
        <v>919.567347963865</v>
      </c>
      <c r="U329" s="110" t="n">
        <v>4462.07208585649</v>
      </c>
      <c r="V329" s="104" t="n">
        <v>0</v>
      </c>
      <c r="W329" s="104" t="n">
        <v>0</v>
      </c>
      <c r="X329" s="104">
        <f>$V329+W329</f>
        <v/>
      </c>
      <c r="Y329" s="111">
        <f>IFERROR(A329/R329,0)</f>
        <v/>
      </c>
      <c r="Z329" s="111">
        <f>IFERROR(B329/U329,0)</f>
        <v/>
      </c>
      <c r="AA329" s="111">
        <f>IFERROR(C329/R329,0)</f>
        <v/>
      </c>
      <c r="AB329" s="111">
        <f>IFERROR(D329/U329,0)</f>
        <v/>
      </c>
      <c r="AD329" s="111">
        <f>IF(U329&gt;0,IFERROR(E329/U329,0),1)</f>
        <v/>
      </c>
      <c r="AE329" s="111">
        <f>IF(R329&gt;0,IFERROR(F329/R329,0),1)</f>
        <v/>
      </c>
      <c r="AF329" s="111">
        <f>IF(AL329&gt;0,IFERROR(G329/AL329,0),1)</f>
        <v/>
      </c>
      <c r="AG329" s="111">
        <f>IF(AM329&gt;0,IFERROR(H329/AM329,0),1)</f>
        <v/>
      </c>
      <c r="AH329" s="104">
        <f>U329-(V329+AN329+AR329)</f>
        <v/>
      </c>
      <c r="AI329" s="104">
        <f>R329-(V329+AO329+AR329)</f>
        <v/>
      </c>
      <c r="AJ329" s="104">
        <f>(AL329-AP329)</f>
        <v/>
      </c>
      <c r="AK329" s="104">
        <f>(AM329-AQ329)</f>
        <v/>
      </c>
      <c r="AL329" s="110">
        <f>S329+AI329</f>
        <v/>
      </c>
      <c r="AM329" s="110">
        <f>T329+AJ329</f>
        <v/>
      </c>
      <c r="AN329" s="104" t="n">
        <v>0</v>
      </c>
      <c r="AO329" s="104" t="n">
        <v>0</v>
      </c>
      <c r="AP329" s="104" t="n">
        <v>0</v>
      </c>
      <c r="AQ329" s="104" t="n">
        <v>0</v>
      </c>
      <c r="AR329" s="104" t="n">
        <v>0</v>
      </c>
      <c r="AS329" s="104" t="n"/>
      <c r="AT329" s="104" t="n"/>
    </row>
    <row r="330" ht="12.65" customHeight="1" s="79">
      <c r="A330" s="104">
        <f>MIN(V330,R330)</f>
        <v/>
      </c>
      <c r="B330" s="104">
        <f>MIN(V330,U330)</f>
        <v/>
      </c>
      <c r="C330" s="104">
        <f>MIN(X330,R330)</f>
        <v/>
      </c>
      <c r="D330" s="104">
        <f>MIN(X330,U330)</f>
        <v/>
      </c>
      <c r="E330" s="104">
        <f>MIN((V330+AN330+AR330),U330)</f>
        <v/>
      </c>
      <c r="F330" s="104">
        <f>MAX(MIN((V330+AO330+AR330),R330),0)</f>
        <v/>
      </c>
      <c r="G330" s="104">
        <f>MAX(MIN(AP330,AL330),0)</f>
        <v/>
      </c>
      <c r="H330" s="104">
        <f>MAX(MIN(AQ330,AM330),0)</f>
        <v/>
      </c>
      <c r="I330" s="105" t="inlineStr">
        <is>
          <t>ROOP KISHOR</t>
        </is>
      </c>
      <c r="J330" s="106" t="inlineStr">
        <is>
          <t>HOUSEHOLD</t>
        </is>
      </c>
      <c r="K330" s="107" t="inlineStr">
        <is>
          <t>HH_KITCHEN AIDS</t>
        </is>
      </c>
      <c r="L330" s="107" t="inlineStr">
        <is>
          <t>HH_U_S_SPOON</t>
        </is>
      </c>
      <c r="M330" s="107" t="inlineStr">
        <is>
          <t>SPOON DESERT-[HHUK43]</t>
        </is>
      </c>
      <c r="N330" s="107" t="inlineStr">
        <is>
          <t>ACTIVE</t>
        </is>
      </c>
      <c r="O330" s="108" t="n">
        <v>0.0824013850545131</v>
      </c>
      <c r="P330" s="108" t="n">
        <v>0.0775408227000982</v>
      </c>
      <c r="Q330" s="109" t="n">
        <v>96</v>
      </c>
      <c r="R330" s="110" t="n">
        <v>2046</v>
      </c>
      <c r="S330" s="110" t="n">
        <v>1158.60607163922</v>
      </c>
      <c r="T330" s="110" t="n">
        <v>882.134006568205</v>
      </c>
      <c r="U330" s="110" t="n">
        <v>4086.74007820742</v>
      </c>
      <c r="V330" s="104" t="n">
        <v>0</v>
      </c>
      <c r="W330" s="104" t="n">
        <v>0</v>
      </c>
      <c r="X330" s="104">
        <f>$V330+W330</f>
        <v/>
      </c>
      <c r="Y330" s="111">
        <f>IFERROR(A330/R330,0)</f>
        <v/>
      </c>
      <c r="Z330" s="111">
        <f>IFERROR(B330/U330,0)</f>
        <v/>
      </c>
      <c r="AA330" s="111">
        <f>IFERROR(C330/R330,0)</f>
        <v/>
      </c>
      <c r="AB330" s="111">
        <f>IFERROR(D330/U330,0)</f>
        <v/>
      </c>
      <c r="AD330" s="111">
        <f>IF(U330&gt;0,IFERROR(E330/U330,0),1)</f>
        <v/>
      </c>
      <c r="AE330" s="111">
        <f>IF(R330&gt;0,IFERROR(F330/R330,0),1)</f>
        <v/>
      </c>
      <c r="AF330" s="111">
        <f>IF(AL330&gt;0,IFERROR(G330/AL330,0),1)</f>
        <v/>
      </c>
      <c r="AG330" s="111">
        <f>IF(AM330&gt;0,IFERROR(H330/AM330,0),1)</f>
        <v/>
      </c>
      <c r="AH330" s="104">
        <f>U330-(V330+AN330+AR330)</f>
        <v/>
      </c>
      <c r="AI330" s="104">
        <f>R330-(V330+AO330+AR330)</f>
        <v/>
      </c>
      <c r="AJ330" s="104">
        <f>(AL330-AP330)</f>
        <v/>
      </c>
      <c r="AK330" s="104">
        <f>(AM330-AQ330)</f>
        <v/>
      </c>
      <c r="AL330" s="110">
        <f>S330+AI330</f>
        <v/>
      </c>
      <c r="AM330" s="110">
        <f>T330+AJ330</f>
        <v/>
      </c>
      <c r="AN330" s="104" t="n">
        <v>0</v>
      </c>
      <c r="AO330" s="104" t="n">
        <v>0</v>
      </c>
      <c r="AP330" s="104" t="n">
        <v>0</v>
      </c>
      <c r="AQ330" s="104" t="n">
        <v>0</v>
      </c>
      <c r="AR330" s="104" t="n">
        <v>0</v>
      </c>
      <c r="AS330" s="104" t="n"/>
      <c r="AT330" s="104" t="n"/>
    </row>
    <row r="331" ht="12.65" customHeight="1" s="79">
      <c r="A331" s="104">
        <f>MIN(V331,R331)</f>
        <v/>
      </c>
      <c r="B331" s="104">
        <f>MIN(V331,U331)</f>
        <v/>
      </c>
      <c r="C331" s="104">
        <f>MIN(X331,R331)</f>
        <v/>
      </c>
      <c r="D331" s="104">
        <f>MIN(X331,U331)</f>
        <v/>
      </c>
      <c r="E331" s="104">
        <f>MIN((V331+AN331+AR331),U331)</f>
        <v/>
      </c>
      <c r="F331" s="104">
        <f>MAX(MIN((V331+AO331+AR331),R331),0)</f>
        <v/>
      </c>
      <c r="G331" s="104">
        <f>MAX(MIN(AP331,AL331),0)</f>
        <v/>
      </c>
      <c r="H331" s="104">
        <f>MAX(MIN(AQ331,AM331),0)</f>
        <v/>
      </c>
      <c r="I331" s="105" t="inlineStr">
        <is>
          <t>ROOP KISHOR</t>
        </is>
      </c>
      <c r="J331" s="106" t="inlineStr">
        <is>
          <t>HOUSEHOLD</t>
        </is>
      </c>
      <c r="K331" s="107" t="inlineStr">
        <is>
          <t>HH_PLASTICS AIDS</t>
        </is>
      </c>
      <c r="L331" s="107" t="inlineStr">
        <is>
          <t>HH_CYLINDER TROLEY</t>
        </is>
      </c>
      <c r="M331" s="107" t="inlineStr">
        <is>
          <t>PLST-[HHPC09]</t>
        </is>
      </c>
      <c r="N331" s="107" t="inlineStr">
        <is>
          <t>ACTIVE</t>
        </is>
      </c>
      <c r="O331" s="108" t="n">
        <v>0.124799071262725</v>
      </c>
      <c r="P331" s="108" t="n">
        <v>0.106990434142752</v>
      </c>
      <c r="Q331" s="109" t="n">
        <v>142</v>
      </c>
      <c r="R331" s="110" t="n">
        <v>4413</v>
      </c>
      <c r="S331" s="110" t="n">
        <v>2215.2121195721</v>
      </c>
      <c r="T331" s="110" t="n">
        <v>2377.13019965827</v>
      </c>
      <c r="U331" s="110" t="n">
        <v>9005.342319230371</v>
      </c>
      <c r="V331" s="104" t="n">
        <v>5880</v>
      </c>
      <c r="W331" s="104" t="n">
        <v>0</v>
      </c>
      <c r="X331" s="104">
        <f>$V331+W331</f>
        <v/>
      </c>
      <c r="Y331" s="111">
        <f>IFERROR(A331/R331,0)</f>
        <v/>
      </c>
      <c r="Z331" s="111">
        <f>IFERROR(B331/U331,0)</f>
        <v/>
      </c>
      <c r="AA331" s="111">
        <f>IFERROR(C331/R331,0)</f>
        <v/>
      </c>
      <c r="AB331" s="111">
        <f>IFERROR(D331/U331,0)</f>
        <v/>
      </c>
      <c r="AD331" s="111">
        <f>IF(U331&gt;0,IFERROR(E331/U331,0),1)</f>
        <v/>
      </c>
      <c r="AE331" s="111">
        <f>IF(R331&gt;0,IFERROR(F331/R331,0),1)</f>
        <v/>
      </c>
      <c r="AF331" s="111">
        <f>IF(AL331&gt;0,IFERROR(G331/AL331,0),1)</f>
        <v/>
      </c>
      <c r="AG331" s="111">
        <f>IF(AM331&gt;0,IFERROR(H331/AM331,0),1)</f>
        <v/>
      </c>
      <c r="AH331" s="104">
        <f>U331-(V331+AN331+AR331)</f>
        <v/>
      </c>
      <c r="AI331" s="104">
        <f>R331-(V331+AO331+AR331)</f>
        <v/>
      </c>
      <c r="AJ331" s="104">
        <f>(AL331-AP331)</f>
        <v/>
      </c>
      <c r="AK331" s="104">
        <f>(AM331-AQ331)</f>
        <v/>
      </c>
      <c r="AL331" s="110">
        <f>S331+AI331</f>
        <v/>
      </c>
      <c r="AM331" s="110">
        <f>T331+AJ331</f>
        <v/>
      </c>
      <c r="AN331" s="104" t="n">
        <v>7200</v>
      </c>
      <c r="AO331" s="104" t="n">
        <v>0</v>
      </c>
      <c r="AP331" s="104" t="n">
        <v>3600</v>
      </c>
      <c r="AQ331" s="104" t="n">
        <v>3600</v>
      </c>
      <c r="AR331" s="104" t="n">
        <v>0</v>
      </c>
      <c r="AS331" s="104" t="n"/>
      <c r="AT331" s="104" t="n"/>
    </row>
    <row r="332" ht="12.65" customHeight="1" s="79">
      <c r="A332" s="104">
        <f>MIN(V332,R332)</f>
        <v/>
      </c>
      <c r="B332" s="104">
        <f>MIN(V332,U332)</f>
        <v/>
      </c>
      <c r="C332" s="104">
        <f>MIN(X332,R332)</f>
        <v/>
      </c>
      <c r="D332" s="104">
        <f>MIN(X332,U332)</f>
        <v/>
      </c>
      <c r="E332" s="104">
        <f>MIN((V332+AN332+AR332),U332)</f>
        <v/>
      </c>
      <c r="F332" s="104">
        <f>MAX(MIN((V332+AO332+AR332),R332),0)</f>
        <v/>
      </c>
      <c r="G332" s="104">
        <f>MAX(MIN(AP332,AL332),0)</f>
        <v/>
      </c>
      <c r="H332" s="104">
        <f>MAX(MIN(AQ332,AM332),0)</f>
        <v/>
      </c>
      <c r="I332" s="105" t="inlineStr">
        <is>
          <t>ROOP KISHOR</t>
        </is>
      </c>
      <c r="J332" s="106" t="inlineStr">
        <is>
          <t>HOUSEHOLD</t>
        </is>
      </c>
      <c r="K332" s="107" t="inlineStr">
        <is>
          <t>HH_PLASTICS AIDS</t>
        </is>
      </c>
      <c r="L332" s="107" t="inlineStr">
        <is>
          <t>HH_CYLINDER TROLEY</t>
        </is>
      </c>
      <c r="M332" s="107" t="inlineStr">
        <is>
          <t>STL-[HHPC09]</t>
        </is>
      </c>
      <c r="N332" s="107" t="inlineStr">
        <is>
          <t>ACTIVE</t>
        </is>
      </c>
      <c r="O332" s="108" t="n">
        <v>0.111978005647199</v>
      </c>
      <c r="P332" s="108" t="n">
        <v>0.0963388147688489</v>
      </c>
      <c r="Q332" s="109" t="n">
        <v>142</v>
      </c>
      <c r="R332" s="110" t="n">
        <v>525</v>
      </c>
      <c r="S332" s="110" t="n">
        <v>281.978845496753</v>
      </c>
      <c r="T332" s="110" t="n">
        <v>305.02842169881</v>
      </c>
      <c r="U332" s="110" t="n">
        <v>1112.00726719556</v>
      </c>
      <c r="V332" s="104" t="n">
        <v>0</v>
      </c>
      <c r="W332" s="104" t="n">
        <v>0</v>
      </c>
      <c r="X332" s="104">
        <f>$V332+W332</f>
        <v/>
      </c>
      <c r="Y332" s="111">
        <f>IFERROR(A332/R332,0)</f>
        <v/>
      </c>
      <c r="Z332" s="111">
        <f>IFERROR(B332/U332,0)</f>
        <v/>
      </c>
      <c r="AA332" s="111">
        <f>IFERROR(C332/R332,0)</f>
        <v/>
      </c>
      <c r="AB332" s="111">
        <f>IFERROR(D332/U332,0)</f>
        <v/>
      </c>
      <c r="AD332" s="111">
        <f>IF(U332&gt;0,IFERROR(E332/U332,0),1)</f>
        <v/>
      </c>
      <c r="AE332" s="111">
        <f>IF(R332&gt;0,IFERROR(F332/R332,0),1)</f>
        <v/>
      </c>
      <c r="AF332" s="111">
        <f>IF(AL332&gt;0,IFERROR(G332/AL332,0),1)</f>
        <v/>
      </c>
      <c r="AG332" s="111">
        <f>IF(AM332&gt;0,IFERROR(H332/AM332,0),1)</f>
        <v/>
      </c>
      <c r="AH332" s="104">
        <f>U332-(V332+AN332+AR332)</f>
        <v/>
      </c>
      <c r="AI332" s="104">
        <f>R332-(V332+AO332+AR332)</f>
        <v/>
      </c>
      <c r="AJ332" s="104">
        <f>(AL332-AP332)</f>
        <v/>
      </c>
      <c r="AK332" s="104">
        <f>(AM332-AQ332)</f>
        <v/>
      </c>
      <c r="AL332" s="110">
        <f>S332+AI332</f>
        <v/>
      </c>
      <c r="AM332" s="110">
        <f>T332+AJ332</f>
        <v/>
      </c>
      <c r="AN332" s="104" t="n">
        <v>3600</v>
      </c>
      <c r="AO332" s="104" t="n">
        <v>0</v>
      </c>
      <c r="AP332" s="104" t="n">
        <v>1800</v>
      </c>
      <c r="AQ332" s="104" t="n">
        <v>1800</v>
      </c>
      <c r="AR332" s="104" t="n">
        <v>0</v>
      </c>
      <c r="AS332" s="104" t="n"/>
      <c r="AT332" s="104" t="n"/>
    </row>
    <row r="333" ht="12.65" customHeight="1" s="79">
      <c r="A333" s="104">
        <f>MIN(V333,R333)</f>
        <v/>
      </c>
      <c r="B333" s="104">
        <f>MIN(V333,U333)</f>
        <v/>
      </c>
      <c r="C333" s="104">
        <f>MIN(X333,R333)</f>
        <v/>
      </c>
      <c r="D333" s="104">
        <f>MIN(X333,U333)</f>
        <v/>
      </c>
      <c r="E333" s="104">
        <f>MIN((V333+AN333+AR333),U333)</f>
        <v/>
      </c>
      <c r="F333" s="104">
        <f>MAX(MIN((V333+AO333+AR333),R333),0)</f>
        <v/>
      </c>
      <c r="G333" s="104">
        <f>MAX(MIN(AP333,AL333),0)</f>
        <v/>
      </c>
      <c r="H333" s="104">
        <f>MAX(MIN(AQ333,AM333),0)</f>
        <v/>
      </c>
      <c r="I333" s="105" t="inlineStr">
        <is>
          <t>ROOP KISHOR</t>
        </is>
      </c>
      <c r="J333" s="106" t="inlineStr">
        <is>
          <t>HOUSEHOLD</t>
        </is>
      </c>
      <c r="K333" s="107" t="inlineStr">
        <is>
          <t>HH_PLASTICS AIDS</t>
        </is>
      </c>
      <c r="L333" s="107" t="inlineStr">
        <is>
          <t>HH_HANGER</t>
        </is>
      </c>
      <c r="M333" s="107" t="inlineStr">
        <is>
          <t>PLST-[HHPC10]</t>
        </is>
      </c>
      <c r="N333" s="107" t="inlineStr">
        <is>
          <t>ACTIVE</t>
        </is>
      </c>
      <c r="O333" s="108" t="n">
        <v>0.132633769053327</v>
      </c>
      <c r="P333" s="108" t="n">
        <v>0.112166632783189</v>
      </c>
      <c r="Q333" s="109" t="n">
        <v>83</v>
      </c>
      <c r="R333" s="110" t="n">
        <v>5719</v>
      </c>
      <c r="S333" s="110" t="n">
        <v>8192.4525152653</v>
      </c>
      <c r="T333" s="110" t="n">
        <v>5642.85401819473</v>
      </c>
      <c r="U333" s="110" t="n">
        <v>19554.30653346</v>
      </c>
      <c r="V333" s="104" t="n">
        <v>7789</v>
      </c>
      <c r="W333" s="104" t="n">
        <v>0</v>
      </c>
      <c r="X333" s="104">
        <f>$V333+W333</f>
        <v/>
      </c>
      <c r="Y333" s="111">
        <f>IFERROR(A333/R333,0)</f>
        <v/>
      </c>
      <c r="Z333" s="111">
        <f>IFERROR(B333/U333,0)</f>
        <v/>
      </c>
      <c r="AA333" s="111">
        <f>IFERROR(C333/R333,0)</f>
        <v/>
      </c>
      <c r="AB333" s="111">
        <f>IFERROR(D333/U333,0)</f>
        <v/>
      </c>
      <c r="AD333" s="111">
        <f>IF(U333&gt;0,IFERROR(E333/U333,0),1)</f>
        <v/>
      </c>
      <c r="AE333" s="111">
        <f>IF(R333&gt;0,IFERROR(F333/R333,0),1)</f>
        <v/>
      </c>
      <c r="AF333" s="111">
        <f>IF(AL333&gt;0,IFERROR(G333/AL333,0),1)</f>
        <v/>
      </c>
      <c r="AG333" s="111">
        <f>IF(AM333&gt;0,IFERROR(H333/AM333,0),1)</f>
        <v/>
      </c>
      <c r="AH333" s="104">
        <f>U333-(V333+AN333+AR333)</f>
        <v/>
      </c>
      <c r="AI333" s="104">
        <f>R333-(V333+AO333+AR333)</f>
        <v/>
      </c>
      <c r="AJ333" s="104">
        <f>(AL333-AP333)</f>
        <v/>
      </c>
      <c r="AK333" s="104">
        <f>(AM333-AQ333)</f>
        <v/>
      </c>
      <c r="AL333" s="110">
        <f>S333+AI333</f>
        <v/>
      </c>
      <c r="AM333" s="110">
        <f>T333+AJ333</f>
        <v/>
      </c>
      <c r="AN333" s="104" t="n">
        <v>9600</v>
      </c>
      <c r="AO333" s="104" t="n">
        <v>0</v>
      </c>
      <c r="AP333" s="104" t="n">
        <v>6000</v>
      </c>
      <c r="AQ333" s="104" t="n">
        <v>3600</v>
      </c>
      <c r="AR333" s="104" t="n">
        <v>0</v>
      </c>
      <c r="AS333" s="104" t="n"/>
      <c r="AT333" s="104" t="n"/>
    </row>
    <row r="334" ht="12.65" customHeight="1" s="79">
      <c r="A334" s="104">
        <f>MIN(V334,R334)</f>
        <v/>
      </c>
      <c r="B334" s="104">
        <f>MIN(V334,U334)</f>
        <v/>
      </c>
      <c r="C334" s="104">
        <f>MIN(X334,R334)</f>
        <v/>
      </c>
      <c r="D334" s="104">
        <f>MIN(X334,U334)</f>
        <v/>
      </c>
      <c r="E334" s="104">
        <f>MIN((V334+AN334+AR334),U334)</f>
        <v/>
      </c>
      <c r="F334" s="104">
        <f>MAX(MIN((V334+AO334+AR334),R334),0)</f>
        <v/>
      </c>
      <c r="G334" s="104">
        <f>MAX(MIN(AP334,AL334),0)</f>
        <v/>
      </c>
      <c r="H334" s="104">
        <f>MAX(MIN(AQ334,AM334),0)</f>
        <v/>
      </c>
      <c r="I334" s="105" t="inlineStr">
        <is>
          <t>ROOP KISHOR</t>
        </is>
      </c>
      <c r="J334" s="106" t="inlineStr">
        <is>
          <t>HOUSEHOLD</t>
        </is>
      </c>
      <c r="K334" s="107" t="inlineStr">
        <is>
          <t>HH_PLASTICS AIDS</t>
        </is>
      </c>
      <c r="L334" s="107" t="inlineStr">
        <is>
          <t>HH_HANGER</t>
        </is>
      </c>
      <c r="M334" s="107" t="inlineStr">
        <is>
          <t>STL-[HHPC10]</t>
        </is>
      </c>
      <c r="N334" s="107" t="inlineStr">
        <is>
          <t>ACTIVE</t>
        </is>
      </c>
      <c r="O334" s="108" t="n">
        <v>0.131262415682508</v>
      </c>
      <c r="P334" s="108" t="n">
        <v>0.09706479445102351</v>
      </c>
      <c r="Q334" s="109" t="n">
        <v>83</v>
      </c>
      <c r="R334" s="110" t="n">
        <v>815</v>
      </c>
      <c r="S334" s="110" t="n">
        <v>2445.80154828804</v>
      </c>
      <c r="T334" s="110" t="n">
        <v>2117.35759003455</v>
      </c>
      <c r="U334" s="110" t="n">
        <v>5378.15913832259</v>
      </c>
      <c r="V334" s="104" t="n">
        <v>7199</v>
      </c>
      <c r="W334" s="104" t="n">
        <v>0</v>
      </c>
      <c r="X334" s="104">
        <f>$V334+W334</f>
        <v/>
      </c>
      <c r="Y334" s="111">
        <f>IFERROR(A334/R334,0)</f>
        <v/>
      </c>
      <c r="Z334" s="111">
        <f>IFERROR(B334/U334,0)</f>
        <v/>
      </c>
      <c r="AA334" s="111">
        <f>IFERROR(C334/R334,0)</f>
        <v/>
      </c>
      <c r="AB334" s="111">
        <f>IFERROR(D334/U334,0)</f>
        <v/>
      </c>
      <c r="AD334" s="111">
        <f>IF(U334&gt;0,IFERROR(E334/U334,0),1)</f>
        <v/>
      </c>
      <c r="AE334" s="111">
        <f>IF(R334&gt;0,IFERROR(F334/R334,0),1)</f>
        <v/>
      </c>
      <c r="AF334" s="111">
        <f>IF(AL334&gt;0,IFERROR(G334/AL334,0),1)</f>
        <v/>
      </c>
      <c r="AG334" s="111">
        <f>IF(AM334&gt;0,IFERROR(H334/AM334,0),1)</f>
        <v/>
      </c>
      <c r="AH334" s="104">
        <f>U334-(V334+AN334+AR334)</f>
        <v/>
      </c>
      <c r="AI334" s="104">
        <f>R334-(V334+AO334+AR334)</f>
        <v/>
      </c>
      <c r="AJ334" s="104">
        <f>(AL334-AP334)</f>
        <v/>
      </c>
      <c r="AK334" s="104">
        <f>(AM334-AQ334)</f>
        <v/>
      </c>
      <c r="AL334" s="110">
        <f>S334+AI334</f>
        <v/>
      </c>
      <c r="AM334" s="110">
        <f>T334+AJ334</f>
        <v/>
      </c>
      <c r="AN334" s="104" t="n">
        <v>7201</v>
      </c>
      <c r="AO334" s="104" t="n">
        <v>1</v>
      </c>
      <c r="AP334" s="104" t="n">
        <v>3600</v>
      </c>
      <c r="AQ334" s="104" t="n">
        <v>3600</v>
      </c>
      <c r="AR334" s="104" t="n">
        <v>0</v>
      </c>
      <c r="AS334" s="104" t="n"/>
      <c r="AT334" s="104" t="n"/>
    </row>
    <row r="335" ht="12.65" customHeight="1" s="79">
      <c r="A335" s="104">
        <f>MIN(V335,R335)</f>
        <v/>
      </c>
      <c r="B335" s="104">
        <f>MIN(V335,U335)</f>
        <v/>
      </c>
      <c r="C335" s="104">
        <f>MIN(X335,R335)</f>
        <v/>
      </c>
      <c r="D335" s="104">
        <f>MIN(X335,U335)</f>
        <v/>
      </c>
      <c r="E335" s="104">
        <f>MIN((V335+AN335+AR335),U335)</f>
        <v/>
      </c>
      <c r="F335" s="104">
        <f>MAX(MIN((V335+AO335+AR335),R335),0)</f>
        <v/>
      </c>
      <c r="G335" s="104">
        <f>MAX(MIN(AP335,AL335),0)</f>
        <v/>
      </c>
      <c r="H335" s="104">
        <f>MAX(MIN(AQ335,AM335),0)</f>
        <v/>
      </c>
      <c r="I335" s="105" t="inlineStr">
        <is>
          <t>ROOP KISHOR</t>
        </is>
      </c>
      <c r="J335" s="106" t="inlineStr">
        <is>
          <t>HOUSEHOLD</t>
        </is>
      </c>
      <c r="K335" s="107" t="inlineStr">
        <is>
          <t>HH_PLASTICS AIDS</t>
        </is>
      </c>
      <c r="L335" s="107" t="inlineStr">
        <is>
          <t>HH_HOOK</t>
        </is>
      </c>
      <c r="M335" s="107" t="inlineStr">
        <is>
          <t>PLST-[HHPC11]</t>
        </is>
      </c>
      <c r="N335" s="107" t="inlineStr">
        <is>
          <t>ACTIVE</t>
        </is>
      </c>
      <c r="O335" s="108" t="n">
        <v>0.12411672355526</v>
      </c>
      <c r="P335" s="108" t="n">
        <v>0.105411423618376</v>
      </c>
      <c r="Q335" s="109" t="n">
        <v>77</v>
      </c>
      <c r="R335" s="110" t="n">
        <v>7503</v>
      </c>
      <c r="S335" s="110" t="n">
        <v>20355.9057269767</v>
      </c>
      <c r="T335" s="110" t="n">
        <v>20707.9727110593</v>
      </c>
      <c r="U335" s="110" t="n">
        <v>48566.878438036</v>
      </c>
      <c r="V335" s="104" t="n">
        <v>15960</v>
      </c>
      <c r="W335" s="104" t="n">
        <v>15176</v>
      </c>
      <c r="X335" s="104">
        <f>$V335+W335</f>
        <v/>
      </c>
      <c r="Y335" s="111">
        <f>IFERROR(A335/R335,0)</f>
        <v/>
      </c>
      <c r="Z335" s="111">
        <f>IFERROR(B335/U335,0)</f>
        <v/>
      </c>
      <c r="AA335" s="111">
        <f>IFERROR(C335/R335,0)</f>
        <v/>
      </c>
      <c r="AB335" s="111">
        <f>IFERROR(D335/U335,0)</f>
        <v/>
      </c>
      <c r="AD335" s="111">
        <f>IF(U335&gt;0,IFERROR(E335/U335,0),1)</f>
        <v/>
      </c>
      <c r="AE335" s="111">
        <f>IF(R335&gt;0,IFERROR(F335/R335,0),1)</f>
        <v/>
      </c>
      <c r="AF335" s="111">
        <f>IF(AL335&gt;0,IFERROR(G335/AL335,0),1)</f>
        <v/>
      </c>
      <c r="AG335" s="111">
        <f>IF(AM335&gt;0,IFERROR(H335/AM335,0),1)</f>
        <v/>
      </c>
      <c r="AH335" s="104">
        <f>U335-(V335+AN335+AR335)</f>
        <v/>
      </c>
      <c r="AI335" s="104">
        <f>R335-(V335+AO335+AR335)</f>
        <v/>
      </c>
      <c r="AJ335" s="104">
        <f>(AL335-AP335)</f>
        <v/>
      </c>
      <c r="AK335" s="104">
        <f>(AM335-AQ335)</f>
        <v/>
      </c>
      <c r="AL335" s="110">
        <f>S335+AI335</f>
        <v/>
      </c>
      <c r="AM335" s="110">
        <f>T335+AJ335</f>
        <v/>
      </c>
      <c r="AN335" s="104" t="n">
        <v>42496</v>
      </c>
      <c r="AO335" s="104" t="n">
        <v>16096</v>
      </c>
      <c r="AP335" s="104" t="n">
        <v>19200</v>
      </c>
      <c r="AQ335" s="104" t="n">
        <v>7200</v>
      </c>
      <c r="AR335" s="104" t="n">
        <v>0</v>
      </c>
      <c r="AS335" s="104" t="n"/>
      <c r="AT335" s="104" t="n"/>
    </row>
    <row r="336" ht="12.65" customHeight="1" s="79">
      <c r="A336" s="104">
        <f>MIN(V336,R336)</f>
        <v/>
      </c>
      <c r="B336" s="104">
        <f>MIN(V336,U336)</f>
        <v/>
      </c>
      <c r="C336" s="104">
        <f>MIN(X336,R336)</f>
        <v/>
      </c>
      <c r="D336" s="104">
        <f>MIN(X336,U336)</f>
        <v/>
      </c>
      <c r="E336" s="104">
        <f>MIN((V336+AN336+AR336),U336)</f>
        <v/>
      </c>
      <c r="F336" s="104">
        <f>MAX(MIN((V336+AO336+AR336),R336),0)</f>
        <v/>
      </c>
      <c r="G336" s="104">
        <f>MAX(MIN(AP336,AL336),0)</f>
        <v/>
      </c>
      <c r="H336" s="104">
        <f>MAX(MIN(AQ336,AM336),0)</f>
        <v/>
      </c>
      <c r="I336" s="105" t="inlineStr">
        <is>
          <t>ROOP KISHOR</t>
        </is>
      </c>
      <c r="J336" s="106" t="inlineStr">
        <is>
          <t>HOUSEHOLD</t>
        </is>
      </c>
      <c r="K336" s="107" t="inlineStr">
        <is>
          <t>HH_PLASTICS AIDS</t>
        </is>
      </c>
      <c r="L336" s="107" t="inlineStr">
        <is>
          <t>HH_HOOK</t>
        </is>
      </c>
      <c r="M336" s="107" t="inlineStr">
        <is>
          <t>HOOK HANGER-[HHPC11]</t>
        </is>
      </c>
      <c r="N336" s="107" t="inlineStr">
        <is>
          <t>ACTIVE</t>
        </is>
      </c>
      <c r="O336" s="108" t="n">
        <v>0.111068941619088</v>
      </c>
      <c r="P336" s="108" t="n">
        <v>0.111632798396847</v>
      </c>
      <c r="Q336" s="109" t="n">
        <v>77</v>
      </c>
      <c r="R336" s="110" t="n">
        <v>4902.2</v>
      </c>
      <c r="S336" s="110" t="n">
        <v>4055.91201041372</v>
      </c>
      <c r="T336" s="110" t="n">
        <v>3359.86679617592</v>
      </c>
      <c r="U336" s="110" t="n">
        <v>12317.9788065896</v>
      </c>
      <c r="V336" s="104" t="n">
        <v>0</v>
      </c>
      <c r="W336" s="104" t="n">
        <v>0</v>
      </c>
      <c r="X336" s="104">
        <f>$V336+W336</f>
        <v/>
      </c>
      <c r="Y336" s="111">
        <f>IFERROR(A336/R336,0)</f>
        <v/>
      </c>
      <c r="Z336" s="111">
        <f>IFERROR(B336/U336,0)</f>
        <v/>
      </c>
      <c r="AA336" s="111">
        <f>IFERROR(C336/R336,0)</f>
        <v/>
      </c>
      <c r="AB336" s="111">
        <f>IFERROR(D336/U336,0)</f>
        <v/>
      </c>
      <c r="AD336" s="111">
        <f>IF(U336&gt;0,IFERROR(E336/U336,0),1)</f>
        <v/>
      </c>
      <c r="AE336" s="111">
        <f>IF(R336&gt;0,IFERROR(F336/R336,0),1)</f>
        <v/>
      </c>
      <c r="AF336" s="111">
        <f>IF(AL336&gt;0,IFERROR(G336/AL336,0),1)</f>
        <v/>
      </c>
      <c r="AG336" s="111">
        <f>IF(AM336&gt;0,IFERROR(H336/AM336,0),1)</f>
        <v/>
      </c>
      <c r="AH336" s="104">
        <f>U336-(V336+AN336+AR336)</f>
        <v/>
      </c>
      <c r="AI336" s="104">
        <f>R336-(V336+AO336+AR336)</f>
        <v/>
      </c>
      <c r="AJ336" s="104">
        <f>(AL336-AP336)</f>
        <v/>
      </c>
      <c r="AK336" s="104">
        <f>(AM336-AQ336)</f>
        <v/>
      </c>
      <c r="AL336" s="110">
        <f>S336+AI336</f>
        <v/>
      </c>
      <c r="AM336" s="110">
        <f>T336+AJ336</f>
        <v/>
      </c>
      <c r="AN336" s="104" t="n">
        <v>7200</v>
      </c>
      <c r="AO336" s="104" t="n">
        <v>4800</v>
      </c>
      <c r="AP336" s="104" t="n">
        <v>2400</v>
      </c>
      <c r="AQ336" s="104" t="n">
        <v>0</v>
      </c>
      <c r="AR336" s="104" t="n">
        <v>0</v>
      </c>
      <c r="AS336" s="104" t="n"/>
      <c r="AT336" s="104" t="n"/>
    </row>
    <row r="337" ht="12.65" customHeight="1" s="79">
      <c r="A337" s="104">
        <f>MIN(V337,R337)</f>
        <v/>
      </c>
      <c r="B337" s="104">
        <f>MIN(V337,U337)</f>
        <v/>
      </c>
      <c r="C337" s="104">
        <f>MIN(X337,R337)</f>
        <v/>
      </c>
      <c r="D337" s="104">
        <f>MIN(X337,U337)</f>
        <v/>
      </c>
      <c r="E337" s="104">
        <f>MIN((V337+AN337+AR337),U337)</f>
        <v/>
      </c>
      <c r="F337" s="104">
        <f>MAX(MIN((V337+AO337+AR337),R337),0)</f>
        <v/>
      </c>
      <c r="G337" s="104">
        <f>MAX(MIN(AP337,AL337),0)</f>
        <v/>
      </c>
      <c r="H337" s="104">
        <f>MAX(MIN(AQ337,AM337),0)</f>
        <v/>
      </c>
      <c r="I337" s="105" t="inlineStr">
        <is>
          <t>ROOP KISHOR</t>
        </is>
      </c>
      <c r="J337" s="106" t="inlineStr">
        <is>
          <t>HOUSEHOLD</t>
        </is>
      </c>
      <c r="K337" s="107" t="inlineStr">
        <is>
          <t>HH_PLASTICS AIDS</t>
        </is>
      </c>
      <c r="L337" s="107" t="inlineStr">
        <is>
          <t>HH_P_BASKET</t>
        </is>
      </c>
      <c r="M337" s="107" t="inlineStr">
        <is>
          <t>SQR-[HHPC13]</t>
        </is>
      </c>
      <c r="N337" s="107" t="inlineStr">
        <is>
          <t>ACTIVE</t>
        </is>
      </c>
      <c r="O337" s="108" t="n">
        <v>0.0952578441037495</v>
      </c>
      <c r="P337" s="108" t="n">
        <v>0.0981830959713926</v>
      </c>
      <c r="Q337" s="109" t="n">
        <v>63</v>
      </c>
      <c r="R337" s="110" t="n">
        <v>4904</v>
      </c>
      <c r="S337" s="110" t="n">
        <v>4582.02457028965</v>
      </c>
      <c r="T337" s="110" t="n">
        <v>4147.96380309413</v>
      </c>
      <c r="U337" s="110" t="n">
        <v>13633.9883733838</v>
      </c>
      <c r="V337" s="104" t="n">
        <v>2376</v>
      </c>
      <c r="W337" s="104" t="n">
        <v>0</v>
      </c>
      <c r="X337" s="104">
        <f>$V337+W337</f>
        <v/>
      </c>
      <c r="Y337" s="111">
        <f>IFERROR(A337/R337,0)</f>
        <v/>
      </c>
      <c r="Z337" s="111">
        <f>IFERROR(B337/U337,0)</f>
        <v/>
      </c>
      <c r="AA337" s="111">
        <f>IFERROR(C337/R337,0)</f>
        <v/>
      </c>
      <c r="AB337" s="111">
        <f>IFERROR(D337/U337,0)</f>
        <v/>
      </c>
      <c r="AD337" s="111">
        <f>IF(U337&gt;0,IFERROR(E337/U337,0),1)</f>
        <v/>
      </c>
      <c r="AE337" s="111">
        <f>IF(R337&gt;0,IFERROR(F337/R337,0),1)</f>
        <v/>
      </c>
      <c r="AF337" s="111">
        <f>IF(AL337&gt;0,IFERROR(G337/AL337,0),1)</f>
        <v/>
      </c>
      <c r="AG337" s="111">
        <f>IF(AM337&gt;0,IFERROR(H337/AM337,0),1)</f>
        <v/>
      </c>
      <c r="AH337" s="104">
        <f>U337-(V337+AN337+AR337)</f>
        <v/>
      </c>
      <c r="AI337" s="104">
        <f>R337-(V337+AO337+AR337)</f>
        <v/>
      </c>
      <c r="AJ337" s="104">
        <f>(AL337-AP337)</f>
        <v/>
      </c>
      <c r="AK337" s="104">
        <f>(AM337-AQ337)</f>
        <v/>
      </c>
      <c r="AL337" s="110">
        <f>S337+AI337</f>
        <v/>
      </c>
      <c r="AM337" s="110">
        <f>T337+AJ337</f>
        <v/>
      </c>
      <c r="AN337" s="104" t="n">
        <v>10800</v>
      </c>
      <c r="AO337" s="104" t="n">
        <v>2400</v>
      </c>
      <c r="AP337" s="104" t="n">
        <v>4200</v>
      </c>
      <c r="AQ337" s="104" t="n">
        <v>4200</v>
      </c>
      <c r="AR337" s="104" t="n">
        <v>0</v>
      </c>
      <c r="AS337" s="104" t="n"/>
      <c r="AT337" s="104" t="n"/>
    </row>
    <row r="338" ht="12.65" customHeight="1" s="79">
      <c r="A338" s="104">
        <f>MIN(V338,R338)</f>
        <v/>
      </c>
      <c r="B338" s="104">
        <f>MIN(V338,U338)</f>
        <v/>
      </c>
      <c r="C338" s="104">
        <f>MIN(X338,R338)</f>
        <v/>
      </c>
      <c r="D338" s="104">
        <f>MIN(X338,U338)</f>
        <v/>
      </c>
      <c r="E338" s="104">
        <f>MIN((V338+AN338+AR338),U338)</f>
        <v/>
      </c>
      <c r="F338" s="104">
        <f>MAX(MIN((V338+AO338+AR338),R338),0)</f>
        <v/>
      </c>
      <c r="G338" s="104">
        <f>MAX(MIN(AP338,AL338),0)</f>
        <v/>
      </c>
      <c r="H338" s="104">
        <f>MAX(MIN(AQ338,AM338),0)</f>
        <v/>
      </c>
      <c r="I338" s="105" t="inlineStr">
        <is>
          <t>ROOP KISHOR</t>
        </is>
      </c>
      <c r="J338" s="106" t="inlineStr">
        <is>
          <t>HOUSEHOLD</t>
        </is>
      </c>
      <c r="K338" s="107" t="inlineStr">
        <is>
          <t>HH_PLASTICS AIDS</t>
        </is>
      </c>
      <c r="L338" s="107" t="inlineStr">
        <is>
          <t>HH_P_BASKET</t>
        </is>
      </c>
      <c r="M338" s="107" t="inlineStr">
        <is>
          <t>RND-[HHPC13]</t>
        </is>
      </c>
      <c r="N338" s="107" t="inlineStr">
        <is>
          <t>ACTIVE</t>
        </is>
      </c>
      <c r="O338" s="108" t="n">
        <v>0.108057652487242</v>
      </c>
      <c r="P338" s="108" t="n">
        <v>0.08767231539204499</v>
      </c>
      <c r="Q338" s="109" t="n">
        <v>63</v>
      </c>
      <c r="R338" s="110" t="n">
        <v>3552</v>
      </c>
      <c r="S338" s="110" t="n">
        <v>4689.45347397862</v>
      </c>
      <c r="T338" s="110" t="n">
        <v>4313.67141771414</v>
      </c>
      <c r="U338" s="110" t="n">
        <v>12555.1248916928</v>
      </c>
      <c r="V338" s="104" t="n">
        <v>2396</v>
      </c>
      <c r="W338" s="104" t="n">
        <v>0</v>
      </c>
      <c r="X338" s="104">
        <f>$V338+W338</f>
        <v/>
      </c>
      <c r="Y338" s="111">
        <f>IFERROR(A338/R338,0)</f>
        <v/>
      </c>
      <c r="Z338" s="111">
        <f>IFERROR(B338/U338,0)</f>
        <v/>
      </c>
      <c r="AA338" s="111">
        <f>IFERROR(C338/R338,0)</f>
        <v/>
      </c>
      <c r="AB338" s="111">
        <f>IFERROR(D338/U338,0)</f>
        <v/>
      </c>
      <c r="AD338" s="111">
        <f>IF(U338&gt;0,IFERROR(E338/U338,0),1)</f>
        <v/>
      </c>
      <c r="AE338" s="111">
        <f>IF(R338&gt;0,IFERROR(F338/R338,0),1)</f>
        <v/>
      </c>
      <c r="AF338" s="111">
        <f>IF(AL338&gt;0,IFERROR(G338/AL338,0),1)</f>
        <v/>
      </c>
      <c r="AG338" s="111">
        <f>IF(AM338&gt;0,IFERROR(H338/AM338,0),1)</f>
        <v/>
      </c>
      <c r="AH338" s="104">
        <f>U338-(V338+AN338+AR338)</f>
        <v/>
      </c>
      <c r="AI338" s="104">
        <f>R338-(V338+AO338+AR338)</f>
        <v/>
      </c>
      <c r="AJ338" s="104">
        <f>(AL338-AP338)</f>
        <v/>
      </c>
      <c r="AK338" s="104">
        <f>(AM338-AQ338)</f>
        <v/>
      </c>
      <c r="AL338" s="110">
        <f>S338+AI338</f>
        <v/>
      </c>
      <c r="AM338" s="110">
        <f>T338+AJ338</f>
        <v/>
      </c>
      <c r="AN338" s="104" t="n">
        <v>186</v>
      </c>
      <c r="AO338" s="104" t="n">
        <v>186</v>
      </c>
      <c r="AP338" s="104" t="n">
        <v>0</v>
      </c>
      <c r="AQ338" s="104" t="n">
        <v>0</v>
      </c>
      <c r="AR338" s="104" t="n">
        <v>0</v>
      </c>
      <c r="AS338" s="104" t="n"/>
      <c r="AT338" s="104" t="n"/>
    </row>
    <row r="339" ht="12.65" customHeight="1" s="79">
      <c r="A339" s="104">
        <f>MIN(V339,R339)</f>
        <v/>
      </c>
      <c r="B339" s="104">
        <f>MIN(V339,U339)</f>
        <v/>
      </c>
      <c r="C339" s="104">
        <f>MIN(X339,R339)</f>
        <v/>
      </c>
      <c r="D339" s="104">
        <f>MIN(X339,U339)</f>
        <v/>
      </c>
      <c r="E339" s="104">
        <f>MIN((V339+AN339+AR339),U339)</f>
        <v/>
      </c>
      <c r="F339" s="104">
        <f>MAX(MIN((V339+AO339+AR339),R339),0)</f>
        <v/>
      </c>
      <c r="G339" s="104">
        <f>MAX(MIN(AP339,AL339),0)</f>
        <v/>
      </c>
      <c r="H339" s="104">
        <f>MAX(MIN(AQ339,AM339),0)</f>
        <v/>
      </c>
      <c r="I339" s="105" t="inlineStr">
        <is>
          <t>ROOP KISHOR</t>
        </is>
      </c>
      <c r="J339" s="106" t="inlineStr">
        <is>
          <t>HOUSEHOLD</t>
        </is>
      </c>
      <c r="K339" s="107" t="inlineStr">
        <is>
          <t>HH_PLASTICS AIDS</t>
        </is>
      </c>
      <c r="L339" s="107" t="inlineStr">
        <is>
          <t>HH_P_BOWL</t>
        </is>
      </c>
      <c r="M339" s="107" t="inlineStr">
        <is>
          <t>3PCST-[HHPC16]</t>
        </is>
      </c>
      <c r="N339" s="107" t="inlineStr">
        <is>
          <t>ACTIVE</t>
        </is>
      </c>
      <c r="O339" s="108" t="n">
        <v>0.121230740145571</v>
      </c>
      <c r="P339" s="108" t="n">
        <v>0.132825132825133</v>
      </c>
      <c r="Q339" s="109" t="n">
        <v>144</v>
      </c>
      <c r="R339" s="110" t="n">
        <v>736</v>
      </c>
      <c r="S339" s="110" t="n">
        <v>898.0876225277279</v>
      </c>
      <c r="T339" s="110" t="n">
        <v>610.209855057918</v>
      </c>
      <c r="U339" s="110" t="n">
        <v>2244.29747758565</v>
      </c>
      <c r="V339" s="104" t="n">
        <v>1800</v>
      </c>
      <c r="W339" s="104" t="n">
        <v>0</v>
      </c>
      <c r="X339" s="104">
        <f>$V339+W339</f>
        <v/>
      </c>
      <c r="Y339" s="111">
        <f>IFERROR(A339/R339,0)</f>
        <v/>
      </c>
      <c r="Z339" s="111">
        <f>IFERROR(B339/U339,0)</f>
        <v/>
      </c>
      <c r="AA339" s="111">
        <f>IFERROR(C339/R339,0)</f>
        <v/>
      </c>
      <c r="AB339" s="111">
        <f>IFERROR(D339/U339,0)</f>
        <v/>
      </c>
      <c r="AD339" s="111">
        <f>IF(U339&gt;0,IFERROR(E339/U339,0),1)</f>
        <v/>
      </c>
      <c r="AE339" s="111">
        <f>IF(R339&gt;0,IFERROR(F339/R339,0),1)</f>
        <v/>
      </c>
      <c r="AF339" s="111">
        <f>IF(AL339&gt;0,IFERROR(G339/AL339,0),1)</f>
        <v/>
      </c>
      <c r="AG339" s="111">
        <f>IF(AM339&gt;0,IFERROR(H339/AM339,0),1)</f>
        <v/>
      </c>
      <c r="AH339" s="104">
        <f>U339-(V339+AN339+AR339)</f>
        <v/>
      </c>
      <c r="AI339" s="104">
        <f>R339-(V339+AO339+AR339)</f>
        <v/>
      </c>
      <c r="AJ339" s="104">
        <f>(AL339-AP339)</f>
        <v/>
      </c>
      <c r="AK339" s="104">
        <f>(AM339-AQ339)</f>
        <v/>
      </c>
      <c r="AL339" s="110">
        <f>S339+AI339</f>
        <v/>
      </c>
      <c r="AM339" s="110">
        <f>T339+AJ339</f>
        <v/>
      </c>
      <c r="AN339" s="104" t="n">
        <v>0</v>
      </c>
      <c r="AO339" s="104" t="n">
        <v>0</v>
      </c>
      <c r="AP339" s="104" t="n">
        <v>0</v>
      </c>
      <c r="AQ339" s="104" t="n">
        <v>0</v>
      </c>
      <c r="AR339" s="104" t="n">
        <v>0</v>
      </c>
      <c r="AS339" s="104" t="n"/>
      <c r="AT339" s="104" t="n"/>
    </row>
    <row r="340" ht="12.65" customHeight="1" s="79">
      <c r="A340" s="104">
        <f>MIN(V340,R340)</f>
        <v/>
      </c>
      <c r="B340" s="104">
        <f>MIN(V340,U340)</f>
        <v/>
      </c>
      <c r="C340" s="104">
        <f>MIN(X340,R340)</f>
        <v/>
      </c>
      <c r="D340" s="104">
        <f>MIN(X340,U340)</f>
        <v/>
      </c>
      <c r="E340" s="104">
        <f>MIN((V340+AN340+AR340),U340)</f>
        <v/>
      </c>
      <c r="F340" s="104">
        <f>MAX(MIN((V340+AO340+AR340),R340),0)</f>
        <v/>
      </c>
      <c r="G340" s="104">
        <f>MAX(MIN(AP340,AL340),0)</f>
        <v/>
      </c>
      <c r="H340" s="104">
        <f>MAX(MIN(AQ340,AM340),0)</f>
        <v/>
      </c>
      <c r="I340" s="105" t="inlineStr">
        <is>
          <t>ROOP KISHOR</t>
        </is>
      </c>
      <c r="J340" s="106" t="inlineStr">
        <is>
          <t>HOUSEHOLD</t>
        </is>
      </c>
      <c r="K340" s="107" t="inlineStr">
        <is>
          <t>HH_PLASTICS AIDS</t>
        </is>
      </c>
      <c r="L340" s="107" t="inlineStr">
        <is>
          <t>HH_P_BOWL</t>
        </is>
      </c>
      <c r="M340" s="107" t="inlineStr">
        <is>
          <t>6PCST-[HHPC16]</t>
        </is>
      </c>
      <c r="N340" s="107" t="inlineStr">
        <is>
          <t>ACTIVE</t>
        </is>
      </c>
      <c r="O340" s="108" t="n">
        <v>0.159767067358524</v>
      </c>
      <c r="P340" s="108" t="n">
        <v>0.109172124887171</v>
      </c>
      <c r="Q340" s="109" t="n">
        <v>144</v>
      </c>
      <c r="R340" s="110" t="n">
        <v>0</v>
      </c>
      <c r="S340" s="110" t="n">
        <v>0</v>
      </c>
      <c r="T340" s="110" t="n">
        <v>0</v>
      </c>
      <c r="U340" s="110" t="n">
        <v>0</v>
      </c>
      <c r="V340" s="104" t="n">
        <v>4800</v>
      </c>
      <c r="W340" s="104" t="n">
        <v>2400</v>
      </c>
      <c r="X340" s="104">
        <f>$V340+W340</f>
        <v/>
      </c>
      <c r="Y340" s="111">
        <f>IFERROR(A340/R340,0)</f>
        <v/>
      </c>
      <c r="Z340" s="111">
        <f>IFERROR(B340/U340,0)</f>
        <v/>
      </c>
      <c r="AA340" s="111">
        <f>IFERROR(C340/R340,0)</f>
        <v/>
      </c>
      <c r="AB340" s="111">
        <f>IFERROR(D340/U340,0)</f>
        <v/>
      </c>
      <c r="AD340" s="111">
        <f>IF(U340&gt;0,IFERROR(E340/U340,0),1)</f>
        <v/>
      </c>
      <c r="AE340" s="111">
        <f>IF(R340&gt;0,IFERROR(F340/R340,0),1)</f>
        <v/>
      </c>
      <c r="AF340" s="111">
        <f>IF(AL340&gt;0,IFERROR(G340/AL340,0),1)</f>
        <v/>
      </c>
      <c r="AG340" s="111">
        <f>IF(AM340&gt;0,IFERROR(H340/AM340,0),1)</f>
        <v/>
      </c>
      <c r="AH340" s="104">
        <f>U340-(V340+AN340+AR340)</f>
        <v/>
      </c>
      <c r="AI340" s="104">
        <f>R340-(V340+AO340+AR340)</f>
        <v/>
      </c>
      <c r="AJ340" s="104">
        <f>(AL340-AP340)</f>
        <v/>
      </c>
      <c r="AK340" s="104">
        <f>(AM340-AQ340)</f>
        <v/>
      </c>
      <c r="AL340" s="110">
        <f>S340+AI340</f>
        <v/>
      </c>
      <c r="AM340" s="110">
        <f>T340+AJ340</f>
        <v/>
      </c>
      <c r="AN340" s="104" t="n">
        <v>4800</v>
      </c>
      <c r="AO340" s="104" t="n">
        <v>2400</v>
      </c>
      <c r="AP340" s="104" t="n">
        <v>2400</v>
      </c>
      <c r="AQ340" s="104" t="n">
        <v>0</v>
      </c>
      <c r="AR340" s="104" t="n">
        <v>0</v>
      </c>
      <c r="AS340" s="104" t="n"/>
      <c r="AT340" s="104" t="n"/>
    </row>
    <row r="341" ht="12.65" customHeight="1" s="79">
      <c r="A341" s="104">
        <f>MIN(V341,R341)</f>
        <v/>
      </c>
      <c r="B341" s="104">
        <f>MIN(V341,U341)</f>
        <v/>
      </c>
      <c r="C341" s="104">
        <f>MIN(X341,R341)</f>
        <v/>
      </c>
      <c r="D341" s="104">
        <f>MIN(X341,U341)</f>
        <v/>
      </c>
      <c r="E341" s="104">
        <f>MIN((V341+AN341+AR341),U341)</f>
        <v/>
      </c>
      <c r="F341" s="104">
        <f>MAX(MIN((V341+AO341+AR341),R341),0)</f>
        <v/>
      </c>
      <c r="G341" s="104">
        <f>MAX(MIN(AP341,AL341),0)</f>
        <v/>
      </c>
      <c r="H341" s="104">
        <f>MAX(MIN(AQ341,AM341),0)</f>
        <v/>
      </c>
      <c r="I341" s="105" t="inlineStr">
        <is>
          <t>ROOP KISHOR</t>
        </is>
      </c>
      <c r="J341" s="106" t="inlineStr">
        <is>
          <t>HOUSEHOLD</t>
        </is>
      </c>
      <c r="K341" s="107" t="inlineStr">
        <is>
          <t>HH_PLASTICS AIDS</t>
        </is>
      </c>
      <c r="L341" s="107" t="inlineStr">
        <is>
          <t>HH_P_CONTAINER</t>
        </is>
      </c>
      <c r="M341" s="107" t="inlineStr">
        <is>
          <t>CANISTER TPNT PLN-[HHPC19]</t>
        </is>
      </c>
      <c r="N341" s="107" t="inlineStr">
        <is>
          <t>ACTIVE</t>
        </is>
      </c>
      <c r="O341" s="108" t="n">
        <v>0.0806937682015304</v>
      </c>
      <c r="P341" s="108" t="n">
        <v>0.0966339923575345</v>
      </c>
      <c r="Q341" s="109" t="n">
        <v>6</v>
      </c>
      <c r="R341" s="110" t="n">
        <v>10614</v>
      </c>
      <c r="S341" s="110" t="n">
        <v>12531.5616780793</v>
      </c>
      <c r="T341" s="110" t="n">
        <v>9682.088301010641</v>
      </c>
      <c r="U341" s="110" t="n">
        <v>32827.6499790899</v>
      </c>
      <c r="V341" s="104" t="n">
        <v>4776</v>
      </c>
      <c r="W341" s="104" t="n">
        <v>3600</v>
      </c>
      <c r="X341" s="104">
        <f>$V341+W341</f>
        <v/>
      </c>
      <c r="Y341" s="111">
        <f>IFERROR(A341/R341,0)</f>
        <v/>
      </c>
      <c r="Z341" s="111">
        <f>IFERROR(B341/U341,0)</f>
        <v/>
      </c>
      <c r="AA341" s="111">
        <f>IFERROR(C341/R341,0)</f>
        <v/>
      </c>
      <c r="AB341" s="111">
        <f>IFERROR(D341/U341,0)</f>
        <v/>
      </c>
      <c r="AD341" s="111">
        <f>IF(U341&gt;0,IFERROR(E341/U341,0),1)</f>
        <v/>
      </c>
      <c r="AE341" s="111">
        <f>IF(R341&gt;0,IFERROR(F341/R341,0),1)</f>
        <v/>
      </c>
      <c r="AF341" s="111">
        <f>IF(AL341&gt;0,IFERROR(G341/AL341,0),1)</f>
        <v/>
      </c>
      <c r="AG341" s="111">
        <f>IF(AM341&gt;0,IFERROR(H341/AM341,0),1)</f>
        <v/>
      </c>
      <c r="AH341" s="104">
        <f>U341-(V341+AN341+AR341)</f>
        <v/>
      </c>
      <c r="AI341" s="104">
        <f>R341-(V341+AO341+AR341)</f>
        <v/>
      </c>
      <c r="AJ341" s="104">
        <f>(AL341-AP341)</f>
        <v/>
      </c>
      <c r="AK341" s="104">
        <f>(AM341-AQ341)</f>
        <v/>
      </c>
      <c r="AL341" s="110">
        <f>S341+AI341</f>
        <v/>
      </c>
      <c r="AM341" s="110">
        <f>T341+AJ341</f>
        <v/>
      </c>
      <c r="AN341" s="104" t="n">
        <v>17400</v>
      </c>
      <c r="AO341" s="104" t="n">
        <v>12000</v>
      </c>
      <c r="AP341" s="104" t="n">
        <v>5400</v>
      </c>
      <c r="AQ341" s="104" t="n">
        <v>0</v>
      </c>
      <c r="AR341" s="104" t="n">
        <v>0</v>
      </c>
      <c r="AS341" s="104" t="n"/>
      <c r="AT341" s="104" t="n"/>
    </row>
    <row r="342" ht="12.65" customHeight="1" s="79">
      <c r="A342" s="104">
        <f>MIN(V342,R342)</f>
        <v/>
      </c>
      <c r="B342" s="104">
        <f>MIN(V342,U342)</f>
        <v/>
      </c>
      <c r="C342" s="104">
        <f>MIN(X342,R342)</f>
        <v/>
      </c>
      <c r="D342" s="104">
        <f>MIN(X342,U342)</f>
        <v/>
      </c>
      <c r="E342" s="104">
        <f>MIN((V342+AN342+AR342),U342)</f>
        <v/>
      </c>
      <c r="F342" s="104">
        <f>MAX(MIN((V342+AO342+AR342),R342),0)</f>
        <v/>
      </c>
      <c r="G342" s="104">
        <f>MAX(MIN(AP342,AL342),0)</f>
        <v/>
      </c>
      <c r="H342" s="104">
        <f>MAX(MIN(AQ342,AM342),0)</f>
        <v/>
      </c>
      <c r="I342" s="105" t="inlineStr">
        <is>
          <t>ROOP KISHOR</t>
        </is>
      </c>
      <c r="J342" s="106" t="inlineStr">
        <is>
          <t>HOUSEHOLD</t>
        </is>
      </c>
      <c r="K342" s="107" t="inlineStr">
        <is>
          <t>HH_PLASTICS AIDS</t>
        </is>
      </c>
      <c r="L342" s="107" t="inlineStr">
        <is>
          <t>HH_P_CONTAINER</t>
        </is>
      </c>
      <c r="M342" s="107" t="inlineStr">
        <is>
          <t>RND SML TPNT PT-[HHPC19]</t>
        </is>
      </c>
      <c r="N342" s="107" t="inlineStr">
        <is>
          <t>ACTIVE</t>
        </is>
      </c>
      <c r="O342" s="108" t="n">
        <v>0.114910191386219</v>
      </c>
      <c r="P342" s="108" t="n">
        <v>0.08921341278980301</v>
      </c>
      <c r="Q342" s="109" t="n">
        <v>6</v>
      </c>
      <c r="R342" s="110" t="n">
        <v>11492</v>
      </c>
      <c r="S342" s="110" t="n">
        <v>12015.1736348616</v>
      </c>
      <c r="T342" s="110" t="n">
        <v>9054.69965084931</v>
      </c>
      <c r="U342" s="110" t="n">
        <v>32561.873285711</v>
      </c>
      <c r="V342" s="104" t="n">
        <v>9144</v>
      </c>
      <c r="W342" s="104" t="n">
        <v>7200</v>
      </c>
      <c r="X342" s="104">
        <f>$V342+W342</f>
        <v/>
      </c>
      <c r="Y342" s="111">
        <f>IFERROR(A342/R342,0)</f>
        <v/>
      </c>
      <c r="Z342" s="111">
        <f>IFERROR(B342/U342,0)</f>
        <v/>
      </c>
      <c r="AA342" s="111">
        <f>IFERROR(C342/R342,0)</f>
        <v/>
      </c>
      <c r="AB342" s="111">
        <f>IFERROR(D342/U342,0)</f>
        <v/>
      </c>
      <c r="AD342" s="111">
        <f>IF(U342&gt;0,IFERROR(E342/U342,0),1)</f>
        <v/>
      </c>
      <c r="AE342" s="111">
        <f>IF(R342&gt;0,IFERROR(F342/R342,0),1)</f>
        <v/>
      </c>
      <c r="AF342" s="111">
        <f>IF(AL342&gt;0,IFERROR(G342/AL342,0),1)</f>
        <v/>
      </c>
      <c r="AG342" s="111">
        <f>IF(AM342&gt;0,IFERROR(H342/AM342,0),1)</f>
        <v/>
      </c>
      <c r="AH342" s="104">
        <f>U342-(V342+AN342+AR342)</f>
        <v/>
      </c>
      <c r="AI342" s="104">
        <f>R342-(V342+AO342+AR342)</f>
        <v/>
      </c>
      <c r="AJ342" s="104">
        <f>(AL342-AP342)</f>
        <v/>
      </c>
      <c r="AK342" s="104">
        <f>(AM342-AQ342)</f>
        <v/>
      </c>
      <c r="AL342" s="110">
        <f>S342+AI342</f>
        <v/>
      </c>
      <c r="AM342" s="110">
        <f>T342+AJ342</f>
        <v/>
      </c>
      <c r="AN342" s="104" t="n">
        <v>48480</v>
      </c>
      <c r="AO342" s="104" t="n">
        <v>28080</v>
      </c>
      <c r="AP342" s="104" t="n">
        <v>18000</v>
      </c>
      <c r="AQ342" s="104" t="n">
        <v>2400</v>
      </c>
      <c r="AR342" s="104" t="n">
        <v>0</v>
      </c>
      <c r="AS342" s="104" t="n"/>
      <c r="AT342" s="104" t="n"/>
    </row>
    <row r="343" ht="12.65" customHeight="1" s="79">
      <c r="A343" s="104">
        <f>MIN(V343,R343)</f>
        <v/>
      </c>
      <c r="B343" s="104">
        <f>MIN(V343,U343)</f>
        <v/>
      </c>
      <c r="C343" s="104">
        <f>MIN(X343,R343)</f>
        <v/>
      </c>
      <c r="D343" s="104">
        <f>MIN(X343,U343)</f>
        <v/>
      </c>
      <c r="E343" s="104">
        <f>MIN((V343+AN343+AR343),U343)</f>
        <v/>
      </c>
      <c r="F343" s="104">
        <f>MAX(MIN((V343+AO343+AR343),R343),0)</f>
        <v/>
      </c>
      <c r="G343" s="104">
        <f>MAX(MIN(AP343,AL343),0)</f>
        <v/>
      </c>
      <c r="H343" s="104">
        <f>MAX(MIN(AQ343,AM343),0)</f>
        <v/>
      </c>
      <c r="I343" s="105" t="inlineStr">
        <is>
          <t>ROOP KISHOR</t>
        </is>
      </c>
      <c r="J343" s="106" t="inlineStr">
        <is>
          <t>HOUSEHOLD</t>
        </is>
      </c>
      <c r="K343" s="107" t="inlineStr">
        <is>
          <t>HH_PLASTICS AIDS</t>
        </is>
      </c>
      <c r="L343" s="107" t="inlineStr">
        <is>
          <t>HH_P_CONTAINER</t>
        </is>
      </c>
      <c r="M343" s="107" t="inlineStr">
        <is>
          <t>CANISTER TPNT PT-[HHPC19]</t>
        </is>
      </c>
      <c r="N343" s="107" t="inlineStr">
        <is>
          <t>ACTIVE</t>
        </is>
      </c>
      <c r="O343" s="108" t="n">
        <v>0.0858586200821283</v>
      </c>
      <c r="P343" s="108" t="n">
        <v>0.08135026229757469</v>
      </c>
      <c r="Q343" s="109" t="n">
        <v>6</v>
      </c>
      <c r="R343" s="110" t="n">
        <v>10839</v>
      </c>
      <c r="S343" s="110" t="n">
        <v>7804.65765405073</v>
      </c>
      <c r="T343" s="110" t="n">
        <v>5393.57499464496</v>
      </c>
      <c r="U343" s="110" t="n">
        <v>24037.2326486957</v>
      </c>
      <c r="V343" s="104" t="n">
        <v>0</v>
      </c>
      <c r="W343" s="104" t="n">
        <v>3600</v>
      </c>
      <c r="X343" s="104">
        <f>$V343+W343</f>
        <v/>
      </c>
      <c r="Y343" s="111">
        <f>IFERROR(A343/R343,0)</f>
        <v/>
      </c>
      <c r="Z343" s="111">
        <f>IFERROR(B343/U343,0)</f>
        <v/>
      </c>
      <c r="AA343" s="111">
        <f>IFERROR(C343/R343,0)</f>
        <v/>
      </c>
      <c r="AB343" s="111">
        <f>IFERROR(D343/U343,0)</f>
        <v/>
      </c>
      <c r="AD343" s="111">
        <f>IF(U343&gt;0,IFERROR(E343/U343,0),1)</f>
        <v/>
      </c>
      <c r="AE343" s="111">
        <f>IF(R343&gt;0,IFERROR(F343/R343,0),1)</f>
        <v/>
      </c>
      <c r="AF343" s="111">
        <f>IF(AL343&gt;0,IFERROR(G343/AL343,0),1)</f>
        <v/>
      </c>
      <c r="AG343" s="111">
        <f>IF(AM343&gt;0,IFERROR(H343/AM343,0),1)</f>
        <v/>
      </c>
      <c r="AH343" s="104">
        <f>U343-(V343+AN343+AR343)</f>
        <v/>
      </c>
      <c r="AI343" s="104">
        <f>R343-(V343+AO343+AR343)</f>
        <v/>
      </c>
      <c r="AJ343" s="104">
        <f>(AL343-AP343)</f>
        <v/>
      </c>
      <c r="AK343" s="104">
        <f>(AM343-AQ343)</f>
        <v/>
      </c>
      <c r="AL343" s="110">
        <f>S343+AI343</f>
        <v/>
      </c>
      <c r="AM343" s="110">
        <f>T343+AJ343</f>
        <v/>
      </c>
      <c r="AN343" s="104" t="n">
        <v>12000</v>
      </c>
      <c r="AO343" s="104" t="n">
        <v>8400</v>
      </c>
      <c r="AP343" s="104" t="n">
        <v>3600</v>
      </c>
      <c r="AQ343" s="104" t="n">
        <v>0</v>
      </c>
      <c r="AR343" s="104" t="n">
        <v>0</v>
      </c>
      <c r="AS343" s="104" t="n"/>
      <c r="AT343" s="104" t="n"/>
    </row>
    <row r="344" ht="12.65" customHeight="1" s="79">
      <c r="A344" s="104">
        <f>MIN(V344,R344)</f>
        <v/>
      </c>
      <c r="B344" s="104">
        <f>MIN(V344,U344)</f>
        <v/>
      </c>
      <c r="C344" s="104">
        <f>MIN(X344,R344)</f>
        <v/>
      </c>
      <c r="D344" s="104">
        <f>MIN(X344,U344)</f>
        <v/>
      </c>
      <c r="E344" s="104">
        <f>MIN((V344+AN344+AR344),U344)</f>
        <v/>
      </c>
      <c r="F344" s="104">
        <f>MAX(MIN((V344+AO344+AR344),R344),0)</f>
        <v/>
      </c>
      <c r="G344" s="104">
        <f>MAX(MIN(AP344,AL344),0)</f>
        <v/>
      </c>
      <c r="H344" s="104">
        <f>MAX(MIN(AQ344,AM344),0)</f>
        <v/>
      </c>
      <c r="I344" s="105" t="inlineStr">
        <is>
          <t>ROOP KISHOR</t>
        </is>
      </c>
      <c r="J344" s="106" t="inlineStr">
        <is>
          <t>HOUSEHOLD</t>
        </is>
      </c>
      <c r="K344" s="107" t="inlineStr">
        <is>
          <t>HH_PLASTICS AIDS</t>
        </is>
      </c>
      <c r="L344" s="107" t="inlineStr">
        <is>
          <t>HH_P_CONTAINER</t>
        </is>
      </c>
      <c r="M344" s="107" t="inlineStr">
        <is>
          <t>SQR MDM TPNT PLN-[HHPC19]</t>
        </is>
      </c>
      <c r="N344" s="107" t="inlineStr">
        <is>
          <t>ACTIVE</t>
        </is>
      </c>
      <c r="O344" s="108" t="n">
        <v>0.107655481024304</v>
      </c>
      <c r="P344" s="108" t="n">
        <v>0.09634292151263329</v>
      </c>
      <c r="Q344" s="109" t="n">
        <v>6</v>
      </c>
      <c r="R344" s="110" t="n">
        <v>4631</v>
      </c>
      <c r="S344" s="110" t="n">
        <v>4165.45994495326</v>
      </c>
      <c r="T344" s="110" t="n">
        <v>5001.62601578781</v>
      </c>
      <c r="U344" s="110" t="n">
        <v>13798.0859607411</v>
      </c>
      <c r="V344" s="104" t="n">
        <v>2400</v>
      </c>
      <c r="W344" s="104" t="n">
        <v>2400</v>
      </c>
      <c r="X344" s="104">
        <f>$V344+W344</f>
        <v/>
      </c>
      <c r="Y344" s="111">
        <f>IFERROR(A344/R344,0)</f>
        <v/>
      </c>
      <c r="Z344" s="111">
        <f>IFERROR(B344/U344,0)</f>
        <v/>
      </c>
      <c r="AA344" s="111">
        <f>IFERROR(C344/R344,0)</f>
        <v/>
      </c>
      <c r="AB344" s="111">
        <f>IFERROR(D344/U344,0)</f>
        <v/>
      </c>
      <c r="AD344" s="111">
        <f>IF(U344&gt;0,IFERROR(E344/U344,0),1)</f>
        <v/>
      </c>
      <c r="AE344" s="111">
        <f>IF(R344&gt;0,IFERROR(F344/R344,0),1)</f>
        <v/>
      </c>
      <c r="AF344" s="111">
        <f>IF(AL344&gt;0,IFERROR(G344/AL344,0),1)</f>
        <v/>
      </c>
      <c r="AG344" s="111">
        <f>IF(AM344&gt;0,IFERROR(H344/AM344,0),1)</f>
        <v/>
      </c>
      <c r="AH344" s="104">
        <f>U344-(V344+AN344+AR344)</f>
        <v/>
      </c>
      <c r="AI344" s="104">
        <f>R344-(V344+AO344+AR344)</f>
        <v/>
      </c>
      <c r="AJ344" s="104">
        <f>(AL344-AP344)</f>
        <v/>
      </c>
      <c r="AK344" s="104">
        <f>(AM344-AQ344)</f>
        <v/>
      </c>
      <c r="AL344" s="110">
        <f>S344+AI344</f>
        <v/>
      </c>
      <c r="AM344" s="110">
        <f>T344+AJ344</f>
        <v/>
      </c>
      <c r="AN344" s="104" t="n">
        <v>16560</v>
      </c>
      <c r="AO344" s="104" t="n">
        <v>6960</v>
      </c>
      <c r="AP344" s="104" t="n">
        <v>4800</v>
      </c>
      <c r="AQ344" s="104" t="n">
        <v>4800</v>
      </c>
      <c r="AR344" s="104" t="n">
        <v>0</v>
      </c>
      <c r="AS344" s="104" t="n"/>
      <c r="AT344" s="104" t="n"/>
    </row>
    <row r="345" ht="12.65" customHeight="1" s="79">
      <c r="A345" s="104">
        <f>MIN(V345,R345)</f>
        <v/>
      </c>
      <c r="B345" s="104">
        <f>MIN(V345,U345)</f>
        <v/>
      </c>
      <c r="C345" s="104">
        <f>MIN(X345,R345)</f>
        <v/>
      </c>
      <c r="D345" s="104">
        <f>MIN(X345,U345)</f>
        <v/>
      </c>
      <c r="E345" s="104">
        <f>MIN((V345+AN345+AR345),U345)</f>
        <v/>
      </c>
      <c r="F345" s="104">
        <f>MAX(MIN((V345+AO345+AR345),R345),0)</f>
        <v/>
      </c>
      <c r="G345" s="104">
        <f>MAX(MIN(AP345,AL345),0)</f>
        <v/>
      </c>
      <c r="H345" s="104">
        <f>MAX(MIN(AQ345,AM345),0)</f>
        <v/>
      </c>
      <c r="I345" s="105" t="inlineStr">
        <is>
          <t>ROOP KISHOR</t>
        </is>
      </c>
      <c r="J345" s="106" t="inlineStr">
        <is>
          <t>HOUSEHOLD</t>
        </is>
      </c>
      <c r="K345" s="107" t="inlineStr">
        <is>
          <t>HH_PLASTICS AIDS</t>
        </is>
      </c>
      <c r="L345" s="107" t="inlineStr">
        <is>
          <t>HH_P_CONTAINER</t>
        </is>
      </c>
      <c r="M345" s="107" t="inlineStr">
        <is>
          <t>5 7 10 PT-[HHPC19]</t>
        </is>
      </c>
      <c r="N345" s="107" t="inlineStr">
        <is>
          <t>ACTIVE</t>
        </is>
      </c>
      <c r="O345" s="108" t="n">
        <v>0.122969454732133</v>
      </c>
      <c r="P345" s="108" t="n">
        <v>0.0753474232773596</v>
      </c>
      <c r="Q345" s="109" t="n">
        <v>6</v>
      </c>
      <c r="R345" s="110" t="n">
        <v>330</v>
      </c>
      <c r="S345" s="110" t="n">
        <v>784.682804208614</v>
      </c>
      <c r="T345" s="110" t="n">
        <v>750.29315501436</v>
      </c>
      <c r="U345" s="110" t="n">
        <v>1864.97595922297</v>
      </c>
      <c r="V345" s="104" t="n">
        <v>2964</v>
      </c>
      <c r="W345" s="104" t="n">
        <v>0</v>
      </c>
      <c r="X345" s="104">
        <f>$V345+W345</f>
        <v/>
      </c>
      <c r="Y345" s="111">
        <f>IFERROR(A345/R345,0)</f>
        <v/>
      </c>
      <c r="Z345" s="111">
        <f>IFERROR(B345/U345,0)</f>
        <v/>
      </c>
      <c r="AA345" s="111">
        <f>IFERROR(C345/R345,0)</f>
        <v/>
      </c>
      <c r="AB345" s="111">
        <f>IFERROR(D345/U345,0)</f>
        <v/>
      </c>
      <c r="AD345" s="111">
        <f>IF(U345&gt;0,IFERROR(E345/U345,0),1)</f>
        <v/>
      </c>
      <c r="AE345" s="111">
        <f>IF(R345&gt;0,IFERROR(F345/R345,0),1)</f>
        <v/>
      </c>
      <c r="AF345" s="111">
        <f>IF(AL345&gt;0,IFERROR(G345/AL345,0),1)</f>
        <v/>
      </c>
      <c r="AG345" s="111">
        <f>IF(AM345&gt;0,IFERROR(H345/AM345,0),1)</f>
        <v/>
      </c>
      <c r="AH345" s="104">
        <f>U345-(V345+AN345+AR345)</f>
        <v/>
      </c>
      <c r="AI345" s="104">
        <f>R345-(V345+AO345+AR345)</f>
        <v/>
      </c>
      <c r="AJ345" s="104">
        <f>(AL345-AP345)</f>
        <v/>
      </c>
      <c r="AK345" s="104">
        <f>(AM345-AQ345)</f>
        <v/>
      </c>
      <c r="AL345" s="110">
        <f>S345+AI345</f>
        <v/>
      </c>
      <c r="AM345" s="110">
        <f>T345+AJ345</f>
        <v/>
      </c>
      <c r="AN345" s="104" t="n">
        <v>1920</v>
      </c>
      <c r="AO345" s="104" t="n">
        <v>120</v>
      </c>
      <c r="AP345" s="104" t="n">
        <v>1800</v>
      </c>
      <c r="AQ345" s="104" t="n">
        <v>0</v>
      </c>
      <c r="AR345" s="104" t="n">
        <v>0</v>
      </c>
      <c r="AS345" s="104" t="n"/>
      <c r="AT345" s="104" t="n"/>
    </row>
    <row r="346" ht="12.65" customHeight="1" s="79">
      <c r="A346" s="104">
        <f>MIN(V346,R346)</f>
        <v/>
      </c>
      <c r="B346" s="104">
        <f>MIN(V346,U346)</f>
        <v/>
      </c>
      <c r="C346" s="104">
        <f>MIN(X346,R346)</f>
        <v/>
      </c>
      <c r="D346" s="104">
        <f>MIN(X346,U346)</f>
        <v/>
      </c>
      <c r="E346" s="104">
        <f>MIN((V346+AN346+AR346),U346)</f>
        <v/>
      </c>
      <c r="F346" s="104">
        <f>MAX(MIN((V346+AO346+AR346),R346),0)</f>
        <v/>
      </c>
      <c r="G346" s="104">
        <f>MAX(MIN(AP346,AL346),0)</f>
        <v/>
      </c>
      <c r="H346" s="104">
        <f>MAX(MIN(AQ346,AM346),0)</f>
        <v/>
      </c>
      <c r="I346" s="105" t="inlineStr">
        <is>
          <t>ROOP KISHOR</t>
        </is>
      </c>
      <c r="J346" s="106" t="inlineStr">
        <is>
          <t>HOUSEHOLD</t>
        </is>
      </c>
      <c r="K346" s="107" t="inlineStr">
        <is>
          <t>HH_PLASTICS AIDS</t>
        </is>
      </c>
      <c r="L346" s="107" t="inlineStr">
        <is>
          <t>HH_P_FRIDGE BOTTLE</t>
        </is>
      </c>
      <c r="M346" s="107" t="inlineStr">
        <is>
          <t>3PCST-[HHPC23]</t>
        </is>
      </c>
      <c r="N346" s="107" t="inlineStr">
        <is>
          <t>ACTIVE</t>
        </is>
      </c>
      <c r="O346" s="108" t="n">
        <v>0.118686451240472</v>
      </c>
      <c r="P346" s="108" t="n">
        <v>0.076360410594348</v>
      </c>
      <c r="Q346" s="109" t="n">
        <v>179</v>
      </c>
      <c r="R346" s="110" t="n">
        <v>0</v>
      </c>
      <c r="S346" s="110" t="n">
        <v>0</v>
      </c>
      <c r="T346" s="110" t="n">
        <v>0</v>
      </c>
      <c r="U346" s="110" t="n">
        <v>0</v>
      </c>
      <c r="V346" s="104" t="n">
        <v>0</v>
      </c>
      <c r="W346" s="104" t="n">
        <v>0</v>
      </c>
      <c r="X346" s="104">
        <f>$V346+W346</f>
        <v/>
      </c>
      <c r="Y346" s="111">
        <f>IFERROR(A346/R346,0)</f>
        <v/>
      </c>
      <c r="Z346" s="111">
        <f>IFERROR(B346/U346,0)</f>
        <v/>
      </c>
      <c r="AA346" s="111">
        <f>IFERROR(C346/R346,0)</f>
        <v/>
      </c>
      <c r="AB346" s="111">
        <f>IFERROR(D346/U346,0)</f>
        <v/>
      </c>
      <c r="AD346" s="111">
        <f>IF(U346&gt;0,IFERROR(E346/U346,0),1)</f>
        <v/>
      </c>
      <c r="AE346" s="111">
        <f>IF(R346&gt;0,IFERROR(F346/R346,0),1)</f>
        <v/>
      </c>
      <c r="AF346" s="111">
        <f>IF(AL346&gt;0,IFERROR(G346/AL346,0),1)</f>
        <v/>
      </c>
      <c r="AG346" s="111">
        <f>IF(AM346&gt;0,IFERROR(H346/AM346,0),1)</f>
        <v/>
      </c>
      <c r="AH346" s="104">
        <f>U346-(V346+AN346+AR346)</f>
        <v/>
      </c>
      <c r="AI346" s="104">
        <f>R346-(V346+AO346+AR346)</f>
        <v/>
      </c>
      <c r="AJ346" s="104">
        <f>(AL346-AP346)</f>
        <v/>
      </c>
      <c r="AK346" s="104">
        <f>(AM346-AQ346)</f>
        <v/>
      </c>
      <c r="AL346" s="110">
        <f>S346+AI346</f>
        <v/>
      </c>
      <c r="AM346" s="110">
        <f>T346+AJ346</f>
        <v/>
      </c>
      <c r="AN346" s="104" t="n">
        <v>0</v>
      </c>
      <c r="AO346" s="104" t="n">
        <v>0</v>
      </c>
      <c r="AP346" s="104" t="n">
        <v>0</v>
      </c>
      <c r="AQ346" s="104" t="n">
        <v>0</v>
      </c>
      <c r="AR346" s="104" t="n">
        <v>0</v>
      </c>
      <c r="AS346" s="104" t="n"/>
      <c r="AT346" s="104" t="n"/>
    </row>
    <row r="347" ht="12.65" customHeight="1" s="79">
      <c r="A347" s="104">
        <f>MIN(V347,R347)</f>
        <v/>
      </c>
      <c r="B347" s="104">
        <f>MIN(V347,U347)</f>
        <v/>
      </c>
      <c r="C347" s="104">
        <f>MIN(X347,R347)</f>
        <v/>
      </c>
      <c r="D347" s="104">
        <f>MIN(X347,U347)</f>
        <v/>
      </c>
      <c r="E347" s="104">
        <f>MIN((V347+AN347+AR347),U347)</f>
        <v/>
      </c>
      <c r="F347" s="104">
        <f>MAX(MIN((V347+AO347+AR347),R347),0)</f>
        <v/>
      </c>
      <c r="G347" s="104">
        <f>MAX(MIN(AP347,AL347),0)</f>
        <v/>
      </c>
      <c r="H347" s="104">
        <f>MAX(MIN(AQ347,AM347),0)</f>
        <v/>
      </c>
      <c r="I347" s="105" t="inlineStr">
        <is>
          <t>ROOP KISHOR</t>
        </is>
      </c>
      <c r="J347" s="106" t="inlineStr">
        <is>
          <t>HOUSEHOLD</t>
        </is>
      </c>
      <c r="K347" s="107" t="inlineStr">
        <is>
          <t>HH_PLASTICS AIDS</t>
        </is>
      </c>
      <c r="L347" s="107" t="inlineStr">
        <is>
          <t>HH_P_FRIDGE BOTTLE</t>
        </is>
      </c>
      <c r="M347" s="107" t="inlineStr">
        <is>
          <t>BRND 6PCST-[HHPC23]</t>
        </is>
      </c>
      <c r="N347" s="107" t="inlineStr">
        <is>
          <t>ACTIVE</t>
        </is>
      </c>
      <c r="O347" s="108" t="n">
        <v>0.161912560265949</v>
      </c>
      <c r="P347" s="108" t="n">
        <v>0.09592384017162781</v>
      </c>
      <c r="Q347" s="109" t="n">
        <v>179</v>
      </c>
      <c r="R347" s="110" t="n">
        <v>0</v>
      </c>
      <c r="S347" s="110" t="n">
        <v>0</v>
      </c>
      <c r="T347" s="110" t="n">
        <v>0</v>
      </c>
      <c r="U347" s="110" t="n">
        <v>0</v>
      </c>
      <c r="V347" s="104" t="n">
        <v>0</v>
      </c>
      <c r="W347" s="104" t="n">
        <v>0</v>
      </c>
      <c r="X347" s="104">
        <f>$V347+W347</f>
        <v/>
      </c>
      <c r="Y347" s="111">
        <f>IFERROR(A347/R347,0)</f>
        <v/>
      </c>
      <c r="Z347" s="111">
        <f>IFERROR(B347/U347,0)</f>
        <v/>
      </c>
      <c r="AA347" s="111">
        <f>IFERROR(C347/R347,0)</f>
        <v/>
      </c>
      <c r="AB347" s="111">
        <f>IFERROR(D347/U347,0)</f>
        <v/>
      </c>
      <c r="AD347" s="111">
        <f>IF(U347&gt;0,IFERROR(E347/U347,0),1)</f>
        <v/>
      </c>
      <c r="AE347" s="111">
        <f>IF(R347&gt;0,IFERROR(F347/R347,0),1)</f>
        <v/>
      </c>
      <c r="AF347" s="111">
        <f>IF(AL347&gt;0,IFERROR(G347/AL347,0),1)</f>
        <v/>
      </c>
      <c r="AG347" s="111">
        <f>IF(AM347&gt;0,IFERROR(H347/AM347,0),1)</f>
        <v/>
      </c>
      <c r="AH347" s="104">
        <f>U347-(V347+AN347+AR347)</f>
        <v/>
      </c>
      <c r="AI347" s="104">
        <f>R347-(V347+AO347+AR347)</f>
        <v/>
      </c>
      <c r="AJ347" s="104">
        <f>(AL347-AP347)</f>
        <v/>
      </c>
      <c r="AK347" s="104">
        <f>(AM347-AQ347)</f>
        <v/>
      </c>
      <c r="AL347" s="110">
        <f>S347+AI347</f>
        <v/>
      </c>
      <c r="AM347" s="110">
        <f>T347+AJ347</f>
        <v/>
      </c>
      <c r="AN347" s="104" t="n">
        <v>0</v>
      </c>
      <c r="AO347" s="104" t="n">
        <v>0</v>
      </c>
      <c r="AP347" s="104" t="n">
        <v>0</v>
      </c>
      <c r="AQ347" s="104" t="n">
        <v>0</v>
      </c>
      <c r="AR347" s="104" t="n">
        <v>0</v>
      </c>
      <c r="AS347" s="104" t="n"/>
      <c r="AT347" s="104" t="n"/>
    </row>
    <row r="348" ht="12.65" customHeight="1" s="79">
      <c r="A348" s="104">
        <f>MIN(V348,R348)</f>
        <v/>
      </c>
      <c r="B348" s="104">
        <f>MIN(V348,U348)</f>
        <v/>
      </c>
      <c r="C348" s="104">
        <f>MIN(X348,R348)</f>
        <v/>
      </c>
      <c r="D348" s="104">
        <f>MIN(X348,U348)</f>
        <v/>
      </c>
      <c r="E348" s="104">
        <f>MIN((V348+AN348+AR348),U348)</f>
        <v/>
      </c>
      <c r="F348" s="104">
        <f>MAX(MIN((V348+AO348+AR348),R348),0)</f>
        <v/>
      </c>
      <c r="G348" s="104">
        <f>MAX(MIN(AP348,AL348),0)</f>
        <v/>
      </c>
      <c r="H348" s="104">
        <f>MAX(MIN(AQ348,AM348),0)</f>
        <v/>
      </c>
      <c r="I348" s="105" t="inlineStr">
        <is>
          <t>ROOP KISHOR</t>
        </is>
      </c>
      <c r="J348" s="106" t="inlineStr">
        <is>
          <t>HOUSEHOLD</t>
        </is>
      </c>
      <c r="K348" s="107" t="inlineStr">
        <is>
          <t>HH_PLASTICS AIDS</t>
        </is>
      </c>
      <c r="L348" s="107" t="inlineStr">
        <is>
          <t>HH_P_FRIDGE BOTTLE</t>
        </is>
      </c>
      <c r="M348" s="107" t="inlineStr">
        <is>
          <t>BRND SINGLE-[HHPC23]</t>
        </is>
      </c>
      <c r="N348" s="107" t="inlineStr">
        <is>
          <t>ACTIVE</t>
        </is>
      </c>
      <c r="O348" s="108" t="n">
        <v>0.116048797576607</v>
      </c>
      <c r="P348" s="108" t="n">
        <v>0.0631184694941585</v>
      </c>
      <c r="Q348" s="109" t="n">
        <v>179</v>
      </c>
      <c r="R348" s="110" t="n">
        <v>0</v>
      </c>
      <c r="S348" s="110" t="n">
        <v>0</v>
      </c>
      <c r="T348" s="110" t="n">
        <v>0</v>
      </c>
      <c r="U348" s="110" t="n">
        <v>0</v>
      </c>
      <c r="V348" s="104" t="n">
        <v>0</v>
      </c>
      <c r="W348" s="104" t="n">
        <v>0</v>
      </c>
      <c r="X348" s="104">
        <f>$V348+W348</f>
        <v/>
      </c>
      <c r="Y348" s="111">
        <f>IFERROR(A348/R348,0)</f>
        <v/>
      </c>
      <c r="Z348" s="111">
        <f>IFERROR(B348/U348,0)</f>
        <v/>
      </c>
      <c r="AA348" s="111">
        <f>IFERROR(C348/R348,0)</f>
        <v/>
      </c>
      <c r="AB348" s="111">
        <f>IFERROR(D348/U348,0)</f>
        <v/>
      </c>
      <c r="AD348" s="111">
        <f>IF(U348&gt;0,IFERROR(E348/U348,0),1)</f>
        <v/>
      </c>
      <c r="AE348" s="111">
        <f>IF(R348&gt;0,IFERROR(F348/R348,0),1)</f>
        <v/>
      </c>
      <c r="AF348" s="111">
        <f>IF(AL348&gt;0,IFERROR(G348/AL348,0),1)</f>
        <v/>
      </c>
      <c r="AG348" s="111">
        <f>IF(AM348&gt;0,IFERROR(H348/AM348,0),1)</f>
        <v/>
      </c>
      <c r="AH348" s="104">
        <f>U348-(V348+AN348+AR348)</f>
        <v/>
      </c>
      <c r="AI348" s="104">
        <f>R348-(V348+AO348+AR348)</f>
        <v/>
      </c>
      <c r="AJ348" s="104">
        <f>(AL348-AP348)</f>
        <v/>
      </c>
      <c r="AK348" s="104">
        <f>(AM348-AQ348)</f>
        <v/>
      </c>
      <c r="AL348" s="110">
        <f>S348+AI348</f>
        <v/>
      </c>
      <c r="AM348" s="110">
        <f>T348+AJ348</f>
        <v/>
      </c>
      <c r="AN348" s="104" t="n">
        <v>0</v>
      </c>
      <c r="AO348" s="104" t="n">
        <v>0</v>
      </c>
      <c r="AP348" s="104" t="n">
        <v>0</v>
      </c>
      <c r="AQ348" s="104" t="n">
        <v>0</v>
      </c>
      <c r="AR348" s="104" t="n">
        <v>0</v>
      </c>
      <c r="AS348" s="104" t="n"/>
      <c r="AT348" s="104" t="n"/>
    </row>
    <row r="349" ht="12.65" customHeight="1" s="79">
      <c r="A349" s="104">
        <f>MIN(V349,R349)</f>
        <v/>
      </c>
      <c r="B349" s="104">
        <f>MIN(V349,U349)</f>
        <v/>
      </c>
      <c r="C349" s="104">
        <f>MIN(X349,R349)</f>
        <v/>
      </c>
      <c r="D349" s="104">
        <f>MIN(X349,U349)</f>
        <v/>
      </c>
      <c r="E349" s="104">
        <f>MIN((V349+AN349+AR349),U349)</f>
        <v/>
      </c>
      <c r="F349" s="104">
        <f>MAX(MIN((V349+AO349+AR349),R349),0)</f>
        <v/>
      </c>
      <c r="G349" s="104">
        <f>MAX(MIN(AP349,AL349),0)</f>
        <v/>
      </c>
      <c r="H349" s="104">
        <f>MAX(MIN(AQ349,AM349),0)</f>
        <v/>
      </c>
      <c r="I349" s="105" t="inlineStr">
        <is>
          <t>ROOP KISHOR</t>
        </is>
      </c>
      <c r="J349" s="106" t="inlineStr">
        <is>
          <t>HOUSEHOLD</t>
        </is>
      </c>
      <c r="K349" s="107" t="inlineStr">
        <is>
          <t>HH_PLASTICS AIDS</t>
        </is>
      </c>
      <c r="L349" s="107" t="inlineStr">
        <is>
          <t>HH_P_FRIDGE BOTTLE</t>
        </is>
      </c>
      <c r="M349" s="107" t="inlineStr">
        <is>
          <t>SINGLE-[HHPC23]</t>
        </is>
      </c>
      <c r="N349" s="107" t="inlineStr">
        <is>
          <t>ACTIVE</t>
        </is>
      </c>
      <c r="O349" s="108" t="n">
        <v>0.111478288366941</v>
      </c>
      <c r="P349" s="108" t="n">
        <v>0.0839355810974217</v>
      </c>
      <c r="Q349" s="109" t="n">
        <v>179</v>
      </c>
      <c r="R349" s="110" t="n">
        <v>0</v>
      </c>
      <c r="S349" s="110" t="n">
        <v>0</v>
      </c>
      <c r="T349" s="110" t="n">
        <v>0</v>
      </c>
      <c r="U349" s="110" t="n">
        <v>0</v>
      </c>
      <c r="V349" s="104" t="n">
        <v>0</v>
      </c>
      <c r="W349" s="104" t="n">
        <v>0</v>
      </c>
      <c r="X349" s="104">
        <f>$V349+W349</f>
        <v/>
      </c>
      <c r="Y349" s="111">
        <f>IFERROR(A349/R349,0)</f>
        <v/>
      </c>
      <c r="Z349" s="111">
        <f>IFERROR(B349/U349,0)</f>
        <v/>
      </c>
      <c r="AA349" s="111">
        <f>IFERROR(C349/R349,0)</f>
        <v/>
      </c>
      <c r="AB349" s="111">
        <f>IFERROR(D349/U349,0)</f>
        <v/>
      </c>
      <c r="AD349" s="111">
        <f>IF(U349&gt;0,IFERROR(E349/U349,0),1)</f>
        <v/>
      </c>
      <c r="AE349" s="111">
        <f>IF(R349&gt;0,IFERROR(F349/R349,0),1)</f>
        <v/>
      </c>
      <c r="AF349" s="111">
        <f>IF(AL349&gt;0,IFERROR(G349/AL349,0),1)</f>
        <v/>
      </c>
      <c r="AG349" s="111">
        <f>IF(AM349&gt;0,IFERROR(H349/AM349,0),1)</f>
        <v/>
      </c>
      <c r="AH349" s="104">
        <f>U349-(V349+AN349+AR349)</f>
        <v/>
      </c>
      <c r="AI349" s="104">
        <f>R349-(V349+AO349+AR349)</f>
        <v/>
      </c>
      <c r="AJ349" s="104">
        <f>(AL349-AP349)</f>
        <v/>
      </c>
      <c r="AK349" s="104">
        <f>(AM349-AQ349)</f>
        <v/>
      </c>
      <c r="AL349" s="110">
        <f>S349+AI349</f>
        <v/>
      </c>
      <c r="AM349" s="110">
        <f>T349+AJ349</f>
        <v/>
      </c>
      <c r="AN349" s="104" t="n">
        <v>0</v>
      </c>
      <c r="AO349" s="104" t="n">
        <v>0</v>
      </c>
      <c r="AP349" s="104" t="n">
        <v>0</v>
      </c>
      <c r="AQ349" s="104" t="n">
        <v>0</v>
      </c>
      <c r="AR349" s="104" t="n">
        <v>0</v>
      </c>
      <c r="AS349" s="104" t="n"/>
      <c r="AT349" s="104" t="n"/>
    </row>
    <row r="350" ht="12.65" customHeight="1" s="79">
      <c r="A350" s="104">
        <f>MIN(V350,R350)</f>
        <v/>
      </c>
      <c r="B350" s="104">
        <f>MIN(V350,U350)</f>
        <v/>
      </c>
      <c r="C350" s="104">
        <f>MIN(X350,R350)</f>
        <v/>
      </c>
      <c r="D350" s="104">
        <f>MIN(X350,U350)</f>
        <v/>
      </c>
      <c r="E350" s="104">
        <f>MIN((V350+AN350+AR350),U350)</f>
        <v/>
      </c>
      <c r="F350" s="104">
        <f>MAX(MIN((V350+AO350+AR350),R350),0)</f>
        <v/>
      </c>
      <c r="G350" s="104">
        <f>MAX(MIN(AP350,AL350),0)</f>
        <v/>
      </c>
      <c r="H350" s="104">
        <f>MAX(MIN(AQ350,AM350),0)</f>
        <v/>
      </c>
      <c r="I350" s="105" t="inlineStr">
        <is>
          <t>ROOP KISHOR</t>
        </is>
      </c>
      <c r="J350" s="106" t="inlineStr">
        <is>
          <t>HOUSEHOLD</t>
        </is>
      </c>
      <c r="K350" s="107" t="inlineStr">
        <is>
          <t>HH_PLASTICS AIDS</t>
        </is>
      </c>
      <c r="L350" s="107" t="inlineStr">
        <is>
          <t>HH_P_JUG</t>
        </is>
      </c>
      <c r="M350" s="107" t="inlineStr">
        <is>
          <t>NON INSLTD-[HHPC27]</t>
        </is>
      </c>
      <c r="N350" s="107" t="inlineStr">
        <is>
          <t>ACTIVE</t>
        </is>
      </c>
      <c r="O350" s="108" t="n">
        <v>0.162770502622529</v>
      </c>
      <c r="P350" s="108" t="n">
        <v>0.09854170717480069</v>
      </c>
      <c r="Q350" s="109" t="n">
        <v>153</v>
      </c>
      <c r="R350" s="110" t="n">
        <v>1924</v>
      </c>
      <c r="S350" s="110" t="n">
        <v>1974.2129655822</v>
      </c>
      <c r="T350" s="110" t="n">
        <v>1386.47311893571</v>
      </c>
      <c r="U350" s="110" t="n">
        <v>5284.68608451791</v>
      </c>
      <c r="V350" s="104" t="n">
        <v>4507</v>
      </c>
      <c r="W350" s="104" t="n">
        <v>0</v>
      </c>
      <c r="X350" s="104">
        <f>$V350+W350</f>
        <v/>
      </c>
      <c r="Y350" s="111">
        <f>IFERROR(A350/R350,0)</f>
        <v/>
      </c>
      <c r="Z350" s="111">
        <f>IFERROR(B350/U350,0)</f>
        <v/>
      </c>
      <c r="AA350" s="111">
        <f>IFERROR(C350/R350,0)</f>
        <v/>
      </c>
      <c r="AB350" s="111">
        <f>IFERROR(D350/U350,0)</f>
        <v/>
      </c>
      <c r="AD350" s="111">
        <f>IF(U350&gt;0,IFERROR(E350/U350,0),1)</f>
        <v/>
      </c>
      <c r="AE350" s="111">
        <f>IF(R350&gt;0,IFERROR(F350/R350,0),1)</f>
        <v/>
      </c>
      <c r="AF350" s="111">
        <f>IF(AL350&gt;0,IFERROR(G350/AL350,0),1)</f>
        <v/>
      </c>
      <c r="AG350" s="111">
        <f>IF(AM350&gt;0,IFERROR(H350/AM350,0),1)</f>
        <v/>
      </c>
      <c r="AH350" s="104">
        <f>U350-(V350+AN350+AR350)</f>
        <v/>
      </c>
      <c r="AI350" s="104">
        <f>R350-(V350+AO350+AR350)</f>
        <v/>
      </c>
      <c r="AJ350" s="104">
        <f>(AL350-AP350)</f>
        <v/>
      </c>
      <c r="AK350" s="104">
        <f>(AM350-AQ350)</f>
        <v/>
      </c>
      <c r="AL350" s="110">
        <f>S350+AI350</f>
        <v/>
      </c>
      <c r="AM350" s="110">
        <f>T350+AJ350</f>
        <v/>
      </c>
      <c r="AN350" s="104" t="n">
        <v>517</v>
      </c>
      <c r="AO350" s="104" t="n">
        <v>517</v>
      </c>
      <c r="AP350" s="104" t="n">
        <v>0</v>
      </c>
      <c r="AQ350" s="104" t="n">
        <v>0</v>
      </c>
      <c r="AR350" s="104" t="n">
        <v>0</v>
      </c>
      <c r="AS350" s="104" t="n"/>
      <c r="AT350" s="104" t="n"/>
    </row>
    <row r="351" ht="12.65" customHeight="1" s="79">
      <c r="A351" s="104">
        <f>MIN(V351,R351)</f>
        <v/>
      </c>
      <c r="B351" s="104">
        <f>MIN(V351,U351)</f>
        <v/>
      </c>
      <c r="C351" s="104">
        <f>MIN(X351,R351)</f>
        <v/>
      </c>
      <c r="D351" s="104">
        <f>MIN(X351,U351)</f>
        <v/>
      </c>
      <c r="E351" s="104">
        <f>MIN((V351+AN351+AR351),U351)</f>
        <v/>
      </c>
      <c r="F351" s="104">
        <f>MAX(MIN((V351+AO351+AR351),R351),0)</f>
        <v/>
      </c>
      <c r="G351" s="104">
        <f>MAX(MIN(AP351,AL351),0)</f>
        <v/>
      </c>
      <c r="H351" s="104">
        <f>MAX(MIN(AQ351,AM351),0)</f>
        <v/>
      </c>
      <c r="I351" s="105" t="inlineStr">
        <is>
          <t>ROOP KISHOR</t>
        </is>
      </c>
      <c r="J351" s="106" t="inlineStr">
        <is>
          <t>HOUSEHOLD</t>
        </is>
      </c>
      <c r="K351" s="107" t="inlineStr">
        <is>
          <t>HH_PLASTICS AIDS</t>
        </is>
      </c>
      <c r="L351" s="107" t="inlineStr">
        <is>
          <t>HH_P_JUG</t>
        </is>
      </c>
      <c r="M351" s="107" t="inlineStr">
        <is>
          <t>5PCST-[HHPC27]</t>
        </is>
      </c>
      <c r="N351" s="107" t="inlineStr">
        <is>
          <t>ACTIVE</t>
        </is>
      </c>
      <c r="O351" s="108" t="n">
        <v>0.154680656004889</v>
      </c>
      <c r="P351" s="108" t="n">
        <v>0.102086365841824</v>
      </c>
      <c r="Q351" s="109" t="n">
        <v>153</v>
      </c>
      <c r="R351" s="110" t="n">
        <v>132</v>
      </c>
      <c r="S351" s="110" t="n">
        <v>74.1657091407418</v>
      </c>
      <c r="T351" s="110" t="n">
        <v>27.1362010897781</v>
      </c>
      <c r="U351" s="110" t="n">
        <v>233.30191023052</v>
      </c>
      <c r="V351" s="104" t="n">
        <v>0</v>
      </c>
      <c r="W351" s="104" t="n">
        <v>0</v>
      </c>
      <c r="X351" s="104">
        <f>$V351+W351</f>
        <v/>
      </c>
      <c r="Y351" s="111">
        <f>IFERROR(A351/R351,0)</f>
        <v/>
      </c>
      <c r="Z351" s="111">
        <f>IFERROR(B351/U351,0)</f>
        <v/>
      </c>
      <c r="AA351" s="111">
        <f>IFERROR(C351/R351,0)</f>
        <v/>
      </c>
      <c r="AB351" s="111">
        <f>IFERROR(D351/U351,0)</f>
        <v/>
      </c>
      <c r="AD351" s="111">
        <f>IF(U351&gt;0,IFERROR(E351/U351,0),1)</f>
        <v/>
      </c>
      <c r="AE351" s="111">
        <f>IF(R351&gt;0,IFERROR(F351/R351,0),1)</f>
        <v/>
      </c>
      <c r="AF351" s="111">
        <f>IF(AL351&gt;0,IFERROR(G351/AL351,0),1)</f>
        <v/>
      </c>
      <c r="AG351" s="111">
        <f>IF(AM351&gt;0,IFERROR(H351/AM351,0),1)</f>
        <v/>
      </c>
      <c r="AH351" s="104">
        <f>U351-(V351+AN351+AR351)</f>
        <v/>
      </c>
      <c r="AI351" s="104">
        <f>R351-(V351+AO351+AR351)</f>
        <v/>
      </c>
      <c r="AJ351" s="104">
        <f>(AL351-AP351)</f>
        <v/>
      </c>
      <c r="AK351" s="104">
        <f>(AM351-AQ351)</f>
        <v/>
      </c>
      <c r="AL351" s="110">
        <f>S351+AI351</f>
        <v/>
      </c>
      <c r="AM351" s="110">
        <f>T351+AJ351</f>
        <v/>
      </c>
      <c r="AN351" s="104" t="n">
        <v>0</v>
      </c>
      <c r="AO351" s="104" t="n">
        <v>0</v>
      </c>
      <c r="AP351" s="104" t="n">
        <v>0</v>
      </c>
      <c r="AQ351" s="104" t="n">
        <v>0</v>
      </c>
      <c r="AR351" s="104" t="n">
        <v>0</v>
      </c>
      <c r="AS351" s="104" t="n"/>
      <c r="AT351" s="104" t="n"/>
    </row>
    <row r="352" ht="12.65" customHeight="1" s="79">
      <c r="A352" s="104">
        <f>MIN(V352,R352)</f>
        <v/>
      </c>
      <c r="B352" s="104">
        <f>MIN(V352,U352)</f>
        <v/>
      </c>
      <c r="C352" s="104">
        <f>MIN(X352,R352)</f>
        <v/>
      </c>
      <c r="D352" s="104">
        <f>MIN(X352,U352)</f>
        <v/>
      </c>
      <c r="E352" s="104">
        <f>MIN((V352+AN352+AR352),U352)</f>
        <v/>
      </c>
      <c r="F352" s="104">
        <f>MAX(MIN((V352+AO352+AR352),R352),0)</f>
        <v/>
      </c>
      <c r="G352" s="104">
        <f>MAX(MIN(AP352,AL352),0)</f>
        <v/>
      </c>
      <c r="H352" s="104">
        <f>MAX(MIN(AQ352,AM352),0)</f>
        <v/>
      </c>
      <c r="I352" s="105" t="inlineStr">
        <is>
          <t>ROOP KISHOR</t>
        </is>
      </c>
      <c r="J352" s="106" t="inlineStr">
        <is>
          <t>HOUSEHOLD</t>
        </is>
      </c>
      <c r="K352" s="107" t="inlineStr">
        <is>
          <t>HH_PLASTICS AIDS</t>
        </is>
      </c>
      <c r="L352" s="107" t="inlineStr">
        <is>
          <t>HH_P_KIDSLUNCH BOX</t>
        </is>
      </c>
      <c r="M352" s="107" t="inlineStr">
        <is>
          <t>STL-[HHPC48]</t>
        </is>
      </c>
      <c r="N352" s="107" t="inlineStr">
        <is>
          <t>ACTIVE</t>
        </is>
      </c>
      <c r="O352" s="108" t="n">
        <v>0.179611174186676</v>
      </c>
      <c r="P352" s="108" t="n">
        <v>0.188404498409427</v>
      </c>
      <c r="Q352" s="109" t="n">
        <v>26</v>
      </c>
      <c r="R352" s="110" t="n">
        <v>8186</v>
      </c>
      <c r="S352" s="110" t="n">
        <v>4575.05715706542</v>
      </c>
      <c r="T352" s="110" t="n">
        <v>4546.18620228985</v>
      </c>
      <c r="U352" s="110" t="n">
        <v>17307.2433593553</v>
      </c>
      <c r="V352" s="104" t="n">
        <v>2148</v>
      </c>
      <c r="W352" s="104" t="n">
        <v>6252</v>
      </c>
      <c r="X352" s="104">
        <f>$V352+W352</f>
        <v/>
      </c>
      <c r="Y352" s="111">
        <f>IFERROR(A352/R352,0)</f>
        <v/>
      </c>
      <c r="Z352" s="111">
        <f>IFERROR(B352/U352,0)</f>
        <v/>
      </c>
      <c r="AA352" s="111">
        <f>IFERROR(C352/R352,0)</f>
        <v/>
      </c>
      <c r="AB352" s="111">
        <f>IFERROR(D352/U352,0)</f>
        <v/>
      </c>
      <c r="AD352" s="111">
        <f>IF(U352&gt;0,IFERROR(E352/U352,0),1)</f>
        <v/>
      </c>
      <c r="AE352" s="111">
        <f>IF(R352&gt;0,IFERROR(F352/R352,0),1)</f>
        <v/>
      </c>
      <c r="AF352" s="111">
        <f>IF(AL352&gt;0,IFERROR(G352/AL352,0),1)</f>
        <v/>
      </c>
      <c r="AG352" s="111">
        <f>IF(AM352&gt;0,IFERROR(H352/AM352,0),1)</f>
        <v/>
      </c>
      <c r="AH352" s="104">
        <f>U352-(V352+AN352+AR352)</f>
        <v/>
      </c>
      <c r="AI352" s="104">
        <f>R352-(V352+AO352+AR352)</f>
        <v/>
      </c>
      <c r="AJ352" s="104">
        <f>(AL352-AP352)</f>
        <v/>
      </c>
      <c r="AK352" s="104">
        <f>(AM352-AQ352)</f>
        <v/>
      </c>
      <c r="AL352" s="110">
        <f>S352+AI352</f>
        <v/>
      </c>
      <c r="AM352" s="110">
        <f>T352+AJ352</f>
        <v/>
      </c>
      <c r="AN352" s="104" t="n">
        <v>14652</v>
      </c>
      <c r="AO352" s="104" t="n">
        <v>2652</v>
      </c>
      <c r="AP352" s="104" t="n">
        <v>12000</v>
      </c>
      <c r="AQ352" s="104" t="n">
        <v>0</v>
      </c>
      <c r="AR352" s="104" t="n">
        <v>0</v>
      </c>
      <c r="AS352" s="104" t="n"/>
      <c r="AT352" s="104" t="n"/>
    </row>
    <row r="353" ht="12.65" customHeight="1" s="79">
      <c r="A353" s="104">
        <f>MIN(V353,R353)</f>
        <v/>
      </c>
      <c r="B353" s="104">
        <f>MIN(V353,U353)</f>
        <v/>
      </c>
      <c r="C353" s="104">
        <f>MIN(X353,R353)</f>
        <v/>
      </c>
      <c r="D353" s="104">
        <f>MIN(X353,U353)</f>
        <v/>
      </c>
      <c r="E353" s="104">
        <f>MIN((V353+AN353+AR353),U353)</f>
        <v/>
      </c>
      <c r="F353" s="104">
        <f>MAX(MIN((V353+AO353+AR353),R353),0)</f>
        <v/>
      </c>
      <c r="G353" s="104">
        <f>MAX(MIN(AP353,AL353),0)</f>
        <v/>
      </c>
      <c r="H353" s="104">
        <f>MAX(MIN(AQ353,AM353),0)</f>
        <v/>
      </c>
      <c r="I353" s="105" t="inlineStr">
        <is>
          <t>ROOP KISHOR</t>
        </is>
      </c>
      <c r="J353" s="106" t="inlineStr">
        <is>
          <t>HOUSEHOLD</t>
        </is>
      </c>
      <c r="K353" s="107" t="inlineStr">
        <is>
          <t>HH_PLASTICS AIDS</t>
        </is>
      </c>
      <c r="L353" s="107" t="inlineStr">
        <is>
          <t>HH_P_KIDSLUNCH BOX</t>
        </is>
      </c>
      <c r="M353" s="107" t="inlineStr">
        <is>
          <t>PLST-[HHPC48]</t>
        </is>
      </c>
      <c r="N353" s="107" t="inlineStr">
        <is>
          <t>ACTIVE</t>
        </is>
      </c>
      <c r="O353" s="108" t="n">
        <v>0.175062591135444</v>
      </c>
      <c r="P353" s="108" t="n">
        <v>0.189191120426829</v>
      </c>
      <c r="Q353" s="109" t="n">
        <v>26</v>
      </c>
      <c r="R353" s="110" t="n">
        <v>6671</v>
      </c>
      <c r="S353" s="110" t="n">
        <v>3709.36671572861</v>
      </c>
      <c r="T353" s="110" t="n">
        <v>3665.98270128881</v>
      </c>
      <c r="U353" s="110" t="n">
        <v>14046.3494170174</v>
      </c>
      <c r="V353" s="104" t="n">
        <v>7840</v>
      </c>
      <c r="W353" s="104" t="n">
        <v>0</v>
      </c>
      <c r="X353" s="104">
        <f>$V353+W353</f>
        <v/>
      </c>
      <c r="Y353" s="111">
        <f>IFERROR(A353/R353,0)</f>
        <v/>
      </c>
      <c r="Z353" s="111">
        <f>IFERROR(B353/U353,0)</f>
        <v/>
      </c>
      <c r="AA353" s="111">
        <f>IFERROR(C353/R353,0)</f>
        <v/>
      </c>
      <c r="AB353" s="111">
        <f>IFERROR(D353/U353,0)</f>
        <v/>
      </c>
      <c r="AD353" s="111">
        <f>IF(U353&gt;0,IFERROR(E353/U353,0),1)</f>
        <v/>
      </c>
      <c r="AE353" s="111">
        <f>IF(R353&gt;0,IFERROR(F353/R353,0),1)</f>
        <v/>
      </c>
      <c r="AF353" s="111">
        <f>IF(AL353&gt;0,IFERROR(G353/AL353,0),1)</f>
        <v/>
      </c>
      <c r="AG353" s="111">
        <f>IF(AM353&gt;0,IFERROR(H353/AM353,0),1)</f>
        <v/>
      </c>
      <c r="AH353" s="104">
        <f>U353-(V353+AN353+AR353)</f>
        <v/>
      </c>
      <c r="AI353" s="104">
        <f>R353-(V353+AO353+AR353)</f>
        <v/>
      </c>
      <c r="AJ353" s="104">
        <f>(AL353-AP353)</f>
        <v/>
      </c>
      <c r="AK353" s="104">
        <f>(AM353-AQ353)</f>
        <v/>
      </c>
      <c r="AL353" s="110">
        <f>S353+AI353</f>
        <v/>
      </c>
      <c r="AM353" s="110">
        <f>T353+AJ353</f>
        <v/>
      </c>
      <c r="AN353" s="104" t="n">
        <v>6000</v>
      </c>
      <c r="AO353" s="104" t="n">
        <v>0</v>
      </c>
      <c r="AP353" s="104" t="n">
        <v>6000</v>
      </c>
      <c r="AQ353" s="104" t="n">
        <v>0</v>
      </c>
      <c r="AR353" s="104" t="n">
        <v>0</v>
      </c>
      <c r="AS353" s="104" t="n"/>
      <c r="AT353" s="104" t="n"/>
    </row>
    <row r="354" ht="12.65" customHeight="1" s="79">
      <c r="A354" s="104">
        <f>MIN(V354,R354)</f>
        <v/>
      </c>
      <c r="B354" s="104">
        <f>MIN(V354,U354)</f>
        <v/>
      </c>
      <c r="C354" s="104">
        <f>MIN(X354,R354)</f>
        <v/>
      </c>
      <c r="D354" s="104">
        <f>MIN(X354,U354)</f>
        <v/>
      </c>
      <c r="E354" s="104">
        <f>MIN((V354+AN354+AR354),U354)</f>
        <v/>
      </c>
      <c r="F354" s="104">
        <f>MAX(MIN((V354+AO354+AR354),R354),0)</f>
        <v/>
      </c>
      <c r="G354" s="104">
        <f>MAX(MIN(AP354,AL354),0)</f>
        <v/>
      </c>
      <c r="H354" s="104">
        <f>MAX(MIN(AQ354,AM354),0)</f>
        <v/>
      </c>
      <c r="I354" s="105" t="inlineStr">
        <is>
          <t>ROOP KISHOR</t>
        </is>
      </c>
      <c r="J354" s="106" t="inlineStr">
        <is>
          <t>HOUSEHOLD</t>
        </is>
      </c>
      <c r="K354" s="107" t="inlineStr">
        <is>
          <t>HH_PLASTICS AIDS</t>
        </is>
      </c>
      <c r="L354" s="107" t="inlineStr">
        <is>
          <t>HH_P_KIDSLUNCH BOX</t>
        </is>
      </c>
      <c r="M354" s="107" t="inlineStr">
        <is>
          <t>CHARACTER-[HHPC48]</t>
        </is>
      </c>
      <c r="N354" s="107" t="inlineStr">
        <is>
          <t>ACTIVE</t>
        </is>
      </c>
      <c r="O354" s="108" t="n">
        <v>0.100846731012255</v>
      </c>
      <c r="P354" s="108" t="n">
        <v>0.122915306000423</v>
      </c>
      <c r="Q354" s="109" t="n">
        <v>26</v>
      </c>
      <c r="R354" s="110" t="n">
        <v>0</v>
      </c>
      <c r="S354" s="110" t="n">
        <v>0</v>
      </c>
      <c r="T354" s="110" t="n">
        <v>180.052192620971</v>
      </c>
      <c r="U354" s="110" t="n">
        <v>180.052192620971</v>
      </c>
      <c r="V354" s="104" t="n">
        <v>2208</v>
      </c>
      <c r="W354" s="104" t="n">
        <v>6000</v>
      </c>
      <c r="X354" s="104">
        <f>$V354+W354</f>
        <v/>
      </c>
      <c r="Y354" s="111">
        <f>IFERROR(A354/R354,0)</f>
        <v/>
      </c>
      <c r="Z354" s="111">
        <f>IFERROR(B354/U354,0)</f>
        <v/>
      </c>
      <c r="AA354" s="111">
        <f>IFERROR(C354/R354,0)</f>
        <v/>
      </c>
      <c r="AB354" s="111">
        <f>IFERROR(D354/U354,0)</f>
        <v/>
      </c>
      <c r="AD354" s="111">
        <f>IF(U354&gt;0,IFERROR(E354/U354,0),1)</f>
        <v/>
      </c>
      <c r="AE354" s="111">
        <f>IF(R354&gt;0,IFERROR(F354/R354,0),1)</f>
        <v/>
      </c>
      <c r="AF354" s="111">
        <f>IF(AL354&gt;0,IFERROR(G354/AL354,0),1)</f>
        <v/>
      </c>
      <c r="AG354" s="111">
        <f>IF(AM354&gt;0,IFERROR(H354/AM354,0),1)</f>
        <v/>
      </c>
      <c r="AH354" s="104">
        <f>U354-(V354+AN354+AR354)</f>
        <v/>
      </c>
      <c r="AI354" s="104">
        <f>R354-(V354+AO354+AR354)</f>
        <v/>
      </c>
      <c r="AJ354" s="104">
        <f>(AL354-AP354)</f>
        <v/>
      </c>
      <c r="AK354" s="104">
        <f>(AM354-AQ354)</f>
        <v/>
      </c>
      <c r="AL354" s="110">
        <f>S354+AI354</f>
        <v/>
      </c>
      <c r="AM354" s="110">
        <f>T354+AJ354</f>
        <v/>
      </c>
      <c r="AN354" s="104" t="n">
        <v>12720</v>
      </c>
      <c r="AO354" s="104" t="n">
        <v>10920</v>
      </c>
      <c r="AP354" s="104" t="n">
        <v>1800</v>
      </c>
      <c r="AQ354" s="104" t="n">
        <v>0</v>
      </c>
      <c r="AR354" s="104" t="n">
        <v>0</v>
      </c>
      <c r="AS354" s="104" t="n"/>
      <c r="AT354" s="104" t="n"/>
    </row>
    <row r="355" ht="12.65" customHeight="1" s="79">
      <c r="A355" s="104">
        <f>MIN(V355,R355)</f>
        <v/>
      </c>
      <c r="B355" s="104">
        <f>MIN(V355,U355)</f>
        <v/>
      </c>
      <c r="C355" s="104">
        <f>MIN(X355,R355)</f>
        <v/>
      </c>
      <c r="D355" s="104">
        <f>MIN(X355,U355)</f>
        <v/>
      </c>
      <c r="E355" s="104">
        <f>MIN((V355+AN355+AR355),U355)</f>
        <v/>
      </c>
      <c r="F355" s="104">
        <f>MAX(MIN((V355+AO355+AR355),R355),0)</f>
        <v/>
      </c>
      <c r="G355" s="104">
        <f>MAX(MIN(AP355,AL355),0)</f>
        <v/>
      </c>
      <c r="H355" s="104">
        <f>MAX(MIN(AQ355,AM355),0)</f>
        <v/>
      </c>
      <c r="I355" s="105" t="inlineStr">
        <is>
          <t>ROOP KISHOR</t>
        </is>
      </c>
      <c r="J355" s="106" t="inlineStr">
        <is>
          <t>HOUSEHOLD</t>
        </is>
      </c>
      <c r="K355" s="107" t="inlineStr">
        <is>
          <t>HH_PLASTICS AIDS</t>
        </is>
      </c>
      <c r="L355" s="107" t="inlineStr">
        <is>
          <t>HH_P_KIDSLUNCH BOX</t>
        </is>
      </c>
      <c r="M355" s="107" t="inlineStr">
        <is>
          <t>COMBO ST-[HHPC48]</t>
        </is>
      </c>
      <c r="N355" s="107" t="inlineStr">
        <is>
          <t>INACTIVE</t>
        </is>
      </c>
      <c r="O355" s="108" t="n">
        <v>0.123061720887808</v>
      </c>
      <c r="P355" s="108" t="n">
        <v>0.0785077951002227</v>
      </c>
      <c r="Q355" s="109" t="n">
        <v>26</v>
      </c>
      <c r="R355" s="110" t="n">
        <v>0</v>
      </c>
      <c r="S355" s="110" t="n">
        <v>0</v>
      </c>
      <c r="T355" s="110" t="n">
        <v>0</v>
      </c>
      <c r="U355" s="110" t="n">
        <v>0</v>
      </c>
      <c r="V355" s="104" t="n">
        <v>2325</v>
      </c>
      <c r="W355" s="104" t="n">
        <v>0</v>
      </c>
      <c r="X355" s="104">
        <f>$V355+W355</f>
        <v/>
      </c>
      <c r="Y355" s="111">
        <f>IFERROR(A355/R355,0)</f>
        <v/>
      </c>
      <c r="Z355" s="111">
        <f>IFERROR(B355/U355,0)</f>
        <v/>
      </c>
      <c r="AA355" s="111">
        <f>IFERROR(C355/R355,0)</f>
        <v/>
      </c>
      <c r="AB355" s="111">
        <f>IFERROR(D355/U355,0)</f>
        <v/>
      </c>
      <c r="AD355" s="111">
        <f>IF(U355&gt;0,IFERROR(E355/U355,0),1)</f>
        <v/>
      </c>
      <c r="AE355" s="111">
        <f>IF(R355&gt;0,IFERROR(F355/R355,0),1)</f>
        <v/>
      </c>
      <c r="AF355" s="111">
        <f>IF(AL355&gt;0,IFERROR(G355/AL355,0),1)</f>
        <v/>
      </c>
      <c r="AG355" s="111">
        <f>IF(AM355&gt;0,IFERROR(H355/AM355,0),1)</f>
        <v/>
      </c>
      <c r="AH355" s="104">
        <f>U355-(V355+AN355+AR355)</f>
        <v/>
      </c>
      <c r="AI355" s="104">
        <f>R355-(V355+AO355+AR355)</f>
        <v/>
      </c>
      <c r="AJ355" s="104">
        <f>(AL355-AP355)</f>
        <v/>
      </c>
      <c r="AK355" s="104">
        <f>(AM355-AQ355)</f>
        <v/>
      </c>
      <c r="AL355" s="110">
        <f>S355+AI355</f>
        <v/>
      </c>
      <c r="AM355" s="110">
        <f>T355+AJ355</f>
        <v/>
      </c>
      <c r="AN355" s="104" t="n">
        <v>3</v>
      </c>
      <c r="AO355" s="104" t="n">
        <v>3</v>
      </c>
      <c r="AP355" s="104" t="n">
        <v>0</v>
      </c>
      <c r="AQ355" s="104" t="n">
        <v>0</v>
      </c>
      <c r="AR355" s="104" t="n">
        <v>0</v>
      </c>
      <c r="AS355" s="104" t="n"/>
      <c r="AT355" s="104" t="n"/>
    </row>
    <row r="356" ht="12.65" customHeight="1" s="79">
      <c r="A356" s="104">
        <f>MIN(V356,R356)</f>
        <v/>
      </c>
      <c r="B356" s="104">
        <f>MIN(V356,U356)</f>
        <v/>
      </c>
      <c r="C356" s="104">
        <f>MIN(X356,R356)</f>
        <v/>
      </c>
      <c r="D356" s="104">
        <f>MIN(X356,U356)</f>
        <v/>
      </c>
      <c r="E356" s="104">
        <f>MIN((V356+AN356+AR356),U356)</f>
        <v/>
      </c>
      <c r="F356" s="104">
        <f>MAX(MIN((V356+AO356+AR356),R356),0)</f>
        <v/>
      </c>
      <c r="G356" s="104">
        <f>MAX(MIN(AP356,AL356),0)</f>
        <v/>
      </c>
      <c r="H356" s="104">
        <f>MAX(MIN(AQ356,AM356),0)</f>
        <v/>
      </c>
      <c r="I356" s="105" t="inlineStr">
        <is>
          <t>ROOP KISHOR</t>
        </is>
      </c>
      <c r="J356" s="106" t="inlineStr">
        <is>
          <t>HOUSEHOLD</t>
        </is>
      </c>
      <c r="K356" s="107" t="inlineStr">
        <is>
          <t>HH_PLASTICS AIDS</t>
        </is>
      </c>
      <c r="L356" s="107" t="inlineStr">
        <is>
          <t>HH_P_KIDSLUNCH BOX</t>
        </is>
      </c>
      <c r="M356" s="107" t="inlineStr">
        <is>
          <t>IMP 2PARTITION-[HHPC48]</t>
        </is>
      </c>
      <c r="N356" s="107" t="inlineStr">
        <is>
          <t>INACTIVE</t>
        </is>
      </c>
      <c r="O356" s="108" t="n">
        <v>0</v>
      </c>
      <c r="P356" s="108" t="n">
        <v>0</v>
      </c>
      <c r="Q356" s="109" t="n">
        <v>26</v>
      </c>
      <c r="R356" s="110" t="n">
        <v>0</v>
      </c>
      <c r="S356" s="110" t="n">
        <v>0</v>
      </c>
      <c r="T356" s="110" t="n">
        <v>0</v>
      </c>
      <c r="U356" s="110" t="n">
        <v>0</v>
      </c>
      <c r="V356" s="104" t="n">
        <v>0</v>
      </c>
      <c r="W356" s="104" t="n">
        <v>0</v>
      </c>
      <c r="X356" s="104">
        <f>$V356+W356</f>
        <v/>
      </c>
      <c r="Y356" s="111">
        <f>IFERROR(A356/R356,0)</f>
        <v/>
      </c>
      <c r="Z356" s="111">
        <f>IFERROR(B356/U356,0)</f>
        <v/>
      </c>
      <c r="AA356" s="111">
        <f>IFERROR(C356/R356,0)</f>
        <v/>
      </c>
      <c r="AB356" s="111">
        <f>IFERROR(D356/U356,0)</f>
        <v/>
      </c>
      <c r="AD356" s="111">
        <f>IF(U356&gt;0,IFERROR(E356/U356,0),1)</f>
        <v/>
      </c>
      <c r="AE356" s="111">
        <f>IF(R356&gt;0,IFERROR(F356/R356,0),1)</f>
        <v/>
      </c>
      <c r="AF356" s="111">
        <f>IF(AL356&gt;0,IFERROR(G356/AL356,0),1)</f>
        <v/>
      </c>
      <c r="AG356" s="111">
        <f>IF(AM356&gt;0,IFERROR(H356/AM356,0),1)</f>
        <v/>
      </c>
      <c r="AH356" s="104">
        <f>U356-(V356+AN356+AR356)</f>
        <v/>
      </c>
      <c r="AI356" s="104">
        <f>R356-(V356+AO356+AR356)</f>
        <v/>
      </c>
      <c r="AJ356" s="104">
        <f>(AL356-AP356)</f>
        <v/>
      </c>
      <c r="AK356" s="104">
        <f>(AM356-AQ356)</f>
        <v/>
      </c>
      <c r="AL356" s="110">
        <f>S356+AI356</f>
        <v/>
      </c>
      <c r="AM356" s="110">
        <f>T356+AJ356</f>
        <v/>
      </c>
      <c r="AN356" s="104" t="n">
        <v>0</v>
      </c>
      <c r="AO356" s="104" t="n">
        <v>0</v>
      </c>
      <c r="AP356" s="104" t="n">
        <v>0</v>
      </c>
      <c r="AQ356" s="104" t="n">
        <v>0</v>
      </c>
      <c r="AR356" s="104" t="n">
        <v>0</v>
      </c>
      <c r="AS356" s="104" t="n"/>
      <c r="AT356" s="104" t="n"/>
    </row>
    <row r="357" ht="12.65" customHeight="1" s="79">
      <c r="A357" s="104">
        <f>MIN(V357,R357)</f>
        <v/>
      </c>
      <c r="B357" s="104">
        <f>MIN(V357,U357)</f>
        <v/>
      </c>
      <c r="C357" s="104">
        <f>MIN(X357,R357)</f>
        <v/>
      </c>
      <c r="D357" s="104">
        <f>MIN(X357,U357)</f>
        <v/>
      </c>
      <c r="E357" s="104">
        <f>MIN((V357+AN357+AR357),U357)</f>
        <v/>
      </c>
      <c r="F357" s="104">
        <f>MAX(MIN((V357+AO357+AR357),R357),0)</f>
        <v/>
      </c>
      <c r="G357" s="104">
        <f>MAX(MIN(AP357,AL357),0)</f>
        <v/>
      </c>
      <c r="H357" s="104">
        <f>MAX(MIN(AQ357,AM357),0)</f>
        <v/>
      </c>
      <c r="I357" s="105" t="inlineStr">
        <is>
          <t>ROOP KISHOR</t>
        </is>
      </c>
      <c r="J357" s="106" t="inlineStr">
        <is>
          <t>HOUSEHOLD</t>
        </is>
      </c>
      <c r="K357" s="107" t="inlineStr">
        <is>
          <t>HH_PLASTICS AIDS</t>
        </is>
      </c>
      <c r="L357" s="107" t="inlineStr">
        <is>
          <t>HH_P_KIDSWATER BOTTLE</t>
        </is>
      </c>
      <c r="M357" s="107" t="inlineStr">
        <is>
          <t>300 650ML-[HHPC49]</t>
        </is>
      </c>
      <c r="N357" s="107" t="inlineStr">
        <is>
          <t>ACTIVE</t>
        </is>
      </c>
      <c r="O357" s="108" t="n">
        <v>0.160541094986138</v>
      </c>
      <c r="P357" s="108" t="n">
        <v>0.136396636493131</v>
      </c>
      <c r="Q357" s="109" t="n">
        <v>59</v>
      </c>
      <c r="R357" s="110" t="n">
        <v>4048</v>
      </c>
      <c r="S357" s="110" t="n">
        <v>6754.13713218751</v>
      </c>
      <c r="T357" s="110" t="n">
        <v>5049.46468917251</v>
      </c>
      <c r="U357" s="110" t="n">
        <v>15851.60182136</v>
      </c>
      <c r="V357" s="104" t="n">
        <v>0</v>
      </c>
      <c r="W357" s="104" t="n">
        <v>10296</v>
      </c>
      <c r="X357" s="104">
        <f>$V357+W357</f>
        <v/>
      </c>
      <c r="Y357" s="111">
        <f>IFERROR(A357/R357,0)</f>
        <v/>
      </c>
      <c r="Z357" s="111">
        <f>IFERROR(B357/U357,0)</f>
        <v/>
      </c>
      <c r="AA357" s="111">
        <f>IFERROR(C357/R357,0)</f>
        <v/>
      </c>
      <c r="AB357" s="111">
        <f>IFERROR(D357/U357,0)</f>
        <v/>
      </c>
      <c r="AD357" s="111">
        <f>IF(U357&gt;0,IFERROR(E357/U357,0),1)</f>
        <v/>
      </c>
      <c r="AE357" s="111">
        <f>IF(R357&gt;0,IFERROR(F357/R357,0),1)</f>
        <v/>
      </c>
      <c r="AF357" s="111">
        <f>IF(AL357&gt;0,IFERROR(G357/AL357,0),1)</f>
        <v/>
      </c>
      <c r="AG357" s="111">
        <f>IF(AM357&gt;0,IFERROR(H357/AM357,0),1)</f>
        <v/>
      </c>
      <c r="AH357" s="104">
        <f>U357-(V357+AN357+AR357)</f>
        <v/>
      </c>
      <c r="AI357" s="104">
        <f>R357-(V357+AO357+AR357)</f>
        <v/>
      </c>
      <c r="AJ357" s="104">
        <f>(AL357-AP357)</f>
        <v/>
      </c>
      <c r="AK357" s="104">
        <f>(AM357-AQ357)</f>
        <v/>
      </c>
      <c r="AL357" s="110">
        <f>S357+AI357</f>
        <v/>
      </c>
      <c r="AM357" s="110">
        <f>T357+AJ357</f>
        <v/>
      </c>
      <c r="AN357" s="104" t="n">
        <v>24700</v>
      </c>
      <c r="AO357" s="104" t="n">
        <v>15100</v>
      </c>
      <c r="AP357" s="104" t="n">
        <v>9600</v>
      </c>
      <c r="AQ357" s="104" t="n">
        <v>0</v>
      </c>
      <c r="AR357" s="104" t="n">
        <v>0</v>
      </c>
      <c r="AS357" s="104" t="n"/>
      <c r="AT357" s="104" t="n"/>
    </row>
    <row r="358" ht="12.65" customHeight="1" s="79">
      <c r="A358" s="104">
        <f>MIN(V358,R358)</f>
        <v/>
      </c>
      <c r="B358" s="104">
        <f>MIN(V358,U358)</f>
        <v/>
      </c>
      <c r="C358" s="104">
        <f>MIN(X358,R358)</f>
        <v/>
      </c>
      <c r="D358" s="104">
        <f>MIN(X358,U358)</f>
        <v/>
      </c>
      <c r="E358" s="104">
        <f>MIN((V358+AN358+AR358),U358)</f>
        <v/>
      </c>
      <c r="F358" s="104">
        <f>MAX(MIN((V358+AO358+AR358),R358),0)</f>
        <v/>
      </c>
      <c r="G358" s="104">
        <f>MAX(MIN(AP358,AL358),0)</f>
        <v/>
      </c>
      <c r="H358" s="104">
        <f>MAX(MIN(AQ358,AM358),0)</f>
        <v/>
      </c>
      <c r="I358" s="105" t="inlineStr">
        <is>
          <t>ROOP KISHOR</t>
        </is>
      </c>
      <c r="J358" s="106" t="inlineStr">
        <is>
          <t>HOUSEHOLD</t>
        </is>
      </c>
      <c r="K358" s="107" t="inlineStr">
        <is>
          <t>HH_PLASTICS AIDS</t>
        </is>
      </c>
      <c r="L358" s="107" t="inlineStr">
        <is>
          <t>HH_P_KIDSWATER BOTTLE</t>
        </is>
      </c>
      <c r="M358" s="107" t="inlineStr">
        <is>
          <t>BRND INSLTD 400 600ML-[HHPC49]</t>
        </is>
      </c>
      <c r="N358" s="107" t="inlineStr">
        <is>
          <t>INACTIVE</t>
        </is>
      </c>
      <c r="O358" s="108" t="n">
        <v>0.07323715486781281</v>
      </c>
      <c r="P358" s="108" t="n">
        <v>0.0630539205737095</v>
      </c>
      <c r="Q358" s="109" t="n">
        <v>59</v>
      </c>
      <c r="R358" s="110" t="n">
        <v>0</v>
      </c>
      <c r="S358" s="110" t="n">
        <v>0</v>
      </c>
      <c r="T358" s="110" t="n">
        <v>0</v>
      </c>
      <c r="U358" s="110" t="n">
        <v>0</v>
      </c>
      <c r="V358" s="104" t="n">
        <v>0</v>
      </c>
      <c r="W358" s="104" t="n">
        <v>0</v>
      </c>
      <c r="X358" s="104">
        <f>$V358+W358</f>
        <v/>
      </c>
      <c r="Y358" s="111">
        <f>IFERROR(A358/R358,0)</f>
        <v/>
      </c>
      <c r="Z358" s="111">
        <f>IFERROR(B358/U358,0)</f>
        <v/>
      </c>
      <c r="AA358" s="111">
        <f>IFERROR(C358/R358,0)</f>
        <v/>
      </c>
      <c r="AB358" s="111">
        <f>IFERROR(D358/U358,0)</f>
        <v/>
      </c>
      <c r="AD358" s="111">
        <f>IF(U358&gt;0,IFERROR(E358/U358,0),1)</f>
        <v/>
      </c>
      <c r="AE358" s="111">
        <f>IF(R358&gt;0,IFERROR(F358/R358,0),1)</f>
        <v/>
      </c>
      <c r="AF358" s="111">
        <f>IF(AL358&gt;0,IFERROR(G358/AL358,0),1)</f>
        <v/>
      </c>
      <c r="AG358" s="111">
        <f>IF(AM358&gt;0,IFERROR(H358/AM358,0),1)</f>
        <v/>
      </c>
      <c r="AH358" s="104">
        <f>U358-(V358+AN358+AR358)</f>
        <v/>
      </c>
      <c r="AI358" s="104">
        <f>R358-(V358+AO358+AR358)</f>
        <v/>
      </c>
      <c r="AJ358" s="104">
        <f>(AL358-AP358)</f>
        <v/>
      </c>
      <c r="AK358" s="104">
        <f>(AM358-AQ358)</f>
        <v/>
      </c>
      <c r="AL358" s="110">
        <f>S358+AI358</f>
        <v/>
      </c>
      <c r="AM358" s="110">
        <f>T358+AJ358</f>
        <v/>
      </c>
      <c r="AN358" s="104" t="n">
        <v>0</v>
      </c>
      <c r="AO358" s="104" t="n">
        <v>0</v>
      </c>
      <c r="AP358" s="104" t="n">
        <v>0</v>
      </c>
      <c r="AQ358" s="104" t="n">
        <v>0</v>
      </c>
      <c r="AR358" s="104" t="n">
        <v>0</v>
      </c>
      <c r="AS358" s="104" t="n"/>
      <c r="AT358" s="104" t="n"/>
    </row>
    <row r="359" ht="12.65" customHeight="1" s="79">
      <c r="A359" s="104">
        <f>MIN(V359,R359)</f>
        <v/>
      </c>
      <c r="B359" s="104">
        <f>MIN(V359,U359)</f>
        <v/>
      </c>
      <c r="C359" s="104">
        <f>MIN(X359,R359)</f>
        <v/>
      </c>
      <c r="D359" s="104">
        <f>MIN(X359,U359)</f>
        <v/>
      </c>
      <c r="E359" s="104">
        <f>MIN((V359+AN359+AR359),U359)</f>
        <v/>
      </c>
      <c r="F359" s="104">
        <f>MAX(MIN((V359+AO359+AR359),R359),0)</f>
        <v/>
      </c>
      <c r="G359" s="104">
        <f>MAX(MIN(AP359,AL359),0)</f>
        <v/>
      </c>
      <c r="H359" s="104">
        <f>MAX(MIN(AQ359,AM359),0)</f>
        <v/>
      </c>
      <c r="I359" s="105" t="inlineStr">
        <is>
          <t>ROOP KISHOR</t>
        </is>
      </c>
      <c r="J359" s="106" t="inlineStr">
        <is>
          <t>HOUSEHOLD</t>
        </is>
      </c>
      <c r="K359" s="107" t="inlineStr">
        <is>
          <t>HH_PLASTICS AIDS</t>
        </is>
      </c>
      <c r="L359" s="107" t="inlineStr">
        <is>
          <t>HH_P_KIDSWATER BOTTLE</t>
        </is>
      </c>
      <c r="M359" s="107" t="inlineStr">
        <is>
          <t>INSLTD 500 600ML-[HHPC49]</t>
        </is>
      </c>
      <c r="N359" s="107" t="inlineStr">
        <is>
          <t>ACTIVE</t>
        </is>
      </c>
      <c r="O359" s="108" t="n">
        <v>0.184582381196661</v>
      </c>
      <c r="P359" s="108" t="n">
        <v>0.163153024733038</v>
      </c>
      <c r="Q359" s="109" t="n">
        <v>59</v>
      </c>
      <c r="R359" s="110" t="n">
        <v>0</v>
      </c>
      <c r="S359" s="110" t="n">
        <v>0</v>
      </c>
      <c r="T359" s="110" t="n">
        <v>0</v>
      </c>
      <c r="U359" s="110" t="n">
        <v>0</v>
      </c>
      <c r="V359" s="104" t="n">
        <v>3576</v>
      </c>
      <c r="W359" s="104" t="n">
        <v>4800</v>
      </c>
      <c r="X359" s="104">
        <f>$V359+W359</f>
        <v/>
      </c>
      <c r="Y359" s="111">
        <f>IFERROR(A359/R359,0)</f>
        <v/>
      </c>
      <c r="Z359" s="111">
        <f>IFERROR(B359/U359,0)</f>
        <v/>
      </c>
      <c r="AA359" s="111">
        <f>IFERROR(C359/R359,0)</f>
        <v/>
      </c>
      <c r="AB359" s="111">
        <f>IFERROR(D359/U359,0)</f>
        <v/>
      </c>
      <c r="AD359" s="111">
        <f>IF(U359&gt;0,IFERROR(E359/U359,0),1)</f>
        <v/>
      </c>
      <c r="AE359" s="111">
        <f>IF(R359&gt;0,IFERROR(F359/R359,0),1)</f>
        <v/>
      </c>
      <c r="AF359" s="111">
        <f>IF(AL359&gt;0,IFERROR(G359/AL359,0),1)</f>
        <v/>
      </c>
      <c r="AG359" s="111">
        <f>IF(AM359&gt;0,IFERROR(H359/AM359,0),1)</f>
        <v/>
      </c>
      <c r="AH359" s="104">
        <f>U359-(V359+AN359+AR359)</f>
        <v/>
      </c>
      <c r="AI359" s="104">
        <f>R359-(V359+AO359+AR359)</f>
        <v/>
      </c>
      <c r="AJ359" s="104">
        <f>(AL359-AP359)</f>
        <v/>
      </c>
      <c r="AK359" s="104">
        <f>(AM359-AQ359)</f>
        <v/>
      </c>
      <c r="AL359" s="110">
        <f>S359+AI359</f>
        <v/>
      </c>
      <c r="AM359" s="110">
        <f>T359+AJ359</f>
        <v/>
      </c>
      <c r="AN359" s="104" t="n">
        <v>9600</v>
      </c>
      <c r="AO359" s="104" t="n">
        <v>4800</v>
      </c>
      <c r="AP359" s="104" t="n">
        <v>4800</v>
      </c>
      <c r="AQ359" s="104" t="n">
        <v>0</v>
      </c>
      <c r="AR359" s="104" t="n">
        <v>0</v>
      </c>
      <c r="AS359" s="104" t="n"/>
      <c r="AT359" s="104" t="n"/>
    </row>
    <row r="360" ht="12.65" customHeight="1" s="79">
      <c r="A360" s="104">
        <f>MIN(V360,R360)</f>
        <v/>
      </c>
      <c r="B360" s="104">
        <f>MIN(V360,U360)</f>
        <v/>
      </c>
      <c r="C360" s="104">
        <f>MIN(X360,R360)</f>
        <v/>
      </c>
      <c r="D360" s="104">
        <f>MIN(X360,U360)</f>
        <v/>
      </c>
      <c r="E360" s="104">
        <f>MIN((V360+AN360+AR360),U360)</f>
        <v/>
      </c>
      <c r="F360" s="104">
        <f>MAX(MIN((V360+AO360+AR360),R360),0)</f>
        <v/>
      </c>
      <c r="G360" s="104">
        <f>MAX(MIN(AP360,AL360),0)</f>
        <v/>
      </c>
      <c r="H360" s="104">
        <f>MAX(MIN(AQ360,AM360),0)</f>
        <v/>
      </c>
      <c r="I360" s="105" t="inlineStr">
        <is>
          <t>ROOP KISHOR</t>
        </is>
      </c>
      <c r="J360" s="106" t="inlineStr">
        <is>
          <t>HOUSEHOLD</t>
        </is>
      </c>
      <c r="K360" s="107" t="inlineStr">
        <is>
          <t>HH_PLASTICS AIDS</t>
        </is>
      </c>
      <c r="L360" s="107" t="inlineStr">
        <is>
          <t>HH_P_LUNCH BOX</t>
        </is>
      </c>
      <c r="M360" s="107" t="inlineStr">
        <is>
          <t>STL RND 2PCS-[HHPC28]</t>
        </is>
      </c>
      <c r="N360" s="107" t="inlineStr">
        <is>
          <t>ACTIVE</t>
        </is>
      </c>
      <c r="O360" s="108" t="n">
        <v>0.0727552869664554</v>
      </c>
      <c r="P360" s="108" t="n">
        <v>0.11633566513652</v>
      </c>
      <c r="Q360" s="109" t="n">
        <v>19</v>
      </c>
      <c r="R360" s="110" t="n">
        <v>11958</v>
      </c>
      <c r="S360" s="110" t="n">
        <v>9111.53123455455</v>
      </c>
      <c r="T360" s="110" t="n">
        <v>5631.32195519024</v>
      </c>
      <c r="U360" s="110" t="n">
        <v>26700.8531897448</v>
      </c>
      <c r="V360" s="104" t="n">
        <v>4500</v>
      </c>
      <c r="W360" s="104" t="n">
        <v>2400</v>
      </c>
      <c r="X360" s="104">
        <f>$V360+W360</f>
        <v/>
      </c>
      <c r="Y360" s="111">
        <f>IFERROR(A360/R360,0)</f>
        <v/>
      </c>
      <c r="Z360" s="111">
        <f>IFERROR(B360/U360,0)</f>
        <v/>
      </c>
      <c r="AA360" s="111">
        <f>IFERROR(C360/R360,0)</f>
        <v/>
      </c>
      <c r="AB360" s="111">
        <f>IFERROR(D360/U360,0)</f>
        <v/>
      </c>
      <c r="AD360" s="111">
        <f>IF(U360&gt;0,IFERROR(E360/U360,0),1)</f>
        <v/>
      </c>
      <c r="AE360" s="111">
        <f>IF(R360&gt;0,IFERROR(F360/R360,0),1)</f>
        <v/>
      </c>
      <c r="AF360" s="111">
        <f>IF(AL360&gt;0,IFERROR(G360/AL360,0),1)</f>
        <v/>
      </c>
      <c r="AG360" s="111">
        <f>IF(AM360&gt;0,IFERROR(H360/AM360,0),1)</f>
        <v/>
      </c>
      <c r="AH360" s="104">
        <f>U360-(V360+AN360+AR360)</f>
        <v/>
      </c>
      <c r="AI360" s="104">
        <f>R360-(V360+AO360+AR360)</f>
        <v/>
      </c>
      <c r="AJ360" s="104">
        <f>(AL360-AP360)</f>
        <v/>
      </c>
      <c r="AK360" s="104">
        <f>(AM360-AQ360)</f>
        <v/>
      </c>
      <c r="AL360" s="110">
        <f>S360+AI360</f>
        <v/>
      </c>
      <c r="AM360" s="110">
        <f>T360+AJ360</f>
        <v/>
      </c>
      <c r="AN360" s="104" t="n">
        <v>12792</v>
      </c>
      <c r="AO360" s="104" t="n">
        <v>4392</v>
      </c>
      <c r="AP360" s="104" t="n">
        <v>6600</v>
      </c>
      <c r="AQ360" s="104" t="n">
        <v>1800</v>
      </c>
      <c r="AR360" s="104" t="n">
        <v>0</v>
      </c>
      <c r="AS360" s="104" t="n"/>
      <c r="AT360" s="104" t="n"/>
    </row>
    <row r="361" ht="12.65" customHeight="1" s="79">
      <c r="A361" s="104">
        <f>MIN(V361,R361)</f>
        <v/>
      </c>
      <c r="B361" s="104">
        <f>MIN(V361,U361)</f>
        <v/>
      </c>
      <c r="C361" s="104">
        <f>MIN(X361,R361)</f>
        <v/>
      </c>
      <c r="D361" s="104">
        <f>MIN(X361,U361)</f>
        <v/>
      </c>
      <c r="E361" s="104">
        <f>MIN((V361+AN361+AR361),U361)</f>
        <v/>
      </c>
      <c r="F361" s="104">
        <f>MAX(MIN((V361+AO361+AR361),R361),0)</f>
        <v/>
      </c>
      <c r="G361" s="104">
        <f>MAX(MIN(AP361,AL361),0)</f>
        <v/>
      </c>
      <c r="H361" s="104">
        <f>MAX(MIN(AQ361,AM361),0)</f>
        <v/>
      </c>
      <c r="I361" s="105" t="inlineStr">
        <is>
          <t>ROOP KISHOR</t>
        </is>
      </c>
      <c r="J361" s="106" t="inlineStr">
        <is>
          <t>HOUSEHOLD</t>
        </is>
      </c>
      <c r="K361" s="107" t="inlineStr">
        <is>
          <t>HH_PLASTICS AIDS</t>
        </is>
      </c>
      <c r="L361" s="107" t="inlineStr">
        <is>
          <t>HH_P_LUNCH BOX</t>
        </is>
      </c>
      <c r="M361" s="107" t="inlineStr">
        <is>
          <t>STL RND2 +1 PCS-[HHPC28]</t>
        </is>
      </c>
      <c r="N361" s="107" t="inlineStr">
        <is>
          <t>ACTIVE</t>
        </is>
      </c>
      <c r="O361" s="108" t="n">
        <v>0.104132715868457</v>
      </c>
      <c r="P361" s="108" t="n">
        <v>0.164182526943362</v>
      </c>
      <c r="Q361" s="109" t="n">
        <v>19</v>
      </c>
      <c r="R361" s="110" t="n">
        <v>8001</v>
      </c>
      <c r="S361" s="110" t="n">
        <v>4980.98159522745</v>
      </c>
      <c r="T361" s="110" t="n">
        <v>3572.03619507945</v>
      </c>
      <c r="U361" s="110" t="n">
        <v>16554.0177903069</v>
      </c>
      <c r="V361" s="104" t="n">
        <v>1200</v>
      </c>
      <c r="W361" s="104" t="n">
        <v>3858</v>
      </c>
      <c r="X361" s="104">
        <f>$V361+W361</f>
        <v/>
      </c>
      <c r="Y361" s="111">
        <f>IFERROR(A361/R361,0)</f>
        <v/>
      </c>
      <c r="Z361" s="111">
        <f>IFERROR(B361/U361,0)</f>
        <v/>
      </c>
      <c r="AA361" s="111">
        <f>IFERROR(C361/R361,0)</f>
        <v/>
      </c>
      <c r="AB361" s="111">
        <f>IFERROR(D361/U361,0)</f>
        <v/>
      </c>
      <c r="AD361" s="111">
        <f>IF(U361&gt;0,IFERROR(E361/U361,0),1)</f>
        <v/>
      </c>
      <c r="AE361" s="111">
        <f>IF(R361&gt;0,IFERROR(F361/R361,0),1)</f>
        <v/>
      </c>
      <c r="AF361" s="111">
        <f>IF(AL361&gt;0,IFERROR(G361/AL361,0),1)</f>
        <v/>
      </c>
      <c r="AG361" s="111">
        <f>IF(AM361&gt;0,IFERROR(H361/AM361,0),1)</f>
        <v/>
      </c>
      <c r="AH361" s="104">
        <f>U361-(V361+AN361+AR361)</f>
        <v/>
      </c>
      <c r="AI361" s="104">
        <f>R361-(V361+AO361+AR361)</f>
        <v/>
      </c>
      <c r="AJ361" s="104">
        <f>(AL361-AP361)</f>
        <v/>
      </c>
      <c r="AK361" s="104">
        <f>(AM361-AQ361)</f>
        <v/>
      </c>
      <c r="AL361" s="110">
        <f>S361+AI361</f>
        <v/>
      </c>
      <c r="AM361" s="110">
        <f>T361+AJ361</f>
        <v/>
      </c>
      <c r="AN361" s="104" t="n">
        <v>14658</v>
      </c>
      <c r="AO361" s="104" t="n">
        <v>3858</v>
      </c>
      <c r="AP361" s="104" t="n">
        <v>5400</v>
      </c>
      <c r="AQ361" s="104" t="n">
        <v>5400</v>
      </c>
      <c r="AR361" s="104" t="n">
        <v>0</v>
      </c>
      <c r="AS361" s="104" t="n"/>
      <c r="AT361" s="104" t="n"/>
    </row>
    <row r="362" ht="12.65" customHeight="1" s="79">
      <c r="A362" s="104">
        <f>MIN(V362,R362)</f>
        <v/>
      </c>
      <c r="B362" s="104">
        <f>MIN(V362,U362)</f>
        <v/>
      </c>
      <c r="C362" s="104">
        <f>MIN(X362,R362)</f>
        <v/>
      </c>
      <c r="D362" s="104">
        <f>MIN(X362,U362)</f>
        <v/>
      </c>
      <c r="E362" s="104">
        <f>MIN((V362+AN362+AR362),U362)</f>
        <v/>
      </c>
      <c r="F362" s="104">
        <f>MAX(MIN((V362+AO362+AR362),R362),0)</f>
        <v/>
      </c>
      <c r="G362" s="104">
        <f>MAX(MIN(AP362,AL362),0)</f>
        <v/>
      </c>
      <c r="H362" s="104">
        <f>MAX(MIN(AQ362,AM362),0)</f>
        <v/>
      </c>
      <c r="I362" s="105" t="inlineStr">
        <is>
          <t>ROOP KISHOR</t>
        </is>
      </c>
      <c r="J362" s="106" t="inlineStr">
        <is>
          <t>HOUSEHOLD</t>
        </is>
      </c>
      <c r="K362" s="107" t="inlineStr">
        <is>
          <t>HH_PLASTICS AIDS</t>
        </is>
      </c>
      <c r="L362" s="107" t="inlineStr">
        <is>
          <t>HH_P_LUNCH BOX</t>
        </is>
      </c>
      <c r="M362" s="107" t="inlineStr">
        <is>
          <t>PLST-[HHPC28]</t>
        </is>
      </c>
      <c r="N362" s="107" t="inlineStr">
        <is>
          <t>ACTIVE</t>
        </is>
      </c>
      <c r="O362" s="108" t="n">
        <v>0.154585238801902</v>
      </c>
      <c r="P362" s="108" t="n">
        <v>0.173839623933184</v>
      </c>
      <c r="Q362" s="109" t="n">
        <v>19</v>
      </c>
      <c r="R362" s="110" t="n">
        <v>1641</v>
      </c>
      <c r="S362" s="110" t="n">
        <v>152.143177205199</v>
      </c>
      <c r="T362" s="110" t="n">
        <v>0</v>
      </c>
      <c r="U362" s="110" t="n">
        <v>1793.1431772052</v>
      </c>
      <c r="V362" s="104" t="n">
        <v>2400</v>
      </c>
      <c r="W362" s="104" t="n">
        <v>480</v>
      </c>
      <c r="X362" s="104">
        <f>$V362+W362</f>
        <v/>
      </c>
      <c r="Y362" s="111">
        <f>IFERROR(A362/R362,0)</f>
        <v/>
      </c>
      <c r="Z362" s="111">
        <f>IFERROR(B362/U362,0)</f>
        <v/>
      </c>
      <c r="AA362" s="111">
        <f>IFERROR(C362/R362,0)</f>
        <v/>
      </c>
      <c r="AB362" s="111">
        <f>IFERROR(D362/U362,0)</f>
        <v/>
      </c>
      <c r="AD362" s="111">
        <f>IF(U362&gt;0,IFERROR(E362/U362,0),1)</f>
        <v/>
      </c>
      <c r="AE362" s="111">
        <f>IF(R362&gt;0,IFERROR(F362/R362,0),1)</f>
        <v/>
      </c>
      <c r="AF362" s="111">
        <f>IF(AL362&gt;0,IFERROR(G362/AL362,0),1)</f>
        <v/>
      </c>
      <c r="AG362" s="111">
        <f>IF(AM362&gt;0,IFERROR(H362/AM362,0),1)</f>
        <v/>
      </c>
      <c r="AH362" s="104">
        <f>U362-(V362+AN362+AR362)</f>
        <v/>
      </c>
      <c r="AI362" s="104">
        <f>R362-(V362+AO362+AR362)</f>
        <v/>
      </c>
      <c r="AJ362" s="104">
        <f>(AL362-AP362)</f>
        <v/>
      </c>
      <c r="AK362" s="104">
        <f>(AM362-AQ362)</f>
        <v/>
      </c>
      <c r="AL362" s="110">
        <f>S362+AI362</f>
        <v/>
      </c>
      <c r="AM362" s="110">
        <f>T362+AJ362</f>
        <v/>
      </c>
      <c r="AN362" s="104" t="n">
        <v>12480</v>
      </c>
      <c r="AO362" s="104" t="n">
        <v>2880</v>
      </c>
      <c r="AP362" s="104" t="n">
        <v>4800</v>
      </c>
      <c r="AQ362" s="104" t="n">
        <v>4800</v>
      </c>
      <c r="AR362" s="104" t="n">
        <v>0</v>
      </c>
      <c r="AS362" s="104" t="n"/>
      <c r="AT362" s="104" t="n"/>
    </row>
    <row r="363" ht="12.65" customHeight="1" s="79">
      <c r="A363" s="104">
        <f>MIN(V363,R363)</f>
        <v/>
      </c>
      <c r="B363" s="104">
        <f>MIN(V363,U363)</f>
        <v/>
      </c>
      <c r="C363" s="104">
        <f>MIN(X363,R363)</f>
        <v/>
      </c>
      <c r="D363" s="104">
        <f>MIN(X363,U363)</f>
        <v/>
      </c>
      <c r="E363" s="104">
        <f>MIN((V363+AN363+AR363),U363)</f>
        <v/>
      </c>
      <c r="F363" s="104">
        <f>MAX(MIN((V363+AO363+AR363),R363),0)</f>
        <v/>
      </c>
      <c r="G363" s="104">
        <f>MAX(MIN(AP363,AL363),0)</f>
        <v/>
      </c>
      <c r="H363" s="104">
        <f>MAX(MIN(AQ363,AM363),0)</f>
        <v/>
      </c>
      <c r="I363" s="105" t="inlineStr">
        <is>
          <t>ROOP KISHOR</t>
        </is>
      </c>
      <c r="J363" s="106" t="inlineStr">
        <is>
          <t>HOUSEHOLD</t>
        </is>
      </c>
      <c r="K363" s="107" t="inlineStr">
        <is>
          <t>HH_PLASTICS AIDS</t>
        </is>
      </c>
      <c r="L363" s="107" t="inlineStr">
        <is>
          <t>HH_P_LUNCH BOX</t>
        </is>
      </c>
      <c r="M363" s="107" t="inlineStr">
        <is>
          <t>STL RND 3PCS-[HHPC28]</t>
        </is>
      </c>
      <c r="N363" s="107" t="inlineStr">
        <is>
          <t>ACTIVE</t>
        </is>
      </c>
      <c r="O363" s="108" t="n">
        <v>0.11521121920487</v>
      </c>
      <c r="P363" s="108" t="n">
        <v>0.145212741004832</v>
      </c>
      <c r="Q363" s="109" t="n">
        <v>19</v>
      </c>
      <c r="R363" s="110" t="n">
        <v>0</v>
      </c>
      <c r="S363" s="110" t="n">
        <v>0</v>
      </c>
      <c r="T363" s="110" t="n">
        <v>0</v>
      </c>
      <c r="U363" s="110" t="n">
        <v>0</v>
      </c>
      <c r="V363" s="104" t="n">
        <v>6048</v>
      </c>
      <c r="W363" s="104" t="n">
        <v>3600</v>
      </c>
      <c r="X363" s="104">
        <f>$V363+W363</f>
        <v/>
      </c>
      <c r="Y363" s="111">
        <f>IFERROR(A363/R363,0)</f>
        <v/>
      </c>
      <c r="Z363" s="111">
        <f>IFERROR(B363/U363,0)</f>
        <v/>
      </c>
      <c r="AA363" s="111">
        <f>IFERROR(C363/R363,0)</f>
        <v/>
      </c>
      <c r="AB363" s="111">
        <f>IFERROR(D363/U363,0)</f>
        <v/>
      </c>
      <c r="AD363" s="111">
        <f>IF(U363&gt;0,IFERROR(E363/U363,0),1)</f>
        <v/>
      </c>
      <c r="AE363" s="111">
        <f>IF(R363&gt;0,IFERROR(F363/R363,0),1)</f>
        <v/>
      </c>
      <c r="AF363" s="111">
        <f>IF(AL363&gt;0,IFERROR(G363/AL363,0),1)</f>
        <v/>
      </c>
      <c r="AG363" s="111">
        <f>IF(AM363&gt;0,IFERROR(H363/AM363,0),1)</f>
        <v/>
      </c>
      <c r="AH363" s="104">
        <f>U363-(V363+AN363+AR363)</f>
        <v/>
      </c>
      <c r="AI363" s="104">
        <f>R363-(V363+AO363+AR363)</f>
        <v/>
      </c>
      <c r="AJ363" s="104">
        <f>(AL363-AP363)</f>
        <v/>
      </c>
      <c r="AK363" s="104">
        <f>(AM363-AQ363)</f>
        <v/>
      </c>
      <c r="AL363" s="110">
        <f>S363+AI363</f>
        <v/>
      </c>
      <c r="AM363" s="110">
        <f>T363+AJ363</f>
        <v/>
      </c>
      <c r="AN363" s="104" t="n">
        <v>21552</v>
      </c>
      <c r="AO363" s="104" t="n">
        <v>4152</v>
      </c>
      <c r="AP363" s="104" t="n">
        <v>10200</v>
      </c>
      <c r="AQ363" s="104" t="n">
        <v>7200</v>
      </c>
      <c r="AR363" s="104" t="n">
        <v>0</v>
      </c>
      <c r="AS363" s="104" t="n"/>
      <c r="AT363" s="104" t="n"/>
    </row>
    <row r="364" ht="12.65" customHeight="1" s="79">
      <c r="A364" s="104">
        <f>MIN(V364,R364)</f>
        <v/>
      </c>
      <c r="B364" s="104">
        <f>MIN(V364,U364)</f>
        <v/>
      </c>
      <c r="C364" s="104">
        <f>MIN(X364,R364)</f>
        <v/>
      </c>
      <c r="D364" s="104">
        <f>MIN(X364,U364)</f>
        <v/>
      </c>
      <c r="E364" s="104">
        <f>MIN((V364+AN364+AR364),U364)</f>
        <v/>
      </c>
      <c r="F364" s="104">
        <f>MAX(MIN((V364+AO364+AR364),R364),0)</f>
        <v/>
      </c>
      <c r="G364" s="104">
        <f>MAX(MIN(AP364,AL364),0)</f>
        <v/>
      </c>
      <c r="H364" s="104">
        <f>MAX(MIN(AQ364,AM364),0)</f>
        <v/>
      </c>
      <c r="I364" s="105" t="inlineStr">
        <is>
          <t>ROOP KISHOR</t>
        </is>
      </c>
      <c r="J364" s="106" t="inlineStr">
        <is>
          <t>HOUSEHOLD</t>
        </is>
      </c>
      <c r="K364" s="107" t="inlineStr">
        <is>
          <t>HH_PLASTICS AIDS</t>
        </is>
      </c>
      <c r="L364" s="107" t="inlineStr">
        <is>
          <t>HH_P_LUNCH BOX</t>
        </is>
      </c>
      <c r="M364" s="107" t="inlineStr">
        <is>
          <t>BRND STL RND2 +1 PCS-[HHPC28]</t>
        </is>
      </c>
      <c r="N364" s="107" t="inlineStr">
        <is>
          <t>INACTIVE</t>
        </is>
      </c>
      <c r="O364" s="108" t="n">
        <v>0.082571842050858</v>
      </c>
      <c r="P364" s="108" t="n">
        <v>0.0810483870967742</v>
      </c>
      <c r="Q364" s="109" t="n">
        <v>19</v>
      </c>
      <c r="R364" s="110" t="n">
        <v>0</v>
      </c>
      <c r="S364" s="110" t="n">
        <v>0</v>
      </c>
      <c r="T364" s="110" t="n">
        <v>0</v>
      </c>
      <c r="U364" s="110" t="n">
        <v>0</v>
      </c>
      <c r="V364" s="104" t="n">
        <v>2880</v>
      </c>
      <c r="W364" s="104" t="n">
        <v>2160</v>
      </c>
      <c r="X364" s="104">
        <f>$V364+W364</f>
        <v/>
      </c>
      <c r="Y364" s="111">
        <f>IFERROR(A364/R364,0)</f>
        <v/>
      </c>
      <c r="Z364" s="111">
        <f>IFERROR(B364/U364,0)</f>
        <v/>
      </c>
      <c r="AA364" s="111">
        <f>IFERROR(C364/R364,0)</f>
        <v/>
      </c>
      <c r="AB364" s="111">
        <f>IFERROR(D364/U364,0)</f>
        <v/>
      </c>
      <c r="AD364" s="111">
        <f>IF(U364&gt;0,IFERROR(E364/U364,0),1)</f>
        <v/>
      </c>
      <c r="AE364" s="111">
        <f>IF(R364&gt;0,IFERROR(F364/R364,0),1)</f>
        <v/>
      </c>
      <c r="AF364" s="111">
        <f>IF(AL364&gt;0,IFERROR(G364/AL364,0),1)</f>
        <v/>
      </c>
      <c r="AG364" s="111">
        <f>IF(AM364&gt;0,IFERROR(H364/AM364,0),1)</f>
        <v/>
      </c>
      <c r="AH364" s="104">
        <f>U364-(V364+AN364+AR364)</f>
        <v/>
      </c>
      <c r="AI364" s="104">
        <f>R364-(V364+AO364+AR364)</f>
        <v/>
      </c>
      <c r="AJ364" s="104">
        <f>(AL364-AP364)</f>
        <v/>
      </c>
      <c r="AK364" s="104">
        <f>(AM364-AQ364)</f>
        <v/>
      </c>
      <c r="AL364" s="110">
        <f>S364+AI364</f>
        <v/>
      </c>
      <c r="AM364" s="110">
        <f>T364+AJ364</f>
        <v/>
      </c>
      <c r="AN364" s="104" t="n">
        <v>2160</v>
      </c>
      <c r="AO364" s="104" t="n">
        <v>2160</v>
      </c>
      <c r="AP364" s="104" t="n">
        <v>0</v>
      </c>
      <c r="AQ364" s="104" t="n">
        <v>0</v>
      </c>
      <c r="AR364" s="104" t="n">
        <v>0</v>
      </c>
      <c r="AS364" s="104" t="n"/>
      <c r="AT364" s="104" t="n"/>
    </row>
    <row r="365" ht="12.65" customHeight="1" s="79">
      <c r="A365" s="104">
        <f>MIN(V365,R365)</f>
        <v/>
      </c>
      <c r="B365" s="104">
        <f>MIN(V365,U365)</f>
        <v/>
      </c>
      <c r="C365" s="104">
        <f>MIN(X365,R365)</f>
        <v/>
      </c>
      <c r="D365" s="104">
        <f>MIN(X365,U365)</f>
        <v/>
      </c>
      <c r="E365" s="104">
        <f>MIN((V365+AN365+AR365),U365)</f>
        <v/>
      </c>
      <c r="F365" s="104">
        <f>MAX(MIN((V365+AO365+AR365),R365),0)</f>
        <v/>
      </c>
      <c r="G365" s="104">
        <f>MAX(MIN(AP365,AL365),0)</f>
        <v/>
      </c>
      <c r="H365" s="104">
        <f>MAX(MIN(AQ365,AM365),0)</f>
        <v/>
      </c>
      <c r="I365" s="105" t="inlineStr">
        <is>
          <t>ROOP KISHOR</t>
        </is>
      </c>
      <c r="J365" s="106" t="inlineStr">
        <is>
          <t>HOUSEHOLD</t>
        </is>
      </c>
      <c r="K365" s="107" t="inlineStr">
        <is>
          <t>HH_PLASTICS AIDS</t>
        </is>
      </c>
      <c r="L365" s="107" t="inlineStr">
        <is>
          <t>HH_P_PLATE</t>
        </is>
      </c>
      <c r="M365" s="107" t="inlineStr">
        <is>
          <t>BABY PLATE-[HHPC31]</t>
        </is>
      </c>
      <c r="N365" s="107" t="inlineStr">
        <is>
          <t>ACTIVE</t>
        </is>
      </c>
      <c r="O365" s="108" t="n">
        <v>0.191204500023244</v>
      </c>
      <c r="P365" s="108" t="n">
        <v>0.194159740982863</v>
      </c>
      <c r="Q365" s="109" t="n">
        <v>111</v>
      </c>
      <c r="R365" s="110" t="n">
        <v>9180</v>
      </c>
      <c r="S365" s="110" t="n">
        <v>5406.89059950713</v>
      </c>
      <c r="T365" s="110" t="n">
        <v>3606.7290808567</v>
      </c>
      <c r="U365" s="110" t="n">
        <v>18193.6196803638</v>
      </c>
      <c r="V365" s="104" t="n">
        <v>4800</v>
      </c>
      <c r="W365" s="104" t="n">
        <v>0</v>
      </c>
      <c r="X365" s="104">
        <f>$V365+W365</f>
        <v/>
      </c>
      <c r="Y365" s="111">
        <f>IFERROR(A365/R365,0)</f>
        <v/>
      </c>
      <c r="Z365" s="111">
        <f>IFERROR(B365/U365,0)</f>
        <v/>
      </c>
      <c r="AA365" s="111">
        <f>IFERROR(C365/R365,0)</f>
        <v/>
      </c>
      <c r="AB365" s="111">
        <f>IFERROR(D365/U365,0)</f>
        <v/>
      </c>
      <c r="AD365" s="111">
        <f>IF(U365&gt;0,IFERROR(E365/U365,0),1)</f>
        <v/>
      </c>
      <c r="AE365" s="111">
        <f>IF(R365&gt;0,IFERROR(F365/R365,0),1)</f>
        <v/>
      </c>
      <c r="AF365" s="111">
        <f>IF(AL365&gt;0,IFERROR(G365/AL365,0),1)</f>
        <v/>
      </c>
      <c r="AG365" s="111">
        <f>IF(AM365&gt;0,IFERROR(H365/AM365,0),1)</f>
        <v/>
      </c>
      <c r="AH365" s="104">
        <f>U365-(V365+AN365+AR365)</f>
        <v/>
      </c>
      <c r="AI365" s="104">
        <f>R365-(V365+AO365+AR365)</f>
        <v/>
      </c>
      <c r="AJ365" s="104">
        <f>(AL365-AP365)</f>
        <v/>
      </c>
      <c r="AK365" s="104">
        <f>(AM365-AQ365)</f>
        <v/>
      </c>
      <c r="AL365" s="110">
        <f>S365+AI365</f>
        <v/>
      </c>
      <c r="AM365" s="110">
        <f>T365+AJ365</f>
        <v/>
      </c>
      <c r="AN365" s="104" t="n">
        <v>21600</v>
      </c>
      <c r="AO365" s="104" t="n">
        <v>4800</v>
      </c>
      <c r="AP365" s="104" t="n">
        <v>12000</v>
      </c>
      <c r="AQ365" s="104" t="n">
        <v>4800</v>
      </c>
      <c r="AR365" s="104" t="n">
        <v>0</v>
      </c>
      <c r="AS365" s="104" t="n"/>
      <c r="AT365" s="104" t="n"/>
    </row>
    <row r="366" ht="12.65" customHeight="1" s="79">
      <c r="A366" s="104">
        <f>MIN(V366,R366)</f>
        <v/>
      </c>
      <c r="B366" s="104">
        <f>MIN(V366,U366)</f>
        <v/>
      </c>
      <c r="C366" s="104">
        <f>MIN(X366,R366)</f>
        <v/>
      </c>
      <c r="D366" s="104">
        <f>MIN(X366,U366)</f>
        <v/>
      </c>
      <c r="E366" s="104">
        <f>MIN((V366+AN366+AR366),U366)</f>
        <v/>
      </c>
      <c r="F366" s="104">
        <f>MAX(MIN((V366+AO366+AR366),R366),0)</f>
        <v/>
      </c>
      <c r="G366" s="104">
        <f>MAX(MIN(AP366,AL366),0)</f>
        <v/>
      </c>
      <c r="H366" s="104">
        <f>MAX(MIN(AQ366,AM366),0)</f>
        <v/>
      </c>
      <c r="I366" s="105" t="inlineStr">
        <is>
          <t>ROOP KISHOR</t>
        </is>
      </c>
      <c r="J366" s="106" t="inlineStr">
        <is>
          <t>HOUSEHOLD</t>
        </is>
      </c>
      <c r="K366" s="107" t="inlineStr">
        <is>
          <t>HH_PLASTICS AIDS</t>
        </is>
      </c>
      <c r="L366" s="107" t="inlineStr">
        <is>
          <t>HH_P_PLATE</t>
        </is>
      </c>
      <c r="M366" s="107" t="inlineStr">
        <is>
          <t>8PCST-[HHPC31]</t>
        </is>
      </c>
      <c r="N366" s="107" t="inlineStr">
        <is>
          <t>ACTIVE</t>
        </is>
      </c>
      <c r="O366" s="108" t="n">
        <v>0.0989046162600469</v>
      </c>
      <c r="P366" s="108" t="n">
        <v>0.07854796692717179</v>
      </c>
      <c r="Q366" s="109" t="n">
        <v>111</v>
      </c>
      <c r="R366" s="110" t="n">
        <v>1459</v>
      </c>
      <c r="S366" s="110" t="n">
        <v>808.7480721721111</v>
      </c>
      <c r="T366" s="110" t="n">
        <v>599.348731974581</v>
      </c>
      <c r="U366" s="110" t="n">
        <v>2867.09680414669</v>
      </c>
      <c r="V366" s="104" t="n">
        <v>0</v>
      </c>
      <c r="W366" s="104" t="n">
        <v>0</v>
      </c>
      <c r="X366" s="104">
        <f>$V366+W366</f>
        <v/>
      </c>
      <c r="Y366" s="111">
        <f>IFERROR(A366/R366,0)</f>
        <v/>
      </c>
      <c r="Z366" s="111">
        <f>IFERROR(B366/U366,0)</f>
        <v/>
      </c>
      <c r="AA366" s="111">
        <f>IFERROR(C366/R366,0)</f>
        <v/>
      </c>
      <c r="AB366" s="111">
        <f>IFERROR(D366/U366,0)</f>
        <v/>
      </c>
      <c r="AD366" s="111">
        <f>IF(U366&gt;0,IFERROR(E366/U366,0),1)</f>
        <v/>
      </c>
      <c r="AE366" s="111">
        <f>IF(R366&gt;0,IFERROR(F366/R366,0),1)</f>
        <v/>
      </c>
      <c r="AF366" s="111">
        <f>IF(AL366&gt;0,IFERROR(G366/AL366,0),1)</f>
        <v/>
      </c>
      <c r="AG366" s="111">
        <f>IF(AM366&gt;0,IFERROR(H366/AM366,0),1)</f>
        <v/>
      </c>
      <c r="AH366" s="104">
        <f>U366-(V366+AN366+AR366)</f>
        <v/>
      </c>
      <c r="AI366" s="104">
        <f>R366-(V366+AO366+AR366)</f>
        <v/>
      </c>
      <c r="AJ366" s="104">
        <f>(AL366-AP366)</f>
        <v/>
      </c>
      <c r="AK366" s="104">
        <f>(AM366-AQ366)</f>
        <v/>
      </c>
      <c r="AL366" s="110">
        <f>S366+AI366</f>
        <v/>
      </c>
      <c r="AM366" s="110">
        <f>T366+AJ366</f>
        <v/>
      </c>
      <c r="AN366" s="104" t="n">
        <v>0</v>
      </c>
      <c r="AO366" s="104" t="n">
        <v>0</v>
      </c>
      <c r="AP366" s="104" t="n">
        <v>0</v>
      </c>
      <c r="AQ366" s="104" t="n">
        <v>0</v>
      </c>
      <c r="AR366" s="104" t="n">
        <v>0</v>
      </c>
      <c r="AS366" s="104" t="n"/>
      <c r="AT366" s="104" t="n"/>
    </row>
    <row r="367" ht="12.65" customHeight="1" s="79">
      <c r="A367" s="104">
        <f>MIN(V367,R367)</f>
        <v/>
      </c>
      <c r="B367" s="104">
        <f>MIN(V367,U367)</f>
        <v/>
      </c>
      <c r="C367" s="104">
        <f>MIN(X367,R367)</f>
        <v/>
      </c>
      <c r="D367" s="104">
        <f>MIN(X367,U367)</f>
        <v/>
      </c>
      <c r="E367" s="104">
        <f>MIN((V367+AN367+AR367),U367)</f>
        <v/>
      </c>
      <c r="F367" s="104">
        <f>MAX(MIN((V367+AO367+AR367),R367),0)</f>
        <v/>
      </c>
      <c r="G367" s="104">
        <f>MAX(MIN(AP367,AL367),0)</f>
        <v/>
      </c>
      <c r="H367" s="104">
        <f>MAX(MIN(AQ367,AM367),0)</f>
        <v/>
      </c>
      <c r="I367" s="105" t="inlineStr">
        <is>
          <t>ROOP KISHOR</t>
        </is>
      </c>
      <c r="J367" s="106" t="inlineStr">
        <is>
          <t>HOUSEHOLD</t>
        </is>
      </c>
      <c r="K367" s="107" t="inlineStr">
        <is>
          <t>HH_PLASTICS AIDS</t>
        </is>
      </c>
      <c r="L367" s="107" t="inlineStr">
        <is>
          <t>HH_P_SIPPER</t>
        </is>
      </c>
      <c r="M367" s="107" t="inlineStr">
        <is>
          <t>300 650ML-[HHPC37]</t>
        </is>
      </c>
      <c r="N367" s="107" t="inlineStr">
        <is>
          <t>ACTIVE</t>
        </is>
      </c>
      <c r="O367" s="108" t="n">
        <v>0.131176277100257</v>
      </c>
      <c r="P367" s="108" t="n">
        <v>0.14914065939543</v>
      </c>
      <c r="Q367" s="109" t="n">
        <v>41</v>
      </c>
      <c r="R367" s="110" t="n">
        <v>11934</v>
      </c>
      <c r="S367" s="110" t="n">
        <v>10005.7949621754</v>
      </c>
      <c r="T367" s="110" t="n">
        <v>8294.48385434889</v>
      </c>
      <c r="U367" s="110" t="n">
        <v>30234.2788165243</v>
      </c>
      <c r="V367" s="104" t="n">
        <v>11964</v>
      </c>
      <c r="W367" s="104" t="n">
        <v>0</v>
      </c>
      <c r="X367" s="104">
        <f>$V367+W367</f>
        <v/>
      </c>
      <c r="Y367" s="111">
        <f>IFERROR(A367/R367,0)</f>
        <v/>
      </c>
      <c r="Z367" s="111">
        <f>IFERROR(B367/U367,0)</f>
        <v/>
      </c>
      <c r="AA367" s="111">
        <f>IFERROR(C367/R367,0)</f>
        <v/>
      </c>
      <c r="AB367" s="111">
        <f>IFERROR(D367/U367,0)</f>
        <v/>
      </c>
      <c r="AD367" s="111">
        <f>IF(U367&gt;0,IFERROR(E367/U367,0),1)</f>
        <v/>
      </c>
      <c r="AE367" s="111">
        <f>IF(R367&gt;0,IFERROR(F367/R367,0),1)</f>
        <v/>
      </c>
      <c r="AF367" s="111">
        <f>IF(AL367&gt;0,IFERROR(G367/AL367,0),1)</f>
        <v/>
      </c>
      <c r="AG367" s="111">
        <f>IF(AM367&gt;0,IFERROR(H367/AM367,0),1)</f>
        <v/>
      </c>
      <c r="AH367" s="104">
        <f>U367-(V367+AN367+AR367)</f>
        <v/>
      </c>
      <c r="AI367" s="104">
        <f>R367-(V367+AO367+AR367)</f>
        <v/>
      </c>
      <c r="AJ367" s="104">
        <f>(AL367-AP367)</f>
        <v/>
      </c>
      <c r="AK367" s="104">
        <f>(AM367-AQ367)</f>
        <v/>
      </c>
      <c r="AL367" s="110">
        <f>S367+AI367</f>
        <v/>
      </c>
      <c r="AM367" s="110">
        <f>T367+AJ367</f>
        <v/>
      </c>
      <c r="AN367" s="104" t="n">
        <v>21600</v>
      </c>
      <c r="AO367" s="104" t="n">
        <v>12000</v>
      </c>
      <c r="AP367" s="104" t="n">
        <v>4800</v>
      </c>
      <c r="AQ367" s="104" t="n">
        <v>4800</v>
      </c>
      <c r="AR367" s="104" t="n">
        <v>0</v>
      </c>
      <c r="AS367" s="104" t="n"/>
      <c r="AT367" s="104" t="n"/>
    </row>
    <row r="368" ht="12.65" customHeight="1" s="79">
      <c r="A368" s="104">
        <f>MIN(V368,R368)</f>
        <v/>
      </c>
      <c r="B368" s="104">
        <f>MIN(V368,U368)</f>
        <v/>
      </c>
      <c r="C368" s="104">
        <f>MIN(X368,R368)</f>
        <v/>
      </c>
      <c r="D368" s="104">
        <f>MIN(X368,U368)</f>
        <v/>
      </c>
      <c r="E368" s="104">
        <f>MIN((V368+AN368+AR368),U368)</f>
        <v/>
      </c>
      <c r="F368" s="104">
        <f>MAX(MIN((V368+AO368+AR368),R368),0)</f>
        <v/>
      </c>
      <c r="G368" s="104">
        <f>MAX(MIN(AP368,AL368),0)</f>
        <v/>
      </c>
      <c r="H368" s="104">
        <f>MAX(MIN(AQ368,AM368),0)</f>
        <v/>
      </c>
      <c r="I368" s="105" t="inlineStr">
        <is>
          <t>ROOP KISHOR</t>
        </is>
      </c>
      <c r="J368" s="106" t="inlineStr">
        <is>
          <t>HOUSEHOLD</t>
        </is>
      </c>
      <c r="K368" s="107" t="inlineStr">
        <is>
          <t>HH_PLASTICS AIDS</t>
        </is>
      </c>
      <c r="L368" s="107" t="inlineStr">
        <is>
          <t>HH_P_SIPPER</t>
        </is>
      </c>
      <c r="M368" s="107" t="inlineStr">
        <is>
          <t>GYM SHAKER-[HHPC37]</t>
        </is>
      </c>
      <c r="N368" s="107" t="inlineStr">
        <is>
          <t>ACTIVE</t>
        </is>
      </c>
      <c r="O368" s="108" t="n">
        <v>0.129959342835119</v>
      </c>
      <c r="P368" s="108" t="n">
        <v>0.138283958562561</v>
      </c>
      <c r="Q368" s="109" t="n">
        <v>41</v>
      </c>
      <c r="R368" s="110" t="n">
        <v>7746</v>
      </c>
      <c r="S368" s="110" t="n">
        <v>7313.51567864783</v>
      </c>
      <c r="T368" s="110" t="n">
        <v>6825.32409608383</v>
      </c>
      <c r="U368" s="110" t="n">
        <v>21884.8397747317</v>
      </c>
      <c r="V368" s="104" t="n">
        <v>3600</v>
      </c>
      <c r="W368" s="104" t="n">
        <v>0</v>
      </c>
      <c r="X368" s="104">
        <f>$V368+W368</f>
        <v/>
      </c>
      <c r="Y368" s="111">
        <f>IFERROR(A368/R368,0)</f>
        <v/>
      </c>
      <c r="Z368" s="111">
        <f>IFERROR(B368/U368,0)</f>
        <v/>
      </c>
      <c r="AA368" s="111">
        <f>IFERROR(C368/R368,0)</f>
        <v/>
      </c>
      <c r="AB368" s="111">
        <f>IFERROR(D368/U368,0)</f>
        <v/>
      </c>
      <c r="AD368" s="111">
        <f>IF(U368&gt;0,IFERROR(E368/U368,0),1)</f>
        <v/>
      </c>
      <c r="AE368" s="111">
        <f>IF(R368&gt;0,IFERROR(F368/R368,0),1)</f>
        <v/>
      </c>
      <c r="AF368" s="111">
        <f>IF(AL368&gt;0,IFERROR(G368/AL368,0),1)</f>
        <v/>
      </c>
      <c r="AG368" s="111">
        <f>IF(AM368&gt;0,IFERROR(H368/AM368,0),1)</f>
        <v/>
      </c>
      <c r="AH368" s="104">
        <f>U368-(V368+AN368+AR368)</f>
        <v/>
      </c>
      <c r="AI368" s="104">
        <f>R368-(V368+AO368+AR368)</f>
        <v/>
      </c>
      <c r="AJ368" s="104">
        <f>(AL368-AP368)</f>
        <v/>
      </c>
      <c r="AK368" s="104">
        <f>(AM368-AQ368)</f>
        <v/>
      </c>
      <c r="AL368" s="110">
        <f>S368+AI368</f>
        <v/>
      </c>
      <c r="AM368" s="110">
        <f>T368+AJ368</f>
        <v/>
      </c>
      <c r="AN368" s="104" t="n">
        <v>12000</v>
      </c>
      <c r="AO368" s="104" t="n">
        <v>3600</v>
      </c>
      <c r="AP368" s="104" t="n">
        <v>6000</v>
      </c>
      <c r="AQ368" s="104" t="n">
        <v>2400</v>
      </c>
      <c r="AR368" s="104" t="n">
        <v>0</v>
      </c>
      <c r="AS368" s="104" t="n"/>
      <c r="AT368" s="104" t="n"/>
    </row>
    <row r="369" ht="12.65" customHeight="1" s="79">
      <c r="A369" s="104">
        <f>MIN(V369,R369)</f>
        <v/>
      </c>
      <c r="B369" s="104">
        <f>MIN(V369,U369)</f>
        <v/>
      </c>
      <c r="C369" s="104">
        <f>MIN(X369,R369)</f>
        <v/>
      </c>
      <c r="D369" s="104">
        <f>MIN(X369,U369)</f>
        <v/>
      </c>
      <c r="E369" s="104">
        <f>MIN((V369+AN369+AR369),U369)</f>
        <v/>
      </c>
      <c r="F369" s="104">
        <f>MAX(MIN((V369+AO369+AR369),R369),0)</f>
        <v/>
      </c>
      <c r="G369" s="104">
        <f>MAX(MIN(AP369,AL369),0)</f>
        <v/>
      </c>
      <c r="H369" s="104">
        <f>MAX(MIN(AQ369,AM369),0)</f>
        <v/>
      </c>
      <c r="I369" s="105" t="inlineStr">
        <is>
          <t>ROOP KISHOR</t>
        </is>
      </c>
      <c r="J369" s="106" t="inlineStr">
        <is>
          <t>HOUSEHOLD</t>
        </is>
      </c>
      <c r="K369" s="107" t="inlineStr">
        <is>
          <t>HH_PLASTICS AIDS</t>
        </is>
      </c>
      <c r="L369" s="107" t="inlineStr">
        <is>
          <t>HH_P_SIPPER</t>
        </is>
      </c>
      <c r="M369" s="107" t="inlineStr">
        <is>
          <t>IMP 200 650ML-[HHPC37]</t>
        </is>
      </c>
      <c r="N369" s="107" t="inlineStr">
        <is>
          <t>ACTIVE</t>
        </is>
      </c>
      <c r="O369" s="108" t="n">
        <v>0.0900421786172749</v>
      </c>
      <c r="P369" s="108" t="n">
        <v>0.0938227461496918</v>
      </c>
      <c r="Q369" s="109" t="n">
        <v>41</v>
      </c>
      <c r="R369" s="110" t="n">
        <v>2830</v>
      </c>
      <c r="S369" s="110" t="n">
        <v>2287.84865924622</v>
      </c>
      <c r="T369" s="110" t="n">
        <v>2626.87646209769</v>
      </c>
      <c r="U369" s="110" t="n">
        <v>7744.72512134391</v>
      </c>
      <c r="V369" s="104" t="n">
        <v>4798</v>
      </c>
      <c r="W369" s="104" t="n">
        <v>0</v>
      </c>
      <c r="X369" s="104">
        <f>$V369+W369</f>
        <v/>
      </c>
      <c r="Y369" s="111">
        <f>IFERROR(A369/R369,0)</f>
        <v/>
      </c>
      <c r="Z369" s="111">
        <f>IFERROR(B369/U369,0)</f>
        <v/>
      </c>
      <c r="AA369" s="111">
        <f>IFERROR(C369/R369,0)</f>
        <v/>
      </c>
      <c r="AB369" s="111">
        <f>IFERROR(D369/U369,0)</f>
        <v/>
      </c>
      <c r="AD369" s="111">
        <f>IF(U369&gt;0,IFERROR(E369/U369,0),1)</f>
        <v/>
      </c>
      <c r="AE369" s="111">
        <f>IF(R369&gt;0,IFERROR(F369/R369,0),1)</f>
        <v/>
      </c>
      <c r="AF369" s="111">
        <f>IF(AL369&gt;0,IFERROR(G369/AL369,0),1)</f>
        <v/>
      </c>
      <c r="AG369" s="111">
        <f>IF(AM369&gt;0,IFERROR(H369/AM369,0),1)</f>
        <v/>
      </c>
      <c r="AH369" s="104">
        <f>U369-(V369+AN369+AR369)</f>
        <v/>
      </c>
      <c r="AI369" s="104">
        <f>R369-(V369+AO369+AR369)</f>
        <v/>
      </c>
      <c r="AJ369" s="104">
        <f>(AL369-AP369)</f>
        <v/>
      </c>
      <c r="AK369" s="104">
        <f>(AM369-AQ369)</f>
        <v/>
      </c>
      <c r="AL369" s="110">
        <f>S369+AI369</f>
        <v/>
      </c>
      <c r="AM369" s="110">
        <f>T369+AJ369</f>
        <v/>
      </c>
      <c r="AN369" s="104" t="n">
        <v>7202</v>
      </c>
      <c r="AO369" s="104" t="n">
        <v>3602</v>
      </c>
      <c r="AP369" s="104" t="n">
        <v>3600</v>
      </c>
      <c r="AQ369" s="104" t="n">
        <v>0</v>
      </c>
      <c r="AR369" s="104" t="n">
        <v>0</v>
      </c>
      <c r="AS369" s="104" t="n"/>
      <c r="AT369" s="104" t="n"/>
    </row>
    <row r="370" ht="12.65" customHeight="1" s="79">
      <c r="A370" s="104">
        <f>MIN(V370,R370)</f>
        <v/>
      </c>
      <c r="B370" s="104">
        <f>MIN(V370,U370)</f>
        <v/>
      </c>
      <c r="C370" s="104">
        <f>MIN(X370,R370)</f>
        <v/>
      </c>
      <c r="D370" s="104">
        <f>MIN(X370,U370)</f>
        <v/>
      </c>
      <c r="E370" s="104">
        <f>MIN((V370+AN370+AR370),U370)</f>
        <v/>
      </c>
      <c r="F370" s="104">
        <f>MAX(MIN((V370+AO370+AR370),R370),0)</f>
        <v/>
      </c>
      <c r="G370" s="104">
        <f>MAX(MIN(AP370,AL370),0)</f>
        <v/>
      </c>
      <c r="H370" s="104">
        <f>MAX(MIN(AQ370,AM370),0)</f>
        <v/>
      </c>
      <c r="I370" s="105" t="inlineStr">
        <is>
          <t>ROOP KISHOR</t>
        </is>
      </c>
      <c r="J370" s="106" t="inlineStr">
        <is>
          <t>HOUSEHOLD</t>
        </is>
      </c>
      <c r="K370" s="107" t="inlineStr">
        <is>
          <t>HH_PLASTICS AIDS</t>
        </is>
      </c>
      <c r="L370" s="107" t="inlineStr">
        <is>
          <t>HH_P_SIPPER</t>
        </is>
      </c>
      <c r="M370" s="107" t="inlineStr">
        <is>
          <t>KULFI MARKER-[HHPC37]</t>
        </is>
      </c>
      <c r="N370" s="107" t="inlineStr">
        <is>
          <t>INACTIVE</t>
        </is>
      </c>
      <c r="O370" s="108" t="n">
        <v>0.202490736355278</v>
      </c>
      <c r="P370" s="108" t="n">
        <v>0.129262217641501</v>
      </c>
      <c r="Q370" s="109" t="n">
        <v>41</v>
      </c>
      <c r="R370" s="110" t="n">
        <v>0</v>
      </c>
      <c r="S370" s="110" t="n">
        <v>0</v>
      </c>
      <c r="T370" s="110" t="n">
        <v>0</v>
      </c>
      <c r="U370" s="110" t="n">
        <v>0</v>
      </c>
      <c r="V370" s="104" t="n">
        <v>0</v>
      </c>
      <c r="W370" s="104" t="n">
        <v>0</v>
      </c>
      <c r="X370" s="104">
        <f>$V370+W370</f>
        <v/>
      </c>
      <c r="Y370" s="111">
        <f>IFERROR(A370/R370,0)</f>
        <v/>
      </c>
      <c r="Z370" s="111">
        <f>IFERROR(B370/U370,0)</f>
        <v/>
      </c>
      <c r="AA370" s="111">
        <f>IFERROR(C370/R370,0)</f>
        <v/>
      </c>
      <c r="AB370" s="111">
        <f>IFERROR(D370/U370,0)</f>
        <v/>
      </c>
      <c r="AD370" s="111">
        <f>IF(U370&gt;0,IFERROR(E370/U370,0),1)</f>
        <v/>
      </c>
      <c r="AE370" s="111">
        <f>IF(R370&gt;0,IFERROR(F370/R370,0),1)</f>
        <v/>
      </c>
      <c r="AF370" s="111">
        <f>IF(AL370&gt;0,IFERROR(G370/AL370,0),1)</f>
        <v/>
      </c>
      <c r="AG370" s="111">
        <f>IF(AM370&gt;0,IFERROR(H370/AM370,0),1)</f>
        <v/>
      </c>
      <c r="AH370" s="104">
        <f>U370-(V370+AN370+AR370)</f>
        <v/>
      </c>
      <c r="AI370" s="104">
        <f>R370-(V370+AO370+AR370)</f>
        <v/>
      </c>
      <c r="AJ370" s="104">
        <f>(AL370-AP370)</f>
        <v/>
      </c>
      <c r="AK370" s="104">
        <f>(AM370-AQ370)</f>
        <v/>
      </c>
      <c r="AL370" s="110">
        <f>S370+AI370</f>
        <v/>
      </c>
      <c r="AM370" s="110">
        <f>T370+AJ370</f>
        <v/>
      </c>
      <c r="AN370" s="104" t="n">
        <v>0</v>
      </c>
      <c r="AO370" s="104" t="n">
        <v>0</v>
      </c>
      <c r="AP370" s="104" t="n">
        <v>0</v>
      </c>
      <c r="AQ370" s="104" t="n">
        <v>0</v>
      </c>
      <c r="AR370" s="104" t="n">
        <v>0</v>
      </c>
      <c r="AS370" s="104" t="n"/>
      <c r="AT370" s="104" t="n"/>
    </row>
    <row r="371" ht="12.65" customHeight="1" s="79">
      <c r="A371" s="104">
        <f>MIN(V371,R371)</f>
        <v/>
      </c>
      <c r="B371" s="104">
        <f>MIN(V371,U371)</f>
        <v/>
      </c>
      <c r="C371" s="104">
        <f>MIN(X371,R371)</f>
        <v/>
      </c>
      <c r="D371" s="104">
        <f>MIN(X371,U371)</f>
        <v/>
      </c>
      <c r="E371" s="104">
        <f>MIN((V371+AN371+AR371),U371)</f>
        <v/>
      </c>
      <c r="F371" s="104">
        <f>MAX(MIN((V371+AO371+AR371),R371),0)</f>
        <v/>
      </c>
      <c r="G371" s="104">
        <f>MAX(MIN(AP371,AL371),0)</f>
        <v/>
      </c>
      <c r="H371" s="104">
        <f>MAX(MIN(AQ371,AM371),0)</f>
        <v/>
      </c>
      <c r="I371" s="105" t="inlineStr">
        <is>
          <t>ROOP KISHOR</t>
        </is>
      </c>
      <c r="J371" s="106" t="inlineStr">
        <is>
          <t>HOUSEHOLD</t>
        </is>
      </c>
      <c r="K371" s="107" t="inlineStr">
        <is>
          <t>HH_PLASTICS AIDS</t>
        </is>
      </c>
      <c r="L371" s="107" t="inlineStr">
        <is>
          <t>HH_P_SIPPER</t>
        </is>
      </c>
      <c r="M371" s="107" t="inlineStr">
        <is>
          <t>300 400ML-[HHPC37]</t>
        </is>
      </c>
      <c r="N371" s="107" t="inlineStr">
        <is>
          <t>INACTIVE</t>
        </is>
      </c>
      <c r="O371" s="108" t="n">
        <v>0</v>
      </c>
      <c r="P371" s="108" t="n">
        <v>0</v>
      </c>
      <c r="Q371" s="109" t="n">
        <v>41</v>
      </c>
      <c r="R371" s="110" t="n">
        <v>0</v>
      </c>
      <c r="S371" s="110" t="n">
        <v>0</v>
      </c>
      <c r="T371" s="110" t="n">
        <v>0</v>
      </c>
      <c r="U371" s="110" t="n">
        <v>0</v>
      </c>
      <c r="V371" s="104" t="n">
        <v>0</v>
      </c>
      <c r="W371" s="104" t="n">
        <v>3600</v>
      </c>
      <c r="X371" s="104">
        <f>$V371+W371</f>
        <v/>
      </c>
      <c r="Y371" s="111">
        <f>IFERROR(A371/R371,0)</f>
        <v/>
      </c>
      <c r="Z371" s="111">
        <f>IFERROR(B371/U371,0)</f>
        <v/>
      </c>
      <c r="AA371" s="111">
        <f>IFERROR(C371/R371,0)</f>
        <v/>
      </c>
      <c r="AB371" s="111">
        <f>IFERROR(D371/U371,0)</f>
        <v/>
      </c>
      <c r="AD371" s="111">
        <f>IF(U371&gt;0,IFERROR(E371/U371,0),1)</f>
        <v/>
      </c>
      <c r="AE371" s="111">
        <f>IF(R371&gt;0,IFERROR(F371/R371,0),1)</f>
        <v/>
      </c>
      <c r="AF371" s="111">
        <f>IF(AL371&gt;0,IFERROR(G371/AL371,0),1)</f>
        <v/>
      </c>
      <c r="AG371" s="111">
        <f>IF(AM371&gt;0,IFERROR(H371/AM371,0),1)</f>
        <v/>
      </c>
      <c r="AH371" s="104">
        <f>U371-(V371+AN371+AR371)</f>
        <v/>
      </c>
      <c r="AI371" s="104">
        <f>R371-(V371+AO371+AR371)</f>
        <v/>
      </c>
      <c r="AJ371" s="104">
        <f>(AL371-AP371)</f>
        <v/>
      </c>
      <c r="AK371" s="104">
        <f>(AM371-AQ371)</f>
        <v/>
      </c>
      <c r="AL371" s="110">
        <f>S371+AI371</f>
        <v/>
      </c>
      <c r="AM371" s="110">
        <f>T371+AJ371</f>
        <v/>
      </c>
      <c r="AN371" s="104" t="n">
        <v>3600</v>
      </c>
      <c r="AO371" s="104" t="n">
        <v>3600</v>
      </c>
      <c r="AP371" s="104" t="n">
        <v>0</v>
      </c>
      <c r="AQ371" s="104" t="n">
        <v>0</v>
      </c>
      <c r="AR371" s="104" t="n">
        <v>0</v>
      </c>
      <c r="AS371" s="104" t="n"/>
      <c r="AT371" s="104" t="n"/>
    </row>
    <row r="372" ht="12.65" customHeight="1" s="79">
      <c r="A372" s="104">
        <f>MIN(V372,R372)</f>
        <v/>
      </c>
      <c r="B372" s="104">
        <f>MIN(V372,U372)</f>
        <v/>
      </c>
      <c r="C372" s="104">
        <f>MIN(X372,R372)</f>
        <v/>
      </c>
      <c r="D372" s="104">
        <f>MIN(X372,U372)</f>
        <v/>
      </c>
      <c r="E372" s="104">
        <f>MIN((V372+AN372+AR372),U372)</f>
        <v/>
      </c>
      <c r="F372" s="104">
        <f>MAX(MIN((V372+AO372+AR372),R372),0)</f>
        <v/>
      </c>
      <c r="G372" s="104">
        <f>MAX(MIN(AP372,AL372),0)</f>
        <v/>
      </c>
      <c r="H372" s="104">
        <f>MAX(MIN(AQ372,AM372),0)</f>
        <v/>
      </c>
      <c r="I372" s="105" t="inlineStr">
        <is>
          <t>ROOP KISHOR</t>
        </is>
      </c>
      <c r="J372" s="106" t="inlineStr">
        <is>
          <t>HOUSEHOLD</t>
        </is>
      </c>
      <c r="K372" s="107" t="inlineStr">
        <is>
          <t>HH_PLASTICS AIDS</t>
        </is>
      </c>
      <c r="L372" s="107" t="inlineStr">
        <is>
          <t>HH_P_SNACK TRAY</t>
        </is>
      </c>
      <c r="M372" s="107" t="inlineStr">
        <is>
          <t>CANDY BOWL-[HHPC38]</t>
        </is>
      </c>
      <c r="N372" s="107" t="inlineStr">
        <is>
          <t>ACTIVE</t>
        </is>
      </c>
      <c r="O372" s="108" t="n">
        <v>0</v>
      </c>
      <c r="P372" s="108" t="n">
        <v>0</v>
      </c>
      <c r="Q372" s="109" t="n">
        <v>165</v>
      </c>
      <c r="R372" s="110" t="n">
        <v>0</v>
      </c>
      <c r="S372" s="110" t="n">
        <v>0</v>
      </c>
      <c r="T372" s="110" t="n">
        <v>0</v>
      </c>
      <c r="U372" s="110" t="n">
        <v>0</v>
      </c>
      <c r="V372" s="104" t="n">
        <v>512</v>
      </c>
      <c r="W372" s="104" t="n">
        <v>4800</v>
      </c>
      <c r="X372" s="104">
        <f>$V372+W372</f>
        <v/>
      </c>
      <c r="Y372" s="111">
        <f>IFERROR(A372/R372,0)</f>
        <v/>
      </c>
      <c r="Z372" s="111">
        <f>IFERROR(B372/U372,0)</f>
        <v/>
      </c>
      <c r="AA372" s="111">
        <f>IFERROR(C372/R372,0)</f>
        <v/>
      </c>
      <c r="AB372" s="111">
        <f>IFERROR(D372/U372,0)</f>
        <v/>
      </c>
      <c r="AD372" s="111">
        <f>IF(U372&gt;0,IFERROR(E372/U372,0),1)</f>
        <v/>
      </c>
      <c r="AE372" s="111">
        <f>IF(R372&gt;0,IFERROR(F372/R372,0),1)</f>
        <v/>
      </c>
      <c r="AF372" s="111">
        <f>IF(AL372&gt;0,IFERROR(G372/AL372,0),1)</f>
        <v/>
      </c>
      <c r="AG372" s="111">
        <f>IF(AM372&gt;0,IFERROR(H372/AM372,0),1)</f>
        <v/>
      </c>
      <c r="AH372" s="104">
        <f>U372-(V372+AN372+AR372)</f>
        <v/>
      </c>
      <c r="AI372" s="104">
        <f>R372-(V372+AO372+AR372)</f>
        <v/>
      </c>
      <c r="AJ372" s="104">
        <f>(AL372-AP372)</f>
        <v/>
      </c>
      <c r="AK372" s="104">
        <f>(AM372-AQ372)</f>
        <v/>
      </c>
      <c r="AL372" s="110">
        <f>S372+AI372</f>
        <v/>
      </c>
      <c r="AM372" s="110">
        <f>T372+AJ372</f>
        <v/>
      </c>
      <c r="AN372" s="104" t="n">
        <v>4800</v>
      </c>
      <c r="AO372" s="104" t="n">
        <v>4800</v>
      </c>
      <c r="AP372" s="104" t="n">
        <v>0</v>
      </c>
      <c r="AQ372" s="104" t="n">
        <v>0</v>
      </c>
      <c r="AR372" s="104" t="n">
        <v>0</v>
      </c>
      <c r="AS372" s="104" t="n"/>
      <c r="AT372" s="104" t="n"/>
    </row>
    <row r="373" ht="12.65" customHeight="1" s="79">
      <c r="A373" s="104">
        <f>MIN(V373,R373)</f>
        <v/>
      </c>
      <c r="B373" s="104">
        <f>MIN(V373,U373)</f>
        <v/>
      </c>
      <c r="C373" s="104">
        <f>MIN(X373,R373)</f>
        <v/>
      </c>
      <c r="D373" s="104">
        <f>MIN(X373,U373)</f>
        <v/>
      </c>
      <c r="E373" s="104">
        <f>MIN((V373+AN373+AR373),U373)</f>
        <v/>
      </c>
      <c r="F373" s="104">
        <f>MAX(MIN((V373+AO373+AR373),R373),0)</f>
        <v/>
      </c>
      <c r="G373" s="104">
        <f>MAX(MIN(AP373,AL373),0)</f>
        <v/>
      </c>
      <c r="H373" s="104">
        <f>MAX(MIN(AQ373,AM373),0)</f>
        <v/>
      </c>
      <c r="I373" s="105" t="inlineStr">
        <is>
          <t>ROOP KISHOR</t>
        </is>
      </c>
      <c r="J373" s="106" t="inlineStr">
        <is>
          <t>HOUSEHOLD</t>
        </is>
      </c>
      <c r="K373" s="107" t="inlineStr">
        <is>
          <t>HH_PLASTICS AIDS</t>
        </is>
      </c>
      <c r="L373" s="107" t="inlineStr">
        <is>
          <t>HH_P_WATER BOTTLE</t>
        </is>
      </c>
      <c r="M373" s="107" t="inlineStr">
        <is>
          <t>INSLTD-[HHPC42]</t>
        </is>
      </c>
      <c r="N373" s="107" t="inlineStr">
        <is>
          <t>ACTIVE</t>
        </is>
      </c>
      <c r="O373" s="108" t="n">
        <v>0.119488335176797</v>
      </c>
      <c r="P373" s="108" t="n">
        <v>0.113574717985551</v>
      </c>
      <c r="Q373" s="109" t="n">
        <v>74</v>
      </c>
      <c r="R373" s="110" t="n">
        <v>1232</v>
      </c>
      <c r="S373" s="110" t="n">
        <v>2571.92605822667</v>
      </c>
      <c r="T373" s="110" t="n">
        <v>2347.06499909739</v>
      </c>
      <c r="U373" s="110" t="n">
        <v>6150.99105732407</v>
      </c>
      <c r="V373" s="104" t="n">
        <v>0</v>
      </c>
      <c r="W373" s="104" t="n">
        <v>3600</v>
      </c>
      <c r="X373" s="104">
        <f>$V373+W373</f>
        <v/>
      </c>
      <c r="Y373" s="111">
        <f>IFERROR(A373/R373,0)</f>
        <v/>
      </c>
      <c r="Z373" s="111">
        <f>IFERROR(B373/U373,0)</f>
        <v/>
      </c>
      <c r="AA373" s="111">
        <f>IFERROR(C373/R373,0)</f>
        <v/>
      </c>
      <c r="AB373" s="111">
        <f>IFERROR(D373/U373,0)</f>
        <v/>
      </c>
      <c r="AD373" s="111">
        <f>IF(U373&gt;0,IFERROR(E373/U373,0),1)</f>
        <v/>
      </c>
      <c r="AE373" s="111">
        <f>IF(R373&gt;0,IFERROR(F373/R373,0),1)</f>
        <v/>
      </c>
      <c r="AF373" s="111">
        <f>IF(AL373&gt;0,IFERROR(G373/AL373,0),1)</f>
        <v/>
      </c>
      <c r="AG373" s="111">
        <f>IF(AM373&gt;0,IFERROR(H373/AM373,0),1)</f>
        <v/>
      </c>
      <c r="AH373" s="104">
        <f>U373-(V373+AN373+AR373)</f>
        <v/>
      </c>
      <c r="AI373" s="104">
        <f>R373-(V373+AO373+AR373)</f>
        <v/>
      </c>
      <c r="AJ373" s="104">
        <f>(AL373-AP373)</f>
        <v/>
      </c>
      <c r="AK373" s="104">
        <f>(AM373-AQ373)</f>
        <v/>
      </c>
      <c r="AL373" s="110">
        <f>S373+AI373</f>
        <v/>
      </c>
      <c r="AM373" s="110">
        <f>T373+AJ373</f>
        <v/>
      </c>
      <c r="AN373" s="104" t="n">
        <v>3600</v>
      </c>
      <c r="AO373" s="104" t="n">
        <v>3600</v>
      </c>
      <c r="AP373" s="104" t="n">
        <v>0</v>
      </c>
      <c r="AQ373" s="104" t="n">
        <v>0</v>
      </c>
      <c r="AR373" s="104" t="n">
        <v>0</v>
      </c>
      <c r="AS373" s="104" t="n"/>
      <c r="AT373" s="104" t="n"/>
    </row>
    <row r="374" ht="12.65" customHeight="1" s="79">
      <c r="A374" s="104">
        <f>MIN(V374,R374)</f>
        <v/>
      </c>
      <c r="B374" s="104">
        <f>MIN(V374,U374)</f>
        <v/>
      </c>
      <c r="C374" s="104">
        <f>MIN(X374,R374)</f>
        <v/>
      </c>
      <c r="D374" s="104">
        <f>MIN(X374,U374)</f>
        <v/>
      </c>
      <c r="E374" s="104">
        <f>MIN((V374+AN374+AR374),U374)</f>
        <v/>
      </c>
      <c r="F374" s="104">
        <f>MAX(MIN((V374+AO374+AR374),R374),0)</f>
        <v/>
      </c>
      <c r="G374" s="104">
        <f>MAX(MIN(AP374,AL374),0)</f>
        <v/>
      </c>
      <c r="H374" s="104">
        <f>MAX(MIN(AQ374,AM374),0)</f>
        <v/>
      </c>
      <c r="I374" s="105" t="inlineStr">
        <is>
          <t>ROOP KISHOR</t>
        </is>
      </c>
      <c r="J374" s="106" t="inlineStr">
        <is>
          <t>HOUSEHOLD</t>
        </is>
      </c>
      <c r="K374" s="107" t="inlineStr">
        <is>
          <t>HH_PLASTICS AIDS</t>
        </is>
      </c>
      <c r="L374" s="107" t="inlineStr">
        <is>
          <t>HH_P_WATER BOTTLE</t>
        </is>
      </c>
      <c r="M374" s="107" t="inlineStr">
        <is>
          <t>NON INSLTD-[HHPC42]</t>
        </is>
      </c>
      <c r="N374" s="107" t="inlineStr">
        <is>
          <t>ACTIVE</t>
        </is>
      </c>
      <c r="O374" s="108" t="n">
        <v>0.102083841091884</v>
      </c>
      <c r="P374" s="108" t="n">
        <v>0.115637570548019</v>
      </c>
      <c r="Q374" s="109" t="n">
        <v>74</v>
      </c>
      <c r="R374" s="110" t="n">
        <v>335</v>
      </c>
      <c r="S374" s="110" t="n">
        <v>781.445848528801</v>
      </c>
      <c r="T374" s="110" t="n">
        <v>727.496178426734</v>
      </c>
      <c r="U374" s="110" t="n">
        <v>1843.94202695554</v>
      </c>
      <c r="V374" s="104" t="n">
        <v>9800</v>
      </c>
      <c r="W374" s="104" t="n">
        <v>4032</v>
      </c>
      <c r="X374" s="104">
        <f>$V374+W374</f>
        <v/>
      </c>
      <c r="Y374" s="111">
        <f>IFERROR(A374/R374,0)</f>
        <v/>
      </c>
      <c r="Z374" s="111">
        <f>IFERROR(B374/U374,0)</f>
        <v/>
      </c>
      <c r="AA374" s="111">
        <f>IFERROR(C374/R374,0)</f>
        <v/>
      </c>
      <c r="AB374" s="111">
        <f>IFERROR(D374/U374,0)</f>
        <v/>
      </c>
      <c r="AD374" s="111">
        <f>IF(U374&gt;0,IFERROR(E374/U374,0),1)</f>
        <v/>
      </c>
      <c r="AE374" s="111">
        <f>IF(R374&gt;0,IFERROR(F374/R374,0),1)</f>
        <v/>
      </c>
      <c r="AF374" s="111">
        <f>IF(AL374&gt;0,IFERROR(G374/AL374,0),1)</f>
        <v/>
      </c>
      <c r="AG374" s="111">
        <f>IF(AM374&gt;0,IFERROR(H374/AM374,0),1)</f>
        <v/>
      </c>
      <c r="AH374" s="104">
        <f>U374-(V374+AN374+AR374)</f>
        <v/>
      </c>
      <c r="AI374" s="104">
        <f>R374-(V374+AO374+AR374)</f>
        <v/>
      </c>
      <c r="AJ374" s="104">
        <f>(AL374-AP374)</f>
        <v/>
      </c>
      <c r="AK374" s="104">
        <f>(AM374-AQ374)</f>
        <v/>
      </c>
      <c r="AL374" s="110">
        <f>S374+AI374</f>
        <v/>
      </c>
      <c r="AM374" s="110">
        <f>T374+AJ374</f>
        <v/>
      </c>
      <c r="AN374" s="104" t="n">
        <v>12200</v>
      </c>
      <c r="AO374" s="104" t="n">
        <v>12200</v>
      </c>
      <c r="AP374" s="104" t="n">
        <v>0</v>
      </c>
      <c r="AQ374" s="104" t="n">
        <v>0</v>
      </c>
      <c r="AR374" s="104" t="n">
        <v>0</v>
      </c>
      <c r="AS374" s="104" t="n"/>
      <c r="AT374" s="104" t="n"/>
    </row>
    <row r="375" ht="12.65" customHeight="1" s="79">
      <c r="A375" s="104">
        <f>MIN(V375,R375)</f>
        <v/>
      </c>
      <c r="B375" s="104">
        <f>MIN(V375,U375)</f>
        <v/>
      </c>
      <c r="C375" s="104">
        <f>MIN(X375,R375)</f>
        <v/>
      </c>
      <c r="D375" s="104">
        <f>MIN(X375,U375)</f>
        <v/>
      </c>
      <c r="E375" s="104">
        <f>MIN((V375+AN375+AR375),U375)</f>
        <v/>
      </c>
      <c r="F375" s="104">
        <f>MAX(MIN((V375+AO375+AR375),R375),0)</f>
        <v/>
      </c>
      <c r="G375" s="104">
        <f>MAX(MIN(AP375,AL375),0)</f>
        <v/>
      </c>
      <c r="H375" s="104">
        <f>MAX(MIN(AQ375,AM375),0)</f>
        <v/>
      </c>
      <c r="I375" s="105" t="inlineStr">
        <is>
          <t>ROOP KISHOR</t>
        </is>
      </c>
      <c r="J375" s="106" t="inlineStr">
        <is>
          <t>HOUSEHOLD</t>
        </is>
      </c>
      <c r="K375" s="107" t="inlineStr">
        <is>
          <t>HH_PLASTICS AIDS</t>
        </is>
      </c>
      <c r="L375" s="107" t="inlineStr">
        <is>
          <t>HH_P_WATER BOTTLE</t>
        </is>
      </c>
      <c r="M375" s="107" t="inlineStr">
        <is>
          <t>BRND NON INSLTD-[HHPC42]</t>
        </is>
      </c>
      <c r="N375" s="107" t="inlineStr">
        <is>
          <t>INACTIVE</t>
        </is>
      </c>
      <c r="O375" s="108" t="n">
        <v>0.0833177270711153</v>
      </c>
      <c r="P375" s="108" t="n">
        <v>0.0858614669225051</v>
      </c>
      <c r="Q375" s="109" t="n">
        <v>74</v>
      </c>
      <c r="R375" s="110" t="n">
        <v>0</v>
      </c>
      <c r="S375" s="110" t="n">
        <v>0</v>
      </c>
      <c r="T375" s="110" t="n">
        <v>0</v>
      </c>
      <c r="U375" s="110" t="n">
        <v>0</v>
      </c>
      <c r="V375" s="104" t="n">
        <v>0</v>
      </c>
      <c r="W375" s="104" t="n">
        <v>1992</v>
      </c>
      <c r="X375" s="104">
        <f>$V375+W375</f>
        <v/>
      </c>
      <c r="Y375" s="111">
        <f>IFERROR(A375/R375,0)</f>
        <v/>
      </c>
      <c r="Z375" s="111">
        <f>IFERROR(B375/U375,0)</f>
        <v/>
      </c>
      <c r="AA375" s="111">
        <f>IFERROR(C375/R375,0)</f>
        <v/>
      </c>
      <c r="AB375" s="111">
        <f>IFERROR(D375/U375,0)</f>
        <v/>
      </c>
      <c r="AD375" s="111">
        <f>IF(U375&gt;0,IFERROR(E375/U375,0),1)</f>
        <v/>
      </c>
      <c r="AE375" s="111">
        <f>IF(R375&gt;0,IFERROR(F375/R375,0),1)</f>
        <v/>
      </c>
      <c r="AF375" s="111">
        <f>IF(AL375&gt;0,IFERROR(G375/AL375,0),1)</f>
        <v/>
      </c>
      <c r="AG375" s="111">
        <f>IF(AM375&gt;0,IFERROR(H375/AM375,0),1)</f>
        <v/>
      </c>
      <c r="AH375" s="104">
        <f>U375-(V375+AN375+AR375)</f>
        <v/>
      </c>
      <c r="AI375" s="104">
        <f>R375-(V375+AO375+AR375)</f>
        <v/>
      </c>
      <c r="AJ375" s="104">
        <f>(AL375-AP375)</f>
        <v/>
      </c>
      <c r="AK375" s="104">
        <f>(AM375-AQ375)</f>
        <v/>
      </c>
      <c r="AL375" s="110">
        <f>S375+AI375</f>
        <v/>
      </c>
      <c r="AM375" s="110">
        <f>T375+AJ375</f>
        <v/>
      </c>
      <c r="AN375" s="104" t="n">
        <v>4800</v>
      </c>
      <c r="AO375" s="104" t="n">
        <v>0</v>
      </c>
      <c r="AP375" s="104" t="n">
        <v>4800</v>
      </c>
      <c r="AQ375" s="104" t="n">
        <v>0</v>
      </c>
      <c r="AR375" s="104" t="n">
        <v>0</v>
      </c>
      <c r="AS375" s="104" t="n"/>
      <c r="AT375" s="104" t="n"/>
    </row>
    <row r="376" ht="12.65" customHeight="1" s="79">
      <c r="A376" s="104">
        <f>MIN(V376,R376)</f>
        <v/>
      </c>
      <c r="B376" s="104">
        <f>MIN(V376,U376)</f>
        <v/>
      </c>
      <c r="C376" s="104">
        <f>MIN(X376,R376)</f>
        <v/>
      </c>
      <c r="D376" s="104">
        <f>MIN(X376,U376)</f>
        <v/>
      </c>
      <c r="E376" s="104">
        <f>MIN((V376+AN376+AR376),U376)</f>
        <v/>
      </c>
      <c r="F376" s="104">
        <f>MAX(MIN((V376+AO376+AR376),R376),0)</f>
        <v/>
      </c>
      <c r="G376" s="104">
        <f>MAX(MIN(AP376,AL376),0)</f>
        <v/>
      </c>
      <c r="H376" s="104">
        <f>MAX(MIN(AQ376,AM376),0)</f>
        <v/>
      </c>
      <c r="I376" s="105" t="inlineStr">
        <is>
          <t>ROOP KISHOR</t>
        </is>
      </c>
      <c r="J376" s="106" t="inlineStr">
        <is>
          <t>HOUSEHOLD</t>
        </is>
      </c>
      <c r="K376" s="107" t="inlineStr">
        <is>
          <t>HH_PLASTICS AIDS</t>
        </is>
      </c>
      <c r="L376" s="107" t="inlineStr">
        <is>
          <t>HH_TE_EXTENSION CORD</t>
        </is>
      </c>
      <c r="M376" s="107" t="inlineStr">
        <is>
          <t>EXTN CORD-[HHPC43]</t>
        </is>
      </c>
      <c r="N376" s="107" t="inlineStr">
        <is>
          <t>ACTIVE</t>
        </is>
      </c>
      <c r="O376" s="108" t="n">
        <v>0</v>
      </c>
      <c r="P376" s="108" t="n">
        <v>0</v>
      </c>
      <c r="Q376" s="109" t="n">
        <v>178</v>
      </c>
      <c r="R376" s="110" t="n">
        <v>0</v>
      </c>
      <c r="S376" s="110" t="n">
        <v>0</v>
      </c>
      <c r="T376" s="110" t="n">
        <v>0</v>
      </c>
      <c r="U376" s="110" t="n">
        <v>0</v>
      </c>
      <c r="V376" s="104" t="n">
        <v>0</v>
      </c>
      <c r="W376" s="104" t="n">
        <v>0</v>
      </c>
      <c r="X376" s="104">
        <f>$V376+W376</f>
        <v/>
      </c>
      <c r="Y376" s="111">
        <f>IFERROR(A376/R376,0)</f>
        <v/>
      </c>
      <c r="Z376" s="111">
        <f>IFERROR(B376/U376,0)</f>
        <v/>
      </c>
      <c r="AA376" s="111">
        <f>IFERROR(C376/R376,0)</f>
        <v/>
      </c>
      <c r="AB376" s="111">
        <f>IFERROR(D376/U376,0)</f>
        <v/>
      </c>
      <c r="AD376" s="111">
        <f>IF(U376&gt;0,IFERROR(E376/U376,0),1)</f>
        <v/>
      </c>
      <c r="AE376" s="111">
        <f>IF(R376&gt;0,IFERROR(F376/R376,0),1)</f>
        <v/>
      </c>
      <c r="AF376" s="111">
        <f>IF(AL376&gt;0,IFERROR(G376/AL376,0),1)</f>
        <v/>
      </c>
      <c r="AG376" s="111">
        <f>IF(AM376&gt;0,IFERROR(H376/AM376,0),1)</f>
        <v/>
      </c>
      <c r="AH376" s="104">
        <f>U376-(V376+AN376+AR376)</f>
        <v/>
      </c>
      <c r="AI376" s="104">
        <f>R376-(V376+AO376+AR376)</f>
        <v/>
      </c>
      <c r="AJ376" s="104">
        <f>(AL376-AP376)</f>
        <v/>
      </c>
      <c r="AK376" s="104">
        <f>(AM376-AQ376)</f>
        <v/>
      </c>
      <c r="AL376" s="110">
        <f>S376+AI376</f>
        <v/>
      </c>
      <c r="AM376" s="110">
        <f>T376+AJ376</f>
        <v/>
      </c>
      <c r="AN376" s="104" t="n">
        <v>0</v>
      </c>
      <c r="AO376" s="104" t="n">
        <v>0</v>
      </c>
      <c r="AP376" s="104" t="n">
        <v>0</v>
      </c>
      <c r="AQ376" s="104" t="n">
        <v>0</v>
      </c>
      <c r="AR376" s="104" t="n">
        <v>0</v>
      </c>
      <c r="AS376" s="104" t="n"/>
      <c r="AT376" s="104" t="n"/>
    </row>
    <row r="377" ht="12.65" customHeight="1" s="79">
      <c r="A377" s="104">
        <f>MIN(V377,R377)</f>
        <v/>
      </c>
      <c r="B377" s="104">
        <f>MIN(V377,U377)</f>
        <v/>
      </c>
      <c r="C377" s="104">
        <f>MIN(X377,R377)</f>
        <v/>
      </c>
      <c r="D377" s="104">
        <f>MIN(X377,U377)</f>
        <v/>
      </c>
      <c r="E377" s="104">
        <f>MIN((V377+AN377+AR377),U377)</f>
        <v/>
      </c>
      <c r="F377" s="104">
        <f>MAX(MIN((V377+AO377+AR377),R377),0)</f>
        <v/>
      </c>
      <c r="G377" s="104">
        <f>MAX(MIN(AP377,AL377),0)</f>
        <v/>
      </c>
      <c r="H377" s="104">
        <f>MAX(MIN(AQ377,AM377),0)</f>
        <v/>
      </c>
      <c r="I377" s="105" t="inlineStr">
        <is>
          <t>ROOP KISHOR</t>
        </is>
      </c>
      <c r="J377" s="106" t="inlineStr">
        <is>
          <t>HOUSEHOLD</t>
        </is>
      </c>
      <c r="K377" s="107" t="inlineStr">
        <is>
          <t>HH_UTENSILS AIDS</t>
        </is>
      </c>
      <c r="L377" s="107" t="inlineStr">
        <is>
          <t>HH_KA_POTATO MASHER</t>
        </is>
      </c>
      <c r="M377" s="107" t="inlineStr">
        <is>
          <t>IRON-[HHUK17]</t>
        </is>
      </c>
      <c r="N377" s="107" t="inlineStr">
        <is>
          <t>ACTIVE</t>
        </is>
      </c>
      <c r="O377" s="108" t="n">
        <v>0.110220387331236</v>
      </c>
      <c r="P377" s="108" t="n">
        <v>0.111513638042312</v>
      </c>
      <c r="Q377" s="109" t="n">
        <v>124</v>
      </c>
      <c r="R377" s="110" t="n">
        <v>5591</v>
      </c>
      <c r="S377" s="110" t="n">
        <v>6900.28251374913</v>
      </c>
      <c r="T377" s="110" t="n">
        <v>7720.69854909</v>
      </c>
      <c r="U377" s="110" t="n">
        <v>20211.9810628391</v>
      </c>
      <c r="V377" s="104" t="n">
        <v>2398</v>
      </c>
      <c r="W377" s="104" t="n">
        <v>0</v>
      </c>
      <c r="X377" s="104">
        <f>$V377+W377</f>
        <v/>
      </c>
      <c r="Y377" s="111">
        <f>IFERROR(A377/R377,0)</f>
        <v/>
      </c>
      <c r="Z377" s="111">
        <f>IFERROR(B377/U377,0)</f>
        <v/>
      </c>
      <c r="AA377" s="111">
        <f>IFERROR(C377/R377,0)</f>
        <v/>
      </c>
      <c r="AB377" s="111">
        <f>IFERROR(D377/U377,0)</f>
        <v/>
      </c>
      <c r="AD377" s="111">
        <f>IF(U377&gt;0,IFERROR(E377/U377,0),1)</f>
        <v/>
      </c>
      <c r="AE377" s="111">
        <f>IF(R377&gt;0,IFERROR(F377/R377,0),1)</f>
        <v/>
      </c>
      <c r="AF377" s="111">
        <f>IF(AL377&gt;0,IFERROR(G377/AL377,0),1)</f>
        <v/>
      </c>
      <c r="AG377" s="111">
        <f>IF(AM377&gt;0,IFERROR(H377/AM377,0),1)</f>
        <v/>
      </c>
      <c r="AH377" s="104">
        <f>U377-(V377+AN377+AR377)</f>
        <v/>
      </c>
      <c r="AI377" s="104">
        <f>R377-(V377+AO377+AR377)</f>
        <v/>
      </c>
      <c r="AJ377" s="104">
        <f>(AL377-AP377)</f>
        <v/>
      </c>
      <c r="AK377" s="104">
        <f>(AM377-AQ377)</f>
        <v/>
      </c>
      <c r="AL377" s="110">
        <f>S377+AI377</f>
        <v/>
      </c>
      <c r="AM377" s="110">
        <f>T377+AJ377</f>
        <v/>
      </c>
      <c r="AN377" s="104" t="n">
        <v>19201</v>
      </c>
      <c r="AO377" s="104" t="n">
        <v>4801</v>
      </c>
      <c r="AP377" s="104" t="n">
        <v>12000</v>
      </c>
      <c r="AQ377" s="104" t="n">
        <v>2400</v>
      </c>
      <c r="AR377" s="104" t="n">
        <v>0</v>
      </c>
      <c r="AS377" s="104" t="n"/>
      <c r="AT377" s="104" t="n"/>
    </row>
    <row r="378" ht="12.65" customHeight="1" s="79">
      <c r="A378" s="104">
        <f>MIN(V378,R378)</f>
        <v/>
      </c>
      <c r="B378" s="104">
        <f>MIN(V378,U378)</f>
        <v/>
      </c>
      <c r="C378" s="104">
        <f>MIN(X378,R378)</f>
        <v/>
      </c>
      <c r="D378" s="104">
        <f>MIN(X378,U378)</f>
        <v/>
      </c>
      <c r="E378" s="104">
        <f>MIN((V378+AN378+AR378),U378)</f>
        <v/>
      </c>
      <c r="F378" s="104">
        <f>MAX(MIN((V378+AO378+AR378),R378),0)</f>
        <v/>
      </c>
      <c r="G378" s="104">
        <f>MAX(MIN(AP378,AL378),0)</f>
        <v/>
      </c>
      <c r="H378" s="104">
        <f>MAX(MIN(AQ378,AM378),0)</f>
        <v/>
      </c>
      <c r="I378" s="105" t="inlineStr">
        <is>
          <t>ROOP KISHOR</t>
        </is>
      </c>
      <c r="J378" s="106" t="inlineStr">
        <is>
          <t>HOUSEHOLD</t>
        </is>
      </c>
      <c r="K378" s="107" t="inlineStr">
        <is>
          <t>HH_UTENSILS AIDS</t>
        </is>
      </c>
      <c r="L378" s="107" t="inlineStr">
        <is>
          <t>HH_KA_POTATO MASHER</t>
        </is>
      </c>
      <c r="M378" s="107" t="inlineStr">
        <is>
          <t>STL-[HHUK17]</t>
        </is>
      </c>
      <c r="N378" s="107" t="inlineStr">
        <is>
          <t>ACTIVE</t>
        </is>
      </c>
      <c r="O378" s="108" t="n">
        <v>0.0868858316955512</v>
      </c>
      <c r="P378" s="108" t="n">
        <v>0.105928853754941</v>
      </c>
      <c r="Q378" s="109" t="n">
        <v>124</v>
      </c>
      <c r="R378" s="110" t="n">
        <v>1174</v>
      </c>
      <c r="S378" s="110" t="n">
        <v>895.257389622789</v>
      </c>
      <c r="T378" s="110" t="n">
        <v>997.188735258002</v>
      </c>
      <c r="U378" s="110" t="n">
        <v>3066.44612488079</v>
      </c>
      <c r="V378" s="104" t="n">
        <v>1200</v>
      </c>
      <c r="W378" s="104" t="n">
        <v>0</v>
      </c>
      <c r="X378" s="104">
        <f>$V378+W378</f>
        <v/>
      </c>
      <c r="Y378" s="111">
        <f>IFERROR(A378/R378,0)</f>
        <v/>
      </c>
      <c r="Z378" s="111">
        <f>IFERROR(B378/U378,0)</f>
        <v/>
      </c>
      <c r="AA378" s="111">
        <f>IFERROR(C378/R378,0)</f>
        <v/>
      </c>
      <c r="AB378" s="111">
        <f>IFERROR(D378/U378,0)</f>
        <v/>
      </c>
      <c r="AD378" s="111">
        <f>IF(U378&gt;0,IFERROR(E378/U378,0),1)</f>
        <v/>
      </c>
      <c r="AE378" s="111">
        <f>IF(R378&gt;0,IFERROR(F378/R378,0),1)</f>
        <v/>
      </c>
      <c r="AF378" s="111">
        <f>IF(AL378&gt;0,IFERROR(G378/AL378,0),1)</f>
        <v/>
      </c>
      <c r="AG378" s="111">
        <f>IF(AM378&gt;0,IFERROR(H378/AM378,0),1)</f>
        <v/>
      </c>
      <c r="AH378" s="104">
        <f>U378-(V378+AN378+AR378)</f>
        <v/>
      </c>
      <c r="AI378" s="104">
        <f>R378-(V378+AO378+AR378)</f>
        <v/>
      </c>
      <c r="AJ378" s="104">
        <f>(AL378-AP378)</f>
        <v/>
      </c>
      <c r="AK378" s="104">
        <f>(AM378-AQ378)</f>
        <v/>
      </c>
      <c r="AL378" s="110">
        <f>S378+AI378</f>
        <v/>
      </c>
      <c r="AM378" s="110">
        <f>T378+AJ378</f>
        <v/>
      </c>
      <c r="AN378" s="104" t="n">
        <v>1200</v>
      </c>
      <c r="AO378" s="104" t="n">
        <v>0</v>
      </c>
      <c r="AP378" s="104" t="n">
        <v>1200</v>
      </c>
      <c r="AQ378" s="104" t="n">
        <v>0</v>
      </c>
      <c r="AR378" s="104" t="n">
        <v>0</v>
      </c>
      <c r="AS378" s="104" t="n"/>
      <c r="AT378" s="104" t="n"/>
    </row>
    <row r="379" ht="12.65" customHeight="1" s="79">
      <c r="A379" s="104">
        <f>MIN(V379,R379)</f>
        <v/>
      </c>
      <c r="B379" s="104">
        <f>MIN(V379,U379)</f>
        <v/>
      </c>
      <c r="C379" s="104">
        <f>MIN(X379,R379)</f>
        <v/>
      </c>
      <c r="D379" s="104">
        <f>MIN(X379,U379)</f>
        <v/>
      </c>
      <c r="E379" s="104">
        <f>MIN((V379+AN379+AR379),U379)</f>
        <v/>
      </c>
      <c r="F379" s="104">
        <f>MAX(MIN((V379+AO379+AR379),R379),0)</f>
        <v/>
      </c>
      <c r="G379" s="104">
        <f>MAX(MIN(AP379,AL379),0)</f>
        <v/>
      </c>
      <c r="H379" s="104">
        <f>MAX(MIN(AQ379,AM379),0)</f>
        <v/>
      </c>
      <c r="I379" s="105" t="inlineStr">
        <is>
          <t>ROOP KISHOR</t>
        </is>
      </c>
      <c r="J379" s="106" t="inlineStr">
        <is>
          <t>HOUSEHOLD</t>
        </is>
      </c>
      <c r="K379" s="107" t="inlineStr">
        <is>
          <t>HH_UTENSILS AIDS</t>
        </is>
      </c>
      <c r="L379" s="107" t="inlineStr">
        <is>
          <t>HH_U_N_FRY PAN</t>
        </is>
      </c>
      <c r="M379" s="107" t="inlineStr">
        <is>
          <t>IRON TADKA PAN-[HHUK31]</t>
        </is>
      </c>
      <c r="N379" s="107" t="inlineStr">
        <is>
          <t>ACTIVE</t>
        </is>
      </c>
      <c r="O379" s="108" t="n">
        <v>0.135521226359128</v>
      </c>
      <c r="P379" s="108" t="n">
        <v>0.140052272582393</v>
      </c>
      <c r="Q379" s="109" t="n">
        <v>91</v>
      </c>
      <c r="R379" s="110" t="n">
        <v>3263</v>
      </c>
      <c r="S379" s="110" t="n">
        <v>1525.68527259877</v>
      </c>
      <c r="T379" s="110" t="n">
        <v>692.668325967516</v>
      </c>
      <c r="U379" s="110" t="n">
        <v>5481.35359856629</v>
      </c>
      <c r="V379" s="104" t="n">
        <v>2400</v>
      </c>
      <c r="W379" s="104" t="n">
        <v>0</v>
      </c>
      <c r="X379" s="104">
        <f>$V379+W379</f>
        <v/>
      </c>
      <c r="Y379" s="111">
        <f>IFERROR(A379/R379,0)</f>
        <v/>
      </c>
      <c r="Z379" s="111">
        <f>IFERROR(B379/U379,0)</f>
        <v/>
      </c>
      <c r="AA379" s="111">
        <f>IFERROR(C379/R379,0)</f>
        <v/>
      </c>
      <c r="AB379" s="111">
        <f>IFERROR(D379/U379,0)</f>
        <v/>
      </c>
      <c r="AD379" s="111">
        <f>IF(U379&gt;0,IFERROR(E379/U379,0),1)</f>
        <v/>
      </c>
      <c r="AE379" s="111">
        <f>IF(R379&gt;0,IFERROR(F379/R379,0),1)</f>
        <v/>
      </c>
      <c r="AF379" s="111">
        <f>IF(AL379&gt;0,IFERROR(G379/AL379,0),1)</f>
        <v/>
      </c>
      <c r="AG379" s="111">
        <f>IF(AM379&gt;0,IFERROR(H379/AM379,0),1)</f>
        <v/>
      </c>
      <c r="AH379" s="104">
        <f>U379-(V379+AN379+AR379)</f>
        <v/>
      </c>
      <c r="AI379" s="104">
        <f>R379-(V379+AO379+AR379)</f>
        <v/>
      </c>
      <c r="AJ379" s="104">
        <f>(AL379-AP379)</f>
        <v/>
      </c>
      <c r="AK379" s="104">
        <f>(AM379-AQ379)</f>
        <v/>
      </c>
      <c r="AL379" s="110">
        <f>S379+AI379</f>
        <v/>
      </c>
      <c r="AM379" s="110">
        <f>T379+AJ379</f>
        <v/>
      </c>
      <c r="AN379" s="104" t="n">
        <v>4800</v>
      </c>
      <c r="AO379" s="104" t="n">
        <v>1200</v>
      </c>
      <c r="AP379" s="104" t="n">
        <v>3600</v>
      </c>
      <c r="AQ379" s="104" t="n">
        <v>0</v>
      </c>
      <c r="AR379" s="104" t="n">
        <v>0</v>
      </c>
      <c r="AS379" s="104" t="n"/>
      <c r="AT379" s="104" t="n"/>
    </row>
    <row r="380" ht="12.65" customHeight="1" s="79">
      <c r="A380" s="104">
        <f>MIN(V380,R380)</f>
        <v/>
      </c>
      <c r="B380" s="104">
        <f>MIN(V380,U380)</f>
        <v/>
      </c>
      <c r="C380" s="104">
        <f>MIN(X380,R380)</f>
        <v/>
      </c>
      <c r="D380" s="104">
        <f>MIN(X380,U380)</f>
        <v/>
      </c>
      <c r="E380" s="104">
        <f>MIN((V380+AN380+AR380),U380)</f>
        <v/>
      </c>
      <c r="F380" s="104">
        <f>MAX(MIN((V380+AO380+AR380),R380),0)</f>
        <v/>
      </c>
      <c r="G380" s="104">
        <f>MAX(MIN(AP380,AL380),0)</f>
        <v/>
      </c>
      <c r="H380" s="104">
        <f>MAX(MIN(AQ380,AM380),0)</f>
        <v/>
      </c>
      <c r="I380" s="105" t="inlineStr">
        <is>
          <t>ROOP KISHOR</t>
        </is>
      </c>
      <c r="J380" s="106" t="inlineStr">
        <is>
          <t>HOUSEHOLD</t>
        </is>
      </c>
      <c r="K380" s="107" t="inlineStr">
        <is>
          <t>HH_UTENSILS AIDS</t>
        </is>
      </c>
      <c r="L380" s="107" t="inlineStr">
        <is>
          <t>HH_U_N_FRY PAN</t>
        </is>
      </c>
      <c r="M380" s="107" t="inlineStr">
        <is>
          <t>IRON FRY PAN-[HHUK31]</t>
        </is>
      </c>
      <c r="N380" s="107" t="inlineStr">
        <is>
          <t>ACTIVE</t>
        </is>
      </c>
      <c r="O380" s="108" t="n">
        <v>0.108171554197563</v>
      </c>
      <c r="P380" s="108" t="n">
        <v>0.107993049522155</v>
      </c>
      <c r="Q380" s="109" t="n">
        <v>91</v>
      </c>
      <c r="R380" s="110" t="n">
        <v>2804</v>
      </c>
      <c r="S380" s="110" t="n">
        <v>1394.06318289008</v>
      </c>
      <c r="T380" s="110" t="n">
        <v>895.178199271522</v>
      </c>
      <c r="U380" s="110" t="n">
        <v>5093.24138216161</v>
      </c>
      <c r="V380" s="104" t="n">
        <v>1919</v>
      </c>
      <c r="W380" s="104" t="n">
        <v>0</v>
      </c>
      <c r="X380" s="104">
        <f>$V380+W380</f>
        <v/>
      </c>
      <c r="Y380" s="111">
        <f>IFERROR(A380/R380,0)</f>
        <v/>
      </c>
      <c r="Z380" s="111">
        <f>IFERROR(B380/U380,0)</f>
        <v/>
      </c>
      <c r="AA380" s="111">
        <f>IFERROR(C380/R380,0)</f>
        <v/>
      </c>
      <c r="AB380" s="111">
        <f>IFERROR(D380/U380,0)</f>
        <v/>
      </c>
      <c r="AD380" s="111">
        <f>IF(U380&gt;0,IFERROR(E380/U380,0),1)</f>
        <v/>
      </c>
      <c r="AE380" s="111">
        <f>IF(R380&gt;0,IFERROR(F380/R380,0),1)</f>
        <v/>
      </c>
      <c r="AF380" s="111">
        <f>IF(AL380&gt;0,IFERROR(G380/AL380,0),1)</f>
        <v/>
      </c>
      <c r="AG380" s="111">
        <f>IF(AM380&gt;0,IFERROR(H380/AM380,0),1)</f>
        <v/>
      </c>
      <c r="AH380" s="104">
        <f>U380-(V380+AN380+AR380)</f>
        <v/>
      </c>
      <c r="AI380" s="104">
        <f>R380-(V380+AO380+AR380)</f>
        <v/>
      </c>
      <c r="AJ380" s="104">
        <f>(AL380-AP380)</f>
        <v/>
      </c>
      <c r="AK380" s="104">
        <f>(AM380-AQ380)</f>
        <v/>
      </c>
      <c r="AL380" s="110">
        <f>S380+AI380</f>
        <v/>
      </c>
      <c r="AM380" s="110">
        <f>T380+AJ380</f>
        <v/>
      </c>
      <c r="AN380" s="104" t="n">
        <v>3600</v>
      </c>
      <c r="AO380" s="104" t="n">
        <v>1200</v>
      </c>
      <c r="AP380" s="104" t="n">
        <v>1200</v>
      </c>
      <c r="AQ380" s="104" t="n">
        <v>1200</v>
      </c>
      <c r="AR380" s="104" t="n">
        <v>0</v>
      </c>
      <c r="AS380" s="104" t="n"/>
      <c r="AT380" s="104" t="n"/>
    </row>
    <row r="381" ht="12.65" customHeight="1" s="79">
      <c r="A381" s="104">
        <f>MIN(V381,R381)</f>
        <v/>
      </c>
      <c r="B381" s="104">
        <f>MIN(V381,U381)</f>
        <v/>
      </c>
      <c r="C381" s="104">
        <f>MIN(X381,R381)</f>
        <v/>
      </c>
      <c r="D381" s="104">
        <f>MIN(X381,U381)</f>
        <v/>
      </c>
      <c r="E381" s="104">
        <f>MIN((V381+AN381+AR381),U381)</f>
        <v/>
      </c>
      <c r="F381" s="104">
        <f>MAX(MIN((V381+AO381+AR381),R381),0)</f>
        <v/>
      </c>
      <c r="G381" s="104">
        <f>MAX(MIN(AP381,AL381),0)</f>
        <v/>
      </c>
      <c r="H381" s="104">
        <f>MAX(MIN(AQ381,AM381),0)</f>
        <v/>
      </c>
      <c r="I381" s="105" t="inlineStr">
        <is>
          <t>ROOP KISHOR</t>
        </is>
      </c>
      <c r="J381" s="106" t="inlineStr">
        <is>
          <t>HOUSEHOLD</t>
        </is>
      </c>
      <c r="K381" s="107" t="inlineStr">
        <is>
          <t>HH_UTENSILS AIDS</t>
        </is>
      </c>
      <c r="L381" s="107" t="inlineStr">
        <is>
          <t>HH_U_N_FRY PAN</t>
        </is>
      </c>
      <c r="M381" s="107" t="inlineStr">
        <is>
          <t>NON STICK FRY PAN-[HHUK31]</t>
        </is>
      </c>
      <c r="N381" s="107" t="inlineStr">
        <is>
          <t>ACTIVE</t>
        </is>
      </c>
      <c r="O381" s="108" t="n">
        <v>0.07098292844573439</v>
      </c>
      <c r="P381" s="108" t="n">
        <v>0.07969251727157731</v>
      </c>
      <c r="Q381" s="109" t="n">
        <v>91</v>
      </c>
      <c r="R381" s="110" t="n">
        <v>2589</v>
      </c>
      <c r="S381" s="110" t="n">
        <v>1418.62080098168</v>
      </c>
      <c r="T381" s="110" t="n">
        <v>923.961120937348</v>
      </c>
      <c r="U381" s="110" t="n">
        <v>4931.58192191902</v>
      </c>
      <c r="V381" s="104" t="n">
        <v>360</v>
      </c>
      <c r="W381" s="104" t="n">
        <v>720</v>
      </c>
      <c r="X381" s="104">
        <f>$V381+W381</f>
        <v/>
      </c>
      <c r="Y381" s="111">
        <f>IFERROR(A381/R381,0)</f>
        <v/>
      </c>
      <c r="Z381" s="111">
        <f>IFERROR(B381/U381,0)</f>
        <v/>
      </c>
      <c r="AA381" s="111">
        <f>IFERROR(C381/R381,0)</f>
        <v/>
      </c>
      <c r="AB381" s="111">
        <f>IFERROR(D381/U381,0)</f>
        <v/>
      </c>
      <c r="AD381" s="111">
        <f>IF(U381&gt;0,IFERROR(E381/U381,0),1)</f>
        <v/>
      </c>
      <c r="AE381" s="111">
        <f>IF(R381&gt;0,IFERROR(F381/R381,0),1)</f>
        <v/>
      </c>
      <c r="AF381" s="111">
        <f>IF(AL381&gt;0,IFERROR(G381/AL381,0),1)</f>
        <v/>
      </c>
      <c r="AG381" s="111">
        <f>IF(AM381&gt;0,IFERROR(H381/AM381,0),1)</f>
        <v/>
      </c>
      <c r="AH381" s="104">
        <f>U381-(V381+AN381+AR381)</f>
        <v/>
      </c>
      <c r="AI381" s="104">
        <f>R381-(V381+AO381+AR381)</f>
        <v/>
      </c>
      <c r="AJ381" s="104">
        <f>(AL381-AP381)</f>
        <v/>
      </c>
      <c r="AK381" s="104">
        <f>(AM381-AQ381)</f>
        <v/>
      </c>
      <c r="AL381" s="110">
        <f>S381+AI381</f>
        <v/>
      </c>
      <c r="AM381" s="110">
        <f>T381+AJ381</f>
        <v/>
      </c>
      <c r="AN381" s="104" t="n">
        <v>2640</v>
      </c>
      <c r="AO381" s="104" t="n">
        <v>720</v>
      </c>
      <c r="AP381" s="104" t="n">
        <v>720</v>
      </c>
      <c r="AQ381" s="104" t="n">
        <v>1200</v>
      </c>
      <c r="AR381" s="104" t="n">
        <v>0</v>
      </c>
      <c r="AS381" s="104" t="n"/>
      <c r="AT381" s="104" t="n"/>
    </row>
    <row r="382" ht="12.65" customHeight="1" s="79">
      <c r="A382" s="104">
        <f>MIN(V382,R382)</f>
        <v/>
      </c>
      <c r="B382" s="104">
        <f>MIN(V382,U382)</f>
        <v/>
      </c>
      <c r="C382" s="104">
        <f>MIN(X382,R382)</f>
        <v/>
      </c>
      <c r="D382" s="104">
        <f>MIN(X382,U382)</f>
        <v/>
      </c>
      <c r="E382" s="104">
        <f>MIN((V382+AN382+AR382),U382)</f>
        <v/>
      </c>
      <c r="F382" s="104">
        <f>MAX(MIN((V382+AO382+AR382),R382),0)</f>
        <v/>
      </c>
      <c r="G382" s="104">
        <f>MAX(MIN(AP382,AL382),0)</f>
        <v/>
      </c>
      <c r="H382" s="104">
        <f>MAX(MIN(AQ382,AM382),0)</f>
        <v/>
      </c>
      <c r="I382" s="105" t="inlineStr">
        <is>
          <t>ROOP KISHOR</t>
        </is>
      </c>
      <c r="J382" s="106" t="inlineStr">
        <is>
          <t>HOUSEHOLD</t>
        </is>
      </c>
      <c r="K382" s="107" t="inlineStr">
        <is>
          <t>HH_UTENSILS AIDS</t>
        </is>
      </c>
      <c r="L382" s="107" t="inlineStr">
        <is>
          <t>HH_U_N_GIFT SET</t>
        </is>
      </c>
      <c r="M382" s="107" t="inlineStr">
        <is>
          <t>3PCST-[HHUK32]</t>
        </is>
      </c>
      <c r="N382" s="107" t="inlineStr">
        <is>
          <t>ACTIVE</t>
        </is>
      </c>
      <c r="O382" s="108" t="n">
        <v>0.09145004973460211</v>
      </c>
      <c r="P382" s="108" t="n">
        <v>0.100547179830536</v>
      </c>
      <c r="Q382" s="109" t="n">
        <v>62</v>
      </c>
      <c r="R382" s="110" t="n">
        <v>5990</v>
      </c>
      <c r="S382" s="110" t="n">
        <v>4768.53149661878</v>
      </c>
      <c r="T382" s="110" t="n">
        <v>3361.04498451594</v>
      </c>
      <c r="U382" s="110" t="n">
        <v>14119.5764811347</v>
      </c>
      <c r="V382" s="104" t="n">
        <v>720</v>
      </c>
      <c r="W382" s="104" t="n">
        <v>0</v>
      </c>
      <c r="X382" s="104">
        <f>$V382+W382</f>
        <v/>
      </c>
      <c r="Y382" s="111">
        <f>IFERROR(A382/R382,0)</f>
        <v/>
      </c>
      <c r="Z382" s="111">
        <f>IFERROR(B382/U382,0)</f>
        <v/>
      </c>
      <c r="AA382" s="111">
        <f>IFERROR(C382/R382,0)</f>
        <v/>
      </c>
      <c r="AB382" s="111">
        <f>IFERROR(D382/U382,0)</f>
        <v/>
      </c>
      <c r="AD382" s="111">
        <f>IF(U382&gt;0,IFERROR(E382/U382,0),1)</f>
        <v/>
      </c>
      <c r="AE382" s="111">
        <f>IF(R382&gt;0,IFERROR(F382/R382,0),1)</f>
        <v/>
      </c>
      <c r="AF382" s="111">
        <f>IF(AL382&gt;0,IFERROR(G382/AL382,0),1)</f>
        <v/>
      </c>
      <c r="AG382" s="111">
        <f>IF(AM382&gt;0,IFERROR(H382/AM382,0),1)</f>
        <v/>
      </c>
      <c r="AH382" s="104">
        <f>U382-(V382+AN382+AR382)</f>
        <v/>
      </c>
      <c r="AI382" s="104">
        <f>R382-(V382+AO382+AR382)</f>
        <v/>
      </c>
      <c r="AJ382" s="104">
        <f>(AL382-AP382)</f>
        <v/>
      </c>
      <c r="AK382" s="104">
        <f>(AM382-AQ382)</f>
        <v/>
      </c>
      <c r="AL382" s="110">
        <f>S382+AI382</f>
        <v/>
      </c>
      <c r="AM382" s="110">
        <f>T382+AJ382</f>
        <v/>
      </c>
      <c r="AN382" s="104" t="n">
        <v>14640</v>
      </c>
      <c r="AO382" s="104" t="n">
        <v>6000</v>
      </c>
      <c r="AP382" s="104" t="n">
        <v>5520</v>
      </c>
      <c r="AQ382" s="104" t="n">
        <v>3120</v>
      </c>
      <c r="AR382" s="104" t="n">
        <v>0</v>
      </c>
      <c r="AS382" s="104" t="n"/>
      <c r="AT382" s="104" t="n"/>
    </row>
    <row r="383" ht="12.65" customHeight="1" s="79">
      <c r="A383" s="104">
        <f>MIN(V383,R383)</f>
        <v/>
      </c>
      <c r="B383" s="104">
        <f>MIN(V383,U383)</f>
        <v/>
      </c>
      <c r="C383" s="104">
        <f>MIN(X383,R383)</f>
        <v/>
      </c>
      <c r="D383" s="104">
        <f>MIN(X383,U383)</f>
        <v/>
      </c>
      <c r="E383" s="104">
        <f>MIN((V383+AN383+AR383),U383)</f>
        <v/>
      </c>
      <c r="F383" s="104">
        <f>MAX(MIN((V383+AO383+AR383),R383),0)</f>
        <v/>
      </c>
      <c r="G383" s="104">
        <f>MAX(MIN(AP383,AL383),0)</f>
        <v/>
      </c>
      <c r="H383" s="104">
        <f>MAX(MIN(AQ383,AM383),0)</f>
        <v/>
      </c>
      <c r="I383" s="105" t="inlineStr">
        <is>
          <t>ROOP KISHOR</t>
        </is>
      </c>
      <c r="J383" s="106" t="inlineStr">
        <is>
          <t>HOUSEHOLD</t>
        </is>
      </c>
      <c r="K383" s="107" t="inlineStr">
        <is>
          <t>HH_UTENSILS AIDS</t>
        </is>
      </c>
      <c r="L383" s="107" t="inlineStr">
        <is>
          <t>HH_U_N_GIFT SET</t>
        </is>
      </c>
      <c r="M383" s="107" t="inlineStr">
        <is>
          <t>IDLY STAND-[HHUK32]</t>
        </is>
      </c>
      <c r="N383" s="107" t="inlineStr">
        <is>
          <t>ACTIVE</t>
        </is>
      </c>
      <c r="O383" s="108" t="n">
        <v>0.193793864837158</v>
      </c>
      <c r="P383" s="108" t="n">
        <v>0.186423305869831</v>
      </c>
      <c r="Q383" s="109" t="n">
        <v>62</v>
      </c>
      <c r="R383" s="110" t="n">
        <v>5608</v>
      </c>
      <c r="S383" s="110" t="n">
        <v>4167.28751835735</v>
      </c>
      <c r="T383" s="110" t="n">
        <v>2557.1003336482</v>
      </c>
      <c r="U383" s="110" t="n">
        <v>12332.3878520055</v>
      </c>
      <c r="V383" s="104" t="n">
        <v>5112</v>
      </c>
      <c r="W383" s="104" t="n">
        <v>0</v>
      </c>
      <c r="X383" s="104">
        <f>$V383+W383</f>
        <v/>
      </c>
      <c r="Y383" s="111">
        <f>IFERROR(A383/R383,0)</f>
        <v/>
      </c>
      <c r="Z383" s="111">
        <f>IFERROR(B383/U383,0)</f>
        <v/>
      </c>
      <c r="AA383" s="111">
        <f>IFERROR(C383/R383,0)</f>
        <v/>
      </c>
      <c r="AB383" s="111">
        <f>IFERROR(D383/U383,0)</f>
        <v/>
      </c>
      <c r="AD383" s="111">
        <f>IF(U383&gt;0,IFERROR(E383/U383,0),1)</f>
        <v/>
      </c>
      <c r="AE383" s="111">
        <f>IF(R383&gt;0,IFERROR(F383/R383,0),1)</f>
        <v/>
      </c>
      <c r="AF383" s="111">
        <f>IF(AL383&gt;0,IFERROR(G383/AL383,0),1)</f>
        <v/>
      </c>
      <c r="AG383" s="111">
        <f>IF(AM383&gt;0,IFERROR(H383/AM383,0),1)</f>
        <v/>
      </c>
      <c r="AH383" s="104">
        <f>U383-(V383+AN383+AR383)</f>
        <v/>
      </c>
      <c r="AI383" s="104">
        <f>R383-(V383+AO383+AR383)</f>
        <v/>
      </c>
      <c r="AJ383" s="104">
        <f>(AL383-AP383)</f>
        <v/>
      </c>
      <c r="AK383" s="104">
        <f>(AM383-AQ383)</f>
        <v/>
      </c>
      <c r="AL383" s="110">
        <f>S383+AI383</f>
        <v/>
      </c>
      <c r="AM383" s="110">
        <f>T383+AJ383</f>
        <v/>
      </c>
      <c r="AN383" s="104" t="n">
        <v>18600</v>
      </c>
      <c r="AO383" s="104" t="n">
        <v>1800</v>
      </c>
      <c r="AP383" s="104" t="n">
        <v>8400</v>
      </c>
      <c r="AQ383" s="104" t="n">
        <v>8400</v>
      </c>
      <c r="AR383" s="104" t="n">
        <v>0</v>
      </c>
      <c r="AS383" s="104" t="n"/>
      <c r="AT383" s="104" t="n"/>
    </row>
    <row r="384" ht="12.65" customHeight="1" s="79">
      <c r="A384" s="104">
        <f>MIN(V384,R384)</f>
        <v/>
      </c>
      <c r="B384" s="104">
        <f>MIN(V384,U384)</f>
        <v/>
      </c>
      <c r="C384" s="104">
        <f>MIN(X384,R384)</f>
        <v/>
      </c>
      <c r="D384" s="104">
        <f>MIN(X384,U384)</f>
        <v/>
      </c>
      <c r="E384" s="104">
        <f>MIN((V384+AN384+AR384),U384)</f>
        <v/>
      </c>
      <c r="F384" s="104">
        <f>MAX(MIN((V384+AO384+AR384),R384),0)</f>
        <v/>
      </c>
      <c r="G384" s="104">
        <f>MAX(MIN(AP384,AL384),0)</f>
        <v/>
      </c>
      <c r="H384" s="104">
        <f>MAX(MIN(AQ384,AM384),0)</f>
        <v/>
      </c>
      <c r="I384" s="105" t="inlineStr">
        <is>
          <t>ROOP KISHOR</t>
        </is>
      </c>
      <c r="J384" s="106" t="inlineStr">
        <is>
          <t>HOUSEHOLD</t>
        </is>
      </c>
      <c r="K384" s="107" t="inlineStr">
        <is>
          <t>HH_UTENSILS AIDS</t>
        </is>
      </c>
      <c r="L384" s="107" t="inlineStr">
        <is>
          <t>HH_U_N_GIFT SET</t>
        </is>
      </c>
      <c r="M384" s="107" t="inlineStr">
        <is>
          <t>4PCST-[HHUK32]</t>
        </is>
      </c>
      <c r="N384" s="107" t="inlineStr">
        <is>
          <t>ACTIVE</t>
        </is>
      </c>
      <c r="O384" s="108" t="n">
        <v>0.0826598246739363</v>
      </c>
      <c r="P384" s="108" t="n">
        <v>0.09365802523888241</v>
      </c>
      <c r="Q384" s="109" t="n">
        <v>62</v>
      </c>
      <c r="R384" s="110" t="n">
        <v>0</v>
      </c>
      <c r="S384" s="110" t="n">
        <v>0</v>
      </c>
      <c r="T384" s="110" t="n">
        <v>0</v>
      </c>
      <c r="U384" s="110" t="n">
        <v>0</v>
      </c>
      <c r="V384" s="104" t="n">
        <v>0</v>
      </c>
      <c r="W384" s="104" t="n">
        <v>0</v>
      </c>
      <c r="X384" s="104">
        <f>$V384+W384</f>
        <v/>
      </c>
      <c r="Y384" s="111">
        <f>IFERROR(A384/R384,0)</f>
        <v/>
      </c>
      <c r="Z384" s="111">
        <f>IFERROR(B384/U384,0)</f>
        <v/>
      </c>
      <c r="AA384" s="111">
        <f>IFERROR(C384/R384,0)</f>
        <v/>
      </c>
      <c r="AB384" s="111">
        <f>IFERROR(D384/U384,0)</f>
        <v/>
      </c>
      <c r="AD384" s="111">
        <f>IF(U384&gt;0,IFERROR(E384/U384,0),1)</f>
        <v/>
      </c>
      <c r="AE384" s="111">
        <f>IF(R384&gt;0,IFERROR(F384/R384,0),1)</f>
        <v/>
      </c>
      <c r="AF384" s="111">
        <f>IF(AL384&gt;0,IFERROR(G384/AL384,0),1)</f>
        <v/>
      </c>
      <c r="AG384" s="111">
        <f>IF(AM384&gt;0,IFERROR(H384/AM384,0),1)</f>
        <v/>
      </c>
      <c r="AH384" s="104">
        <f>U384-(V384+AN384+AR384)</f>
        <v/>
      </c>
      <c r="AI384" s="104">
        <f>R384-(V384+AO384+AR384)</f>
        <v/>
      </c>
      <c r="AJ384" s="104">
        <f>(AL384-AP384)</f>
        <v/>
      </c>
      <c r="AK384" s="104">
        <f>(AM384-AQ384)</f>
        <v/>
      </c>
      <c r="AL384" s="110">
        <f>S384+AI384</f>
        <v/>
      </c>
      <c r="AM384" s="110">
        <f>T384+AJ384</f>
        <v/>
      </c>
      <c r="AN384" s="104" t="n">
        <v>2400</v>
      </c>
      <c r="AO384" s="104" t="n">
        <v>0</v>
      </c>
      <c r="AP384" s="104" t="n">
        <v>0</v>
      </c>
      <c r="AQ384" s="104" t="n">
        <v>2400</v>
      </c>
      <c r="AR384" s="104" t="n">
        <v>0</v>
      </c>
      <c r="AS384" s="104" t="n"/>
      <c r="AT384" s="104" t="n"/>
    </row>
    <row r="385" ht="12.65" customHeight="1" s="79">
      <c r="A385" s="104">
        <f>MIN(V385,R385)</f>
        <v/>
      </c>
      <c r="B385" s="104">
        <f>MIN(V385,U385)</f>
        <v/>
      </c>
      <c r="C385" s="104">
        <f>MIN(X385,R385)</f>
        <v/>
      </c>
      <c r="D385" s="104">
        <f>MIN(X385,U385)</f>
        <v/>
      </c>
      <c r="E385" s="104">
        <f>MIN((V385+AN385+AR385),U385)</f>
        <v/>
      </c>
      <c r="F385" s="104">
        <f>MAX(MIN((V385+AO385+AR385),R385),0)</f>
        <v/>
      </c>
      <c r="G385" s="104">
        <f>MAX(MIN(AP385,AL385),0)</f>
        <v/>
      </c>
      <c r="H385" s="104">
        <f>MAX(MIN(AQ385,AM385),0)</f>
        <v/>
      </c>
      <c r="I385" s="105" t="inlineStr">
        <is>
          <t>ROOP KISHOR</t>
        </is>
      </c>
      <c r="J385" s="106" t="inlineStr">
        <is>
          <t>HOUSEHOLD</t>
        </is>
      </c>
      <c r="K385" s="107" t="inlineStr">
        <is>
          <t>HH_UTENSILS AIDS</t>
        </is>
      </c>
      <c r="L385" s="107" t="inlineStr">
        <is>
          <t>HH_U_N_KADAHI</t>
        </is>
      </c>
      <c r="M385" s="107" t="inlineStr">
        <is>
          <t>IRON-[HHUK33]</t>
        </is>
      </c>
      <c r="N385" s="107" t="inlineStr">
        <is>
          <t>ACTIVE</t>
        </is>
      </c>
      <c r="O385" s="108" t="n">
        <v>0.0879679269031747</v>
      </c>
      <c r="P385" s="108" t="n">
        <v>0.0946111451316595</v>
      </c>
      <c r="Q385" s="109" t="n">
        <v>106</v>
      </c>
      <c r="R385" s="110" t="n">
        <v>1446</v>
      </c>
      <c r="S385" s="110" t="n">
        <v>754.377407781535</v>
      </c>
      <c r="T385" s="110" t="n">
        <v>620.847468864612</v>
      </c>
      <c r="U385" s="110" t="n">
        <v>2821.22487664615</v>
      </c>
      <c r="V385" s="104" t="n">
        <v>0</v>
      </c>
      <c r="W385" s="104" t="n">
        <v>0</v>
      </c>
      <c r="X385" s="104">
        <f>$V385+W385</f>
        <v/>
      </c>
      <c r="Y385" s="111">
        <f>IFERROR(A385/R385,0)</f>
        <v/>
      </c>
      <c r="Z385" s="111">
        <f>IFERROR(B385/U385,0)</f>
        <v/>
      </c>
      <c r="AA385" s="111">
        <f>IFERROR(C385/R385,0)</f>
        <v/>
      </c>
      <c r="AB385" s="111">
        <f>IFERROR(D385/U385,0)</f>
        <v/>
      </c>
      <c r="AD385" s="111">
        <f>IF(U385&gt;0,IFERROR(E385/U385,0),1)</f>
        <v/>
      </c>
      <c r="AE385" s="111">
        <f>IF(R385&gt;0,IFERROR(F385/R385,0),1)</f>
        <v/>
      </c>
      <c r="AF385" s="111">
        <f>IF(AL385&gt;0,IFERROR(G385/AL385,0),1)</f>
        <v/>
      </c>
      <c r="AG385" s="111">
        <f>IF(AM385&gt;0,IFERROR(H385/AM385,0),1)</f>
        <v/>
      </c>
      <c r="AH385" s="104">
        <f>U385-(V385+AN385+AR385)</f>
        <v/>
      </c>
      <c r="AI385" s="104">
        <f>R385-(V385+AO385+AR385)</f>
        <v/>
      </c>
      <c r="AJ385" s="104">
        <f>(AL385-AP385)</f>
        <v/>
      </c>
      <c r="AK385" s="104">
        <f>(AM385-AQ385)</f>
        <v/>
      </c>
      <c r="AL385" s="110">
        <f>S385+AI385</f>
        <v/>
      </c>
      <c r="AM385" s="110">
        <f>T385+AJ385</f>
        <v/>
      </c>
      <c r="AN385" s="104" t="n">
        <v>2400</v>
      </c>
      <c r="AO385" s="104" t="n">
        <v>1440</v>
      </c>
      <c r="AP385" s="104" t="n">
        <v>0</v>
      </c>
      <c r="AQ385" s="104" t="n">
        <v>960</v>
      </c>
      <c r="AR385" s="104" t="n">
        <v>0</v>
      </c>
      <c r="AS385" s="104" t="n"/>
      <c r="AT385" s="104" t="n"/>
    </row>
    <row r="386" ht="12.65" customHeight="1" s="79">
      <c r="A386" s="104">
        <f>MIN(V386,R386)</f>
        <v/>
      </c>
      <c r="B386" s="104">
        <f>MIN(V386,U386)</f>
        <v/>
      </c>
      <c r="C386" s="104">
        <f>MIN(X386,R386)</f>
        <v/>
      </c>
      <c r="D386" s="104">
        <f>MIN(X386,U386)</f>
        <v/>
      </c>
      <c r="E386" s="104">
        <f>MIN((V386+AN386+AR386),U386)</f>
        <v/>
      </c>
      <c r="F386" s="104">
        <f>MAX(MIN((V386+AO386+AR386),R386),0)</f>
        <v/>
      </c>
      <c r="G386" s="104">
        <f>MAX(MIN(AP386,AL386),0)</f>
        <v/>
      </c>
      <c r="H386" s="104">
        <f>MAX(MIN(AQ386,AM386),0)</f>
        <v/>
      </c>
      <c r="I386" s="105" t="inlineStr">
        <is>
          <t>ROOP KISHOR</t>
        </is>
      </c>
      <c r="J386" s="106" t="inlineStr">
        <is>
          <t>HOUSEHOLD</t>
        </is>
      </c>
      <c r="K386" s="107" t="inlineStr">
        <is>
          <t>HH_UTENSILS AIDS</t>
        </is>
      </c>
      <c r="L386" s="107" t="inlineStr">
        <is>
          <t>HH_U_N_KADAHI</t>
        </is>
      </c>
      <c r="M386" s="107" t="inlineStr">
        <is>
          <t>NON STICK-[HHUK33]</t>
        </is>
      </c>
      <c r="N386" s="107" t="inlineStr">
        <is>
          <t>ACTIVE</t>
        </is>
      </c>
      <c r="O386" s="108" t="n">
        <v>0.114549308066326</v>
      </c>
      <c r="P386" s="108" t="n">
        <v>0.0933508355631847</v>
      </c>
      <c r="Q386" s="109" t="n">
        <v>106</v>
      </c>
      <c r="R386" s="110" t="n">
        <v>1551</v>
      </c>
      <c r="S386" s="110" t="n">
        <v>686.485640425142</v>
      </c>
      <c r="T386" s="110" t="n">
        <v>319.04753888337</v>
      </c>
      <c r="U386" s="110" t="n">
        <v>2556.53317930851</v>
      </c>
      <c r="V386" s="104" t="n">
        <v>1680</v>
      </c>
      <c r="W386" s="104" t="n">
        <v>960</v>
      </c>
      <c r="X386" s="104">
        <f>$V386+W386</f>
        <v/>
      </c>
      <c r="Y386" s="111">
        <f>IFERROR(A386/R386,0)</f>
        <v/>
      </c>
      <c r="Z386" s="111">
        <f>IFERROR(B386/U386,0)</f>
        <v/>
      </c>
      <c r="AA386" s="111">
        <f>IFERROR(C386/R386,0)</f>
        <v/>
      </c>
      <c r="AB386" s="111">
        <f>IFERROR(D386/U386,0)</f>
        <v/>
      </c>
      <c r="AD386" s="111">
        <f>IF(U386&gt;0,IFERROR(E386/U386,0),1)</f>
        <v/>
      </c>
      <c r="AE386" s="111">
        <f>IF(R386&gt;0,IFERROR(F386/R386,0),1)</f>
        <v/>
      </c>
      <c r="AF386" s="111">
        <f>IF(AL386&gt;0,IFERROR(G386/AL386,0),1)</f>
        <v/>
      </c>
      <c r="AG386" s="111">
        <f>IF(AM386&gt;0,IFERROR(H386/AM386,0),1)</f>
        <v/>
      </c>
      <c r="AH386" s="104">
        <f>U386-(V386+AN386+AR386)</f>
        <v/>
      </c>
      <c r="AI386" s="104">
        <f>R386-(V386+AO386+AR386)</f>
        <v/>
      </c>
      <c r="AJ386" s="104">
        <f>(AL386-AP386)</f>
        <v/>
      </c>
      <c r="AK386" s="104">
        <f>(AM386-AQ386)</f>
        <v/>
      </c>
      <c r="AL386" s="110">
        <f>S386+AI386</f>
        <v/>
      </c>
      <c r="AM386" s="110">
        <f>T386+AJ386</f>
        <v/>
      </c>
      <c r="AN386" s="104" t="n">
        <v>4320</v>
      </c>
      <c r="AO386" s="104" t="n">
        <v>1920</v>
      </c>
      <c r="AP386" s="104" t="n">
        <v>1440</v>
      </c>
      <c r="AQ386" s="104" t="n">
        <v>960</v>
      </c>
      <c r="AR386" s="104" t="n">
        <v>0</v>
      </c>
      <c r="AS386" s="104" t="n"/>
      <c r="AT386" s="104" t="n"/>
    </row>
    <row r="387" ht="12.65" customHeight="1" s="79">
      <c r="A387" s="104">
        <f>MIN(V387,R387)</f>
        <v/>
      </c>
      <c r="B387" s="104">
        <f>MIN(V387,U387)</f>
        <v/>
      </c>
      <c r="C387" s="104">
        <f>MIN(X387,R387)</f>
        <v/>
      </c>
      <c r="D387" s="104">
        <f>MIN(X387,U387)</f>
        <v/>
      </c>
      <c r="E387" s="104">
        <f>MIN((V387+AN387+AR387),U387)</f>
        <v/>
      </c>
      <c r="F387" s="104">
        <f>MAX(MIN((V387+AO387+AR387),R387),0)</f>
        <v/>
      </c>
      <c r="G387" s="104">
        <f>MAX(MIN(AP387,AL387),0)</f>
        <v/>
      </c>
      <c r="H387" s="104">
        <f>MAX(MIN(AQ387,AM387),0)</f>
        <v/>
      </c>
      <c r="I387" s="105" t="inlineStr">
        <is>
          <t>ROOP KISHOR</t>
        </is>
      </c>
      <c r="J387" s="106" t="inlineStr">
        <is>
          <t>HOUSEHOLD</t>
        </is>
      </c>
      <c r="K387" s="107" t="inlineStr">
        <is>
          <t>HH_UTENSILS AIDS</t>
        </is>
      </c>
      <c r="L387" s="107" t="inlineStr">
        <is>
          <t>HH_U_N_TAWA</t>
        </is>
      </c>
      <c r="M387" s="107" t="inlineStr">
        <is>
          <t>NON STICK-[HHUK34]</t>
        </is>
      </c>
      <c r="N387" s="107" t="inlineStr">
        <is>
          <t>ACTIVE</t>
        </is>
      </c>
      <c r="O387" s="108" t="n">
        <v>0.114739567539829</v>
      </c>
      <c r="P387" s="108" t="n">
        <v>0.111111111111111</v>
      </c>
      <c r="Q387" s="109" t="n">
        <v>105</v>
      </c>
      <c r="R387" s="110" t="n">
        <v>1859</v>
      </c>
      <c r="S387" s="110" t="n">
        <v>1638.03805182449</v>
      </c>
      <c r="T387" s="110" t="n">
        <v>1150.05704047404</v>
      </c>
      <c r="U387" s="110" t="n">
        <v>4647.09509229853</v>
      </c>
      <c r="V387" s="104" t="n">
        <v>0</v>
      </c>
      <c r="W387" s="104" t="n">
        <v>1200</v>
      </c>
      <c r="X387" s="104">
        <f>$V387+W387</f>
        <v/>
      </c>
      <c r="Y387" s="111">
        <f>IFERROR(A387/R387,0)</f>
        <v/>
      </c>
      <c r="Z387" s="111">
        <f>IFERROR(B387/U387,0)</f>
        <v/>
      </c>
      <c r="AA387" s="111">
        <f>IFERROR(C387/R387,0)</f>
        <v/>
      </c>
      <c r="AB387" s="111">
        <f>IFERROR(D387/U387,0)</f>
        <v/>
      </c>
      <c r="AD387" s="111">
        <f>IF(U387&gt;0,IFERROR(E387/U387,0),1)</f>
        <v/>
      </c>
      <c r="AE387" s="111">
        <f>IF(R387&gt;0,IFERROR(F387/R387,0),1)</f>
        <v/>
      </c>
      <c r="AF387" s="111">
        <f>IF(AL387&gt;0,IFERROR(G387/AL387,0),1)</f>
        <v/>
      </c>
      <c r="AG387" s="111">
        <f>IF(AM387&gt;0,IFERROR(H387/AM387,0),1)</f>
        <v/>
      </c>
      <c r="AH387" s="104">
        <f>U387-(V387+AN387+AR387)</f>
        <v/>
      </c>
      <c r="AI387" s="104">
        <f>R387-(V387+AO387+AR387)</f>
        <v/>
      </c>
      <c r="AJ387" s="104">
        <f>(AL387-AP387)</f>
        <v/>
      </c>
      <c r="AK387" s="104">
        <f>(AM387-AQ387)</f>
        <v/>
      </c>
      <c r="AL387" s="110">
        <f>S387+AI387</f>
        <v/>
      </c>
      <c r="AM387" s="110">
        <f>T387+AJ387</f>
        <v/>
      </c>
      <c r="AN387" s="104" t="n">
        <v>3600</v>
      </c>
      <c r="AO387" s="104" t="n">
        <v>1200</v>
      </c>
      <c r="AP387" s="104" t="n">
        <v>1200</v>
      </c>
      <c r="AQ387" s="104" t="n">
        <v>1200</v>
      </c>
      <c r="AR387" s="104" t="n">
        <v>0</v>
      </c>
      <c r="AS387" s="104" t="n"/>
      <c r="AT387" s="104" t="n"/>
    </row>
    <row r="388" ht="12.65" customHeight="1" s="79">
      <c r="A388" s="104">
        <f>MIN(V388,R388)</f>
        <v/>
      </c>
      <c r="B388" s="104">
        <f>MIN(V388,U388)</f>
        <v/>
      </c>
      <c r="C388" s="104">
        <f>MIN(X388,R388)</f>
        <v/>
      </c>
      <c r="D388" s="104">
        <f>MIN(X388,U388)</f>
        <v/>
      </c>
      <c r="E388" s="104">
        <f>MIN((V388+AN388+AR388),U388)</f>
        <v/>
      </c>
      <c r="F388" s="104">
        <f>MAX(MIN((V388+AO388+AR388),R388),0)</f>
        <v/>
      </c>
      <c r="G388" s="104">
        <f>MAX(MIN(AP388,AL388),0)</f>
        <v/>
      </c>
      <c r="H388" s="104">
        <f>MAX(MIN(AQ388,AM388),0)</f>
        <v/>
      </c>
      <c r="I388" s="105" t="inlineStr">
        <is>
          <t>ROOP KISHOR</t>
        </is>
      </c>
      <c r="J388" s="106" t="inlineStr">
        <is>
          <t>HOUSEHOLD</t>
        </is>
      </c>
      <c r="K388" s="107" t="inlineStr">
        <is>
          <t>HH_UTENSILS AIDS</t>
        </is>
      </c>
      <c r="L388" s="107" t="inlineStr">
        <is>
          <t>HH_U_N_TAWA</t>
        </is>
      </c>
      <c r="M388" s="107" t="inlineStr">
        <is>
          <t>IRON-[HHUK34]</t>
        </is>
      </c>
      <c r="N388" s="107" t="inlineStr">
        <is>
          <t>ACTIVE</t>
        </is>
      </c>
      <c r="O388" s="108" t="n">
        <v>0.08563883031968141</v>
      </c>
      <c r="P388" s="108" t="n">
        <v>0.110336817653891</v>
      </c>
      <c r="Q388" s="109" t="n">
        <v>105</v>
      </c>
      <c r="R388" s="110" t="n">
        <v>1390</v>
      </c>
      <c r="S388" s="110" t="n">
        <v>1181.15003075468</v>
      </c>
      <c r="T388" s="110" t="n">
        <v>826.442601354706</v>
      </c>
      <c r="U388" s="110" t="n">
        <v>3397.59263210939</v>
      </c>
      <c r="V388" s="104" t="n">
        <v>0</v>
      </c>
      <c r="W388" s="104" t="n">
        <v>2400</v>
      </c>
      <c r="X388" s="104">
        <f>$V388+W388</f>
        <v/>
      </c>
      <c r="Y388" s="111">
        <f>IFERROR(A388/R388,0)</f>
        <v/>
      </c>
      <c r="Z388" s="111">
        <f>IFERROR(B388/U388,0)</f>
        <v/>
      </c>
      <c r="AA388" s="111">
        <f>IFERROR(C388/R388,0)</f>
        <v/>
      </c>
      <c r="AB388" s="111">
        <f>IFERROR(D388/U388,0)</f>
        <v/>
      </c>
      <c r="AD388" s="111">
        <f>IF(U388&gt;0,IFERROR(E388/U388,0),1)</f>
        <v/>
      </c>
      <c r="AE388" s="111">
        <f>IF(R388&gt;0,IFERROR(F388/R388,0),1)</f>
        <v/>
      </c>
      <c r="AF388" s="111">
        <f>IF(AL388&gt;0,IFERROR(G388/AL388,0),1)</f>
        <v/>
      </c>
      <c r="AG388" s="111">
        <f>IF(AM388&gt;0,IFERROR(H388/AM388,0),1)</f>
        <v/>
      </c>
      <c r="AH388" s="104">
        <f>U388-(V388+AN388+AR388)</f>
        <v/>
      </c>
      <c r="AI388" s="104">
        <f>R388-(V388+AO388+AR388)</f>
        <v/>
      </c>
      <c r="AJ388" s="104">
        <f>(AL388-AP388)</f>
        <v/>
      </c>
      <c r="AK388" s="104">
        <f>(AM388-AQ388)</f>
        <v/>
      </c>
      <c r="AL388" s="110">
        <f>S388+AI388</f>
        <v/>
      </c>
      <c r="AM388" s="110">
        <f>T388+AJ388</f>
        <v/>
      </c>
      <c r="AN388" s="104" t="n">
        <v>4320</v>
      </c>
      <c r="AO388" s="104" t="n">
        <v>3360</v>
      </c>
      <c r="AP388" s="104" t="n">
        <v>960</v>
      </c>
      <c r="AQ388" s="104" t="n">
        <v>0</v>
      </c>
      <c r="AR388" s="104" t="n">
        <v>0</v>
      </c>
      <c r="AS388" s="104" t="n"/>
      <c r="AT388" s="104" t="n"/>
    </row>
    <row r="389" ht="12.65" customHeight="1" s="79">
      <c r="A389" s="104">
        <f>MIN(V389,R389)</f>
        <v/>
      </c>
      <c r="B389" s="104">
        <f>MIN(V389,U389)</f>
        <v/>
      </c>
      <c r="C389" s="104">
        <f>MIN(X389,R389)</f>
        <v/>
      </c>
      <c r="D389" s="104">
        <f>MIN(X389,U389)</f>
        <v/>
      </c>
      <c r="E389" s="104">
        <f>MIN((V389+AN389+AR389),U389)</f>
        <v/>
      </c>
      <c r="F389" s="104">
        <f>MAX(MIN((V389+AO389+AR389),R389),0)</f>
        <v/>
      </c>
      <c r="G389" s="104">
        <f>MAX(MIN(AP389,AL389),0)</f>
        <v/>
      </c>
      <c r="H389" s="104">
        <f>MAX(MIN(AQ389,AM389),0)</f>
        <v/>
      </c>
      <c r="I389" s="105" t="inlineStr">
        <is>
          <t>ROOP KISHOR</t>
        </is>
      </c>
      <c r="J389" s="106" t="inlineStr">
        <is>
          <t>HOUSEHOLD</t>
        </is>
      </c>
      <c r="K389" s="107" t="inlineStr">
        <is>
          <t>HH_UTENSILS AIDS</t>
        </is>
      </c>
      <c r="L389" s="107" t="inlineStr">
        <is>
          <t>HH_U_S_BOWL</t>
        </is>
      </c>
      <c r="M389" s="107" t="inlineStr">
        <is>
          <t>SS SINGLE-[HHUK55]</t>
        </is>
      </c>
      <c r="N389" s="107" t="inlineStr">
        <is>
          <t>ACTIVE</t>
        </is>
      </c>
      <c r="O389" s="108" t="n">
        <v>0.0795612813370474</v>
      </c>
      <c r="P389" s="108" t="n">
        <v>0.07745118332988341</v>
      </c>
      <c r="Q389" s="109" t="n">
        <v>135</v>
      </c>
      <c r="R389" s="110" t="n">
        <v>3837</v>
      </c>
      <c r="S389" s="110" t="n">
        <v>1593.67059065686</v>
      </c>
      <c r="T389" s="110" t="n">
        <v>1026.91425352573</v>
      </c>
      <c r="U389" s="110" t="n">
        <v>6457.58484418259</v>
      </c>
      <c r="V389" s="104" t="n">
        <v>0</v>
      </c>
      <c r="W389" s="104" t="n">
        <v>0</v>
      </c>
      <c r="X389" s="104">
        <f>$V389+W389</f>
        <v/>
      </c>
      <c r="Y389" s="111">
        <f>IFERROR(A389/R389,0)</f>
        <v/>
      </c>
      <c r="Z389" s="111">
        <f>IFERROR(B389/U389,0)</f>
        <v/>
      </c>
      <c r="AA389" s="111">
        <f>IFERROR(C389/R389,0)</f>
        <v/>
      </c>
      <c r="AB389" s="111">
        <f>IFERROR(D389/U389,0)</f>
        <v/>
      </c>
      <c r="AD389" s="111">
        <f>IF(U389&gt;0,IFERROR(E389/U389,0),1)</f>
        <v/>
      </c>
      <c r="AE389" s="111">
        <f>IF(R389&gt;0,IFERROR(F389/R389,0),1)</f>
        <v/>
      </c>
      <c r="AF389" s="111">
        <f>IF(AL389&gt;0,IFERROR(G389/AL389,0),1)</f>
        <v/>
      </c>
      <c r="AG389" s="111">
        <f>IF(AM389&gt;0,IFERROR(H389/AM389,0),1)</f>
        <v/>
      </c>
      <c r="AH389" s="104">
        <f>U389-(V389+AN389+AR389)</f>
        <v/>
      </c>
      <c r="AI389" s="104">
        <f>R389-(V389+AO389+AR389)</f>
        <v/>
      </c>
      <c r="AJ389" s="104">
        <f>(AL389-AP389)</f>
        <v/>
      </c>
      <c r="AK389" s="104">
        <f>(AM389-AQ389)</f>
        <v/>
      </c>
      <c r="AL389" s="110">
        <f>S389+AI389</f>
        <v/>
      </c>
      <c r="AM389" s="110">
        <f>T389+AJ389</f>
        <v/>
      </c>
      <c r="AN389" s="104" t="n">
        <v>7200</v>
      </c>
      <c r="AO389" s="104" t="n">
        <v>4800</v>
      </c>
      <c r="AP389" s="104" t="n">
        <v>1200</v>
      </c>
      <c r="AQ389" s="104" t="n">
        <v>1200</v>
      </c>
      <c r="AR389" s="104" t="n">
        <v>0</v>
      </c>
      <c r="AS389" s="104" t="n"/>
      <c r="AT389" s="104" t="n"/>
    </row>
    <row r="390" ht="12.65" customHeight="1" s="79">
      <c r="A390" s="104">
        <f>MIN(V390,R390)</f>
        <v/>
      </c>
      <c r="B390" s="104">
        <f>MIN(V390,U390)</f>
        <v/>
      </c>
      <c r="C390" s="104">
        <f>MIN(X390,R390)</f>
        <v/>
      </c>
      <c r="D390" s="104">
        <f>MIN(X390,U390)</f>
        <v/>
      </c>
      <c r="E390" s="104">
        <f>MIN((V390+AN390+AR390),U390)</f>
        <v/>
      </c>
      <c r="F390" s="104">
        <f>MAX(MIN((V390+AO390+AR390),R390),0)</f>
        <v/>
      </c>
      <c r="G390" s="104">
        <f>MAX(MIN(AP390,AL390),0)</f>
        <v/>
      </c>
      <c r="H390" s="104">
        <f>MAX(MIN(AQ390,AM390),0)</f>
        <v/>
      </c>
      <c r="I390" s="105" t="inlineStr">
        <is>
          <t>ROOP KISHOR</t>
        </is>
      </c>
      <c r="J390" s="106" t="inlineStr">
        <is>
          <t>HOUSEHOLD</t>
        </is>
      </c>
      <c r="K390" s="107" t="inlineStr">
        <is>
          <t>HH_UTENSILS AIDS</t>
        </is>
      </c>
      <c r="L390" s="107" t="inlineStr">
        <is>
          <t>HH_U_S_BOWL</t>
        </is>
      </c>
      <c r="M390" s="107" t="inlineStr">
        <is>
          <t>SS 3PCST-[HHUK55]</t>
        </is>
      </c>
      <c r="N390" s="107" t="inlineStr">
        <is>
          <t>ACTIVE</t>
        </is>
      </c>
      <c r="O390" s="108" t="n">
        <v>0.163875113065718</v>
      </c>
      <c r="P390" s="108" t="n">
        <v>0.146654538103901</v>
      </c>
      <c r="Q390" s="109" t="n">
        <v>135</v>
      </c>
      <c r="R390" s="110" t="n">
        <v>3976</v>
      </c>
      <c r="S390" s="110" t="n">
        <v>550.797137859953</v>
      </c>
      <c r="T390" s="110" t="n">
        <v>0</v>
      </c>
      <c r="U390" s="110" t="n">
        <v>4526.79713785995</v>
      </c>
      <c r="V390" s="104" t="n">
        <v>4200</v>
      </c>
      <c r="W390" s="104" t="n">
        <v>0</v>
      </c>
      <c r="X390" s="104">
        <f>$V390+W390</f>
        <v/>
      </c>
      <c r="Y390" s="111">
        <f>IFERROR(A390/R390,0)</f>
        <v/>
      </c>
      <c r="Z390" s="111">
        <f>IFERROR(B390/U390,0)</f>
        <v/>
      </c>
      <c r="AA390" s="111">
        <f>IFERROR(C390/R390,0)</f>
        <v/>
      </c>
      <c r="AB390" s="111">
        <f>IFERROR(D390/U390,0)</f>
        <v/>
      </c>
      <c r="AD390" s="111">
        <f>IF(U390&gt;0,IFERROR(E390/U390,0),1)</f>
        <v/>
      </c>
      <c r="AE390" s="111">
        <f>IF(R390&gt;0,IFERROR(F390/R390,0),1)</f>
        <v/>
      </c>
      <c r="AF390" s="111">
        <f>IF(AL390&gt;0,IFERROR(G390/AL390,0),1)</f>
        <v/>
      </c>
      <c r="AG390" s="111">
        <f>IF(AM390&gt;0,IFERROR(H390/AM390,0),1)</f>
        <v/>
      </c>
      <c r="AH390" s="104">
        <f>U390-(V390+AN390+AR390)</f>
        <v/>
      </c>
      <c r="AI390" s="104">
        <f>R390-(V390+AO390+AR390)</f>
        <v/>
      </c>
      <c r="AJ390" s="104">
        <f>(AL390-AP390)</f>
        <v/>
      </c>
      <c r="AK390" s="104">
        <f>(AM390-AQ390)</f>
        <v/>
      </c>
      <c r="AL390" s="110">
        <f>S390+AI390</f>
        <v/>
      </c>
      <c r="AM390" s="110">
        <f>T390+AJ390</f>
        <v/>
      </c>
      <c r="AN390" s="104" t="n">
        <v>9600</v>
      </c>
      <c r="AO390" s="104" t="n">
        <v>2400</v>
      </c>
      <c r="AP390" s="104" t="n">
        <v>3600</v>
      </c>
      <c r="AQ390" s="104" t="n">
        <v>3600</v>
      </c>
      <c r="AR390" s="104" t="n">
        <v>0</v>
      </c>
      <c r="AS390" s="104" t="n"/>
      <c r="AT390" s="104" t="n"/>
    </row>
    <row r="391" ht="12.65" customHeight="1" s="79">
      <c r="A391" s="104">
        <f>MIN(V391,R391)</f>
        <v/>
      </c>
      <c r="B391" s="104">
        <f>MIN(V391,U391)</f>
        <v/>
      </c>
      <c r="C391" s="104">
        <f>MIN(X391,R391)</f>
        <v/>
      </c>
      <c r="D391" s="104">
        <f>MIN(X391,U391)</f>
        <v/>
      </c>
      <c r="E391" s="104">
        <f>MIN((V391+AN391+AR391),U391)</f>
        <v/>
      </c>
      <c r="F391" s="104">
        <f>MAX(MIN((V391+AO391+AR391),R391),0)</f>
        <v/>
      </c>
      <c r="G391" s="104">
        <f>MAX(MIN(AP391,AL391),0)</f>
        <v/>
      </c>
      <c r="H391" s="104">
        <f>MAX(MIN(AQ391,AM391),0)</f>
        <v/>
      </c>
      <c r="I391" s="105" t="inlineStr">
        <is>
          <t>ROOP KISHOR</t>
        </is>
      </c>
      <c r="J391" s="106" t="inlineStr">
        <is>
          <t>HOUSEHOLD</t>
        </is>
      </c>
      <c r="K391" s="107" t="inlineStr">
        <is>
          <t>HH_UTENSILS AIDS</t>
        </is>
      </c>
      <c r="L391" s="107" t="inlineStr">
        <is>
          <t>HH_U_S_CONTANIER</t>
        </is>
      </c>
      <c r="M391" s="107" t="inlineStr">
        <is>
          <t>SS CONTAINER-[HHUK35]</t>
        </is>
      </c>
      <c r="N391" s="107" t="inlineStr">
        <is>
          <t>ACTIVE</t>
        </is>
      </c>
      <c r="O391" s="108" t="n">
        <v>0.101826100079771</v>
      </c>
      <c r="P391" s="108" t="n">
        <v>0.0990875265768958</v>
      </c>
      <c r="Q391" s="109" t="n">
        <v>66</v>
      </c>
      <c r="R391" s="110" t="n">
        <v>10796</v>
      </c>
      <c r="S391" s="110" t="n">
        <v>4779.0708328789</v>
      </c>
      <c r="T391" s="110" t="n">
        <v>2767.62824169791</v>
      </c>
      <c r="U391" s="110" t="n">
        <v>18342.6990745768</v>
      </c>
      <c r="V391" s="104" t="n">
        <v>0</v>
      </c>
      <c r="W391" s="104" t="n">
        <v>1800</v>
      </c>
      <c r="X391" s="104">
        <f>$V391+W391</f>
        <v/>
      </c>
      <c r="Y391" s="111">
        <f>IFERROR(A391/R391,0)</f>
        <v/>
      </c>
      <c r="Z391" s="111">
        <f>IFERROR(B391/U391,0)</f>
        <v/>
      </c>
      <c r="AA391" s="111">
        <f>IFERROR(C391/R391,0)</f>
        <v/>
      </c>
      <c r="AB391" s="111">
        <f>IFERROR(D391/U391,0)</f>
        <v/>
      </c>
      <c r="AD391" s="111">
        <f>IF(U391&gt;0,IFERROR(E391/U391,0),1)</f>
        <v/>
      </c>
      <c r="AE391" s="111">
        <f>IF(R391&gt;0,IFERROR(F391/R391,0),1)</f>
        <v/>
      </c>
      <c r="AF391" s="111">
        <f>IF(AL391&gt;0,IFERROR(G391/AL391,0),1)</f>
        <v/>
      </c>
      <c r="AG391" s="111">
        <f>IF(AM391&gt;0,IFERROR(H391/AM391,0),1)</f>
        <v/>
      </c>
      <c r="AH391" s="104">
        <f>U391-(V391+AN391+AR391)</f>
        <v/>
      </c>
      <c r="AI391" s="104">
        <f>R391-(V391+AO391+AR391)</f>
        <v/>
      </c>
      <c r="AJ391" s="104">
        <f>(AL391-AP391)</f>
        <v/>
      </c>
      <c r="AK391" s="104">
        <f>(AM391-AQ391)</f>
        <v/>
      </c>
      <c r="AL391" s="110">
        <f>S391+AI391</f>
        <v/>
      </c>
      <c r="AM391" s="110">
        <f>T391+AJ391</f>
        <v/>
      </c>
      <c r="AN391" s="104" t="n">
        <v>18240</v>
      </c>
      <c r="AO391" s="104" t="n">
        <v>12240</v>
      </c>
      <c r="AP391" s="104" t="n">
        <v>6000</v>
      </c>
      <c r="AQ391" s="104" t="n">
        <v>0</v>
      </c>
      <c r="AR391" s="104" t="n">
        <v>0</v>
      </c>
      <c r="AS391" s="104" t="n"/>
      <c r="AT391" s="104" t="n"/>
    </row>
    <row r="392" ht="12.65" customHeight="1" s="79">
      <c r="A392" s="104">
        <f>MIN(V392,R392)</f>
        <v/>
      </c>
      <c r="B392" s="104">
        <f>MIN(V392,U392)</f>
        <v/>
      </c>
      <c r="C392" s="104">
        <f>MIN(X392,R392)</f>
        <v/>
      </c>
      <c r="D392" s="104">
        <f>MIN(X392,U392)</f>
        <v/>
      </c>
      <c r="E392" s="104">
        <f>MIN((V392+AN392+AR392),U392)</f>
        <v/>
      </c>
      <c r="F392" s="104">
        <f>MAX(MIN((V392+AO392+AR392),R392),0)</f>
        <v/>
      </c>
      <c r="G392" s="104">
        <f>MAX(MIN(AP392,AL392),0)</f>
        <v/>
      </c>
      <c r="H392" s="104">
        <f>MAX(MIN(AQ392,AM392),0)</f>
        <v/>
      </c>
      <c r="I392" s="105" t="inlineStr">
        <is>
          <t>ROOP KISHOR</t>
        </is>
      </c>
      <c r="J392" s="106" t="inlineStr">
        <is>
          <t>HOUSEHOLD</t>
        </is>
      </c>
      <c r="K392" s="107" t="inlineStr">
        <is>
          <t>HH_UTENSILS AIDS</t>
        </is>
      </c>
      <c r="L392" s="107" t="inlineStr">
        <is>
          <t>HH_U_S_CONTANIER</t>
        </is>
      </c>
      <c r="M392" s="107" t="inlineStr">
        <is>
          <t>SIDELOCK-[HHUK35]</t>
        </is>
      </c>
      <c r="N392" s="107" t="inlineStr">
        <is>
          <t>ACTIVE</t>
        </is>
      </c>
      <c r="O392" s="108" t="n">
        <v>0.115367389783065</v>
      </c>
      <c r="P392" s="108" t="n">
        <v>0.138685660182475</v>
      </c>
      <c r="Q392" s="109" t="n">
        <v>66</v>
      </c>
      <c r="R392" s="110" t="n">
        <v>8271</v>
      </c>
      <c r="S392" s="110" t="n">
        <v>3444.48461112917</v>
      </c>
      <c r="T392" s="110" t="n">
        <v>498.544461027807</v>
      </c>
      <c r="U392" s="110" t="n">
        <v>12214.029072157</v>
      </c>
      <c r="V392" s="104" t="n">
        <v>7056</v>
      </c>
      <c r="W392" s="104" t="n">
        <v>0</v>
      </c>
      <c r="X392" s="104">
        <f>$V392+W392</f>
        <v/>
      </c>
      <c r="Y392" s="111">
        <f>IFERROR(A392/R392,0)</f>
        <v/>
      </c>
      <c r="Z392" s="111">
        <f>IFERROR(B392/U392,0)</f>
        <v/>
      </c>
      <c r="AA392" s="111">
        <f>IFERROR(C392/R392,0)</f>
        <v/>
      </c>
      <c r="AB392" s="111">
        <f>IFERROR(D392/U392,0)</f>
        <v/>
      </c>
      <c r="AD392" s="111">
        <f>IF(U392&gt;0,IFERROR(E392/U392,0),1)</f>
        <v/>
      </c>
      <c r="AE392" s="111">
        <f>IF(R392&gt;0,IFERROR(F392/R392,0),1)</f>
        <v/>
      </c>
      <c r="AF392" s="111">
        <f>IF(AL392&gt;0,IFERROR(G392/AL392,0),1)</f>
        <v/>
      </c>
      <c r="AG392" s="111">
        <f>IF(AM392&gt;0,IFERROR(H392/AM392,0),1)</f>
        <v/>
      </c>
      <c r="AH392" s="104">
        <f>U392-(V392+AN392+AR392)</f>
        <v/>
      </c>
      <c r="AI392" s="104">
        <f>R392-(V392+AO392+AR392)</f>
        <v/>
      </c>
      <c r="AJ392" s="104">
        <f>(AL392-AP392)</f>
        <v/>
      </c>
      <c r="AK392" s="104">
        <f>(AM392-AQ392)</f>
        <v/>
      </c>
      <c r="AL392" s="110">
        <f>S392+AI392</f>
        <v/>
      </c>
      <c r="AM392" s="110">
        <f>T392+AJ392</f>
        <v/>
      </c>
      <c r="AN392" s="104" t="n">
        <v>12600</v>
      </c>
      <c r="AO392" s="104" t="n">
        <v>3000</v>
      </c>
      <c r="AP392" s="104" t="n">
        <v>6000</v>
      </c>
      <c r="AQ392" s="104" t="n">
        <v>3600</v>
      </c>
      <c r="AR392" s="104" t="n">
        <v>0</v>
      </c>
      <c r="AS392" s="104" t="n"/>
      <c r="AT392" s="104" t="n"/>
    </row>
    <row r="393" ht="12.65" customHeight="1" s="79">
      <c r="A393" s="104">
        <f>MIN(V393,R393)</f>
        <v/>
      </c>
      <c r="B393" s="104">
        <f>MIN(V393,U393)</f>
        <v/>
      </c>
      <c r="C393" s="104">
        <f>MIN(X393,R393)</f>
        <v/>
      </c>
      <c r="D393" s="104">
        <f>MIN(X393,U393)</f>
        <v/>
      </c>
      <c r="E393" s="104">
        <f>MIN((V393+AN393+AR393),U393)</f>
        <v/>
      </c>
      <c r="F393" s="104">
        <f>MAX(MIN((V393+AO393+AR393),R393),0)</f>
        <v/>
      </c>
      <c r="G393" s="104">
        <f>MAX(MIN(AP393,AL393),0)</f>
        <v/>
      </c>
      <c r="H393" s="104">
        <f>MAX(MIN(AQ393,AM393),0)</f>
        <v/>
      </c>
      <c r="I393" s="105" t="inlineStr">
        <is>
          <t>ROOP KISHOR</t>
        </is>
      </c>
      <c r="J393" s="106" t="inlineStr">
        <is>
          <t>HOUSEHOLD</t>
        </is>
      </c>
      <c r="K393" s="107" t="inlineStr">
        <is>
          <t>HH_UTENSILS AIDS</t>
        </is>
      </c>
      <c r="L393" s="107" t="inlineStr">
        <is>
          <t>HH_U_S_CONTANIER</t>
        </is>
      </c>
      <c r="M393" s="107" t="inlineStr">
        <is>
          <t>NORMAL LID-[HHUK35]</t>
        </is>
      </c>
      <c r="N393" s="107" t="inlineStr">
        <is>
          <t>ACTIVE</t>
        </is>
      </c>
      <c r="O393" s="108" t="n">
        <v>0.138510492077987</v>
      </c>
      <c r="P393" s="108" t="n">
        <v>0.142752508606167</v>
      </c>
      <c r="Q393" s="109" t="n">
        <v>66</v>
      </c>
      <c r="R393" s="110" t="n">
        <v>5355</v>
      </c>
      <c r="S393" s="110" t="n">
        <v>4101.39818108899</v>
      </c>
      <c r="T393" s="110" t="n">
        <v>2407.44485583688</v>
      </c>
      <c r="U393" s="110" t="n">
        <v>11863.8430369259</v>
      </c>
      <c r="V393" s="104" t="n">
        <v>1200</v>
      </c>
      <c r="W393" s="104" t="n">
        <v>0</v>
      </c>
      <c r="X393" s="104">
        <f>$V393+W393</f>
        <v/>
      </c>
      <c r="Y393" s="111">
        <f>IFERROR(A393/R393,0)</f>
        <v/>
      </c>
      <c r="Z393" s="111">
        <f>IFERROR(B393/U393,0)</f>
        <v/>
      </c>
      <c r="AA393" s="111">
        <f>IFERROR(C393/R393,0)</f>
        <v/>
      </c>
      <c r="AB393" s="111">
        <f>IFERROR(D393/U393,0)</f>
        <v/>
      </c>
      <c r="AD393" s="111">
        <f>IF(U393&gt;0,IFERROR(E393/U393,0),1)</f>
        <v/>
      </c>
      <c r="AE393" s="111">
        <f>IF(R393&gt;0,IFERROR(F393/R393,0),1)</f>
        <v/>
      </c>
      <c r="AF393" s="111">
        <f>IF(AL393&gt;0,IFERROR(G393/AL393,0),1)</f>
        <v/>
      </c>
      <c r="AG393" s="111">
        <f>IF(AM393&gt;0,IFERROR(H393/AM393,0),1)</f>
        <v/>
      </c>
      <c r="AH393" s="104">
        <f>U393-(V393+AN393+AR393)</f>
        <v/>
      </c>
      <c r="AI393" s="104">
        <f>R393-(V393+AO393+AR393)</f>
        <v/>
      </c>
      <c r="AJ393" s="104">
        <f>(AL393-AP393)</f>
        <v/>
      </c>
      <c r="AK393" s="104">
        <f>(AM393-AQ393)</f>
        <v/>
      </c>
      <c r="AL393" s="110">
        <f>S393+AI393</f>
        <v/>
      </c>
      <c r="AM393" s="110">
        <f>T393+AJ393</f>
        <v/>
      </c>
      <c r="AN393" s="104" t="n">
        <v>13200</v>
      </c>
      <c r="AO393" s="104" t="n">
        <v>6000</v>
      </c>
      <c r="AP393" s="104" t="n">
        <v>7200</v>
      </c>
      <c r="AQ393" s="104" t="n">
        <v>0</v>
      </c>
      <c r="AR393" s="104" t="n">
        <v>0</v>
      </c>
      <c r="AS393" s="104" t="n"/>
      <c r="AT393" s="104" t="n"/>
    </row>
    <row r="394" ht="12.65" customHeight="1" s="79">
      <c r="A394" s="104">
        <f>MIN(V394,R394)</f>
        <v/>
      </c>
      <c r="B394" s="104">
        <f>MIN(V394,U394)</f>
        <v/>
      </c>
      <c r="C394" s="104">
        <f>MIN(X394,R394)</f>
        <v/>
      </c>
      <c r="D394" s="104">
        <f>MIN(X394,U394)</f>
        <v/>
      </c>
      <c r="E394" s="104">
        <f>MIN((V394+AN394+AR394),U394)</f>
        <v/>
      </c>
      <c r="F394" s="104">
        <f>MAX(MIN((V394+AO394+AR394),R394),0)</f>
        <v/>
      </c>
      <c r="G394" s="104">
        <f>MAX(MIN(AP394,AL394),0)</f>
        <v/>
      </c>
      <c r="H394" s="104">
        <f>MAX(MIN(AQ394,AM394),0)</f>
        <v/>
      </c>
      <c r="I394" s="105" t="inlineStr">
        <is>
          <t>ROOP KISHOR</t>
        </is>
      </c>
      <c r="J394" s="106" t="inlineStr">
        <is>
          <t>HOUSEHOLD</t>
        </is>
      </c>
      <c r="K394" s="107" t="inlineStr">
        <is>
          <t>HH_UTENSILS AIDS</t>
        </is>
      </c>
      <c r="L394" s="107" t="inlineStr">
        <is>
          <t>HH_U_S_MUG</t>
        </is>
      </c>
      <c r="M394" s="107" t="inlineStr">
        <is>
          <t>BIG-[HHUK39]</t>
        </is>
      </c>
      <c r="N394" s="107" t="inlineStr">
        <is>
          <t>ACTIVE</t>
        </is>
      </c>
      <c r="O394" s="108" t="n">
        <v>0.0515724826779448</v>
      </c>
      <c r="P394" s="108" t="n">
        <v>0.0616826786130461</v>
      </c>
      <c r="Q394" s="109" t="n">
        <v>76</v>
      </c>
      <c r="R394" s="110" t="n">
        <v>3634</v>
      </c>
      <c r="S394" s="110" t="n">
        <v>3210.12024314418</v>
      </c>
      <c r="T394" s="110" t="n">
        <v>2312.57763536818</v>
      </c>
      <c r="U394" s="110" t="n">
        <v>9156.697878512359</v>
      </c>
      <c r="V394" s="104" t="n">
        <v>1199</v>
      </c>
      <c r="W394" s="104" t="n">
        <v>0</v>
      </c>
      <c r="X394" s="104">
        <f>$V394+W394</f>
        <v/>
      </c>
      <c r="Y394" s="111">
        <f>IFERROR(A394/R394,0)</f>
        <v/>
      </c>
      <c r="Z394" s="111">
        <f>IFERROR(B394/U394,0)</f>
        <v/>
      </c>
      <c r="AA394" s="111">
        <f>IFERROR(C394/R394,0)</f>
        <v/>
      </c>
      <c r="AB394" s="111">
        <f>IFERROR(D394/U394,0)</f>
        <v/>
      </c>
      <c r="AD394" s="111">
        <f>IF(U394&gt;0,IFERROR(E394/U394,0),1)</f>
        <v/>
      </c>
      <c r="AE394" s="111">
        <f>IF(R394&gt;0,IFERROR(F394/R394,0),1)</f>
        <v/>
      </c>
      <c r="AF394" s="111">
        <f>IF(AL394&gt;0,IFERROR(G394/AL394,0),1)</f>
        <v/>
      </c>
      <c r="AG394" s="111">
        <f>IF(AM394&gt;0,IFERROR(H394/AM394,0),1)</f>
        <v/>
      </c>
      <c r="AH394" s="104">
        <f>U394-(V394+AN394+AR394)</f>
        <v/>
      </c>
      <c r="AI394" s="104">
        <f>R394-(V394+AO394+AR394)</f>
        <v/>
      </c>
      <c r="AJ394" s="104">
        <f>(AL394-AP394)</f>
        <v/>
      </c>
      <c r="AK394" s="104">
        <f>(AM394-AQ394)</f>
        <v/>
      </c>
      <c r="AL394" s="110">
        <f>S394+AI394</f>
        <v/>
      </c>
      <c r="AM394" s="110">
        <f>T394+AJ394</f>
        <v/>
      </c>
      <c r="AN394" s="104" t="n">
        <v>0</v>
      </c>
      <c r="AO394" s="104" t="n">
        <v>0</v>
      </c>
      <c r="AP394" s="104" t="n">
        <v>0</v>
      </c>
      <c r="AQ394" s="104" t="n">
        <v>0</v>
      </c>
      <c r="AR394" s="104" t="n">
        <v>0</v>
      </c>
      <c r="AS394" s="104" t="n"/>
      <c r="AT394" s="104" t="n"/>
    </row>
    <row r="395" ht="12.65" customHeight="1" s="79">
      <c r="A395" s="104">
        <f>MIN(V395,R395)</f>
        <v/>
      </c>
      <c r="B395" s="104">
        <f>MIN(V395,U395)</f>
        <v/>
      </c>
      <c r="C395" s="104">
        <f>MIN(X395,R395)</f>
        <v/>
      </c>
      <c r="D395" s="104">
        <f>MIN(X395,U395)</f>
        <v/>
      </c>
      <c r="E395" s="104">
        <f>MIN((V395+AN395+AR395),U395)</f>
        <v/>
      </c>
      <c r="F395" s="104">
        <f>MAX(MIN((V395+AO395+AR395),R395),0)</f>
        <v/>
      </c>
      <c r="G395" s="104">
        <f>MAX(MIN(AP395,AL395),0)</f>
        <v/>
      </c>
      <c r="H395" s="104">
        <f>MAX(MIN(AQ395,AM395),0)</f>
        <v/>
      </c>
      <c r="I395" s="105" t="inlineStr">
        <is>
          <t>ROOP KISHOR</t>
        </is>
      </c>
      <c r="J395" s="106" t="inlineStr">
        <is>
          <t>HOUSEHOLD</t>
        </is>
      </c>
      <c r="K395" s="107" t="inlineStr">
        <is>
          <t>HH_UTENSILS AIDS</t>
        </is>
      </c>
      <c r="L395" s="107" t="inlineStr">
        <is>
          <t>HH_U_S_MUG</t>
        </is>
      </c>
      <c r="M395" s="107" t="inlineStr">
        <is>
          <t>SML-[HHUK39]</t>
        </is>
      </c>
      <c r="N395" s="107" t="inlineStr">
        <is>
          <t>ACTIVE</t>
        </is>
      </c>
      <c r="O395" s="108" t="n">
        <v>0.135210795808011</v>
      </c>
      <c r="P395" s="108" t="n">
        <v>0.119400549405717</v>
      </c>
      <c r="Q395" s="109" t="n">
        <v>76</v>
      </c>
      <c r="R395" s="110" t="n">
        <v>1100</v>
      </c>
      <c r="S395" s="110" t="n">
        <v>2373.3448951103</v>
      </c>
      <c r="T395" s="110" t="n">
        <v>3348.96852732997</v>
      </c>
      <c r="U395" s="110" t="n">
        <v>6822.31342244028</v>
      </c>
      <c r="V395" s="104" t="n">
        <v>4800</v>
      </c>
      <c r="W395" s="104" t="n">
        <v>1200</v>
      </c>
      <c r="X395" s="104">
        <f>$V395+W395</f>
        <v/>
      </c>
      <c r="Y395" s="111">
        <f>IFERROR(A395/R395,0)</f>
        <v/>
      </c>
      <c r="Z395" s="111">
        <f>IFERROR(B395/U395,0)</f>
        <v/>
      </c>
      <c r="AA395" s="111">
        <f>IFERROR(C395/R395,0)</f>
        <v/>
      </c>
      <c r="AB395" s="111">
        <f>IFERROR(D395/U395,0)</f>
        <v/>
      </c>
      <c r="AD395" s="111">
        <f>IF(U395&gt;0,IFERROR(E395/U395,0),1)</f>
        <v/>
      </c>
      <c r="AE395" s="111">
        <f>IF(R395&gt;0,IFERROR(F395/R395,0),1)</f>
        <v/>
      </c>
      <c r="AF395" s="111">
        <f>IF(AL395&gt;0,IFERROR(G395/AL395,0),1)</f>
        <v/>
      </c>
      <c r="AG395" s="111">
        <f>IF(AM395&gt;0,IFERROR(H395/AM395,0),1)</f>
        <v/>
      </c>
      <c r="AH395" s="104">
        <f>U395-(V395+AN395+AR395)</f>
        <v/>
      </c>
      <c r="AI395" s="104">
        <f>R395-(V395+AO395+AR395)</f>
        <v/>
      </c>
      <c r="AJ395" s="104">
        <f>(AL395-AP395)</f>
        <v/>
      </c>
      <c r="AK395" s="104">
        <f>(AM395-AQ395)</f>
        <v/>
      </c>
      <c r="AL395" s="110">
        <f>S395+AI395</f>
        <v/>
      </c>
      <c r="AM395" s="110">
        <f>T395+AJ395</f>
        <v/>
      </c>
      <c r="AN395" s="104" t="n">
        <v>26160</v>
      </c>
      <c r="AO395" s="104" t="n">
        <v>8160</v>
      </c>
      <c r="AP395" s="104" t="n">
        <v>7200</v>
      </c>
      <c r="AQ395" s="104" t="n">
        <v>10800</v>
      </c>
      <c r="AR395" s="104" t="n">
        <v>0</v>
      </c>
      <c r="AS395" s="104" t="n"/>
      <c r="AT395" s="104" t="n"/>
    </row>
    <row r="396" ht="12.65" customHeight="1" s="79">
      <c r="A396" s="104">
        <f>MIN(V396,R396)</f>
        <v/>
      </c>
      <c r="B396" s="104">
        <f>MIN(V396,U396)</f>
        <v/>
      </c>
      <c r="C396" s="104">
        <f>MIN(X396,R396)</f>
        <v/>
      </c>
      <c r="D396" s="104">
        <f>MIN(X396,U396)</f>
        <v/>
      </c>
      <c r="E396" s="104">
        <f>MIN((V396+AN396+AR396),U396)</f>
        <v/>
      </c>
      <c r="F396" s="104">
        <f>MAX(MIN((V396+AO396+AR396),R396),0)</f>
        <v/>
      </c>
      <c r="G396" s="104">
        <f>MAX(MIN(AP396,AL396),0)</f>
        <v/>
      </c>
      <c r="H396" s="104">
        <f>MAX(MIN(AQ396,AM396),0)</f>
        <v/>
      </c>
      <c r="I396" s="105" t="inlineStr">
        <is>
          <t>ROOP KISHOR</t>
        </is>
      </c>
      <c r="J396" s="106" t="inlineStr">
        <is>
          <t>HOUSEHOLD</t>
        </is>
      </c>
      <c r="K396" s="107" t="inlineStr">
        <is>
          <t>HH_UTENSILS AIDS</t>
        </is>
      </c>
      <c r="L396" s="107" t="inlineStr">
        <is>
          <t>HH_U_S_PATILA</t>
        </is>
      </c>
      <c r="M396" s="107" t="inlineStr">
        <is>
          <t>BIG-[HHUK53]</t>
        </is>
      </c>
      <c r="N396" s="107" t="inlineStr">
        <is>
          <t>ACTIVE</t>
        </is>
      </c>
      <c r="O396" s="108" t="n">
        <v>0.0822854621663358</v>
      </c>
      <c r="P396" s="108" t="n">
        <v>0.0794662951452149</v>
      </c>
      <c r="Q396" s="109" t="n">
        <v>137</v>
      </c>
      <c r="R396" s="110" t="n">
        <v>4791</v>
      </c>
      <c r="S396" s="110" t="n">
        <v>1840.51137218302</v>
      </c>
      <c r="T396" s="110" t="n">
        <v>759.847969762657</v>
      </c>
      <c r="U396" s="110" t="n">
        <v>7391.35934194568</v>
      </c>
      <c r="V396" s="104" t="n">
        <v>0</v>
      </c>
      <c r="W396" s="104" t="n">
        <v>0</v>
      </c>
      <c r="X396" s="104">
        <f>$V396+W396</f>
        <v/>
      </c>
      <c r="Y396" s="111">
        <f>IFERROR(A396/R396,0)</f>
        <v/>
      </c>
      <c r="Z396" s="111">
        <f>IFERROR(B396/U396,0)</f>
        <v/>
      </c>
      <c r="AA396" s="111">
        <f>IFERROR(C396/R396,0)</f>
        <v/>
      </c>
      <c r="AB396" s="111">
        <f>IFERROR(D396/U396,0)</f>
        <v/>
      </c>
      <c r="AD396" s="111">
        <f>IF(U396&gt;0,IFERROR(E396/U396,0),1)</f>
        <v/>
      </c>
      <c r="AE396" s="111">
        <f>IF(R396&gt;0,IFERROR(F396/R396,0),1)</f>
        <v/>
      </c>
      <c r="AF396" s="111">
        <f>IF(AL396&gt;0,IFERROR(G396/AL396,0),1)</f>
        <v/>
      </c>
      <c r="AG396" s="111">
        <f>IF(AM396&gt;0,IFERROR(H396/AM396,0),1)</f>
        <v/>
      </c>
      <c r="AH396" s="104">
        <f>U396-(V396+AN396+AR396)</f>
        <v/>
      </c>
      <c r="AI396" s="104">
        <f>R396-(V396+AO396+AR396)</f>
        <v/>
      </c>
      <c r="AJ396" s="104">
        <f>(AL396-AP396)</f>
        <v/>
      </c>
      <c r="AK396" s="104">
        <f>(AM396-AQ396)</f>
        <v/>
      </c>
      <c r="AL396" s="110">
        <f>S396+AI396</f>
        <v/>
      </c>
      <c r="AM396" s="110">
        <f>T396+AJ396</f>
        <v/>
      </c>
      <c r="AN396" s="104" t="n">
        <v>4800</v>
      </c>
      <c r="AO396" s="104" t="n">
        <v>3600</v>
      </c>
      <c r="AP396" s="104" t="n">
        <v>1200</v>
      </c>
      <c r="AQ396" s="104" t="n">
        <v>0</v>
      </c>
      <c r="AR396" s="104" t="n">
        <v>0</v>
      </c>
      <c r="AS396" s="104" t="n"/>
      <c r="AT396" s="104" t="n"/>
    </row>
    <row r="397" ht="12.65" customHeight="1" s="79">
      <c r="A397" s="104">
        <f>MIN(V397,R397)</f>
        <v/>
      </c>
      <c r="B397" s="104">
        <f>MIN(V397,U397)</f>
        <v/>
      </c>
      <c r="C397" s="104">
        <f>MIN(X397,R397)</f>
        <v/>
      </c>
      <c r="D397" s="104">
        <f>MIN(X397,U397)</f>
        <v/>
      </c>
      <c r="E397" s="104">
        <f>MIN((V397+AN397+AR397),U397)</f>
        <v/>
      </c>
      <c r="F397" s="104">
        <f>MAX(MIN((V397+AO397+AR397),R397),0)</f>
        <v/>
      </c>
      <c r="G397" s="104">
        <f>MAX(MIN(AP397,AL397),0)</f>
        <v/>
      </c>
      <c r="H397" s="104">
        <f>MAX(MIN(AQ397,AM397),0)</f>
        <v/>
      </c>
      <c r="I397" s="105" t="inlineStr">
        <is>
          <t>ROOP KISHOR</t>
        </is>
      </c>
      <c r="J397" s="106" t="inlineStr">
        <is>
          <t>HOUSEHOLD</t>
        </is>
      </c>
      <c r="K397" s="107" t="inlineStr">
        <is>
          <t>HH_UTENSILS AIDS</t>
        </is>
      </c>
      <c r="L397" s="107" t="inlineStr">
        <is>
          <t>HH_U_S_PATILA</t>
        </is>
      </c>
      <c r="M397" s="107" t="inlineStr">
        <is>
          <t>MDM-[HHUK53]</t>
        </is>
      </c>
      <c r="N397" s="107" t="inlineStr">
        <is>
          <t>ACTIVE</t>
        </is>
      </c>
      <c r="O397" s="108" t="n">
        <v>0.0859730875962092</v>
      </c>
      <c r="P397" s="108" t="n">
        <v>0.0762493210211841</v>
      </c>
      <c r="Q397" s="109" t="n">
        <v>137</v>
      </c>
      <c r="R397" s="110" t="n">
        <v>1886</v>
      </c>
      <c r="S397" s="110" t="n">
        <v>608.7892042541999</v>
      </c>
      <c r="T397" s="110" t="n">
        <v>244.759234549011</v>
      </c>
      <c r="U397" s="110" t="n">
        <v>2739.54843880321</v>
      </c>
      <c r="V397" s="104" t="n">
        <v>0</v>
      </c>
      <c r="W397" s="104" t="n">
        <v>0</v>
      </c>
      <c r="X397" s="104">
        <f>$V397+W397</f>
        <v/>
      </c>
      <c r="Y397" s="111">
        <f>IFERROR(A397/R397,0)</f>
        <v/>
      </c>
      <c r="Z397" s="111">
        <f>IFERROR(B397/U397,0)</f>
        <v/>
      </c>
      <c r="AA397" s="111">
        <f>IFERROR(C397/R397,0)</f>
        <v/>
      </c>
      <c r="AB397" s="111">
        <f>IFERROR(D397/U397,0)</f>
        <v/>
      </c>
      <c r="AD397" s="111">
        <f>IF(U397&gt;0,IFERROR(E397/U397,0),1)</f>
        <v/>
      </c>
      <c r="AE397" s="111">
        <f>IF(R397&gt;0,IFERROR(F397/R397,0),1)</f>
        <v/>
      </c>
      <c r="AF397" s="111">
        <f>IF(AL397&gt;0,IFERROR(G397/AL397,0),1)</f>
        <v/>
      </c>
      <c r="AG397" s="111">
        <f>IF(AM397&gt;0,IFERROR(H397/AM397,0),1)</f>
        <v/>
      </c>
      <c r="AH397" s="104">
        <f>U397-(V397+AN397+AR397)</f>
        <v/>
      </c>
      <c r="AI397" s="104">
        <f>R397-(V397+AO397+AR397)</f>
        <v/>
      </c>
      <c r="AJ397" s="104">
        <f>(AL397-AP397)</f>
        <v/>
      </c>
      <c r="AK397" s="104">
        <f>(AM397-AQ397)</f>
        <v/>
      </c>
      <c r="AL397" s="110">
        <f>S397+AI397</f>
        <v/>
      </c>
      <c r="AM397" s="110">
        <f>T397+AJ397</f>
        <v/>
      </c>
      <c r="AN397" s="104" t="n">
        <v>4800</v>
      </c>
      <c r="AO397" s="104" t="n">
        <v>3600</v>
      </c>
      <c r="AP397" s="104" t="n">
        <v>1200</v>
      </c>
      <c r="AQ397" s="104" t="n">
        <v>0</v>
      </c>
      <c r="AR397" s="104" t="n">
        <v>0</v>
      </c>
      <c r="AS397" s="104" t="n"/>
      <c r="AT397" s="104" t="n"/>
    </row>
    <row r="398" ht="12.65" customHeight="1" s="79">
      <c r="A398" s="104">
        <f>MIN(V398,R398)</f>
        <v/>
      </c>
      <c r="B398" s="104">
        <f>MIN(V398,U398)</f>
        <v/>
      </c>
      <c r="C398" s="104">
        <f>MIN(X398,R398)</f>
        <v/>
      </c>
      <c r="D398" s="104">
        <f>MIN(X398,U398)</f>
        <v/>
      </c>
      <c r="E398" s="104">
        <f>MIN((V398+AN398+AR398),U398)</f>
        <v/>
      </c>
      <c r="F398" s="104">
        <f>MAX(MIN((V398+AO398+AR398),R398),0)</f>
        <v/>
      </c>
      <c r="G398" s="104">
        <f>MAX(MIN(AP398,AL398),0)</f>
        <v/>
      </c>
      <c r="H398" s="104">
        <f>MAX(MIN(AQ398,AM398),0)</f>
        <v/>
      </c>
      <c r="I398" s="105" t="inlineStr">
        <is>
          <t>ROOP KISHOR</t>
        </is>
      </c>
      <c r="J398" s="106" t="inlineStr">
        <is>
          <t>HOUSEHOLD</t>
        </is>
      </c>
      <c r="K398" s="107" t="inlineStr">
        <is>
          <t>HH_UTENSILS AIDS</t>
        </is>
      </c>
      <c r="L398" s="107" t="inlineStr">
        <is>
          <t>HH_U_S_PLATE</t>
        </is>
      </c>
      <c r="M398" s="107" t="inlineStr">
        <is>
          <t>STL-[HHUK56]</t>
        </is>
      </c>
      <c r="N398" s="107" t="inlineStr">
        <is>
          <t>ACTIVE</t>
        </is>
      </c>
      <c r="O398" s="108" t="n">
        <v>0.0989725234610111</v>
      </c>
      <c r="P398" s="108" t="n">
        <v>0.0847091498225582</v>
      </c>
      <c r="Q398" s="109" t="n">
        <v>133</v>
      </c>
      <c r="R398" s="110" t="n">
        <v>6195</v>
      </c>
      <c r="S398" s="110" t="n">
        <v>1736.75822580098</v>
      </c>
      <c r="T398" s="110" t="n">
        <v>1877.07825234086</v>
      </c>
      <c r="U398" s="110" t="n">
        <v>9808.83647814184</v>
      </c>
      <c r="V398" s="104" t="n">
        <v>7200</v>
      </c>
      <c r="W398" s="104" t="n">
        <v>0</v>
      </c>
      <c r="X398" s="104">
        <f>$V398+W398</f>
        <v/>
      </c>
      <c r="Y398" s="111">
        <f>IFERROR(A398/R398,0)</f>
        <v/>
      </c>
      <c r="Z398" s="111">
        <f>IFERROR(B398/U398,0)</f>
        <v/>
      </c>
      <c r="AA398" s="111">
        <f>IFERROR(C398/R398,0)</f>
        <v/>
      </c>
      <c r="AB398" s="111">
        <f>IFERROR(D398/U398,0)</f>
        <v/>
      </c>
      <c r="AD398" s="111">
        <f>IF(U398&gt;0,IFERROR(E398/U398,0),1)</f>
        <v/>
      </c>
      <c r="AE398" s="111">
        <f>IF(R398&gt;0,IFERROR(F398/R398,0),1)</f>
        <v/>
      </c>
      <c r="AF398" s="111">
        <f>IF(AL398&gt;0,IFERROR(G398/AL398,0),1)</f>
        <v/>
      </c>
      <c r="AG398" s="111">
        <f>IF(AM398&gt;0,IFERROR(H398/AM398,0),1)</f>
        <v/>
      </c>
      <c r="AH398" s="104">
        <f>U398-(V398+AN398+AR398)</f>
        <v/>
      </c>
      <c r="AI398" s="104">
        <f>R398-(V398+AO398+AR398)</f>
        <v/>
      </c>
      <c r="AJ398" s="104">
        <f>(AL398-AP398)</f>
        <v/>
      </c>
      <c r="AK398" s="104">
        <f>(AM398-AQ398)</f>
        <v/>
      </c>
      <c r="AL398" s="110">
        <f>S398+AI398</f>
        <v/>
      </c>
      <c r="AM398" s="110">
        <f>T398+AJ398</f>
        <v/>
      </c>
      <c r="AN398" s="104" t="n">
        <v>2400</v>
      </c>
      <c r="AO398" s="104" t="n">
        <v>0</v>
      </c>
      <c r="AP398" s="104" t="n">
        <v>1200</v>
      </c>
      <c r="AQ398" s="104" t="n">
        <v>1200</v>
      </c>
      <c r="AR398" s="104" t="n">
        <v>0</v>
      </c>
      <c r="AS398" s="104" t="n"/>
      <c r="AT398" s="104" t="n"/>
    </row>
    <row r="399" ht="12.65" customHeight="1" s="79">
      <c r="A399" s="104">
        <f>MIN(V399,R399)</f>
        <v/>
      </c>
      <c r="B399" s="104">
        <f>MIN(V399,U399)</f>
        <v/>
      </c>
      <c r="C399" s="104">
        <f>MIN(X399,R399)</f>
        <v/>
      </c>
      <c r="D399" s="104">
        <f>MIN(X399,U399)</f>
        <v/>
      </c>
      <c r="E399" s="104">
        <f>MIN((V399+AN399+AR399),U399)</f>
        <v/>
      </c>
      <c r="F399" s="104">
        <f>MAX(MIN((V399+AO399+AR399),R399),0)</f>
        <v/>
      </c>
      <c r="G399" s="104">
        <f>MAX(MIN(AP399,AL399),0)</f>
        <v/>
      </c>
      <c r="H399" s="104">
        <f>MAX(MIN(AQ399,AM399),0)</f>
        <v/>
      </c>
      <c r="I399" s="105" t="inlineStr">
        <is>
          <t>ROOP KISHOR</t>
        </is>
      </c>
      <c r="J399" s="106" t="inlineStr">
        <is>
          <t>HOUSEHOLD</t>
        </is>
      </c>
      <c r="K399" s="107" t="inlineStr">
        <is>
          <t>HH_UTENSILS AIDS</t>
        </is>
      </c>
      <c r="L399" s="107" t="inlineStr">
        <is>
          <t>HH_U_S_PLATE</t>
        </is>
      </c>
      <c r="M399" s="107" t="inlineStr">
        <is>
          <t>PARTITION PLATE-[HHUK56]</t>
        </is>
      </c>
      <c r="N399" s="107" t="inlineStr">
        <is>
          <t>ACTIVE</t>
        </is>
      </c>
      <c r="O399" s="108" t="n">
        <v>0.126755358462676</v>
      </c>
      <c r="P399" s="108" t="n">
        <v>0.12194567564496</v>
      </c>
      <c r="Q399" s="109" t="n">
        <v>133</v>
      </c>
      <c r="R399" s="110" t="n">
        <v>6615</v>
      </c>
      <c r="S399" s="110" t="n">
        <v>1024.61208433075</v>
      </c>
      <c r="T399" s="110" t="n">
        <v>1236.41235526045</v>
      </c>
      <c r="U399" s="110" t="n">
        <v>8876.0244395912</v>
      </c>
      <c r="V399" s="104" t="n">
        <v>2400</v>
      </c>
      <c r="W399" s="104" t="n">
        <v>0</v>
      </c>
      <c r="X399" s="104">
        <f>$V399+W399</f>
        <v/>
      </c>
      <c r="Y399" s="111">
        <f>IFERROR(A399/R399,0)</f>
        <v/>
      </c>
      <c r="Z399" s="111">
        <f>IFERROR(B399/U399,0)</f>
        <v/>
      </c>
      <c r="AA399" s="111">
        <f>IFERROR(C399/R399,0)</f>
        <v/>
      </c>
      <c r="AB399" s="111">
        <f>IFERROR(D399/U399,0)</f>
        <v/>
      </c>
      <c r="AD399" s="111">
        <f>IF(U399&gt;0,IFERROR(E399/U399,0),1)</f>
        <v/>
      </c>
      <c r="AE399" s="111">
        <f>IF(R399&gt;0,IFERROR(F399/R399,0),1)</f>
        <v/>
      </c>
      <c r="AF399" s="111">
        <f>IF(AL399&gt;0,IFERROR(G399/AL399,0),1)</f>
        <v/>
      </c>
      <c r="AG399" s="111">
        <f>IF(AM399&gt;0,IFERROR(H399/AM399,0),1)</f>
        <v/>
      </c>
      <c r="AH399" s="104">
        <f>U399-(V399+AN399+AR399)</f>
        <v/>
      </c>
      <c r="AI399" s="104">
        <f>R399-(V399+AO399+AR399)</f>
        <v/>
      </c>
      <c r="AJ399" s="104">
        <f>(AL399-AP399)</f>
        <v/>
      </c>
      <c r="AK399" s="104">
        <f>(AM399-AQ399)</f>
        <v/>
      </c>
      <c r="AL399" s="110">
        <f>S399+AI399</f>
        <v/>
      </c>
      <c r="AM399" s="110">
        <f>T399+AJ399</f>
        <v/>
      </c>
      <c r="AN399" s="104" t="n">
        <v>9600</v>
      </c>
      <c r="AO399" s="104" t="n">
        <v>2400</v>
      </c>
      <c r="AP399" s="104" t="n">
        <v>3600</v>
      </c>
      <c r="AQ399" s="104" t="n">
        <v>3600</v>
      </c>
      <c r="AR399" s="104" t="n">
        <v>0</v>
      </c>
      <c r="AS399" s="104" t="n"/>
      <c r="AT399" s="104" t="n"/>
    </row>
    <row r="400" ht="12.65" customHeight="1" s="79">
      <c r="A400" s="104">
        <f>MIN(V400,R400)</f>
        <v/>
      </c>
      <c r="B400" s="104">
        <f>MIN(V400,U400)</f>
        <v/>
      </c>
      <c r="C400" s="104">
        <f>MIN(X400,R400)</f>
        <v/>
      </c>
      <c r="D400" s="104">
        <f>MIN(X400,U400)</f>
        <v/>
      </c>
      <c r="E400" s="104">
        <f>MIN((V400+AN400+AR400),U400)</f>
        <v/>
      </c>
      <c r="F400" s="104">
        <f>MAX(MIN((V400+AO400+AR400),R400),0)</f>
        <v/>
      </c>
      <c r="G400" s="104">
        <f>MAX(MIN(AP400,AL400),0)</f>
        <v/>
      </c>
      <c r="H400" s="104">
        <f>MAX(MIN(AQ400,AM400),0)</f>
        <v/>
      </c>
      <c r="I400" s="105" t="inlineStr">
        <is>
          <t>ROOP KISHOR</t>
        </is>
      </c>
      <c r="J400" s="106" t="inlineStr">
        <is>
          <t>HOUSEHOLD</t>
        </is>
      </c>
      <c r="K400" s="107" t="inlineStr">
        <is>
          <t>HH_UTENSILS AIDS</t>
        </is>
      </c>
      <c r="L400" s="107" t="inlineStr">
        <is>
          <t>HH_U_S_SAUCE PAN</t>
        </is>
      </c>
      <c r="M400" s="107" t="inlineStr">
        <is>
          <t>18CM-[HHUK54]</t>
        </is>
      </c>
      <c r="N400" s="107" t="inlineStr">
        <is>
          <t>ACTIVE</t>
        </is>
      </c>
      <c r="O400" s="108" t="n">
        <v>0.10411680229775</v>
      </c>
      <c r="P400" s="108" t="n">
        <v>0.0895691958117112</v>
      </c>
      <c r="Q400" s="109" t="n">
        <v>117</v>
      </c>
      <c r="R400" s="110" t="n">
        <v>3534</v>
      </c>
      <c r="S400" s="110" t="n">
        <v>3310.95362766935</v>
      </c>
      <c r="T400" s="110" t="n">
        <v>1625.44722772942</v>
      </c>
      <c r="U400" s="110" t="n">
        <v>8470.40085539877</v>
      </c>
      <c r="V400" s="104" t="n">
        <v>2676</v>
      </c>
      <c r="W400" s="104" t="n">
        <v>0</v>
      </c>
      <c r="X400" s="104">
        <f>$V400+W400</f>
        <v/>
      </c>
      <c r="Y400" s="111">
        <f>IFERROR(A400/R400,0)</f>
        <v/>
      </c>
      <c r="Z400" s="111">
        <f>IFERROR(B400/U400,0)</f>
        <v/>
      </c>
      <c r="AA400" s="111">
        <f>IFERROR(C400/R400,0)</f>
        <v/>
      </c>
      <c r="AB400" s="111">
        <f>IFERROR(D400/U400,0)</f>
        <v/>
      </c>
      <c r="AD400" s="111">
        <f>IF(U400&gt;0,IFERROR(E400/U400,0),1)</f>
        <v/>
      </c>
      <c r="AE400" s="111">
        <f>IF(R400&gt;0,IFERROR(F400/R400,0),1)</f>
        <v/>
      </c>
      <c r="AF400" s="111">
        <f>IF(AL400&gt;0,IFERROR(G400/AL400,0),1)</f>
        <v/>
      </c>
      <c r="AG400" s="111">
        <f>IF(AM400&gt;0,IFERROR(H400/AM400,0),1)</f>
        <v/>
      </c>
      <c r="AH400" s="104">
        <f>U400-(V400+AN400+AR400)</f>
        <v/>
      </c>
      <c r="AI400" s="104">
        <f>R400-(V400+AO400+AR400)</f>
        <v/>
      </c>
      <c r="AJ400" s="104">
        <f>(AL400-AP400)</f>
        <v/>
      </c>
      <c r="AK400" s="104">
        <f>(AM400-AQ400)</f>
        <v/>
      </c>
      <c r="AL400" s="110">
        <f>S400+AI400</f>
        <v/>
      </c>
      <c r="AM400" s="110">
        <f>T400+AJ400</f>
        <v/>
      </c>
      <c r="AN400" s="104" t="n">
        <v>12000</v>
      </c>
      <c r="AO400" s="104" t="n">
        <v>4800</v>
      </c>
      <c r="AP400" s="104" t="n">
        <v>4800</v>
      </c>
      <c r="AQ400" s="104" t="n">
        <v>2400</v>
      </c>
      <c r="AR400" s="104" t="n">
        <v>0</v>
      </c>
      <c r="AS400" s="104" t="n"/>
      <c r="AT400" s="104" t="n"/>
    </row>
    <row r="401" ht="12.65" customHeight="1" s="79">
      <c r="A401" s="104">
        <f>MIN(V401,R401)</f>
        <v/>
      </c>
      <c r="B401" s="104">
        <f>MIN(V401,U401)</f>
        <v/>
      </c>
      <c r="C401" s="104">
        <f>MIN(X401,R401)</f>
        <v/>
      </c>
      <c r="D401" s="104">
        <f>MIN(X401,U401)</f>
        <v/>
      </c>
      <c r="E401" s="104">
        <f>MIN((V401+AN401+AR401),U401)</f>
        <v/>
      </c>
      <c r="F401" s="104">
        <f>MAX(MIN((V401+AO401+AR401),R401),0)</f>
        <v/>
      </c>
      <c r="G401" s="104">
        <f>MAX(MIN(AP401,AL401),0)</f>
        <v/>
      </c>
      <c r="H401" s="104">
        <f>MAX(MIN(AQ401,AM401),0)</f>
        <v/>
      </c>
      <c r="I401" s="105" t="inlineStr">
        <is>
          <t>ROOP KISHOR</t>
        </is>
      </c>
      <c r="J401" s="106" t="inlineStr">
        <is>
          <t>HOUSEHOLD</t>
        </is>
      </c>
      <c r="K401" s="107" t="inlineStr">
        <is>
          <t>HH_UTENSILS AIDS</t>
        </is>
      </c>
      <c r="L401" s="107" t="inlineStr">
        <is>
          <t>HH_U_S_WATER BOTTLE</t>
        </is>
      </c>
      <c r="M401" s="107" t="inlineStr">
        <is>
          <t>1000ML-[HHUK51]</t>
        </is>
      </c>
      <c r="N401" s="107" t="inlineStr">
        <is>
          <t>ACTIVE</t>
        </is>
      </c>
      <c r="O401" s="108" t="n">
        <v>0.116801212507977</v>
      </c>
      <c r="P401" s="108" t="n">
        <v>0.141513728652628</v>
      </c>
      <c r="Q401" s="109" t="n">
        <v>38</v>
      </c>
      <c r="R401" s="110" t="n">
        <v>1244</v>
      </c>
      <c r="S401" s="110" t="n">
        <v>3919.17571759729</v>
      </c>
      <c r="T401" s="110" t="n">
        <v>7579.39345466154</v>
      </c>
      <c r="U401" s="110" t="n">
        <v>12742.5691722588</v>
      </c>
      <c r="V401" s="104" t="n">
        <v>13296</v>
      </c>
      <c r="W401" s="104" t="n">
        <v>0</v>
      </c>
      <c r="X401" s="104">
        <f>$V401+W401</f>
        <v/>
      </c>
      <c r="Y401" s="111">
        <f>IFERROR(A401/R401,0)</f>
        <v/>
      </c>
      <c r="Z401" s="111">
        <f>IFERROR(B401/U401,0)</f>
        <v/>
      </c>
      <c r="AA401" s="111">
        <f>IFERROR(C401/R401,0)</f>
        <v/>
      </c>
      <c r="AB401" s="111">
        <f>IFERROR(D401/U401,0)</f>
        <v/>
      </c>
      <c r="AD401" s="111">
        <f>IF(U401&gt;0,IFERROR(E401/U401,0),1)</f>
        <v/>
      </c>
      <c r="AE401" s="111">
        <f>IF(R401&gt;0,IFERROR(F401/R401,0),1)</f>
        <v/>
      </c>
      <c r="AF401" s="111">
        <f>IF(AL401&gt;0,IFERROR(G401/AL401,0),1)</f>
        <v/>
      </c>
      <c r="AG401" s="111">
        <f>IF(AM401&gt;0,IFERROR(H401/AM401,0),1)</f>
        <v/>
      </c>
      <c r="AH401" s="104">
        <f>U401-(V401+AN401+AR401)</f>
        <v/>
      </c>
      <c r="AI401" s="104">
        <f>R401-(V401+AO401+AR401)</f>
        <v/>
      </c>
      <c r="AJ401" s="104">
        <f>(AL401-AP401)</f>
        <v/>
      </c>
      <c r="AK401" s="104">
        <f>(AM401-AQ401)</f>
        <v/>
      </c>
      <c r="AL401" s="110">
        <f>S401+AI401</f>
        <v/>
      </c>
      <c r="AM401" s="110">
        <f>T401+AJ401</f>
        <v/>
      </c>
      <c r="AN401" s="104" t="n">
        <v>25104</v>
      </c>
      <c r="AO401" s="104" t="n">
        <v>13104</v>
      </c>
      <c r="AP401" s="104" t="n">
        <v>6000</v>
      </c>
      <c r="AQ401" s="104" t="n">
        <v>6000</v>
      </c>
      <c r="AR401" s="104" t="n">
        <v>0</v>
      </c>
      <c r="AS401" s="104" t="n"/>
      <c r="AT401" s="104" t="n"/>
    </row>
    <row r="402" ht="12.65" customHeight="1" s="79">
      <c r="A402" s="104">
        <f>MIN(V402,R402)</f>
        <v/>
      </c>
      <c r="B402" s="104">
        <f>MIN(V402,U402)</f>
        <v/>
      </c>
      <c r="C402" s="104">
        <f>MIN(X402,R402)</f>
        <v/>
      </c>
      <c r="D402" s="104">
        <f>MIN(X402,U402)</f>
        <v/>
      </c>
      <c r="E402" s="104">
        <f>MIN((V402+AN402+AR402),U402)</f>
        <v/>
      </c>
      <c r="F402" s="104">
        <f>MAX(MIN((V402+AO402+AR402),R402),0)</f>
        <v/>
      </c>
      <c r="G402" s="104">
        <f>MAX(MIN(AP402,AL402),0)</f>
        <v/>
      </c>
      <c r="H402" s="104">
        <f>MAX(MIN(AQ402,AM402),0)</f>
        <v/>
      </c>
      <c r="I402" s="105" t="inlineStr">
        <is>
          <t>ROOP KISHOR</t>
        </is>
      </c>
      <c r="J402" s="106" t="inlineStr">
        <is>
          <t>HOUSEHOLD</t>
        </is>
      </c>
      <c r="K402" s="107" t="inlineStr">
        <is>
          <t>HH_UTENSILS AIDS</t>
        </is>
      </c>
      <c r="L402" s="107" t="inlineStr">
        <is>
          <t>HH_U_S_WATER BOTTLE</t>
        </is>
      </c>
      <c r="M402" s="107" t="inlineStr">
        <is>
          <t>500 700ML-[HHUK51]</t>
        </is>
      </c>
      <c r="N402" s="107" t="inlineStr">
        <is>
          <t>ACTIVE</t>
        </is>
      </c>
      <c r="O402" s="108" t="n">
        <v>0.120375135079504</v>
      </c>
      <c r="P402" s="108" t="n">
        <v>0.129924322795106</v>
      </c>
      <c r="Q402" s="109" t="n">
        <v>38</v>
      </c>
      <c r="R402" s="110" t="n">
        <v>0</v>
      </c>
      <c r="S402" s="110" t="n">
        <v>0</v>
      </c>
      <c r="T402" s="110" t="n">
        <v>923.567936429352</v>
      </c>
      <c r="U402" s="110" t="n">
        <v>923.567936429352</v>
      </c>
      <c r="V402" s="104" t="n">
        <v>3576</v>
      </c>
      <c r="W402" s="104" t="n">
        <v>2400</v>
      </c>
      <c r="X402" s="104">
        <f>$V402+W402</f>
        <v/>
      </c>
      <c r="Y402" s="111">
        <f>IFERROR(A402/R402,0)</f>
        <v/>
      </c>
      <c r="Z402" s="111">
        <f>IFERROR(B402/U402,0)</f>
        <v/>
      </c>
      <c r="AA402" s="111">
        <f>IFERROR(C402/R402,0)</f>
        <v/>
      </c>
      <c r="AB402" s="111">
        <f>IFERROR(D402/U402,0)</f>
        <v/>
      </c>
      <c r="AD402" s="111">
        <f>IF(U402&gt;0,IFERROR(E402/U402,0),1)</f>
        <v/>
      </c>
      <c r="AE402" s="111">
        <f>IF(R402&gt;0,IFERROR(F402/R402,0),1)</f>
        <v/>
      </c>
      <c r="AF402" s="111">
        <f>IF(AL402&gt;0,IFERROR(G402/AL402,0),1)</f>
        <v/>
      </c>
      <c r="AG402" s="111">
        <f>IF(AM402&gt;0,IFERROR(H402/AM402,0),1)</f>
        <v/>
      </c>
      <c r="AH402" s="104">
        <f>U402-(V402+AN402+AR402)</f>
        <v/>
      </c>
      <c r="AI402" s="104">
        <f>R402-(V402+AO402+AR402)</f>
        <v/>
      </c>
      <c r="AJ402" s="104">
        <f>(AL402-AP402)</f>
        <v/>
      </c>
      <c r="AK402" s="104">
        <f>(AM402-AQ402)</f>
        <v/>
      </c>
      <c r="AL402" s="110">
        <f>S402+AI402</f>
        <v/>
      </c>
      <c r="AM402" s="110">
        <f>T402+AJ402</f>
        <v/>
      </c>
      <c r="AN402" s="104" t="n">
        <v>2400</v>
      </c>
      <c r="AO402" s="104" t="n">
        <v>2400</v>
      </c>
      <c r="AP402" s="104" t="n">
        <v>0</v>
      </c>
      <c r="AQ402" s="104" t="n">
        <v>0</v>
      </c>
      <c r="AR402" s="104" t="n">
        <v>0</v>
      </c>
      <c r="AS402" s="104" t="n"/>
      <c r="AT402" s="104" t="n"/>
    </row>
    <row r="403" ht="12.65" customHeight="1" s="79">
      <c r="A403" s="104">
        <f>MIN(V403,R403)</f>
        <v/>
      </c>
      <c r="B403" s="104">
        <f>MIN(V403,U403)</f>
        <v/>
      </c>
      <c r="C403" s="104">
        <f>MIN(X403,R403)</f>
        <v/>
      </c>
      <c r="D403" s="104">
        <f>MIN(X403,U403)</f>
        <v/>
      </c>
      <c r="E403" s="104">
        <f>MIN((V403+AN403+AR403),U403)</f>
        <v/>
      </c>
      <c r="F403" s="104">
        <f>MAX(MIN((V403+AO403+AR403),R403),0)</f>
        <v/>
      </c>
      <c r="G403" s="104">
        <f>MAX(MIN(AP403,AL403),0)</f>
        <v/>
      </c>
      <c r="H403" s="104">
        <f>MAX(MIN(AQ403,AM403),0)</f>
        <v/>
      </c>
      <c r="I403" s="105" t="inlineStr">
        <is>
          <t>ROOP KISHOR</t>
        </is>
      </c>
      <c r="J403" s="106" t="inlineStr">
        <is>
          <t>HOUSEHOLD</t>
        </is>
      </c>
      <c r="K403" s="107" t="inlineStr">
        <is>
          <t>HH_UTENSILS AIDS</t>
        </is>
      </c>
      <c r="L403" s="107" t="inlineStr">
        <is>
          <t>HH_U_S_WATER BOTTLE</t>
        </is>
      </c>
      <c r="M403" s="107" t="inlineStr">
        <is>
          <t>750 900ML-[HHUK51]</t>
        </is>
      </c>
      <c r="N403" s="107" t="inlineStr">
        <is>
          <t>INACTIVE</t>
        </is>
      </c>
      <c r="O403" s="108" t="n">
        <v>0.0829067154671176</v>
      </c>
      <c r="P403" s="108" t="n">
        <v>0.0993941955480417</v>
      </c>
      <c r="Q403" s="109" t="n">
        <v>38</v>
      </c>
      <c r="R403" s="110" t="n">
        <v>0</v>
      </c>
      <c r="S403" s="110" t="n">
        <v>0</v>
      </c>
      <c r="T403" s="110" t="n">
        <v>0</v>
      </c>
      <c r="U403" s="110" t="n">
        <v>0</v>
      </c>
      <c r="V403" s="104" t="n">
        <v>0</v>
      </c>
      <c r="W403" s="104" t="n">
        <v>0</v>
      </c>
      <c r="X403" s="104">
        <f>$V403+W403</f>
        <v/>
      </c>
      <c r="Y403" s="111">
        <f>IFERROR(A403/R403,0)</f>
        <v/>
      </c>
      <c r="Z403" s="111">
        <f>IFERROR(B403/U403,0)</f>
        <v/>
      </c>
      <c r="AA403" s="111">
        <f>IFERROR(C403/R403,0)</f>
        <v/>
      </c>
      <c r="AB403" s="111">
        <f>IFERROR(D403/U403,0)</f>
        <v/>
      </c>
      <c r="AD403" s="111">
        <f>IF(U403&gt;0,IFERROR(E403/U403,0),1)</f>
        <v/>
      </c>
      <c r="AE403" s="111">
        <f>IF(R403&gt;0,IFERROR(F403/R403,0),1)</f>
        <v/>
      </c>
      <c r="AF403" s="111">
        <f>IF(AL403&gt;0,IFERROR(G403/AL403,0),1)</f>
        <v/>
      </c>
      <c r="AG403" s="111">
        <f>IF(AM403&gt;0,IFERROR(H403/AM403,0),1)</f>
        <v/>
      </c>
      <c r="AH403" s="104">
        <f>U403-(V403+AN403+AR403)</f>
        <v/>
      </c>
      <c r="AI403" s="104">
        <f>R403-(V403+AO403+AR403)</f>
        <v/>
      </c>
      <c r="AJ403" s="104">
        <f>(AL403-AP403)</f>
        <v/>
      </c>
      <c r="AK403" s="104">
        <f>(AM403-AQ403)</f>
        <v/>
      </c>
      <c r="AL403" s="110">
        <f>S403+AI403</f>
        <v/>
      </c>
      <c r="AM403" s="110">
        <f>T403+AJ403</f>
        <v/>
      </c>
      <c r="AN403" s="104" t="n">
        <v>0</v>
      </c>
      <c r="AO403" s="104" t="n">
        <v>0</v>
      </c>
      <c r="AP403" s="104" t="n">
        <v>0</v>
      </c>
      <c r="AQ403" s="104" t="n">
        <v>0</v>
      </c>
      <c r="AR403" s="104" t="n">
        <v>0</v>
      </c>
      <c r="AS403" s="104" t="n"/>
      <c r="AT403" s="104" t="n"/>
    </row>
    <row r="404" ht="12.65" customHeight="1" s="79">
      <c r="A404" s="104">
        <f>MIN(V404,R404)</f>
        <v/>
      </c>
      <c r="B404" s="104">
        <f>MIN(V404,U404)</f>
        <v/>
      </c>
      <c r="C404" s="104">
        <f>MIN(X404,R404)</f>
        <v/>
      </c>
      <c r="D404" s="104">
        <f>MIN(X404,U404)</f>
        <v/>
      </c>
      <c r="E404" s="104">
        <f>MIN((V404+AN404+AR404),U404)</f>
        <v/>
      </c>
      <c r="F404" s="104">
        <f>MAX(MIN((V404+AO404+AR404),R404),0)</f>
        <v/>
      </c>
      <c r="G404" s="104">
        <f>MAX(MIN(AP404,AL404),0)</f>
        <v/>
      </c>
      <c r="H404" s="104">
        <f>MAX(MIN(AQ404,AM404),0)</f>
        <v/>
      </c>
      <c r="I404" s="105" t="inlineStr">
        <is>
          <t>ROOP KISHOR</t>
        </is>
      </c>
      <c r="J404" s="106" t="inlineStr">
        <is>
          <t>HOUSEHOLD</t>
        </is>
      </c>
      <c r="K404" s="107" t="inlineStr">
        <is>
          <t>HH_UTENSILS AIDS</t>
        </is>
      </c>
      <c r="L404" s="107" t="inlineStr">
        <is>
          <t>HH_U_T_CASSEROLE</t>
        </is>
      </c>
      <c r="M404" s="107" t="inlineStr">
        <is>
          <t>STL 1500 2500ML-[HHUK45]</t>
        </is>
      </c>
      <c r="N404" s="107" t="inlineStr">
        <is>
          <t>ACTIVE</t>
        </is>
      </c>
      <c r="O404" s="108" t="n">
        <v>0.118414536263811</v>
      </c>
      <c r="P404" s="108" t="n">
        <v>0.111333959204575</v>
      </c>
      <c r="Q404" s="109" t="n">
        <v>28</v>
      </c>
      <c r="R404" s="110" t="n">
        <v>7294</v>
      </c>
      <c r="S404" s="110" t="n">
        <v>2326.27758286484</v>
      </c>
      <c r="T404" s="110" t="n">
        <v>1312.70390697389</v>
      </c>
      <c r="U404" s="110" t="n">
        <v>10932.9814898387</v>
      </c>
      <c r="V404" s="104" t="n">
        <v>2448</v>
      </c>
      <c r="W404" s="104" t="n">
        <v>504</v>
      </c>
      <c r="X404" s="104">
        <f>$V404+W404</f>
        <v/>
      </c>
      <c r="Y404" s="111">
        <f>IFERROR(A404/R404,0)</f>
        <v/>
      </c>
      <c r="Z404" s="111">
        <f>IFERROR(B404/U404,0)</f>
        <v/>
      </c>
      <c r="AA404" s="111">
        <f>IFERROR(C404/R404,0)</f>
        <v/>
      </c>
      <c r="AB404" s="111">
        <f>IFERROR(D404/U404,0)</f>
        <v/>
      </c>
      <c r="AD404" s="111">
        <f>IF(U404&gt;0,IFERROR(E404/U404,0),1)</f>
        <v/>
      </c>
      <c r="AE404" s="111">
        <f>IF(R404&gt;0,IFERROR(F404/R404,0),1)</f>
        <v/>
      </c>
      <c r="AF404" s="111">
        <f>IF(AL404&gt;0,IFERROR(G404/AL404,0),1)</f>
        <v/>
      </c>
      <c r="AG404" s="111">
        <f>IF(AM404&gt;0,IFERROR(H404/AM404,0),1)</f>
        <v/>
      </c>
      <c r="AH404" s="104">
        <f>U404-(V404+AN404+AR404)</f>
        <v/>
      </c>
      <c r="AI404" s="104">
        <f>R404-(V404+AO404+AR404)</f>
        <v/>
      </c>
      <c r="AJ404" s="104">
        <f>(AL404-AP404)</f>
        <v/>
      </c>
      <c r="AK404" s="104">
        <f>(AM404-AQ404)</f>
        <v/>
      </c>
      <c r="AL404" s="110">
        <f>S404+AI404</f>
        <v/>
      </c>
      <c r="AM404" s="110">
        <f>T404+AJ404</f>
        <v/>
      </c>
      <c r="AN404" s="104" t="n">
        <v>10920</v>
      </c>
      <c r="AO404" s="104" t="n">
        <v>6120</v>
      </c>
      <c r="AP404" s="104" t="n">
        <v>2400</v>
      </c>
      <c r="AQ404" s="104" t="n">
        <v>2400</v>
      </c>
      <c r="AR404" s="104" t="n">
        <v>0</v>
      </c>
      <c r="AS404" s="104" t="n"/>
      <c r="AT404" s="104" t="n"/>
    </row>
    <row r="405" ht="12.65" customHeight="1" s="79">
      <c r="A405" s="104">
        <f>MIN(V405,R405)</f>
        <v/>
      </c>
      <c r="B405" s="104">
        <f>MIN(V405,U405)</f>
        <v/>
      </c>
      <c r="C405" s="104">
        <f>MIN(X405,R405)</f>
        <v/>
      </c>
      <c r="D405" s="104">
        <f>MIN(X405,U405)</f>
        <v/>
      </c>
      <c r="E405" s="104">
        <f>MIN((V405+AN405+AR405),U405)</f>
        <v/>
      </c>
      <c r="F405" s="104">
        <f>MAX(MIN((V405+AO405+AR405),R405),0)</f>
        <v/>
      </c>
      <c r="G405" s="104">
        <f>MAX(MIN(AP405,AL405),0)</f>
        <v/>
      </c>
      <c r="H405" s="104">
        <f>MAX(MIN(AQ405,AM405),0)</f>
        <v/>
      </c>
      <c r="I405" s="105" t="inlineStr">
        <is>
          <t>ROOP KISHOR</t>
        </is>
      </c>
      <c r="J405" s="106" t="inlineStr">
        <is>
          <t>HOUSEHOLD</t>
        </is>
      </c>
      <c r="K405" s="107" t="inlineStr">
        <is>
          <t>HH_UTENSILS AIDS</t>
        </is>
      </c>
      <c r="L405" s="107" t="inlineStr">
        <is>
          <t>HH_U_T_CASSEROLE</t>
        </is>
      </c>
      <c r="M405" s="107" t="inlineStr">
        <is>
          <t>1500 2500ML-[HHUK45]</t>
        </is>
      </c>
      <c r="N405" s="107" t="inlineStr">
        <is>
          <t>ACTIVE</t>
        </is>
      </c>
      <c r="O405" s="108" t="n">
        <v>0.0989116079967212</v>
      </c>
      <c r="P405" s="108" t="n">
        <v>0.09746107448449989</v>
      </c>
      <c r="Q405" s="109" t="n">
        <v>28</v>
      </c>
      <c r="R405" s="110" t="n">
        <v>2447</v>
      </c>
      <c r="S405" s="110" t="n">
        <v>2163.70639644338</v>
      </c>
      <c r="T405" s="110" t="n">
        <v>1704.27362397771</v>
      </c>
      <c r="U405" s="110" t="n">
        <v>6314.98002042108</v>
      </c>
      <c r="V405" s="104" t="n">
        <v>0</v>
      </c>
      <c r="W405" s="104" t="n">
        <v>1200</v>
      </c>
      <c r="X405" s="104">
        <f>$V405+W405</f>
        <v/>
      </c>
      <c r="Y405" s="111">
        <f>IFERROR(A405/R405,0)</f>
        <v/>
      </c>
      <c r="Z405" s="111">
        <f>IFERROR(B405/U405,0)</f>
        <v/>
      </c>
      <c r="AA405" s="111">
        <f>IFERROR(C405/R405,0)</f>
        <v/>
      </c>
      <c r="AB405" s="111">
        <f>IFERROR(D405/U405,0)</f>
        <v/>
      </c>
      <c r="AD405" s="111">
        <f>IF(U405&gt;0,IFERROR(E405/U405,0),1)</f>
        <v/>
      </c>
      <c r="AE405" s="111">
        <f>IF(R405&gt;0,IFERROR(F405/R405,0),1)</f>
        <v/>
      </c>
      <c r="AF405" s="111">
        <f>IF(AL405&gt;0,IFERROR(G405/AL405,0),1)</f>
        <v/>
      </c>
      <c r="AG405" s="111">
        <f>IF(AM405&gt;0,IFERROR(H405/AM405,0),1)</f>
        <v/>
      </c>
      <c r="AH405" s="104">
        <f>U405-(V405+AN405+AR405)</f>
        <v/>
      </c>
      <c r="AI405" s="104">
        <f>R405-(V405+AO405+AR405)</f>
        <v/>
      </c>
      <c r="AJ405" s="104">
        <f>(AL405-AP405)</f>
        <v/>
      </c>
      <c r="AK405" s="104">
        <f>(AM405-AQ405)</f>
        <v/>
      </c>
      <c r="AL405" s="110">
        <f>S405+AI405</f>
        <v/>
      </c>
      <c r="AM405" s="110">
        <f>T405+AJ405</f>
        <v/>
      </c>
      <c r="AN405" s="104" t="n">
        <v>11004</v>
      </c>
      <c r="AO405" s="104" t="n">
        <v>7404</v>
      </c>
      <c r="AP405" s="104" t="n">
        <v>2400</v>
      </c>
      <c r="AQ405" s="104" t="n">
        <v>1200</v>
      </c>
      <c r="AR405" s="104" t="n">
        <v>0</v>
      </c>
      <c r="AS405" s="104" t="n"/>
      <c r="AT405" s="104" t="n"/>
    </row>
    <row r="406" ht="12.65" customHeight="1" s="79">
      <c r="A406" s="104">
        <f>MIN(V406,R406)</f>
        <v/>
      </c>
      <c r="B406" s="104">
        <f>MIN(V406,U406)</f>
        <v/>
      </c>
      <c r="C406" s="104">
        <f>MIN(X406,R406)</f>
        <v/>
      </c>
      <c r="D406" s="104">
        <f>MIN(X406,U406)</f>
        <v/>
      </c>
      <c r="E406" s="104">
        <f>MIN((V406+AN406+AR406),U406)</f>
        <v/>
      </c>
      <c r="F406" s="104">
        <f>MAX(MIN((V406+AO406+AR406),R406),0)</f>
        <v/>
      </c>
      <c r="G406" s="104">
        <f>MAX(MIN(AP406,AL406),0)</f>
        <v/>
      </c>
      <c r="H406" s="104">
        <f>MAX(MIN(AQ406,AM406),0)</f>
        <v/>
      </c>
      <c r="I406" s="105" t="inlineStr">
        <is>
          <t>ROOP KISHOR</t>
        </is>
      </c>
      <c r="J406" s="106" t="inlineStr">
        <is>
          <t>HOUSEHOLD</t>
        </is>
      </c>
      <c r="K406" s="107" t="inlineStr">
        <is>
          <t>HH_UTENSILS AIDS</t>
        </is>
      </c>
      <c r="L406" s="107" t="inlineStr">
        <is>
          <t>HH_U_T_CASSEROLE</t>
        </is>
      </c>
      <c r="M406" s="107" t="inlineStr">
        <is>
          <t>BRND 500 1500ML-[HHUK45]</t>
        </is>
      </c>
      <c r="N406" s="107" t="inlineStr">
        <is>
          <t>INACTIVE</t>
        </is>
      </c>
      <c r="O406" s="108" t="n">
        <v>0.07551655816586469</v>
      </c>
      <c r="P406" s="108" t="n">
        <v>0.0557651303919961</v>
      </c>
      <c r="Q406" s="109" t="n">
        <v>28</v>
      </c>
      <c r="R406" s="110" t="n">
        <v>0</v>
      </c>
      <c r="S406" s="110" t="n">
        <v>0</v>
      </c>
      <c r="T406" s="110" t="n">
        <v>0</v>
      </c>
      <c r="U406" s="110" t="n">
        <v>0</v>
      </c>
      <c r="V406" s="104" t="n">
        <v>0</v>
      </c>
      <c r="W406" s="104" t="n">
        <v>0</v>
      </c>
      <c r="X406" s="104">
        <f>$V406+W406</f>
        <v/>
      </c>
      <c r="Y406" s="111">
        <f>IFERROR(A406/R406,0)</f>
        <v/>
      </c>
      <c r="Z406" s="111">
        <f>IFERROR(B406/U406,0)</f>
        <v/>
      </c>
      <c r="AA406" s="111">
        <f>IFERROR(C406/R406,0)</f>
        <v/>
      </c>
      <c r="AB406" s="111">
        <f>IFERROR(D406/U406,0)</f>
        <v/>
      </c>
      <c r="AD406" s="111">
        <f>IF(U406&gt;0,IFERROR(E406/U406,0),1)</f>
        <v/>
      </c>
      <c r="AE406" s="111">
        <f>IF(R406&gt;0,IFERROR(F406/R406,0),1)</f>
        <v/>
      </c>
      <c r="AF406" s="111">
        <f>IF(AL406&gt;0,IFERROR(G406/AL406,0),1)</f>
        <v/>
      </c>
      <c r="AG406" s="111">
        <f>IF(AM406&gt;0,IFERROR(H406/AM406,0),1)</f>
        <v/>
      </c>
      <c r="AH406" s="104">
        <f>U406-(V406+AN406+AR406)</f>
        <v/>
      </c>
      <c r="AI406" s="104">
        <f>R406-(V406+AO406+AR406)</f>
        <v/>
      </c>
      <c r="AJ406" s="104">
        <f>(AL406-AP406)</f>
        <v/>
      </c>
      <c r="AK406" s="104">
        <f>(AM406-AQ406)</f>
        <v/>
      </c>
      <c r="AL406" s="110">
        <f>S406+AI406</f>
        <v/>
      </c>
      <c r="AM406" s="110">
        <f>T406+AJ406</f>
        <v/>
      </c>
      <c r="AN406" s="104" t="n">
        <v>0</v>
      </c>
      <c r="AO406" s="104" t="n">
        <v>0</v>
      </c>
      <c r="AP406" s="104" t="n">
        <v>0</v>
      </c>
      <c r="AQ406" s="104" t="n">
        <v>0</v>
      </c>
      <c r="AR406" s="104" t="n">
        <v>0</v>
      </c>
      <c r="AS406" s="104" t="n"/>
      <c r="AT406" s="104" t="n"/>
    </row>
    <row r="407" ht="12.65" customHeight="1" s="79">
      <c r="A407" s="104">
        <f>MIN(V407,R407)</f>
        <v/>
      </c>
      <c r="B407" s="104">
        <f>MIN(V407,U407)</f>
        <v/>
      </c>
      <c r="C407" s="104">
        <f>MIN(X407,R407)</f>
        <v/>
      </c>
      <c r="D407" s="104">
        <f>MIN(X407,U407)</f>
        <v/>
      </c>
      <c r="E407" s="104">
        <f>MIN((V407+AN407+AR407),U407)</f>
        <v/>
      </c>
      <c r="F407" s="104">
        <f>MAX(MIN((V407+AO407+AR407),R407),0)</f>
        <v/>
      </c>
      <c r="G407" s="104">
        <f>MAX(MIN(AP407,AL407),0)</f>
        <v/>
      </c>
      <c r="H407" s="104">
        <f>MAX(MIN(AQ407,AM407),0)</f>
        <v/>
      </c>
      <c r="I407" s="105" t="inlineStr">
        <is>
          <t>ROOP KISHOR</t>
        </is>
      </c>
      <c r="J407" s="106" t="inlineStr">
        <is>
          <t>HOUSEHOLD</t>
        </is>
      </c>
      <c r="K407" s="107" t="inlineStr">
        <is>
          <t>HH_UTENSILS AIDS</t>
        </is>
      </c>
      <c r="L407" s="107" t="inlineStr">
        <is>
          <t>HH_U_T_FLASK</t>
        </is>
      </c>
      <c r="M407" s="107" t="inlineStr">
        <is>
          <t>BRND 500ML-[HHUK46]</t>
        </is>
      </c>
      <c r="N407" s="107" t="inlineStr">
        <is>
          <t>ACTIVE</t>
        </is>
      </c>
      <c r="O407" s="108" t="n">
        <v>0.0675837685164489</v>
      </c>
      <c r="P407" s="108" t="n">
        <v>0.0828491284311761</v>
      </c>
      <c r="Q407" s="109" t="n">
        <v>12</v>
      </c>
      <c r="R407" s="110" t="n">
        <v>5719</v>
      </c>
      <c r="S407" s="110" t="n">
        <v>3707.13963528803</v>
      </c>
      <c r="T407" s="110" t="n">
        <v>2133.74559565976</v>
      </c>
      <c r="U407" s="110" t="n">
        <v>11559.8852309478</v>
      </c>
      <c r="V407" s="104" t="n">
        <v>2400</v>
      </c>
      <c r="W407" s="104" t="n">
        <v>0</v>
      </c>
      <c r="X407" s="104">
        <f>$V407+W407</f>
        <v/>
      </c>
      <c r="Y407" s="111">
        <f>IFERROR(A407/R407,0)</f>
        <v/>
      </c>
      <c r="Z407" s="111">
        <f>IFERROR(B407/U407,0)</f>
        <v/>
      </c>
      <c r="AA407" s="111">
        <f>IFERROR(C407/R407,0)</f>
        <v/>
      </c>
      <c r="AB407" s="111">
        <f>IFERROR(D407/U407,0)</f>
        <v/>
      </c>
      <c r="AD407" s="111">
        <f>IF(U407&gt;0,IFERROR(E407/U407,0),1)</f>
        <v/>
      </c>
      <c r="AE407" s="111">
        <f>IF(R407&gt;0,IFERROR(F407/R407,0),1)</f>
        <v/>
      </c>
      <c r="AF407" s="111">
        <f>IF(AL407&gt;0,IFERROR(G407/AL407,0),1)</f>
        <v/>
      </c>
      <c r="AG407" s="111">
        <f>IF(AM407&gt;0,IFERROR(H407/AM407,0),1)</f>
        <v/>
      </c>
      <c r="AH407" s="104">
        <f>U407-(V407+AN407+AR407)</f>
        <v/>
      </c>
      <c r="AI407" s="104">
        <f>R407-(V407+AO407+AR407)</f>
        <v/>
      </c>
      <c r="AJ407" s="104">
        <f>(AL407-AP407)</f>
        <v/>
      </c>
      <c r="AK407" s="104">
        <f>(AM407-AQ407)</f>
        <v/>
      </c>
      <c r="AL407" s="110">
        <f>S407+AI407</f>
        <v/>
      </c>
      <c r="AM407" s="110">
        <f>T407+AJ407</f>
        <v/>
      </c>
      <c r="AN407" s="104" t="n">
        <v>3600</v>
      </c>
      <c r="AO407" s="104" t="n">
        <v>0</v>
      </c>
      <c r="AP407" s="104" t="n">
        <v>2400</v>
      </c>
      <c r="AQ407" s="104" t="n">
        <v>1200</v>
      </c>
      <c r="AR407" s="104" t="n">
        <v>0</v>
      </c>
      <c r="AS407" s="104" t="n"/>
      <c r="AT407" s="104" t="n"/>
    </row>
    <row r="408" ht="12.65" customHeight="1" s="79">
      <c r="A408" s="104">
        <f>MIN(V408,R408)</f>
        <v/>
      </c>
      <c r="B408" s="104">
        <f>MIN(V408,U408)</f>
        <v/>
      </c>
      <c r="C408" s="104">
        <f>MIN(X408,R408)</f>
        <v/>
      </c>
      <c r="D408" s="104">
        <f>MIN(X408,U408)</f>
        <v/>
      </c>
      <c r="E408" s="104">
        <f>MIN((V408+AN408+AR408),U408)</f>
        <v/>
      </c>
      <c r="F408" s="104">
        <f>MAX(MIN((V408+AO408+AR408),R408),0)</f>
        <v/>
      </c>
      <c r="G408" s="104">
        <f>MAX(MIN(AP408,AL408),0)</f>
        <v/>
      </c>
      <c r="H408" s="104">
        <f>MAX(MIN(AQ408,AM408),0)</f>
        <v/>
      </c>
      <c r="I408" s="105" t="inlineStr">
        <is>
          <t>ROOP KISHOR</t>
        </is>
      </c>
      <c r="J408" s="106" t="inlineStr">
        <is>
          <t>HOUSEHOLD</t>
        </is>
      </c>
      <c r="K408" s="107" t="inlineStr">
        <is>
          <t>HH_UTENSILS AIDS</t>
        </is>
      </c>
      <c r="L408" s="107" t="inlineStr">
        <is>
          <t>HH_U_T_FLASK</t>
        </is>
      </c>
      <c r="M408" s="107" t="inlineStr">
        <is>
          <t>BRND 750 1000ML-[HHUK46]</t>
        </is>
      </c>
      <c r="N408" s="107" t="inlineStr">
        <is>
          <t>ACTIVE</t>
        </is>
      </c>
      <c r="O408" s="108" t="n">
        <v>0.078049789410349</v>
      </c>
      <c r="P408" s="108" t="n">
        <v>0.0724602352367603</v>
      </c>
      <c r="Q408" s="109" t="n">
        <v>12</v>
      </c>
      <c r="R408" s="110" t="n">
        <v>4613</v>
      </c>
      <c r="S408" s="110" t="n">
        <v>516.430630259727</v>
      </c>
      <c r="T408" s="110" t="n">
        <v>0</v>
      </c>
      <c r="U408" s="110" t="n">
        <v>5129.43063025973</v>
      </c>
      <c r="V408" s="104" t="n">
        <v>5700</v>
      </c>
      <c r="W408" s="104" t="n">
        <v>0</v>
      </c>
      <c r="X408" s="104">
        <f>$V408+W408</f>
        <v/>
      </c>
      <c r="Y408" s="111">
        <f>IFERROR(A408/R408,0)</f>
        <v/>
      </c>
      <c r="Z408" s="111">
        <f>IFERROR(B408/U408,0)</f>
        <v/>
      </c>
      <c r="AA408" s="111">
        <f>IFERROR(C408/R408,0)</f>
        <v/>
      </c>
      <c r="AB408" s="111">
        <f>IFERROR(D408/U408,0)</f>
        <v/>
      </c>
      <c r="AD408" s="111">
        <f>IF(U408&gt;0,IFERROR(E408/U408,0),1)</f>
        <v/>
      </c>
      <c r="AE408" s="111">
        <f>IF(R408&gt;0,IFERROR(F408/R408,0),1)</f>
        <v/>
      </c>
      <c r="AF408" s="111">
        <f>IF(AL408&gt;0,IFERROR(G408/AL408,0),1)</f>
        <v/>
      </c>
      <c r="AG408" s="111">
        <f>IF(AM408&gt;0,IFERROR(H408/AM408,0),1)</f>
        <v/>
      </c>
      <c r="AH408" s="104">
        <f>U408-(V408+AN408+AR408)</f>
        <v/>
      </c>
      <c r="AI408" s="104">
        <f>R408-(V408+AO408+AR408)</f>
        <v/>
      </c>
      <c r="AJ408" s="104">
        <f>(AL408-AP408)</f>
        <v/>
      </c>
      <c r="AK408" s="104">
        <f>(AM408-AQ408)</f>
        <v/>
      </c>
      <c r="AL408" s="110">
        <f>S408+AI408</f>
        <v/>
      </c>
      <c r="AM408" s="110">
        <f>T408+AJ408</f>
        <v/>
      </c>
      <c r="AN408" s="104" t="n">
        <v>12300</v>
      </c>
      <c r="AO408" s="104" t="n">
        <v>300</v>
      </c>
      <c r="AP408" s="104" t="n">
        <v>4800</v>
      </c>
      <c r="AQ408" s="104" t="n">
        <v>7200</v>
      </c>
      <c r="AR408" s="104" t="n">
        <v>0</v>
      </c>
      <c r="AS408" s="104" t="n"/>
      <c r="AT408" s="104" t="n"/>
    </row>
    <row r="409" ht="12.65" customHeight="1" s="79">
      <c r="A409" s="104">
        <f>MIN(V409,R409)</f>
        <v/>
      </c>
      <c r="B409" s="104">
        <f>MIN(V409,U409)</f>
        <v/>
      </c>
      <c r="C409" s="104">
        <f>MIN(X409,R409)</f>
        <v/>
      </c>
      <c r="D409" s="104">
        <f>MIN(X409,U409)</f>
        <v/>
      </c>
      <c r="E409" s="104">
        <f>MIN((V409+AN409+AR409),U409)</f>
        <v/>
      </c>
      <c r="F409" s="104">
        <f>MAX(MIN((V409+AO409+AR409),R409),0)</f>
        <v/>
      </c>
      <c r="G409" s="104">
        <f>MAX(MIN(AP409,AL409),0)</f>
        <v/>
      </c>
      <c r="H409" s="104">
        <f>MAX(MIN(AQ409,AM409),0)</f>
        <v/>
      </c>
      <c r="I409" s="105" t="inlineStr">
        <is>
          <t>ROOP KISHOR</t>
        </is>
      </c>
      <c r="J409" s="106" t="inlineStr">
        <is>
          <t>HOUSEHOLD</t>
        </is>
      </c>
      <c r="K409" s="107" t="inlineStr">
        <is>
          <t>HH_UTENSILS AIDS</t>
        </is>
      </c>
      <c r="L409" s="107" t="inlineStr">
        <is>
          <t>HH_U_T_FLASK</t>
        </is>
      </c>
      <c r="M409" s="107" t="inlineStr">
        <is>
          <t>1000ML-[HHUK46]</t>
        </is>
      </c>
      <c r="N409" s="107" t="inlineStr">
        <is>
          <t>ACTIVE</t>
        </is>
      </c>
      <c r="O409" s="108" t="n">
        <v>0.0485573110473983</v>
      </c>
      <c r="P409" s="108" t="n">
        <v>0.051732625585925</v>
      </c>
      <c r="Q409" s="109" t="n">
        <v>12</v>
      </c>
      <c r="R409" s="110" t="n">
        <v>895</v>
      </c>
      <c r="S409" s="110" t="n">
        <v>1100.48434572189</v>
      </c>
      <c r="T409" s="110" t="n">
        <v>793.077237753159</v>
      </c>
      <c r="U409" s="110" t="n">
        <v>2788.56158347505</v>
      </c>
      <c r="V409" s="104" t="n">
        <v>3569</v>
      </c>
      <c r="W409" s="104" t="n">
        <v>0</v>
      </c>
      <c r="X409" s="104">
        <f>$V409+W409</f>
        <v/>
      </c>
      <c r="Y409" s="111">
        <f>IFERROR(A409/R409,0)</f>
        <v/>
      </c>
      <c r="Z409" s="111">
        <f>IFERROR(B409/U409,0)</f>
        <v/>
      </c>
      <c r="AA409" s="111">
        <f>IFERROR(C409/R409,0)</f>
        <v/>
      </c>
      <c r="AB409" s="111">
        <f>IFERROR(D409/U409,0)</f>
        <v/>
      </c>
      <c r="AD409" s="111">
        <f>IF(U409&gt;0,IFERROR(E409/U409,0),1)</f>
        <v/>
      </c>
      <c r="AE409" s="111">
        <f>IF(R409&gt;0,IFERROR(F409/R409,0),1)</f>
        <v/>
      </c>
      <c r="AF409" s="111">
        <f>IF(AL409&gt;0,IFERROR(G409/AL409,0),1)</f>
        <v/>
      </c>
      <c r="AG409" s="111">
        <f>IF(AM409&gt;0,IFERROR(H409/AM409,0),1)</f>
        <v/>
      </c>
      <c r="AH409" s="104">
        <f>U409-(V409+AN409+AR409)</f>
        <v/>
      </c>
      <c r="AI409" s="104">
        <f>R409-(V409+AO409+AR409)</f>
        <v/>
      </c>
      <c r="AJ409" s="104">
        <f>(AL409-AP409)</f>
        <v/>
      </c>
      <c r="AK409" s="104">
        <f>(AM409-AQ409)</f>
        <v/>
      </c>
      <c r="AL409" s="110">
        <f>S409+AI409</f>
        <v/>
      </c>
      <c r="AM409" s="110">
        <f>T409+AJ409</f>
        <v/>
      </c>
      <c r="AN409" s="104" t="n">
        <v>0</v>
      </c>
      <c r="AO409" s="104" t="n">
        <v>0</v>
      </c>
      <c r="AP409" s="104" t="n">
        <v>0</v>
      </c>
      <c r="AQ409" s="104" t="n">
        <v>0</v>
      </c>
      <c r="AR409" s="104" t="n">
        <v>0</v>
      </c>
      <c r="AS409" s="104" t="n"/>
      <c r="AT409" s="104" t="n"/>
    </row>
    <row r="410" ht="12.65" customHeight="1" s="79">
      <c r="A410" s="117">
        <f>SUBTOTAL(9,A5:A409)</f>
        <v/>
      </c>
      <c r="B410" s="117">
        <f>SUBTOTAL(9,B5:B409)</f>
        <v/>
      </c>
      <c r="C410" s="117">
        <f>SUBTOTAL(9,C5:C409)</f>
        <v/>
      </c>
      <c r="D410" s="117">
        <f>SUBTOTAL(9,D5:D409)</f>
        <v/>
      </c>
      <c r="E410" s="117">
        <f>SUBTOTAL(9,E5:E409)</f>
        <v/>
      </c>
      <c r="F410" s="117">
        <f>SUBTOTAL(9,F5:F409)</f>
        <v/>
      </c>
      <c r="G410" s="117">
        <f>SUBTOTAL(9,G5:G409)</f>
        <v/>
      </c>
      <c r="H410" s="117">
        <f>SUBTOTAL(9,H5:H409)</f>
        <v/>
      </c>
      <c r="I410" s="90" t="n"/>
      <c r="J410" s="91" t="n"/>
      <c r="K410" s="92" t="n"/>
      <c r="L410" s="92" t="n"/>
      <c r="M410" s="92" t="n"/>
      <c r="N410" s="92" t="n"/>
      <c r="O410" s="90" t="n"/>
      <c r="P410" s="90" t="n"/>
      <c r="Q410" s="90" t="n"/>
      <c r="R410" s="117">
        <f>SUBTOTAL(9,R5:R409)</f>
        <v/>
      </c>
      <c r="S410" s="117">
        <f>SUBTOTAL(9,S5:S409)</f>
        <v/>
      </c>
      <c r="T410" s="117">
        <f>SUBTOTAL(9,T5:T409)</f>
        <v/>
      </c>
      <c r="U410" s="117">
        <f>SUBTOTAL(9,U5:U409)</f>
        <v/>
      </c>
      <c r="V410" s="117">
        <f>SUBTOTAL(9,V5:V409)</f>
        <v/>
      </c>
      <c r="W410" s="117">
        <f>SUBTOTAL(9,W5:W409)</f>
        <v/>
      </c>
      <c r="X410" s="117">
        <f>SUBTOTAL(9,X5:X409)</f>
        <v/>
      </c>
      <c r="Y410" s="111">
        <f>IFERROR(A410/R410,0)</f>
        <v/>
      </c>
      <c r="Z410" s="111">
        <f>IFERROR(B410/U410,0)</f>
        <v/>
      </c>
      <c r="AA410" s="111">
        <f>IFERROR(C410/R410,0)</f>
        <v/>
      </c>
      <c r="AB410" s="111">
        <f>IFERROR(D410/U410,0)</f>
        <v/>
      </c>
      <c r="AD410" s="118">
        <f>IF(U410&gt;0,IFERROR(E410/U410,0),1)</f>
        <v/>
      </c>
      <c r="AE410" s="118">
        <f>IF(R410&gt;0,IFERROR(F410/R410,0),1)</f>
        <v/>
      </c>
      <c r="AF410" s="118">
        <f>IF(AL410&gt;0,IFERROR(G410/AL410,0),1)</f>
        <v/>
      </c>
      <c r="AG410" s="118">
        <f>IF(AM410&gt;0,IFERROR(H410/AM410,0),1)</f>
        <v/>
      </c>
      <c r="AH410" s="117">
        <f>U410-(V410+AN410+AR410)</f>
        <v/>
      </c>
      <c r="AI410" s="117">
        <f>R410-(V410+AO410+AR410)</f>
        <v/>
      </c>
      <c r="AJ410" s="117">
        <f>(AL410-AP410)</f>
        <v/>
      </c>
      <c r="AK410" s="117">
        <f>(AM410-AQ410)</f>
        <v/>
      </c>
      <c r="AL410" s="117">
        <f>SUBTOTAL(9,AL5:AL409)</f>
        <v/>
      </c>
      <c r="AM410" s="117">
        <f>SUBTOTAL(9,AM5:AM409)</f>
        <v/>
      </c>
      <c r="AN410" s="117">
        <f>SUBTOTAL(9,AN5:AN409)</f>
        <v/>
      </c>
      <c r="AO410" s="117">
        <f>SUBTOTAL(9,AO5:AO409)</f>
        <v/>
      </c>
      <c r="AP410" s="117">
        <f>SUBTOTAL(9,AP5:AP409)</f>
        <v/>
      </c>
      <c r="AQ410" s="117">
        <f>SUBTOTAL(9,AQ5:AQ409)</f>
        <v/>
      </c>
      <c r="AR410" s="117">
        <f>SUBTOTAL(9,AR5:AR409)</f>
        <v/>
      </c>
      <c r="AS410" s="119" t="n"/>
      <c r="AT410" s="119" t="n"/>
    </row>
  </sheetData>
  <autoFilter ref="A4:AT409"/>
  <mergeCells count="3">
    <mergeCell ref="AA1:AB1"/>
    <mergeCell ref="Y1:Z1"/>
    <mergeCell ref="AD1:AH1"/>
  </mergeCells>
  <conditionalFormatting sqref="AS5:AS409">
    <cfRule type="containsText" rank="0" priority="2" equalAverage="0" operator="containsText" aboveAverage="0" dxfId="10" text="ASN HOLD" percent="0" bottom="0">
      <formula>NOT(ISERROR(SEARCH("ASN HOLD",AS5)))</formula>
    </cfRule>
    <cfRule type="containsText" rank="0" priority="3" equalAverage="0" operator="containsText" aboveAverage="0" dxfId="11" text="ASN TILL 60% VISIBILITY" percent="0" bottom="0">
      <formula>NOT(ISERROR(SEARCH("ASN TILL 60% VISIBILITY",AS5)))</formula>
    </cfRule>
  </conditionalFormatting>
  <conditionalFormatting sqref="AS7:AS409">
    <cfRule type="containsText" rank="0" priority="4" equalAverage="0" operator="containsText" aboveAverage="0" dxfId="10" text="NO ASN" percent="0" bottom="0">
      <formula>NOT(ISERROR(SEARCH("NO ASN",AS7)))</formula>
    </cfRule>
  </conditionalFormatting>
  <conditionalFormatting sqref="AH5:AK410">
    <cfRule type="cellIs" rank="0" priority="5" equalAverage="0" operator="lessThan" aboveAverage="0" dxfId="13" text="" percent="0" bottom="0">
      <formula>0</formula>
    </cfRule>
    <cfRule type="cellIs" rank="0" priority="6" equalAverage="0" operator="greaterThan" aboveAverage="0" dxfId="14" text="" percent="0" bottom="0">
      <formula>0</formula>
    </cfRule>
  </conditionalFormatting>
  <conditionalFormatting sqref="Y5:AB410 AD5:AG410">
    <cfRule type="cellIs" rank="0" priority="7" equalAverage="0" operator="greaterThan" aboveAverage="0" dxfId="15" text="" percent="0" bottom="0">
      <formula>1</formula>
    </cfRule>
    <cfRule type="cellIs" rank="0" priority="8" equalAverage="0" operator="between" aboveAverage="0" dxfId="16" text="" percent="0" bottom="0">
      <formula>0.8</formula>
      <formula>1</formula>
    </cfRule>
    <cfRule type="cellIs" rank="0" priority="9" equalAverage="0" operator="lessThanOrEqual" aboveAverage="0" dxfId="10" text="" percent="0" bottom="0">
      <formula>0.79</formula>
    </cfRule>
  </conditionalFormatting>
  <conditionalFormatting sqref="R5:U409">
    <cfRule type="cellIs" rank="0" priority="10" equalAverage="0" operator="lessThan" aboveAverage="0" dxfId="10" text="" percent="0" bottom="0">
      <formula>0</formula>
    </cfRule>
  </conditionalFormatting>
  <conditionalFormatting sqref="M5:M409">
    <cfRule type="duplicateValues" rank="0" priority="11" equalAverage="0" aboveAverage="0" dxfId="10" text="" percent="0" bottom="0"/>
    <cfRule type="duplicateValues" rank="0" priority="12" equalAverage="0" aboveAverage="0" dxfId="1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D966"/>
    <outlinePr summaryBelow="1" summaryRight="1"/>
    <pageSetUpPr fitToPage="0"/>
  </sheetPr>
  <dimension ref="A1:AA31"/>
  <sheetViews>
    <sheetView showFormulas="0" showGridLines="0" showRowColHeaders="1" showZeros="1" rightToLeft="0" tabSelected="0" showOutlineSymbols="1" defaultGridColor="1" view="normal" topLeftCell="F1" colorId="64" zoomScale="100" zoomScaleNormal="100" zoomScalePageLayoutView="100" workbookViewId="0">
      <pane xSplit="0" ySplit="4" topLeftCell="A5" activePane="bottomLeft" state="frozen"/>
      <selection pane="topLeft" activeCell="F1" activeCellId="0" sqref="F1"/>
      <selection pane="bottomLeft" activeCell="F3" activeCellId="0" sqref="F3"/>
    </sheetView>
  </sheetViews>
  <sheetFormatPr baseColWidth="8" defaultColWidth="9.19921875" defaultRowHeight="10.75" customHeight="0" zeroHeight="0" outlineLevelRow="0"/>
  <cols>
    <col hidden="1" outlineLevel="1" width="7.59" customWidth="1" style="77" min="1" max="1"/>
    <col hidden="1" outlineLevel="1" width="9.789999999999999" customWidth="1" style="77" min="2" max="2"/>
    <col hidden="1" outlineLevel="1" width="16.5" customWidth="1" style="77" min="3" max="3"/>
    <col hidden="1" outlineLevel="1" width="16.7" customWidth="1" style="77" min="4" max="4"/>
    <col hidden="1" outlineLevel="1" width="10.9" customWidth="1" style="77" min="5" max="5"/>
    <col width="13.2" customWidth="1" style="77" min="6" max="6"/>
    <col width="10.1" customWidth="1" style="77" min="7" max="7"/>
    <col width="15.3" customWidth="1" style="77" min="8" max="8"/>
    <col width="14.9" customWidth="1" style="77" min="9" max="9"/>
    <col width="10.2" customWidth="1" style="77" min="10" max="10"/>
    <col width="6.2" customWidth="1" style="77" min="11" max="11"/>
    <col width="8.300000000000001" customWidth="1" style="77" min="12" max="12"/>
    <col width="8.699999999999999" customWidth="1" style="77" min="13" max="13"/>
    <col width="8.4" customWidth="1" style="77" min="14" max="14"/>
    <col width="9.9" customWidth="1" style="77" min="15" max="15"/>
    <col width="11.3" customWidth="1" style="77" min="16" max="16"/>
    <col width="9.6" customWidth="1" style="77" min="17" max="18"/>
    <col width="10" customWidth="1" style="77" min="19" max="20"/>
    <col width="0.79" customWidth="1" style="78" min="21" max="21"/>
    <col width="10" customWidth="1" style="77" min="22" max="23"/>
    <col width="8" customWidth="1" style="77" min="24" max="25"/>
    <col width="10.79" customWidth="1" style="77" min="26" max="26"/>
    <col width="12.3" customWidth="1" style="77" min="27" max="27"/>
    <col width="9.199999999999999" customWidth="1" style="77" min="28" max="16384"/>
  </cols>
  <sheetData>
    <row r="1" ht="10.75" customHeight="1" s="79">
      <c r="A1" s="80" t="inlineStr">
        <is>
          <t>MIN VALUE</t>
        </is>
      </c>
      <c r="B1" s="80" t="inlineStr">
        <is>
          <t>MIN VALUE</t>
        </is>
      </c>
      <c r="C1" s="80" t="inlineStr">
        <is>
          <t>MIN VALUE</t>
        </is>
      </c>
      <c r="D1" s="80" t="inlineStr">
        <is>
          <t>MIN VALUE</t>
        </is>
      </c>
      <c r="E1" s="80" t="inlineStr">
        <is>
          <t>MIN VALUE</t>
        </is>
      </c>
      <c r="N1" s="81" t="n"/>
      <c r="Q1" s="82" t="inlineStr">
        <is>
          <t>GRC</t>
        </is>
      </c>
      <c r="R1" s="83" t="n"/>
      <c r="S1" s="82" t="inlineStr">
        <is>
          <t>GRC &amp; ASN</t>
        </is>
      </c>
      <c r="T1" s="83" t="n"/>
      <c r="V1" s="82" t="inlineStr">
        <is>
          <t>GRC &amp; PPO</t>
        </is>
      </c>
      <c r="W1" s="83" t="n"/>
    </row>
    <row r="2" ht="10.75" customHeight="1" s="79">
      <c r="A2" s="120">
        <f>SUBTOTAL(9,A5:A30)</f>
        <v/>
      </c>
      <c r="B2" s="120">
        <f>SUBTOTAL(9,B5:B30)</f>
        <v/>
      </c>
      <c r="C2" s="120">
        <f>SUBTOTAL(9,C5:C30)</f>
        <v/>
      </c>
      <c r="D2" s="120">
        <f>SUBTOTAL(9,D5:D30)</f>
        <v/>
      </c>
      <c r="E2" s="120">
        <f>SUBTOTAL(9,E5:E30)</f>
        <v/>
      </c>
      <c r="L2" s="120">
        <f>SUBTOTAL(9,L5:L30)</f>
        <v/>
      </c>
      <c r="M2" s="120">
        <f>SUBTOTAL(9,M5:M30)</f>
        <v/>
      </c>
      <c r="N2" s="120">
        <f>SUBTOTAL(9,N5:N30)</f>
        <v/>
      </c>
      <c r="O2" s="120">
        <f>SUBTOTAL(9,O5:O30)</f>
        <v/>
      </c>
      <c r="P2" s="120">
        <f>SUBTOTAL(9,P5:P30)</f>
        <v/>
      </c>
      <c r="Q2" s="88">
        <f>IFERROR(A2/L2,0)</f>
        <v/>
      </c>
      <c r="R2" s="88">
        <f>IFERROR(B2/M2,0)</f>
        <v/>
      </c>
      <c r="S2" s="88">
        <f>IFERROR(C2/L2,0)</f>
        <v/>
      </c>
      <c r="T2" s="88">
        <f>IFERROR(D2/M2,0)</f>
        <v/>
      </c>
      <c r="V2" s="88">
        <f>IFERROR(E2/M2,0)</f>
        <v/>
      </c>
      <c r="W2" s="120">
        <f>M2-(N2+X2+Y2)</f>
        <v/>
      </c>
      <c r="X2" s="120">
        <f>SUBTOTAL(9,X5:X30)</f>
        <v/>
      </c>
      <c r="Y2" s="120">
        <f>SUBTOTAL(9,Y5:Y30)</f>
        <v/>
      </c>
      <c r="Z2" s="81" t="n"/>
    </row>
    <row r="3" ht="25" customHeight="1" s="79">
      <c r="A3" s="89" t="inlineStr">
        <is>
          <t>(SEP BP) vs (GRC)</t>
        </is>
      </c>
      <c r="B3" s="89" t="inlineStr">
        <is>
          <t>(WINTER BP) vs (GRC)</t>
        </is>
      </c>
      <c r="C3" s="89" t="inlineStr">
        <is>
          <t>(SEP BP) vs (GRC + FLOOR + IN_TRANSIT)</t>
        </is>
      </c>
      <c r="D3" s="89" t="inlineStr">
        <is>
          <t>(WINTER BP) vs (GRC + FLOOR + IN_TRANSIT)</t>
        </is>
      </c>
      <c r="E3" s="89" t="inlineStr">
        <is>
          <t>(WINTER BP) vs (GRC + PPO)</t>
        </is>
      </c>
      <c r="F3" s="90" t="inlineStr">
        <is>
          <t>MERCHANT</t>
        </is>
      </c>
      <c r="G3" s="91" t="inlineStr">
        <is>
          <t>DIVISION</t>
        </is>
      </c>
      <c r="H3" s="92" t="inlineStr">
        <is>
          <t>SECTION</t>
        </is>
      </c>
      <c r="I3" s="92" t="inlineStr">
        <is>
          <t>DEPARTMENT</t>
        </is>
      </c>
      <c r="J3" s="92" t="inlineStr">
        <is>
          <t>PREFERENCE</t>
        </is>
      </c>
      <c r="K3" s="93" t="inlineStr">
        <is>
          <t>SALE 
RANK</t>
        </is>
      </c>
      <c r="L3" s="93" t="inlineStr">
        <is>
          <t>SEP
BUY_PLAN</t>
        </is>
      </c>
      <c r="M3" s="93" t="inlineStr">
        <is>
          <t>WINTER
 BUY_PLAN</t>
        </is>
      </c>
      <c r="N3" s="94" t="inlineStr">
        <is>
          <t>SEP
GRC QTY</t>
        </is>
      </c>
      <c r="O3" s="95" t="inlineStr">
        <is>
          <t>FLOOR + 
IN_TRANSIT</t>
        </is>
      </c>
      <c r="P3" s="95" t="inlineStr">
        <is>
          <t>GRC + FLOOR + 
IN_TRANSIT</t>
        </is>
      </c>
      <c r="Q3" s="96" t="inlineStr">
        <is>
          <t>SEP
FILL RATE %</t>
        </is>
      </c>
      <c r="R3" s="96" t="inlineStr">
        <is>
          <t>WINTER 
FILL RATE %</t>
        </is>
      </c>
      <c r="S3" s="96" t="inlineStr">
        <is>
          <t>SEP
VISIBILITY %</t>
        </is>
      </c>
      <c r="T3" s="96" t="inlineStr">
        <is>
          <t>WINTER VISIBILITY %</t>
        </is>
      </c>
      <c r="V3" s="93" t="inlineStr">
        <is>
          <t>PO VISIBILITY %</t>
        </is>
      </c>
      <c r="W3" s="93" t="inlineStr">
        <is>
          <t>COVERAGE QTY</t>
        </is>
      </c>
      <c r="X3" s="93" t="inlineStr">
        <is>
          <t>PPO QTY (SYS)</t>
        </is>
      </c>
      <c r="Y3" s="93" t="inlineStr">
        <is>
          <t>PPO QTY (MANUAL)</t>
        </is>
      </c>
      <c r="Z3" s="93" t="inlineStr">
        <is>
          <t>REMARKS  (BY_PO_TEAM)</t>
        </is>
      </c>
      <c r="AA3" s="93" t="inlineStr">
        <is>
          <t>REMARKS  (BY_MERCHANT)</t>
        </is>
      </c>
    </row>
    <row r="4" ht="11.15" customHeight="1" s="79">
      <c r="A4" s="121" t="n"/>
      <c r="B4" s="121" t="n"/>
      <c r="C4" s="121" t="n"/>
      <c r="D4" s="121" t="n"/>
      <c r="E4" s="121" t="n"/>
      <c r="F4" s="100" t="n"/>
      <c r="G4" s="101" t="n"/>
      <c r="H4" s="102" t="n"/>
      <c r="I4" s="102" t="n"/>
      <c r="J4" s="102" t="n"/>
      <c r="K4" s="100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V4" s="122" t="n"/>
      <c r="W4" s="122" t="n"/>
      <c r="X4" s="122" t="n"/>
      <c r="Y4" s="122" t="n"/>
      <c r="Z4" s="122" t="n"/>
      <c r="AA4" s="122" t="n"/>
    </row>
    <row r="5" ht="12.65" customHeight="1" s="79">
      <c r="A5" s="104">
        <f>MIN(N5,L5)</f>
        <v/>
      </c>
      <c r="B5" s="104">
        <f>MIN(N5,M5)</f>
        <v/>
      </c>
      <c r="C5" s="104">
        <f>MIN(P5,L5)</f>
        <v/>
      </c>
      <c r="D5" s="104">
        <f>MIN(P5,M5)</f>
        <v/>
      </c>
      <c r="E5" s="104">
        <f>MIN((N5+X5+Y5),M5)</f>
        <v/>
      </c>
      <c r="F5" s="105" t="inlineStr">
        <is>
          <t>CHANDRAPAL NEGI</t>
        </is>
      </c>
      <c r="G5" s="106" t="inlineStr">
        <is>
          <t>LIFESTYLE</t>
        </is>
      </c>
      <c r="H5" s="107" t="inlineStr">
        <is>
          <t>LS_WINTER_ACCESSORIES</t>
        </is>
      </c>
      <c r="I5" s="107" t="inlineStr">
        <is>
          <t>LS_MW_CAP</t>
        </is>
      </c>
      <c r="J5" s="107" t="inlineStr">
        <is>
          <t>ARTICLE</t>
        </is>
      </c>
      <c r="K5" s="109" t="n">
        <v>3</v>
      </c>
      <c r="L5" s="110" t="n">
        <v>68017</v>
      </c>
      <c r="M5" s="110" t="n">
        <v>388781.180515597</v>
      </c>
      <c r="N5" s="104" t="n">
        <v>0</v>
      </c>
      <c r="O5" s="104" t="n">
        <v>0</v>
      </c>
      <c r="P5" s="104">
        <f>$N5+O5</f>
        <v/>
      </c>
      <c r="Q5" s="111">
        <f>IFERROR(A5/L5,0)</f>
        <v/>
      </c>
      <c r="R5" s="111">
        <f>IFERROR(B5/M5,0)</f>
        <v/>
      </c>
      <c r="S5" s="111">
        <f>IFERROR(C5/L5,0)</f>
        <v/>
      </c>
      <c r="T5" s="111">
        <f>IFERROR(D5/M5,0)</f>
        <v/>
      </c>
      <c r="V5" s="111">
        <f>IFERROR(E5/M5,0)</f>
        <v/>
      </c>
      <c r="W5" s="104">
        <f>M5-(N5+X5+Y5)</f>
        <v/>
      </c>
      <c r="X5" s="104" t="n">
        <v>462900</v>
      </c>
      <c r="Y5" s="104" t="n">
        <v>0</v>
      </c>
      <c r="Z5" s="104" t="n"/>
      <c r="AA5" s="104" t="n"/>
    </row>
    <row r="6" ht="12.65" customHeight="1" s="79">
      <c r="A6" s="104">
        <f>MIN(N6,L6)</f>
        <v/>
      </c>
      <c r="B6" s="104">
        <f>MIN(N6,M6)</f>
        <v/>
      </c>
      <c r="C6" s="104">
        <f>MIN(P6,L6)</f>
        <v/>
      </c>
      <c r="D6" s="104">
        <f>MIN(P6,M6)</f>
        <v/>
      </c>
      <c r="E6" s="104">
        <f>MIN((N6+X6+Y6),M6)</f>
        <v/>
      </c>
      <c r="F6" s="105" t="inlineStr">
        <is>
          <t>CHANDRAPAL NEGI</t>
        </is>
      </c>
      <c r="G6" s="106" t="inlineStr">
        <is>
          <t>LIFESTYLE</t>
        </is>
      </c>
      <c r="H6" s="107" t="inlineStr">
        <is>
          <t>LS_WINTER_ACCESSORIES</t>
        </is>
      </c>
      <c r="I6" s="107" t="inlineStr">
        <is>
          <t>LS_MW_MUFFLER</t>
        </is>
      </c>
      <c r="J6" s="107" t="inlineStr">
        <is>
          <t>ARTICLE</t>
        </is>
      </c>
      <c r="K6" s="109" t="n">
        <v>5</v>
      </c>
      <c r="L6" s="110" t="n">
        <v>55700</v>
      </c>
      <c r="M6" s="110" t="n">
        <v>227145.964524865</v>
      </c>
      <c r="N6" s="104" t="n">
        <v>89700</v>
      </c>
      <c r="O6" s="104" t="n">
        <v>0</v>
      </c>
      <c r="P6" s="104">
        <f>$N6+O6</f>
        <v/>
      </c>
      <c r="Q6" s="111">
        <f>IFERROR(A6/L6,0)</f>
        <v/>
      </c>
      <c r="R6" s="111">
        <f>IFERROR(B6/M6,0)</f>
        <v/>
      </c>
      <c r="S6" s="111">
        <f>IFERROR(C6/L6,0)</f>
        <v/>
      </c>
      <c r="T6" s="111">
        <f>IFERROR(D6/M6,0)</f>
        <v/>
      </c>
      <c r="V6" s="111">
        <f>IFERROR(E6/M6,0)</f>
        <v/>
      </c>
      <c r="W6" s="104">
        <f>M6-(N6+X6+Y6)</f>
        <v/>
      </c>
      <c r="X6" s="104" t="n">
        <v>294196</v>
      </c>
      <c r="Y6" s="104" t="n">
        <v>0</v>
      </c>
      <c r="Z6" s="104" t="n"/>
      <c r="AA6" s="104" t="n"/>
    </row>
    <row r="7" ht="12.65" customHeight="1" s="79">
      <c r="A7" s="104">
        <f>MIN(N7,L7)</f>
        <v/>
      </c>
      <c r="B7" s="104">
        <f>MIN(N7,M7)</f>
        <v/>
      </c>
      <c r="C7" s="104">
        <f>MIN(P7,L7)</f>
        <v/>
      </c>
      <c r="D7" s="104">
        <f>MIN(P7,M7)</f>
        <v/>
      </c>
      <c r="E7" s="104">
        <f>MIN((N7+X7+Y7),M7)</f>
        <v/>
      </c>
      <c r="F7" s="105" t="inlineStr">
        <is>
          <t>CHANDRAPAL NEGI</t>
        </is>
      </c>
      <c r="G7" s="106" t="inlineStr">
        <is>
          <t>LIFESTYLE</t>
        </is>
      </c>
      <c r="H7" s="107" t="inlineStr">
        <is>
          <t>LS_WINTER_ACCESSORIES</t>
        </is>
      </c>
      <c r="I7" s="107" t="inlineStr">
        <is>
          <t>LS_KIW_CAP</t>
        </is>
      </c>
      <c r="J7" s="107" t="inlineStr">
        <is>
          <t>ARTICLE</t>
        </is>
      </c>
      <c r="K7" s="109" t="n">
        <v>9</v>
      </c>
      <c r="L7" s="110" t="n">
        <v>115031</v>
      </c>
      <c r="M7" s="110" t="n">
        <v>187071.352483661</v>
      </c>
      <c r="N7" s="104" t="n">
        <v>0</v>
      </c>
      <c r="O7" s="104" t="n">
        <v>0</v>
      </c>
      <c r="P7" s="104">
        <f>$N7+O7</f>
        <v/>
      </c>
      <c r="Q7" s="111">
        <f>IFERROR(A7/L7,0)</f>
        <v/>
      </c>
      <c r="R7" s="111">
        <f>IFERROR(B7/M7,0)</f>
        <v/>
      </c>
      <c r="S7" s="111">
        <f>IFERROR(C7/L7,0)</f>
        <v/>
      </c>
      <c r="T7" s="111">
        <f>IFERROR(D7/M7,0)</f>
        <v/>
      </c>
      <c r="V7" s="111">
        <f>IFERROR(E7/M7,0)</f>
        <v/>
      </c>
      <c r="W7" s="104">
        <f>M7-(N7+X7+Y7)</f>
        <v/>
      </c>
      <c r="X7" s="104" t="n">
        <v>234900</v>
      </c>
      <c r="Y7" s="104" t="n">
        <v>0</v>
      </c>
      <c r="Z7" s="104" t="n"/>
      <c r="AA7" s="112" t="n"/>
    </row>
    <row r="8" ht="12.65" customHeight="1" s="79">
      <c r="A8" s="104">
        <f>MIN(N8,L8)</f>
        <v/>
      </c>
      <c r="B8" s="104">
        <f>MIN(N8,M8)</f>
        <v/>
      </c>
      <c r="C8" s="104">
        <f>MIN(P8,L8)</f>
        <v/>
      </c>
      <c r="D8" s="104">
        <f>MIN(P8,M8)</f>
        <v/>
      </c>
      <c r="E8" s="104">
        <f>MIN((N8+X8+Y8),M8)</f>
        <v/>
      </c>
      <c r="F8" s="105" t="inlineStr">
        <is>
          <t>CHANDRAPAL NEGI</t>
        </is>
      </c>
      <c r="G8" s="106" t="inlineStr">
        <is>
          <t>LIFESTYLE</t>
        </is>
      </c>
      <c r="H8" s="107" t="inlineStr">
        <is>
          <t>LS_WINTER_ACCESSORIES</t>
        </is>
      </c>
      <c r="I8" s="107" t="inlineStr">
        <is>
          <t>LS_MW_GLOVES</t>
        </is>
      </c>
      <c r="J8" s="107" t="inlineStr">
        <is>
          <t>ARTICLE</t>
        </is>
      </c>
      <c r="K8" s="109" t="n">
        <v>10</v>
      </c>
      <c r="L8" s="110" t="n">
        <v>23731</v>
      </c>
      <c r="M8" s="110" t="n">
        <v>177454.666761486</v>
      </c>
      <c r="N8" s="104" t="n">
        <v>0</v>
      </c>
      <c r="O8" s="104" t="n">
        <v>93240</v>
      </c>
      <c r="P8" s="104">
        <f>$N8+O8</f>
        <v/>
      </c>
      <c r="Q8" s="111">
        <f>IFERROR(A8/L8,0)</f>
        <v/>
      </c>
      <c r="R8" s="111">
        <f>IFERROR(B8/M8,0)</f>
        <v/>
      </c>
      <c r="S8" s="111">
        <f>IFERROR(C8/L8,0)</f>
        <v/>
      </c>
      <c r="T8" s="111">
        <f>IFERROR(D8/M8,0)</f>
        <v/>
      </c>
      <c r="V8" s="111">
        <f>IFERROR(E8/M8,0)</f>
        <v/>
      </c>
      <c r="W8" s="104">
        <f>M8-(N8+X8+Y8)</f>
        <v/>
      </c>
      <c r="X8" s="104" t="n">
        <v>204360</v>
      </c>
      <c r="Y8" s="104" t="n">
        <v>0</v>
      </c>
      <c r="Z8" s="104" t="n"/>
      <c r="AA8" s="104" t="n"/>
    </row>
    <row r="9" ht="12.65" customHeight="1" s="79">
      <c r="A9" s="104">
        <f>MIN(N9,L9)</f>
        <v/>
      </c>
      <c r="B9" s="104">
        <f>MIN(N9,M9)</f>
        <v/>
      </c>
      <c r="C9" s="104">
        <f>MIN(P9,L9)</f>
        <v/>
      </c>
      <c r="D9" s="104">
        <f>MIN(P9,M9)</f>
        <v/>
      </c>
      <c r="E9" s="104">
        <f>MIN((N9+X9+Y9),M9)</f>
        <v/>
      </c>
      <c r="F9" s="105" t="inlineStr">
        <is>
          <t>CHANDRAPAL NEGI</t>
        </is>
      </c>
      <c r="G9" s="106" t="inlineStr">
        <is>
          <t>LIFESTYLE</t>
        </is>
      </c>
      <c r="H9" s="107" t="inlineStr">
        <is>
          <t>LS_WINTER_ACCESSORIES</t>
        </is>
      </c>
      <c r="I9" s="107" t="inlineStr">
        <is>
          <t>LS_KGW_CAP</t>
        </is>
      </c>
      <c r="J9" s="107" t="inlineStr">
        <is>
          <t>ARTICLE</t>
        </is>
      </c>
      <c r="K9" s="109" t="n">
        <v>7</v>
      </c>
      <c r="L9" s="110" t="n">
        <v>95539</v>
      </c>
      <c r="M9" s="110" t="n">
        <v>174898.933143459</v>
      </c>
      <c r="N9" s="104" t="n">
        <v>0</v>
      </c>
      <c r="O9" s="104" t="n">
        <v>13764</v>
      </c>
      <c r="P9" s="104">
        <f>$N9+O9</f>
        <v/>
      </c>
      <c r="Q9" s="111">
        <f>IFERROR(A9/L9,0)</f>
        <v/>
      </c>
      <c r="R9" s="111">
        <f>IFERROR(B9/M9,0)</f>
        <v/>
      </c>
      <c r="S9" s="111">
        <f>IFERROR(C9/L9,0)</f>
        <v/>
      </c>
      <c r="T9" s="111">
        <f>IFERROR(D9/M9,0)</f>
        <v/>
      </c>
      <c r="V9" s="111">
        <f>IFERROR(E9/M9,0)</f>
        <v/>
      </c>
      <c r="W9" s="104">
        <f>M9-(N9+X9+Y9)</f>
        <v/>
      </c>
      <c r="X9" s="104" t="n">
        <v>201900</v>
      </c>
      <c r="Y9" s="104" t="n">
        <v>0</v>
      </c>
      <c r="Z9" s="104" t="n"/>
      <c r="AA9" s="104" t="n"/>
    </row>
    <row r="10" ht="12.65" customHeight="1" s="79">
      <c r="A10" s="104">
        <f>MIN(N10,L10)</f>
        <v/>
      </c>
      <c r="B10" s="104">
        <f>MIN(N10,M10)</f>
        <v/>
      </c>
      <c r="C10" s="104">
        <f>MIN(P10,L10)</f>
        <v/>
      </c>
      <c r="D10" s="104">
        <f>MIN(P10,M10)</f>
        <v/>
      </c>
      <c r="E10" s="104">
        <f>MIN((N10+X10+Y10),M10)</f>
        <v/>
      </c>
      <c r="F10" s="105" t="inlineStr">
        <is>
          <t>CHANDRAPAL NEGI</t>
        </is>
      </c>
      <c r="G10" s="106" t="inlineStr">
        <is>
          <t>LIFESTYLE</t>
        </is>
      </c>
      <c r="H10" s="107" t="inlineStr">
        <is>
          <t>LS_WINTER_ACCESSORIES</t>
        </is>
      </c>
      <c r="I10" s="107" t="inlineStr">
        <is>
          <t>LS_LWW_CAP</t>
        </is>
      </c>
      <c r="J10" s="107" t="inlineStr">
        <is>
          <t>ARTICLE</t>
        </is>
      </c>
      <c r="K10" s="109" t="n">
        <v>8</v>
      </c>
      <c r="L10" s="110" t="n">
        <v>38262</v>
      </c>
      <c r="M10" s="110" t="n">
        <v>173822.476314652</v>
      </c>
      <c r="N10" s="104" t="n">
        <v>0</v>
      </c>
      <c r="O10" s="104" t="n">
        <v>2400</v>
      </c>
      <c r="P10" s="104">
        <f>$N10+O10</f>
        <v/>
      </c>
      <c r="Q10" s="111">
        <f>IFERROR(A10/L10,0)</f>
        <v/>
      </c>
      <c r="R10" s="111">
        <f>IFERROR(B10/M10,0)</f>
        <v/>
      </c>
      <c r="S10" s="111">
        <f>IFERROR(C10/L10,0)</f>
        <v/>
      </c>
      <c r="T10" s="111">
        <f>IFERROR(D10/M10,0)</f>
        <v/>
      </c>
      <c r="V10" s="111">
        <f>IFERROR(E10/M10,0)</f>
        <v/>
      </c>
      <c r="W10" s="104">
        <f>M10-(N10+X10+Y10)</f>
        <v/>
      </c>
      <c r="X10" s="104" t="n">
        <v>215250</v>
      </c>
      <c r="Y10" s="104" t="n">
        <v>0</v>
      </c>
      <c r="Z10" s="104" t="n"/>
      <c r="AA10" s="104" t="n"/>
    </row>
    <row r="11" ht="12.65" customHeight="1" s="79">
      <c r="A11" s="104">
        <f>MIN(N11,L11)</f>
        <v/>
      </c>
      <c r="B11" s="104">
        <f>MIN(N11,M11)</f>
        <v/>
      </c>
      <c r="C11" s="104">
        <f>MIN(P11,L11)</f>
        <v/>
      </c>
      <c r="D11" s="104">
        <f>MIN(P11,M11)</f>
        <v/>
      </c>
      <c r="E11" s="104">
        <f>MIN((N11+X11+Y11),M11)</f>
        <v/>
      </c>
      <c r="F11" s="105" t="inlineStr">
        <is>
          <t>CHANDRAPAL NEGI</t>
        </is>
      </c>
      <c r="G11" s="106" t="inlineStr">
        <is>
          <t>LIFESTYLE</t>
        </is>
      </c>
      <c r="H11" s="107" t="inlineStr">
        <is>
          <t>LS_WINTER_ACCESSORIES</t>
        </is>
      </c>
      <c r="I11" s="107" t="inlineStr">
        <is>
          <t>LS_KGW_EARMUFF</t>
        </is>
      </c>
      <c r="J11" s="107" t="inlineStr">
        <is>
          <t>ARTICLE</t>
        </is>
      </c>
      <c r="K11" s="109" t="n">
        <v>11</v>
      </c>
      <c r="L11" s="110" t="n">
        <v>56635</v>
      </c>
      <c r="M11" s="110" t="n">
        <v>163968.525451407</v>
      </c>
      <c r="N11" s="104" t="n">
        <v>84000</v>
      </c>
      <c r="O11" s="104" t="n">
        <v>0</v>
      </c>
      <c r="P11" s="104">
        <f>$N11+O11</f>
        <v/>
      </c>
      <c r="Q11" s="111">
        <f>IFERROR(A11/L11,0)</f>
        <v/>
      </c>
      <c r="R11" s="111">
        <f>IFERROR(B11/M11,0)</f>
        <v/>
      </c>
      <c r="S11" s="111">
        <f>IFERROR(C11/L11,0)</f>
        <v/>
      </c>
      <c r="T11" s="111">
        <f>IFERROR(D11/M11,0)</f>
        <v/>
      </c>
      <c r="V11" s="111">
        <f>IFERROR(E11/M11,0)</f>
        <v/>
      </c>
      <c r="W11" s="104">
        <f>M11-(N11+X11+Y11)</f>
        <v/>
      </c>
      <c r="X11" s="104" t="n">
        <v>134400</v>
      </c>
      <c r="Y11" s="104" t="n">
        <v>0</v>
      </c>
      <c r="Z11" s="104" t="n"/>
      <c r="AA11" s="112" t="n"/>
    </row>
    <row r="12" ht="12.65" customHeight="1" s="79">
      <c r="A12" s="104">
        <f>MIN(N12,L12)</f>
        <v/>
      </c>
      <c r="B12" s="104">
        <f>MIN(N12,M12)</f>
        <v/>
      </c>
      <c r="C12" s="104">
        <f>MIN(P12,L12)</f>
        <v/>
      </c>
      <c r="D12" s="104">
        <f>MIN(P12,M12)</f>
        <v/>
      </c>
      <c r="E12" s="104">
        <f>MIN((N12+X12+Y12),M12)</f>
        <v/>
      </c>
      <c r="F12" s="105" t="inlineStr">
        <is>
          <t>CHANDRAPAL NEGI</t>
        </is>
      </c>
      <c r="G12" s="106" t="inlineStr">
        <is>
          <t>LIFESTYLE</t>
        </is>
      </c>
      <c r="H12" s="107" t="inlineStr">
        <is>
          <t>LS_WINTER_ACCESSORIES</t>
        </is>
      </c>
      <c r="I12" s="107" t="inlineStr">
        <is>
          <t>LS_KIW_WINTER BOOTY</t>
        </is>
      </c>
      <c r="J12" s="107" t="inlineStr">
        <is>
          <t>ARTICLE</t>
        </is>
      </c>
      <c r="K12" s="109" t="n">
        <v>14</v>
      </c>
      <c r="L12" s="110" t="n">
        <v>65205</v>
      </c>
      <c r="M12" s="110" t="n">
        <v>130211.143972212</v>
      </c>
      <c r="N12" s="104" t="n">
        <v>2160</v>
      </c>
      <c r="O12" s="104" t="n">
        <v>0</v>
      </c>
      <c r="P12" s="104">
        <f>$N12+O12</f>
        <v/>
      </c>
      <c r="Q12" s="111">
        <f>IFERROR(A12/L12,0)</f>
        <v/>
      </c>
      <c r="R12" s="111">
        <f>IFERROR(B12/M12,0)</f>
        <v/>
      </c>
      <c r="S12" s="111">
        <f>IFERROR(C12/L12,0)</f>
        <v/>
      </c>
      <c r="T12" s="111">
        <f>IFERROR(D12/M12,0)</f>
        <v/>
      </c>
      <c r="V12" s="111">
        <f>IFERROR(E12/M12,0)</f>
        <v/>
      </c>
      <c r="W12" s="104">
        <f>M12-(N12+X12+Y12)</f>
        <v/>
      </c>
      <c r="X12" s="104" t="n">
        <v>184140</v>
      </c>
      <c r="Y12" s="104" t="n">
        <v>0</v>
      </c>
      <c r="Z12" s="104" t="n"/>
      <c r="AA12" s="112" t="n"/>
    </row>
    <row r="13" ht="12.65" customHeight="1" s="79">
      <c r="A13" s="104">
        <f>MIN(N13,L13)</f>
        <v/>
      </c>
      <c r="B13" s="104">
        <f>MIN(N13,M13)</f>
        <v/>
      </c>
      <c r="C13" s="104">
        <f>MIN(P13,L13)</f>
        <v/>
      </c>
      <c r="D13" s="104">
        <f>MIN(P13,M13)</f>
        <v/>
      </c>
      <c r="E13" s="104">
        <f>MIN((N13+X13+Y13),M13)</f>
        <v/>
      </c>
      <c r="F13" s="105" t="inlineStr">
        <is>
          <t>CHANDRAPAL NEGI</t>
        </is>
      </c>
      <c r="G13" s="106" t="inlineStr">
        <is>
          <t>LIFESTYLE</t>
        </is>
      </c>
      <c r="H13" s="107" t="inlineStr">
        <is>
          <t>LS_WINTER_ACCESSORIES</t>
        </is>
      </c>
      <c r="I13" s="107" t="inlineStr">
        <is>
          <t>LS_KIW_BLANKET</t>
        </is>
      </c>
      <c r="J13" s="107" t="inlineStr">
        <is>
          <t>ARTICLE</t>
        </is>
      </c>
      <c r="K13" s="109" t="n">
        <v>6</v>
      </c>
      <c r="L13" s="110" t="n">
        <v>33856</v>
      </c>
      <c r="M13" s="110" t="n">
        <v>110108.591703025</v>
      </c>
      <c r="N13" s="104" t="n">
        <v>15144</v>
      </c>
      <c r="O13" s="104" t="n">
        <v>4284</v>
      </c>
      <c r="P13" s="104">
        <f>$N13+O13</f>
        <v/>
      </c>
      <c r="Q13" s="111">
        <f>IFERROR(A13/L13,0)</f>
        <v/>
      </c>
      <c r="R13" s="111">
        <f>IFERROR(B13/M13,0)</f>
        <v/>
      </c>
      <c r="S13" s="111">
        <f>IFERROR(C13/L13,0)</f>
        <v/>
      </c>
      <c r="T13" s="111">
        <f>IFERROR(D13/M13,0)</f>
        <v/>
      </c>
      <c r="V13" s="111">
        <f>IFERROR(E13/M13,0)</f>
        <v/>
      </c>
      <c r="W13" s="104">
        <f>M13-(N13+X13+Y13)</f>
        <v/>
      </c>
      <c r="X13" s="104" t="n">
        <v>116068</v>
      </c>
      <c r="Y13" s="104" t="n">
        <v>0</v>
      </c>
      <c r="Z13" s="104" t="n"/>
      <c r="AA13" s="104" t="n"/>
    </row>
    <row r="14" ht="12.65" customHeight="1" s="79">
      <c r="A14" s="104">
        <f>MIN(N14,L14)</f>
        <v/>
      </c>
      <c r="B14" s="104">
        <f>MIN(N14,M14)</f>
        <v/>
      </c>
      <c r="C14" s="104">
        <f>MIN(P14,L14)</f>
        <v/>
      </c>
      <c r="D14" s="104">
        <f>MIN(P14,M14)</f>
        <v/>
      </c>
      <c r="E14" s="104">
        <f>MIN((N14+X14+Y14),M14)</f>
        <v/>
      </c>
      <c r="F14" s="105" t="inlineStr">
        <is>
          <t>CHANDRAPAL NEGI</t>
        </is>
      </c>
      <c r="G14" s="106" t="inlineStr">
        <is>
          <t>LIFESTYLE</t>
        </is>
      </c>
      <c r="H14" s="107" t="inlineStr">
        <is>
          <t>LS_WINTER_ACCESSORIES</t>
        </is>
      </c>
      <c r="I14" s="107" t="inlineStr">
        <is>
          <t>LS_LWW_SOCKS</t>
        </is>
      </c>
      <c r="J14" s="107" t="inlineStr">
        <is>
          <t>ARTICLE</t>
        </is>
      </c>
      <c r="K14" s="109" t="n">
        <v>22</v>
      </c>
      <c r="L14" s="110" t="n">
        <v>29629</v>
      </c>
      <c r="M14" s="110" t="n">
        <v>100164.873372976</v>
      </c>
      <c r="N14" s="104" t="n">
        <v>0</v>
      </c>
      <c r="O14" s="104" t="n">
        <v>0</v>
      </c>
      <c r="P14" s="104">
        <f>$N14+O14</f>
        <v/>
      </c>
      <c r="Q14" s="111">
        <f>IFERROR(A14/L14,0)</f>
        <v/>
      </c>
      <c r="R14" s="111">
        <f>IFERROR(B14/M14,0)</f>
        <v/>
      </c>
      <c r="S14" s="111">
        <f>IFERROR(C14/L14,0)</f>
        <v/>
      </c>
      <c r="T14" s="111">
        <f>IFERROR(D14/M14,0)</f>
        <v/>
      </c>
      <c r="V14" s="111">
        <f>IFERROR(E14/M14,0)</f>
        <v/>
      </c>
      <c r="W14" s="104">
        <f>M14-(N14+X14+Y14)</f>
        <v/>
      </c>
      <c r="X14" s="104" t="n">
        <v>145800</v>
      </c>
      <c r="Y14" s="104" t="n">
        <v>0</v>
      </c>
      <c r="Z14" s="104" t="n"/>
      <c r="AA14" s="112" t="n"/>
    </row>
    <row r="15" ht="12.65" customHeight="1" s="79">
      <c r="A15" s="104">
        <f>MIN(N15,L15)</f>
        <v/>
      </c>
      <c r="B15" s="104">
        <f>MIN(N15,M15)</f>
        <v/>
      </c>
      <c r="C15" s="104">
        <f>MIN(P15,L15)</f>
        <v/>
      </c>
      <c r="D15" s="104">
        <f>MIN(P15,M15)</f>
        <v/>
      </c>
      <c r="E15" s="104">
        <f>MIN((N15+X15+Y15),M15)</f>
        <v/>
      </c>
      <c r="F15" s="105" t="inlineStr">
        <is>
          <t>CHANDRAPAL NEGI</t>
        </is>
      </c>
      <c r="G15" s="106" t="inlineStr">
        <is>
          <t>LIFESTYLE</t>
        </is>
      </c>
      <c r="H15" s="107" t="inlineStr">
        <is>
          <t>LS_WINTER_ACCESSORIES</t>
        </is>
      </c>
      <c r="I15" s="107" t="inlineStr">
        <is>
          <t>LS_KGW_GLOVES</t>
        </is>
      </c>
      <c r="J15" s="107" t="inlineStr">
        <is>
          <t>ARTICLE</t>
        </is>
      </c>
      <c r="K15" s="109" t="n">
        <v>21</v>
      </c>
      <c r="L15" s="110" t="n">
        <v>31749</v>
      </c>
      <c r="M15" s="110" t="n">
        <v>81567.7602381866</v>
      </c>
      <c r="N15" s="104" t="n">
        <v>0</v>
      </c>
      <c r="O15" s="104" t="n">
        <v>30000</v>
      </c>
      <c r="P15" s="104">
        <f>$N15+O15</f>
        <v/>
      </c>
      <c r="Q15" s="111">
        <f>IFERROR(A15/L15,0)</f>
        <v/>
      </c>
      <c r="R15" s="111">
        <f>IFERROR(B15/M15,0)</f>
        <v/>
      </c>
      <c r="S15" s="111">
        <f>IFERROR(C15/L15,0)</f>
        <v/>
      </c>
      <c r="T15" s="111">
        <f>IFERROR(D15/M15,0)</f>
        <v/>
      </c>
      <c r="V15" s="111">
        <f>IFERROR(E15/M15,0)</f>
        <v/>
      </c>
      <c r="W15" s="104">
        <f>M15-(N15+X15+Y15)</f>
        <v/>
      </c>
      <c r="X15" s="104" t="n">
        <v>82440</v>
      </c>
      <c r="Y15" s="104" t="n">
        <v>0</v>
      </c>
      <c r="Z15" s="104" t="n"/>
      <c r="AA15" s="112" t="n"/>
    </row>
    <row r="16" ht="12.65" customHeight="1" s="79">
      <c r="A16" s="104">
        <f>MIN(N16,L16)</f>
        <v/>
      </c>
      <c r="B16" s="104">
        <f>MIN(N16,M16)</f>
        <v/>
      </c>
      <c r="C16" s="104">
        <f>MIN(P16,L16)</f>
        <v/>
      </c>
      <c r="D16" s="104">
        <f>MIN(P16,M16)</f>
        <v/>
      </c>
      <c r="E16" s="104">
        <f>MIN((N16+X16+Y16),M16)</f>
        <v/>
      </c>
      <c r="F16" s="105" t="inlineStr">
        <is>
          <t>CHANDRAPAL NEGI</t>
        </is>
      </c>
      <c r="G16" s="106" t="inlineStr">
        <is>
          <t>LIFESTYLE</t>
        </is>
      </c>
      <c r="H16" s="107" t="inlineStr">
        <is>
          <t>LS_WINTER_ACCESSORIES</t>
        </is>
      </c>
      <c r="I16" s="107" t="inlineStr">
        <is>
          <t>LS_LWW_MUFFLER</t>
        </is>
      </c>
      <c r="J16" s="107" t="inlineStr">
        <is>
          <t>ARTICLE</t>
        </is>
      </c>
      <c r="K16" s="109" t="n">
        <v>15</v>
      </c>
      <c r="L16" s="110" t="n">
        <v>17835</v>
      </c>
      <c r="M16" s="110" t="n">
        <v>73502.31049623511</v>
      </c>
      <c r="N16" s="104" t="n">
        <v>42860</v>
      </c>
      <c r="O16" s="104" t="n">
        <v>0</v>
      </c>
      <c r="P16" s="104">
        <f>$N16+O16</f>
        <v/>
      </c>
      <c r="Q16" s="111">
        <f>IFERROR(A16/L16,0)</f>
        <v/>
      </c>
      <c r="R16" s="111">
        <f>IFERROR(B16/M16,0)</f>
        <v/>
      </c>
      <c r="S16" s="111">
        <f>IFERROR(C16/L16,0)</f>
        <v/>
      </c>
      <c r="T16" s="111">
        <f>IFERROR(D16/M16,0)</f>
        <v/>
      </c>
      <c r="V16" s="111">
        <f>IFERROR(E16/M16,0)</f>
        <v/>
      </c>
      <c r="W16" s="104">
        <f>M16-(N16+X16+Y16)</f>
        <v/>
      </c>
      <c r="X16" s="104" t="n">
        <v>57312</v>
      </c>
      <c r="Y16" s="104" t="n">
        <v>0</v>
      </c>
      <c r="Z16" s="104" t="n"/>
      <c r="AA16" s="104" t="n"/>
    </row>
    <row r="17" ht="12.65" customHeight="1" s="79">
      <c r="A17" s="104">
        <f>MIN(N17,L17)</f>
        <v/>
      </c>
      <c r="B17" s="104">
        <f>MIN(N17,M17)</f>
        <v/>
      </c>
      <c r="C17" s="104">
        <f>MIN(P17,L17)</f>
        <v/>
      </c>
      <c r="D17" s="104">
        <f>MIN(P17,M17)</f>
        <v/>
      </c>
      <c r="E17" s="104">
        <f>MIN((N17+X17+Y17),M17)</f>
        <v/>
      </c>
      <c r="F17" s="105" t="inlineStr">
        <is>
          <t>CHANDRAPAL NEGI</t>
        </is>
      </c>
      <c r="G17" s="106" t="inlineStr">
        <is>
          <t>LIFESTYLE</t>
        </is>
      </c>
      <c r="H17" s="107" t="inlineStr">
        <is>
          <t>LS_WINTER_ACCESSORIES</t>
        </is>
      </c>
      <c r="I17" s="107" t="inlineStr">
        <is>
          <t>LS_LWW_GLOVES</t>
        </is>
      </c>
      <c r="J17" s="107" t="inlineStr">
        <is>
          <t>ARTICLE</t>
        </is>
      </c>
      <c r="K17" s="109" t="n">
        <v>20</v>
      </c>
      <c r="L17" s="110" t="n">
        <v>16174</v>
      </c>
      <c r="M17" s="110" t="n">
        <v>64016.3777494365</v>
      </c>
      <c r="N17" s="104" t="n">
        <v>0</v>
      </c>
      <c r="O17" s="104" t="n">
        <v>22800</v>
      </c>
      <c r="P17" s="104">
        <f>$N17+O17</f>
        <v/>
      </c>
      <c r="Q17" s="111">
        <f>IFERROR(A17/L17,0)</f>
        <v/>
      </c>
      <c r="R17" s="111">
        <f>IFERROR(B17/M17,0)</f>
        <v/>
      </c>
      <c r="S17" s="111">
        <f>IFERROR(C17/L17,0)</f>
        <v/>
      </c>
      <c r="T17" s="111">
        <f>IFERROR(D17/M17,0)</f>
        <v/>
      </c>
      <c r="V17" s="111">
        <f>IFERROR(E17/M17,0)</f>
        <v/>
      </c>
      <c r="W17" s="104">
        <f>M17-(N17+X17+Y17)</f>
        <v/>
      </c>
      <c r="X17" s="104" t="n">
        <v>68520</v>
      </c>
      <c r="Y17" s="104" t="n">
        <v>0</v>
      </c>
      <c r="Z17" s="104" t="n"/>
      <c r="AA17" s="104" t="n"/>
    </row>
    <row r="18" ht="12.65" customHeight="1" s="79">
      <c r="A18" s="104">
        <f>MIN(N18,L18)</f>
        <v/>
      </c>
      <c r="B18" s="104">
        <f>MIN(N18,M18)</f>
        <v/>
      </c>
      <c r="C18" s="104">
        <f>MIN(P18,L18)</f>
        <v/>
      </c>
      <c r="D18" s="104">
        <f>MIN(P18,M18)</f>
        <v/>
      </c>
      <c r="E18" s="104">
        <f>MIN((N18+X18+Y18),M18)</f>
        <v/>
      </c>
      <c r="F18" s="105" t="inlineStr">
        <is>
          <t>CHANDRAPAL NEGI</t>
        </is>
      </c>
      <c r="G18" s="106" t="inlineStr">
        <is>
          <t>LIFESTYLE</t>
        </is>
      </c>
      <c r="H18" s="107" t="inlineStr">
        <is>
          <t>LS_WINTER_ACCESSORIES</t>
        </is>
      </c>
      <c r="I18" s="107" t="inlineStr">
        <is>
          <t>LS_KIW_GLOVES</t>
        </is>
      </c>
      <c r="J18" s="107" t="inlineStr">
        <is>
          <t>ARTICLE</t>
        </is>
      </c>
      <c r="K18" s="109" t="n">
        <v>24</v>
      </c>
      <c r="L18" s="110" t="n">
        <v>28201</v>
      </c>
      <c r="M18" s="110" t="n">
        <v>62228.5965965671</v>
      </c>
      <c r="N18" s="104" t="n">
        <v>0</v>
      </c>
      <c r="O18" s="104" t="n">
        <v>29280</v>
      </c>
      <c r="P18" s="104">
        <f>$N18+O18</f>
        <v/>
      </c>
      <c r="Q18" s="111">
        <f>IFERROR(A18/L18,0)</f>
        <v/>
      </c>
      <c r="R18" s="111">
        <f>IFERROR(B18/M18,0)</f>
        <v/>
      </c>
      <c r="S18" s="111">
        <f>IFERROR(C18/L18,0)</f>
        <v/>
      </c>
      <c r="T18" s="111">
        <f>IFERROR(D18/M18,0)</f>
        <v/>
      </c>
      <c r="V18" s="111">
        <f>IFERROR(E18/M18,0)</f>
        <v/>
      </c>
      <c r="W18" s="104">
        <f>M18-(N18+X18+Y18)</f>
        <v/>
      </c>
      <c r="X18" s="104" t="n">
        <v>68280</v>
      </c>
      <c r="Y18" s="104" t="n">
        <v>0</v>
      </c>
      <c r="Z18" s="104" t="n"/>
      <c r="AA18" s="112" t="n"/>
    </row>
    <row r="19" ht="12.65" customHeight="1" s="79">
      <c r="A19" s="104">
        <f>MIN(N19,L19)</f>
        <v/>
      </c>
      <c r="B19" s="104">
        <f>MIN(N19,M19)</f>
        <v/>
      </c>
      <c r="C19" s="104">
        <f>MIN(P19,L19)</f>
        <v/>
      </c>
      <c r="D19" s="104">
        <f>MIN(P19,M19)</f>
        <v/>
      </c>
      <c r="E19" s="104">
        <f>MIN((N19+X19+Y19),M19)</f>
        <v/>
      </c>
      <c r="F19" s="105" t="inlineStr">
        <is>
          <t>CHANDRAPAL NEGI</t>
        </is>
      </c>
      <c r="G19" s="106" t="inlineStr">
        <is>
          <t>LIFESTYLE</t>
        </is>
      </c>
      <c r="H19" s="107" t="inlineStr">
        <is>
          <t>LS_WINTER_ACCESSORIES</t>
        </is>
      </c>
      <c r="I19" s="107" t="inlineStr">
        <is>
          <t>LS_KBW_GLOVES</t>
        </is>
      </c>
      <c r="J19" s="107" t="inlineStr">
        <is>
          <t>ARTICLE</t>
        </is>
      </c>
      <c r="K19" s="109" t="n">
        <v>25</v>
      </c>
      <c r="L19" s="110" t="n">
        <v>17821</v>
      </c>
      <c r="M19" s="110" t="n">
        <v>47782.1798254636</v>
      </c>
      <c r="N19" s="104" t="n">
        <v>0</v>
      </c>
      <c r="O19" s="104" t="n">
        <v>37200</v>
      </c>
      <c r="P19" s="104">
        <f>$N19+O19</f>
        <v/>
      </c>
      <c r="Q19" s="111">
        <f>IFERROR(A19/L19,0)</f>
        <v/>
      </c>
      <c r="R19" s="111">
        <f>IFERROR(B19/M19,0)</f>
        <v/>
      </c>
      <c r="S19" s="111">
        <f>IFERROR(C19/L19,0)</f>
        <v/>
      </c>
      <c r="T19" s="111">
        <f>IFERROR(D19/M19,0)</f>
        <v/>
      </c>
      <c r="V19" s="111">
        <f>IFERROR(E19/M19,0)</f>
        <v/>
      </c>
      <c r="W19" s="104">
        <f>M19-(N19+X19+Y19)</f>
        <v/>
      </c>
      <c r="X19" s="104" t="n">
        <v>49320</v>
      </c>
      <c r="Y19" s="104" t="n">
        <v>0</v>
      </c>
      <c r="Z19" s="104" t="n"/>
      <c r="AA19" s="112" t="n"/>
    </row>
    <row r="20" ht="12.65" customHeight="1" s="79">
      <c r="A20" s="104">
        <f>MIN(N20,L20)</f>
        <v/>
      </c>
      <c r="B20" s="104">
        <f>MIN(N20,M20)</f>
        <v/>
      </c>
      <c r="C20" s="104">
        <f>MIN(P20,L20)</f>
        <v/>
      </c>
      <c r="D20" s="104">
        <f>MIN(P20,M20)</f>
        <v/>
      </c>
      <c r="E20" s="104">
        <f>MIN((N20+X20+Y20),M20)</f>
        <v/>
      </c>
      <c r="F20" s="105" t="inlineStr">
        <is>
          <t>CHANDRAPAL NEGI</t>
        </is>
      </c>
      <c r="G20" s="106" t="inlineStr">
        <is>
          <t>LIFESTYLE</t>
        </is>
      </c>
      <c r="H20" s="107" t="inlineStr">
        <is>
          <t>LS_WINTER_ACCESSORIES</t>
        </is>
      </c>
      <c r="I20" s="107" t="inlineStr">
        <is>
          <t>LS_KGW_MUFFLER</t>
        </is>
      </c>
      <c r="J20" s="107" t="inlineStr">
        <is>
          <t>ARTICLE</t>
        </is>
      </c>
      <c r="K20" s="109" t="n">
        <v>26</v>
      </c>
      <c r="L20" s="110" t="n">
        <v>6402</v>
      </c>
      <c r="M20" s="110" t="n">
        <v>16116.9912430307</v>
      </c>
      <c r="N20" s="104" t="n">
        <v>0</v>
      </c>
      <c r="O20" s="104" t="n">
        <v>0</v>
      </c>
      <c r="P20" s="104">
        <f>$N20+O20</f>
        <v/>
      </c>
      <c r="Q20" s="111">
        <f>IFERROR(A20/L20,0)</f>
        <v/>
      </c>
      <c r="R20" s="111">
        <f>IFERROR(B20/M20,0)</f>
        <v/>
      </c>
      <c r="S20" s="111">
        <f>IFERROR(C20/L20,0)</f>
        <v/>
      </c>
      <c r="T20" s="111">
        <f>IFERROR(D20/M20,0)</f>
        <v/>
      </c>
      <c r="V20" s="111">
        <f>IFERROR(E20/M20,0)</f>
        <v/>
      </c>
      <c r="W20" s="104">
        <f>M20-(N20+X20+Y20)</f>
        <v/>
      </c>
      <c r="X20" s="104" t="n">
        <v>24400</v>
      </c>
      <c r="Y20" s="104" t="n">
        <v>0</v>
      </c>
      <c r="Z20" s="104" t="n"/>
      <c r="AA20" s="112" t="n"/>
    </row>
    <row r="21" ht="12.65" customHeight="1" s="79">
      <c r="A21" s="104">
        <f>MIN(N21,L21)</f>
        <v/>
      </c>
      <c r="B21" s="104">
        <f>MIN(N21,M21)</f>
        <v/>
      </c>
      <c r="C21" s="104">
        <f>MIN(P21,L21)</f>
        <v/>
      </c>
      <c r="D21" s="104">
        <f>MIN(P21,M21)</f>
        <v/>
      </c>
      <c r="E21" s="104">
        <f>MIN((N21+X21+Y21),M21)</f>
        <v/>
      </c>
      <c r="F21" s="105" t="inlineStr">
        <is>
          <t>KAMLESH SINGH</t>
        </is>
      </c>
      <c r="G21" s="106" t="inlineStr">
        <is>
          <t>FOOTWEAR</t>
        </is>
      </c>
      <c r="H21" s="107" t="inlineStr">
        <is>
          <t>FW_WINTER_SLIPPER</t>
        </is>
      </c>
      <c r="I21" s="107" t="inlineStr">
        <is>
          <t>FW_L_WINTER SLIPPER</t>
        </is>
      </c>
      <c r="J21" s="107" t="inlineStr">
        <is>
          <t>ARTICLE</t>
        </is>
      </c>
      <c r="K21" s="109" t="n">
        <v>13</v>
      </c>
      <c r="L21" s="110" t="n">
        <v>19764</v>
      </c>
      <c r="M21" s="110" t="n">
        <v>67032.62196584789</v>
      </c>
      <c r="N21" s="104" t="n">
        <v>0</v>
      </c>
      <c r="O21" s="104" t="n">
        <v>18378</v>
      </c>
      <c r="P21" s="104">
        <f>$N21+O21</f>
        <v/>
      </c>
      <c r="Q21" s="111">
        <f>IFERROR(A21/L21,0)</f>
        <v/>
      </c>
      <c r="R21" s="111">
        <f>IFERROR(B21/M21,0)</f>
        <v/>
      </c>
      <c r="S21" s="111">
        <f>IFERROR(C21/L21,0)</f>
        <v/>
      </c>
      <c r="T21" s="111">
        <f>IFERROR(D21/M21,0)</f>
        <v/>
      </c>
      <c r="V21" s="111">
        <f>IFERROR(E21/M21,0)</f>
        <v/>
      </c>
      <c r="W21" s="104">
        <f>M21-(N21+X21+Y21)</f>
        <v/>
      </c>
      <c r="X21" s="104" t="n">
        <v>97600</v>
      </c>
      <c r="Y21" s="104" t="n">
        <v>0</v>
      </c>
      <c r="Z21" s="104" t="n"/>
      <c r="AA21" s="104" t="n"/>
    </row>
    <row r="22" ht="12.65" customHeight="1" s="79">
      <c r="A22" s="104">
        <f>MIN(N22,L22)</f>
        <v/>
      </c>
      <c r="B22" s="104">
        <f>MIN(N22,M22)</f>
        <v/>
      </c>
      <c r="C22" s="104">
        <f>MIN(P22,L22)</f>
        <v/>
      </c>
      <c r="D22" s="104">
        <f>MIN(P22,M22)</f>
        <v/>
      </c>
      <c r="E22" s="104">
        <f>MIN((N22+X22+Y22),M22)</f>
        <v/>
      </c>
      <c r="F22" s="105" t="inlineStr">
        <is>
          <t>KAMLESH SINGH</t>
        </is>
      </c>
      <c r="G22" s="106" t="inlineStr">
        <is>
          <t>FOOTWEAR</t>
        </is>
      </c>
      <c r="H22" s="107" t="inlineStr">
        <is>
          <t>FW_WINTER_SLIPPER</t>
        </is>
      </c>
      <c r="I22" s="107" t="inlineStr">
        <is>
          <t>FW_B_WINTER SLIPPER</t>
        </is>
      </c>
      <c r="J22" s="107" t="inlineStr">
        <is>
          <t>ARTICLE</t>
        </is>
      </c>
      <c r="K22" s="109" t="n">
        <v>17</v>
      </c>
      <c r="L22" s="110" t="n">
        <v>8834</v>
      </c>
      <c r="M22" s="110" t="n">
        <v>51307.0158283423</v>
      </c>
      <c r="N22" s="104" t="n">
        <v>0</v>
      </c>
      <c r="O22" s="104" t="n">
        <v>3600</v>
      </c>
      <c r="P22" s="104">
        <f>$N22+O22</f>
        <v/>
      </c>
      <c r="Q22" s="111">
        <f>IFERROR(A22/L22,0)</f>
        <v/>
      </c>
      <c r="R22" s="111">
        <f>IFERROR(B22/M22,0)</f>
        <v/>
      </c>
      <c r="S22" s="111">
        <f>IFERROR(C22/L22,0)</f>
        <v/>
      </c>
      <c r="T22" s="111">
        <f>IFERROR(D22/M22,0)</f>
        <v/>
      </c>
      <c r="V22" s="111">
        <f>IFERROR(E22/M22,0)</f>
        <v/>
      </c>
      <c r="W22" s="104">
        <f>M22-(N22+X22+Y22)</f>
        <v/>
      </c>
      <c r="X22" s="104" t="n">
        <v>61720</v>
      </c>
      <c r="Y22" s="104" t="n">
        <v>0</v>
      </c>
      <c r="Z22" s="104" t="n"/>
      <c r="AA22" s="112" t="n"/>
    </row>
    <row r="23" ht="12.65" customHeight="1" s="79">
      <c r="A23" s="104">
        <f>MIN(N23,L23)</f>
        <v/>
      </c>
      <c r="B23" s="104">
        <f>MIN(N23,M23)</f>
        <v/>
      </c>
      <c r="C23" s="104">
        <f>MIN(P23,L23)</f>
        <v/>
      </c>
      <c r="D23" s="104">
        <f>MIN(P23,M23)</f>
        <v/>
      </c>
      <c r="E23" s="104">
        <f>MIN((N23+X23+Y23),M23)</f>
        <v/>
      </c>
      <c r="F23" s="105" t="inlineStr">
        <is>
          <t>KAMLESH SINGH</t>
        </is>
      </c>
      <c r="G23" s="106" t="inlineStr">
        <is>
          <t>FOOTWEAR</t>
        </is>
      </c>
      <c r="H23" s="107" t="inlineStr">
        <is>
          <t>FW_WINTER_SLIPPER</t>
        </is>
      </c>
      <c r="I23" s="107" t="inlineStr">
        <is>
          <t>FW_M_WINTER SLIPPER</t>
        </is>
      </c>
      <c r="J23" s="107" t="inlineStr">
        <is>
          <t>ARTICLE</t>
        </is>
      </c>
      <c r="K23" s="109" t="n">
        <v>19</v>
      </c>
      <c r="L23" s="110" t="n">
        <v>17565</v>
      </c>
      <c r="M23" s="110" t="n">
        <v>44155.6937917111</v>
      </c>
      <c r="N23" s="104" t="n">
        <v>0</v>
      </c>
      <c r="O23" s="104" t="n">
        <v>5000</v>
      </c>
      <c r="P23" s="104">
        <f>$N23+O23</f>
        <v/>
      </c>
      <c r="Q23" s="111">
        <f>IFERROR(A23/L23,0)</f>
        <v/>
      </c>
      <c r="R23" s="111">
        <f>IFERROR(B23/M23,0)</f>
        <v/>
      </c>
      <c r="S23" s="111">
        <f>IFERROR(C23/L23,0)</f>
        <v/>
      </c>
      <c r="T23" s="111">
        <f>IFERROR(D23/M23,0)</f>
        <v/>
      </c>
      <c r="V23" s="111">
        <f>IFERROR(E23/M23,0)</f>
        <v/>
      </c>
      <c r="W23" s="104">
        <f>M23-(N23+X23+Y23)</f>
        <v/>
      </c>
      <c r="X23" s="104" t="n">
        <v>53950</v>
      </c>
      <c r="Y23" s="104" t="n">
        <v>0</v>
      </c>
      <c r="Z23" s="104" t="n"/>
      <c r="AA23" s="112" t="n"/>
    </row>
    <row r="24" ht="12.65" customHeight="1" s="79">
      <c r="A24" s="104">
        <f>MIN(N24,L24)</f>
        <v/>
      </c>
      <c r="B24" s="104">
        <f>MIN(N24,M24)</f>
        <v/>
      </c>
      <c r="C24" s="104">
        <f>MIN(P24,L24)</f>
        <v/>
      </c>
      <c r="D24" s="104">
        <f>MIN(P24,M24)</f>
        <v/>
      </c>
      <c r="E24" s="104">
        <f>MIN((N24+X24+Y24),M24)</f>
        <v/>
      </c>
      <c r="F24" s="105" t="inlineStr">
        <is>
          <t>MAHIMA VOHRA</t>
        </is>
      </c>
      <c r="G24" s="106" t="inlineStr">
        <is>
          <t>HOME FURNISHING</t>
        </is>
      </c>
      <c r="H24" s="107" t="inlineStr">
        <is>
          <t>HF_BED LINEN</t>
        </is>
      </c>
      <c r="I24" s="107" t="inlineStr">
        <is>
          <t>HF_BF_BLANKET</t>
        </is>
      </c>
      <c r="J24" s="107" t="inlineStr">
        <is>
          <t>ARTICLE</t>
        </is>
      </c>
      <c r="K24" s="109" t="n">
        <v>1</v>
      </c>
      <c r="L24" s="110" t="n">
        <v>24412</v>
      </c>
      <c r="M24" s="110" t="n">
        <v>96661.1910527892</v>
      </c>
      <c r="N24" s="104" t="n">
        <v>0</v>
      </c>
      <c r="O24" s="104" t="n">
        <v>0</v>
      </c>
      <c r="P24" s="104">
        <f>$N24+O24</f>
        <v/>
      </c>
      <c r="Q24" s="111">
        <f>IFERROR(A24/L24,0)</f>
        <v/>
      </c>
      <c r="R24" s="111">
        <f>IFERROR(B24/M24,0)</f>
        <v/>
      </c>
      <c r="S24" s="111">
        <f>IFERROR(C24/L24,0)</f>
        <v/>
      </c>
      <c r="T24" s="111">
        <f>IFERROR(D24/M24,0)</f>
        <v/>
      </c>
      <c r="V24" s="111">
        <f>IFERROR(E24/M24,0)</f>
        <v/>
      </c>
      <c r="W24" s="104">
        <f>M24-(N24+X24+Y24)</f>
        <v/>
      </c>
      <c r="X24" s="104" t="n">
        <v>102492</v>
      </c>
      <c r="Y24" s="104" t="n">
        <v>0</v>
      </c>
      <c r="Z24" s="104" t="n"/>
      <c r="AA24" s="104" t="n"/>
    </row>
    <row r="25" ht="12.65" customHeight="1" s="79">
      <c r="A25" s="104">
        <f>MIN(N25,L25)</f>
        <v/>
      </c>
      <c r="B25" s="104">
        <f>MIN(N25,M25)</f>
        <v/>
      </c>
      <c r="C25" s="104">
        <f>MIN(P25,L25)</f>
        <v/>
      </c>
      <c r="D25" s="104">
        <f>MIN(P25,M25)</f>
        <v/>
      </c>
      <c r="E25" s="104">
        <f>MIN((N25+X25+Y25),M25)</f>
        <v/>
      </c>
      <c r="F25" s="105" t="inlineStr">
        <is>
          <t>MAHIMA VOHRA</t>
        </is>
      </c>
      <c r="G25" s="106" t="inlineStr">
        <is>
          <t>HOME FURNISHING</t>
        </is>
      </c>
      <c r="H25" s="107" t="inlineStr">
        <is>
          <t>HF_BED LINEN</t>
        </is>
      </c>
      <c r="I25" s="107" t="inlineStr">
        <is>
          <t>HF_BF_POLAR</t>
        </is>
      </c>
      <c r="J25" s="107" t="inlineStr">
        <is>
          <t>ARTICLE</t>
        </is>
      </c>
      <c r="K25" s="109" t="n">
        <v>23</v>
      </c>
      <c r="L25" s="110" t="n">
        <v>31256</v>
      </c>
      <c r="M25" s="110" t="n">
        <v>59332.2226440725</v>
      </c>
      <c r="N25" s="104" t="n">
        <v>0</v>
      </c>
      <c r="O25" s="104" t="n">
        <v>0</v>
      </c>
      <c r="P25" s="104">
        <f>$N25+O25</f>
        <v/>
      </c>
      <c r="Q25" s="111">
        <f>IFERROR(A25/L25,0)</f>
        <v/>
      </c>
      <c r="R25" s="111">
        <f>IFERROR(B25/M25,0)</f>
        <v/>
      </c>
      <c r="S25" s="111">
        <f>IFERROR(C25/L25,0)</f>
        <v/>
      </c>
      <c r="T25" s="111">
        <f>IFERROR(D25/M25,0)</f>
        <v/>
      </c>
      <c r="V25" s="111">
        <f>IFERROR(E25/M25,0)</f>
        <v/>
      </c>
      <c r="W25" s="104">
        <f>M25-(N25+X25+Y25)</f>
        <v/>
      </c>
      <c r="X25" s="104" t="n">
        <v>50004</v>
      </c>
      <c r="Y25" s="104" t="n">
        <v>0</v>
      </c>
      <c r="Z25" s="104" t="n"/>
      <c r="AA25" s="112" t="n"/>
    </row>
    <row r="26" ht="12.65" customHeight="1" s="79">
      <c r="A26" s="104">
        <f>MIN(N26,L26)</f>
        <v/>
      </c>
      <c r="B26" s="104">
        <f>MIN(N26,M26)</f>
        <v/>
      </c>
      <c r="C26" s="104">
        <f>MIN(P26,L26)</f>
        <v/>
      </c>
      <c r="D26" s="104">
        <f>MIN(P26,M26)</f>
        <v/>
      </c>
      <c r="E26" s="104">
        <f>MIN((N26+X26+Y26),M26)</f>
        <v/>
      </c>
      <c r="F26" s="105" t="inlineStr">
        <is>
          <t>MAHIMA VOHRA</t>
        </is>
      </c>
      <c r="G26" s="106" t="inlineStr">
        <is>
          <t>HOME FURNISHING</t>
        </is>
      </c>
      <c r="H26" s="107" t="inlineStr">
        <is>
          <t>HF_BED LINEN</t>
        </is>
      </c>
      <c r="I26" s="107" t="inlineStr">
        <is>
          <t>HF_BF_QUILT</t>
        </is>
      </c>
      <c r="J26" s="107" t="inlineStr">
        <is>
          <t>ARTICLE</t>
        </is>
      </c>
      <c r="K26" s="109" t="n">
        <v>2</v>
      </c>
      <c r="L26" s="110" t="n">
        <v>2837</v>
      </c>
      <c r="M26" s="110" t="n">
        <v>41372.3055064533</v>
      </c>
      <c r="N26" s="104" t="n">
        <v>0</v>
      </c>
      <c r="O26" s="104" t="n">
        <v>0</v>
      </c>
      <c r="P26" s="104">
        <f>$N26+O26</f>
        <v/>
      </c>
      <c r="Q26" s="111">
        <f>IFERROR(A26/L26,0)</f>
        <v/>
      </c>
      <c r="R26" s="111">
        <f>IFERROR(B26/M26,0)</f>
        <v/>
      </c>
      <c r="S26" s="111">
        <f>IFERROR(C26/L26,0)</f>
        <v/>
      </c>
      <c r="T26" s="111">
        <f>IFERROR(D26/M26,0)</f>
        <v/>
      </c>
      <c r="V26" s="111">
        <f>IFERROR(E26/M26,0)</f>
        <v/>
      </c>
      <c r="W26" s="104">
        <f>M26-(N26+X26+Y26)</f>
        <v/>
      </c>
      <c r="X26" s="104" t="n">
        <v>36210</v>
      </c>
      <c r="Y26" s="104" t="n">
        <v>0</v>
      </c>
      <c r="Z26" s="104" t="n"/>
      <c r="AA26" s="104" t="n"/>
    </row>
    <row r="27" ht="12.65" customHeight="1" s="79">
      <c r="A27" s="104">
        <f>MIN(N27,L27)</f>
        <v/>
      </c>
      <c r="B27" s="104">
        <f>MIN(N27,M27)</f>
        <v/>
      </c>
      <c r="C27" s="104">
        <f>MIN(P27,L27)</f>
        <v/>
      </c>
      <c r="D27" s="104">
        <f>MIN(P27,M27)</f>
        <v/>
      </c>
      <c r="E27" s="104">
        <f>MIN((N27+X27+Y27),M27)</f>
        <v/>
      </c>
      <c r="F27" s="105" t="inlineStr">
        <is>
          <t>MAHIMA VOHRA</t>
        </is>
      </c>
      <c r="G27" s="106" t="inlineStr">
        <is>
          <t>HOME FURNISHING</t>
        </is>
      </c>
      <c r="H27" s="107" t="inlineStr">
        <is>
          <t>HF_BED LINEN</t>
        </is>
      </c>
      <c r="I27" s="107" t="inlineStr">
        <is>
          <t>HF_BF_COMFORTER</t>
        </is>
      </c>
      <c r="J27" s="107" t="inlineStr">
        <is>
          <t>ARTICLE</t>
        </is>
      </c>
      <c r="K27" s="109" t="n">
        <v>12</v>
      </c>
      <c r="L27" s="110" t="n">
        <v>15617</v>
      </c>
      <c r="M27" s="110" t="n">
        <v>35560.237852279</v>
      </c>
      <c r="N27" s="104" t="n">
        <v>2736</v>
      </c>
      <c r="O27" s="104" t="n">
        <v>0</v>
      </c>
      <c r="P27" s="104">
        <f>$N27+O27</f>
        <v/>
      </c>
      <c r="Q27" s="111">
        <f>IFERROR(A27/L27,0)</f>
        <v/>
      </c>
      <c r="R27" s="111">
        <f>IFERROR(B27/M27,0)</f>
        <v/>
      </c>
      <c r="S27" s="111">
        <f>IFERROR(C27/L27,0)</f>
        <v/>
      </c>
      <c r="T27" s="111">
        <f>IFERROR(D27/M27,0)</f>
        <v/>
      </c>
      <c r="V27" s="111">
        <f>IFERROR(E27/M27,0)</f>
        <v/>
      </c>
      <c r="W27" s="104">
        <f>M27-(N27+X27+Y27)</f>
        <v/>
      </c>
      <c r="X27" s="104" t="n">
        <v>36276</v>
      </c>
      <c r="Y27" s="104" t="n">
        <v>0</v>
      </c>
      <c r="Z27" s="104" t="n"/>
      <c r="AA27" s="112" t="n"/>
    </row>
    <row r="28" ht="12.65" customHeight="1" s="79">
      <c r="A28" s="104">
        <f>MIN(N28,L28)</f>
        <v/>
      </c>
      <c r="B28" s="104">
        <f>MIN(N28,M28)</f>
        <v/>
      </c>
      <c r="C28" s="104">
        <f>MIN(P28,L28)</f>
        <v/>
      </c>
      <c r="D28" s="104">
        <f>MIN(P28,M28)</f>
        <v/>
      </c>
      <c r="E28" s="104">
        <f>MIN((N28+X28+Y28),M28)</f>
        <v/>
      </c>
      <c r="F28" s="105" t="inlineStr">
        <is>
          <t>MAHIMA VOHRA</t>
        </is>
      </c>
      <c r="G28" s="106" t="inlineStr">
        <is>
          <t>HOME FURNISHING</t>
        </is>
      </c>
      <c r="H28" s="107" t="inlineStr">
        <is>
          <t>HF_BED LINEN</t>
        </is>
      </c>
      <c r="I28" s="107" t="inlineStr">
        <is>
          <t>HF_BF_FLANEL</t>
        </is>
      </c>
      <c r="J28" s="107" t="inlineStr">
        <is>
          <t>ARTICLE</t>
        </is>
      </c>
      <c r="K28" s="109" t="n">
        <v>18</v>
      </c>
      <c r="L28" s="110" t="n">
        <v>16568</v>
      </c>
      <c r="M28" s="110" t="n">
        <v>31869.4278094803</v>
      </c>
      <c r="N28" s="104" t="n">
        <v>8088</v>
      </c>
      <c r="O28" s="104" t="n">
        <v>0</v>
      </c>
      <c r="P28" s="104">
        <f>$N28+O28</f>
        <v/>
      </c>
      <c r="Q28" s="111">
        <f>IFERROR(A28/L28,0)</f>
        <v/>
      </c>
      <c r="R28" s="111">
        <f>IFERROR(B28/M28,0)</f>
        <v/>
      </c>
      <c r="S28" s="111">
        <f>IFERROR(C28/L28,0)</f>
        <v/>
      </c>
      <c r="T28" s="111">
        <f>IFERROR(D28/M28,0)</f>
        <v/>
      </c>
      <c r="V28" s="111">
        <f>IFERROR(E28/M28,0)</f>
        <v/>
      </c>
      <c r="W28" s="104">
        <f>M28-(N28+X28+Y28)</f>
        <v/>
      </c>
      <c r="X28" s="104" t="n">
        <v>27204</v>
      </c>
      <c r="Y28" s="104" t="n">
        <v>0</v>
      </c>
      <c r="Z28" s="104" t="n"/>
      <c r="AA28" s="104" t="n"/>
    </row>
    <row r="29" ht="12.65" customHeight="1" s="79">
      <c r="A29" s="104">
        <f>MIN(N29,L29)</f>
        <v/>
      </c>
      <c r="B29" s="104">
        <f>MIN(N29,M29)</f>
        <v/>
      </c>
      <c r="C29" s="104">
        <f>MIN(P29,L29)</f>
        <v/>
      </c>
      <c r="D29" s="104">
        <f>MIN(P29,M29)</f>
        <v/>
      </c>
      <c r="E29" s="104">
        <f>MIN((N29+X29+Y29),M29)</f>
        <v/>
      </c>
      <c r="F29" s="105" t="inlineStr">
        <is>
          <t>MAHIMA VOHRA</t>
        </is>
      </c>
      <c r="G29" s="106" t="inlineStr">
        <is>
          <t>NON FOOD</t>
        </is>
      </c>
      <c r="H29" s="107" t="inlineStr">
        <is>
          <t>NF_BEAUTY CARE</t>
        </is>
      </c>
      <c r="I29" s="107" t="inlineStr">
        <is>
          <t>NF_B_LOTION</t>
        </is>
      </c>
      <c r="J29" s="107" t="inlineStr">
        <is>
          <t>ARTICLE</t>
        </is>
      </c>
      <c r="K29" s="109" t="n">
        <v>4</v>
      </c>
      <c r="L29" s="110" t="n">
        <v>141387</v>
      </c>
      <c r="M29" s="110" t="n">
        <v>260331.508669846</v>
      </c>
      <c r="N29" s="104" t="n">
        <v>30600</v>
      </c>
      <c r="O29" s="104" t="n">
        <v>28320</v>
      </c>
      <c r="P29" s="104">
        <f>$N29+O29</f>
        <v/>
      </c>
      <c r="Q29" s="111">
        <f>IFERROR(A29/L29,0)</f>
        <v/>
      </c>
      <c r="R29" s="111">
        <f>IFERROR(B29/M29,0)</f>
        <v/>
      </c>
      <c r="S29" s="111">
        <f>IFERROR(C29/L29,0)</f>
        <v/>
      </c>
      <c r="T29" s="111">
        <f>IFERROR(D29/M29,0)</f>
        <v/>
      </c>
      <c r="V29" s="111">
        <f>IFERROR(E29/M29,0)</f>
        <v/>
      </c>
      <c r="W29" s="104">
        <f>M29-(N29+X29+Y29)</f>
        <v/>
      </c>
      <c r="X29" s="104" t="n">
        <v>223560</v>
      </c>
      <c r="Y29" s="104" t="n">
        <v>0</v>
      </c>
      <c r="Z29" s="104" t="n"/>
      <c r="AA29" s="104" t="n"/>
    </row>
    <row r="30" ht="12.65" customHeight="1" s="79">
      <c r="A30" s="104">
        <f>MIN(N30,L30)</f>
        <v/>
      </c>
      <c r="B30" s="104">
        <f>MIN(N30,M30)</f>
        <v/>
      </c>
      <c r="C30" s="104">
        <f>MIN(P30,L30)</f>
        <v/>
      </c>
      <c r="D30" s="104">
        <f>MIN(P30,M30)</f>
        <v/>
      </c>
      <c r="E30" s="104">
        <f>MIN((N30+X30+Y30),M30)</f>
        <v/>
      </c>
      <c r="F30" s="105" t="inlineStr">
        <is>
          <t>MAHIMA VOHRA</t>
        </is>
      </c>
      <c r="G30" s="106" t="inlineStr">
        <is>
          <t>NON FOOD</t>
        </is>
      </c>
      <c r="H30" s="107" t="inlineStr">
        <is>
          <t>NF_BEAUTY CARE</t>
        </is>
      </c>
      <c r="I30" s="107" t="inlineStr">
        <is>
          <t>NF_B_CREME</t>
        </is>
      </c>
      <c r="J30" s="107" t="inlineStr">
        <is>
          <t>ARTICLE</t>
        </is>
      </c>
      <c r="K30" s="109" t="n">
        <v>16</v>
      </c>
      <c r="L30" s="110" t="n">
        <v>55851</v>
      </c>
      <c r="M30" s="110" t="n">
        <v>108317.720944507</v>
      </c>
      <c r="N30" s="104" t="n">
        <v>27840</v>
      </c>
      <c r="O30" s="104" t="n">
        <v>0</v>
      </c>
      <c r="P30" s="104">
        <f>$N30+O30</f>
        <v/>
      </c>
      <c r="Q30" s="111">
        <f>IFERROR(A30/L30,0)</f>
        <v/>
      </c>
      <c r="R30" s="111">
        <f>IFERROR(B30/M30,0)</f>
        <v/>
      </c>
      <c r="S30" s="111">
        <f>IFERROR(C30/L30,0)</f>
        <v/>
      </c>
      <c r="T30" s="111">
        <f>IFERROR(D30/M30,0)</f>
        <v/>
      </c>
      <c r="V30" s="111">
        <f>IFERROR(E30/M30,0)</f>
        <v/>
      </c>
      <c r="W30" s="104">
        <f>M30-(N30+X30+Y30)</f>
        <v/>
      </c>
      <c r="X30" s="104" t="n">
        <v>70320</v>
      </c>
      <c r="Y30" s="104" t="n">
        <v>0</v>
      </c>
      <c r="Z30" s="104" t="n"/>
      <c r="AA30" s="104" t="n"/>
    </row>
    <row r="31" ht="12.65" customHeight="1" s="79">
      <c r="A31" s="123">
        <f>SUBTOTAL(9,A5:A30)</f>
        <v/>
      </c>
      <c r="B31" s="123">
        <f>SUBTOTAL(9,B5:B30)</f>
        <v/>
      </c>
      <c r="C31" s="123">
        <f>SUBTOTAL(9,C5:C30)</f>
        <v/>
      </c>
      <c r="D31" s="123">
        <f>SUBTOTAL(9,D5:D30)</f>
        <v/>
      </c>
      <c r="E31" s="123">
        <f>SUBTOTAL(9,E5:E30)</f>
        <v/>
      </c>
      <c r="F31" s="90" t="n"/>
      <c r="G31" s="91" t="n"/>
      <c r="H31" s="92" t="n"/>
      <c r="I31" s="92" t="n"/>
      <c r="J31" s="92" t="n"/>
      <c r="K31" s="90" t="n"/>
      <c r="L31" s="123">
        <f>SUBTOTAL(9,L5:L30)</f>
        <v/>
      </c>
      <c r="M31" s="123">
        <f>SUBTOTAL(9,M5:M30)</f>
        <v/>
      </c>
      <c r="N31" s="123">
        <f>SUBTOTAL(9,N5:N30)</f>
        <v/>
      </c>
      <c r="O31" s="123">
        <f>SUBTOTAL(9,O5:O30)</f>
        <v/>
      </c>
      <c r="P31" s="123">
        <f>SUBTOTAL(9,P5:P30)</f>
        <v/>
      </c>
      <c r="Q31" s="111">
        <f>IFERROR(A31/L31,0)</f>
        <v/>
      </c>
      <c r="R31" s="111">
        <f>IFERROR(B31/M31,0)</f>
        <v/>
      </c>
      <c r="S31" s="111">
        <f>IFERROR(C31/L31,0)</f>
        <v/>
      </c>
      <c r="T31" s="111">
        <f>IFERROR(D31/M31,0)</f>
        <v/>
      </c>
      <c r="V31" s="118">
        <f>IFERROR(E31/M31,0)</f>
        <v/>
      </c>
      <c r="W31" s="123">
        <f>M31-(N31+X31+Y31)</f>
        <v/>
      </c>
      <c r="X31" s="123">
        <f>SUBTOTAL(9,X5:X30)</f>
        <v/>
      </c>
      <c r="Y31" s="123">
        <f>SUBTOTAL(9,Y5:Y30)</f>
        <v/>
      </c>
      <c r="Z31" s="124" t="n"/>
      <c r="AA31" s="124" t="n"/>
    </row>
  </sheetData>
  <autoFilter ref="A4:AA30"/>
  <mergeCells count="3">
    <mergeCell ref="V1:W1"/>
    <mergeCell ref="S1:T1"/>
    <mergeCell ref="Q1:R1"/>
  </mergeCells>
  <conditionalFormatting sqref="Z5:Z30">
    <cfRule type="containsText" rank="0" priority="2" equalAverage="0" operator="containsText" aboveAverage="0" dxfId="10" text="ASN HOLD" percent="0" bottom="0">
      <formula>NOT(ISERROR(SEARCH("ASN HOLD",Z5)))</formula>
    </cfRule>
    <cfRule type="containsText" rank="0" priority="3" equalAverage="0" operator="containsText" aboveAverage="0" dxfId="11" text="ASN TILL 60% VISIBILITY" percent="0" bottom="0">
      <formula>NOT(ISERROR(SEARCH("ASN TILL 60% VISIBILITY",Z5)))</formula>
    </cfRule>
  </conditionalFormatting>
  <conditionalFormatting sqref="Z6:Z30">
    <cfRule type="containsText" rank="0" priority="4" equalAverage="0" operator="containsText" aboveAverage="0" dxfId="10" text="NO ASN" percent="0" bottom="0">
      <formula>NOT(ISERROR(SEARCH("NO ASN",Z6)))</formula>
    </cfRule>
  </conditionalFormatting>
  <conditionalFormatting sqref="W5:W31">
    <cfRule type="cellIs" rank="0" priority="5" equalAverage="0" operator="lessThan" aboveAverage="0" dxfId="13" text="" percent="0" bottom="0">
      <formula>0</formula>
    </cfRule>
    <cfRule type="cellIs" rank="0" priority="6" equalAverage="0" operator="greaterThan" aboveAverage="0" dxfId="14" text="" percent="0" bottom="0">
      <formula>0</formula>
    </cfRule>
  </conditionalFormatting>
  <conditionalFormatting sqref="Q5:T31 V5:V31">
    <cfRule type="cellIs" rank="0" priority="7" equalAverage="0" operator="greaterThan" aboveAverage="0" dxfId="15" text="" percent="0" bottom="0">
      <formula>1</formula>
    </cfRule>
    <cfRule type="cellIs" rank="0" priority="8" equalAverage="0" operator="between" aboveAverage="0" dxfId="16" text="" percent="0" bottom="0">
      <formula>0.8</formula>
      <formula>1</formula>
    </cfRule>
    <cfRule type="cellIs" rank="0" priority="9" equalAverage="0" operator="lessThanOrEqual" aboveAverage="0" dxfId="10" text="" percent="0" bottom="0">
      <formula>0.79</formula>
    </cfRule>
  </conditionalFormatting>
  <conditionalFormatting sqref="L5:M30">
    <cfRule type="cellIs" rank="0" priority="10" equalAverage="0" operator="lessThan" aboveAverage="0" dxfId="10" text="" percent="0" bottom="0">
      <formula>0</formula>
    </cfRule>
  </conditionalFormatting>
  <conditionalFormatting sqref="I5:I30">
    <cfRule type="duplicateValues" rank="0" priority="11" equalAverage="0" aboveAverage="0" dxfId="10" text="" percent="0" bottom="0"/>
    <cfRule type="duplicateValues" rank="0" priority="12" equalAverage="0" aboveAverage="0" dxfId="1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D966"/>
    <outlinePr summaryBelow="1" summaryRight="1"/>
    <pageSetUpPr fitToPage="0"/>
  </sheetPr>
  <dimension ref="A1:AB82"/>
  <sheetViews>
    <sheetView showFormulas="0" showGridLines="0" showRowColHeaders="1" showZeros="1" rightToLeft="0" tabSelected="0" showOutlineSymbols="1" defaultGridColor="1" view="normal" topLeftCell="F1" colorId="64" zoomScale="100" zoomScaleNormal="100" zoomScalePageLayoutView="100" workbookViewId="0">
      <pane xSplit="0" ySplit="4" topLeftCell="A5" activePane="bottomLeft" state="frozen"/>
      <selection pane="topLeft" activeCell="F1" activeCellId="0" sqref="F1"/>
      <selection pane="bottomLeft" activeCell="F3" activeCellId="0" sqref="F3"/>
    </sheetView>
  </sheetViews>
  <sheetFormatPr baseColWidth="8" defaultColWidth="9.19921875" defaultRowHeight="10.75" customHeight="0" zeroHeight="0" outlineLevelRow="0"/>
  <cols>
    <col hidden="1" outlineLevel="1" width="7.59" customWidth="1" style="77" min="1" max="1"/>
    <col hidden="1" outlineLevel="1" width="9.789999999999999" customWidth="1" style="77" min="2" max="2"/>
    <col hidden="1" outlineLevel="1" width="16.5" customWidth="1" style="77" min="3" max="3"/>
    <col hidden="1" outlineLevel="1" width="16.7" customWidth="1" style="77" min="4" max="4"/>
    <col hidden="1" outlineLevel="1" width="10.9" customWidth="1" style="77" min="5" max="5"/>
    <col width="11.5" customWidth="1" style="77" min="6" max="6"/>
    <col width="9.300000000000001" customWidth="1" style="77" min="7" max="7"/>
    <col width="9.789999999999999" customWidth="1" style="77" min="8" max="8"/>
    <col width="11.5" customWidth="1" style="77" min="9" max="9"/>
    <col width="14.1" customWidth="1" style="77" min="10" max="10"/>
    <col width="9.4" customWidth="1" style="77" min="11" max="11"/>
    <col width="6.2" customWidth="1" style="77" min="12" max="12"/>
    <col width="8.300000000000001" customWidth="1" style="77" min="13" max="13"/>
    <col width="8.699999999999999" customWidth="1" style="77" min="14" max="14"/>
    <col width="6.9" customWidth="1" style="77" min="15" max="15"/>
    <col width="9.9" customWidth="1" style="77" min="16" max="16"/>
    <col width="11.3" customWidth="1" style="77" min="17" max="17"/>
    <col width="9.6" customWidth="1" style="77" min="18" max="19"/>
    <col width="10" customWidth="1" style="77" min="20" max="21"/>
    <col width="0.79" customWidth="1" style="78" min="22" max="22"/>
    <col width="10" customWidth="1" style="77" min="23" max="24"/>
    <col width="8" customWidth="1" style="77" min="25" max="26"/>
    <col width="10.79" customWidth="1" style="77" min="27" max="27"/>
    <col width="12.3" customWidth="1" style="77" min="28" max="28"/>
    <col width="9.199999999999999" customWidth="1" style="77" min="29" max="16384"/>
  </cols>
  <sheetData>
    <row r="1" ht="10.75" customHeight="1" s="79">
      <c r="A1" s="80" t="inlineStr">
        <is>
          <t>MIN VALUE</t>
        </is>
      </c>
      <c r="B1" s="80" t="inlineStr">
        <is>
          <t>MIN VALUE</t>
        </is>
      </c>
      <c r="C1" s="80" t="inlineStr">
        <is>
          <t>MIN VALUE</t>
        </is>
      </c>
      <c r="D1" s="80" t="inlineStr">
        <is>
          <t>MIN VALUE</t>
        </is>
      </c>
      <c r="E1" s="80" t="inlineStr">
        <is>
          <t>MIN VALUE</t>
        </is>
      </c>
      <c r="O1" s="81" t="n"/>
      <c r="R1" s="82" t="inlineStr">
        <is>
          <t>GRC</t>
        </is>
      </c>
      <c r="S1" s="83" t="n"/>
      <c r="T1" s="82" t="inlineStr">
        <is>
          <t>GRC &amp; ASN</t>
        </is>
      </c>
      <c r="U1" s="83" t="n"/>
      <c r="W1" s="82" t="inlineStr">
        <is>
          <t>GRC &amp; PPO</t>
        </is>
      </c>
      <c r="X1" s="83" t="n"/>
    </row>
    <row r="2" ht="10.75" customHeight="1" s="79">
      <c r="A2" s="120">
        <f>SUBTOTAL(9,A5:A81)</f>
        <v/>
      </c>
      <c r="B2" s="120">
        <f>SUBTOTAL(9,B5:B81)</f>
        <v/>
      </c>
      <c r="C2" s="120">
        <f>SUBTOTAL(9,C5:C81)</f>
        <v/>
      </c>
      <c r="D2" s="120">
        <f>SUBTOTAL(9,D5:D81)</f>
        <v/>
      </c>
      <c r="E2" s="120">
        <f>SUBTOTAL(9,E5:E81)</f>
        <v/>
      </c>
      <c r="M2" s="120">
        <f>SUBTOTAL(9,M5:M81)</f>
        <v/>
      </c>
      <c r="N2" s="120">
        <f>SUBTOTAL(9,N5:N81)</f>
        <v/>
      </c>
      <c r="O2" s="120">
        <f>SUBTOTAL(9,O5:O81)</f>
        <v/>
      </c>
      <c r="P2" s="120">
        <f>SUBTOTAL(9,P5:P81)</f>
        <v/>
      </c>
      <c r="Q2" s="120">
        <f>SUBTOTAL(9,Q5:Q81)</f>
        <v/>
      </c>
      <c r="R2" s="88">
        <f>IFERROR(A2/M2,0)</f>
        <v/>
      </c>
      <c r="S2" s="88">
        <f>IFERROR(B2/N2,0)</f>
        <v/>
      </c>
      <c r="T2" s="88">
        <f>IFERROR(C2/M2,0)</f>
        <v/>
      </c>
      <c r="U2" s="88">
        <f>IFERROR(D2/N2,0)</f>
        <v/>
      </c>
      <c r="W2" s="88">
        <f>IFERROR(E2/N2,0)</f>
        <v/>
      </c>
      <c r="X2" s="120">
        <f>N2-(O2+Y2+Z2)</f>
        <v/>
      </c>
      <c r="Y2" s="120">
        <f>SUBTOTAL(9,Y5:Y81)</f>
        <v/>
      </c>
      <c r="Z2" s="120">
        <f>SUBTOTAL(9,Z5:Z81)</f>
        <v/>
      </c>
      <c r="AA2" s="81" t="n"/>
    </row>
    <row r="3" ht="25" customHeight="1" s="79">
      <c r="A3" s="89" t="inlineStr">
        <is>
          <t>(SEP BP) vs (GRC)</t>
        </is>
      </c>
      <c r="B3" s="89" t="inlineStr">
        <is>
          <t>(WINTER BP) vs (GRC)</t>
        </is>
      </c>
      <c r="C3" s="89" t="inlineStr">
        <is>
          <t>(SEP BP) vs (GRC + FLOOR + IN_TRANSIT)</t>
        </is>
      </c>
      <c r="D3" s="89" t="inlineStr">
        <is>
          <t>(WINTER BP) vs (GRC + FLOOR + IN_TRANSIT)</t>
        </is>
      </c>
      <c r="E3" s="89" t="inlineStr">
        <is>
          <t>(WINTER BP) vs (GRC + PPO)</t>
        </is>
      </c>
      <c r="F3" s="90" t="inlineStr">
        <is>
          <t>MERCHANT</t>
        </is>
      </c>
      <c r="G3" s="91" t="inlineStr">
        <is>
          <t>DIVISION</t>
        </is>
      </c>
      <c r="H3" s="92" t="inlineStr">
        <is>
          <t>SECTION</t>
        </is>
      </c>
      <c r="I3" s="92" t="inlineStr">
        <is>
          <t>DEPARTMENT</t>
        </is>
      </c>
      <c r="J3" s="92" t="inlineStr">
        <is>
          <t>ARTICLE NAME</t>
        </is>
      </c>
      <c r="K3" s="92" t="inlineStr">
        <is>
          <t>ART_STATUS</t>
        </is>
      </c>
      <c r="L3" s="93" t="inlineStr">
        <is>
          <t>SALE 
RANK</t>
        </is>
      </c>
      <c r="M3" s="93" t="inlineStr">
        <is>
          <t>SEP
BUY_PLAN</t>
        </is>
      </c>
      <c r="N3" s="93" t="inlineStr">
        <is>
          <t>WINTER
 BUY_PLAN</t>
        </is>
      </c>
      <c r="O3" s="94" t="inlineStr">
        <is>
          <t>SEP
GRC QTY</t>
        </is>
      </c>
      <c r="P3" s="95" t="inlineStr">
        <is>
          <t>FLOOR + 
IN_TRANSIT</t>
        </is>
      </c>
      <c r="Q3" s="95" t="inlineStr">
        <is>
          <t>GRC + FLOOR + 
IN_TRANSIT</t>
        </is>
      </c>
      <c r="R3" s="96" t="inlineStr">
        <is>
          <t>SEP
FILL RATE %</t>
        </is>
      </c>
      <c r="S3" s="96" t="inlineStr">
        <is>
          <t>WINTER 
FILL RATE %</t>
        </is>
      </c>
      <c r="T3" s="96" t="inlineStr">
        <is>
          <t>SEP
VISIBILITY %</t>
        </is>
      </c>
      <c r="U3" s="96" t="inlineStr">
        <is>
          <t>WINTER VISIBILITY %</t>
        </is>
      </c>
      <c r="W3" s="93" t="inlineStr">
        <is>
          <t>PO VISIBILITY %</t>
        </is>
      </c>
      <c r="X3" s="93" t="inlineStr">
        <is>
          <t>COVERAGE QTY</t>
        </is>
      </c>
      <c r="Y3" s="93" t="inlineStr">
        <is>
          <t>PPO QTY (SYS)</t>
        </is>
      </c>
      <c r="Z3" s="93" t="inlineStr">
        <is>
          <t>PPO QTY (MANUAL)</t>
        </is>
      </c>
      <c r="AA3" s="93" t="inlineStr">
        <is>
          <t>REMARKS  (BY_PO_TEAM)</t>
        </is>
      </c>
      <c r="AB3" s="93" t="inlineStr">
        <is>
          <t>REMARKS  (BY_MERCHANT)</t>
        </is>
      </c>
    </row>
    <row r="4" ht="11.15" customHeight="1" s="79">
      <c r="A4" s="121" t="n"/>
      <c r="B4" s="121" t="n"/>
      <c r="C4" s="121" t="n"/>
      <c r="D4" s="121" t="n"/>
      <c r="E4" s="121" t="n"/>
      <c r="F4" s="100" t="n"/>
      <c r="G4" s="101" t="n"/>
      <c r="H4" s="102" t="n"/>
      <c r="I4" s="102" t="n"/>
      <c r="J4" s="102" t="n"/>
      <c r="K4" s="102" t="n"/>
      <c r="L4" s="100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W4" s="122" t="n"/>
      <c r="X4" s="122" t="n"/>
      <c r="Y4" s="122" t="n"/>
      <c r="Z4" s="122" t="n"/>
      <c r="AA4" s="122" t="n"/>
      <c r="AB4" s="122" t="n"/>
    </row>
    <row r="5" ht="12.65" customHeight="1" s="79">
      <c r="A5" s="104">
        <f>MIN(O5,M5)</f>
        <v/>
      </c>
      <c r="B5" s="104">
        <f>MIN(O5,N5)</f>
        <v/>
      </c>
      <c r="C5" s="104">
        <f>MIN(Q5,M5)</f>
        <v/>
      </c>
      <c r="D5" s="104">
        <f>MIN(Q5,N5)</f>
        <v/>
      </c>
      <c r="E5" s="104">
        <f>MIN((O5+Y5+Z5),N5)</f>
        <v/>
      </c>
      <c r="F5" s="105" t="inlineStr">
        <is>
          <t>CHANDRAPAL NEGI</t>
        </is>
      </c>
      <c r="G5" s="106" t="inlineStr">
        <is>
          <t>LIFESTYLE</t>
        </is>
      </c>
      <c r="H5" s="107" t="inlineStr">
        <is>
          <t>LS_WINTER_ACCESSORIES</t>
        </is>
      </c>
      <c r="I5" s="107" t="inlineStr">
        <is>
          <t>LS_KBW_GLOVES</t>
        </is>
      </c>
      <c r="J5" s="107" t="inlineStr">
        <is>
          <t>GLOVES 99-[LSKBW02]</t>
        </is>
      </c>
      <c r="K5" s="107" t="inlineStr">
        <is>
          <t>ACTIVE</t>
        </is>
      </c>
      <c r="L5" s="109" t="n">
        <v>25</v>
      </c>
      <c r="M5" s="110" t="n">
        <v>12280</v>
      </c>
      <c r="N5" s="110" t="n">
        <v>33591.7409066685</v>
      </c>
      <c r="O5" s="104" t="n">
        <v>0</v>
      </c>
      <c r="P5" s="104" t="n">
        <v>35400</v>
      </c>
      <c r="Q5" s="104">
        <f>$O5+P5</f>
        <v/>
      </c>
      <c r="R5" s="111">
        <f>IFERROR(A5/M5,0)</f>
        <v/>
      </c>
      <c r="S5" s="111">
        <f>IFERROR(B5/N5,0)</f>
        <v/>
      </c>
      <c r="T5" s="111">
        <f>IFERROR(C5/M5,0)</f>
        <v/>
      </c>
      <c r="U5" s="111">
        <f>IFERROR(D5/N5,0)</f>
        <v/>
      </c>
      <c r="W5" s="111">
        <f>IFERROR(E5/N5,0)</f>
        <v/>
      </c>
      <c r="X5" s="125">
        <f>N5-(O5+Y5+Z5)</f>
        <v/>
      </c>
      <c r="Y5" s="104" t="n">
        <v>37800</v>
      </c>
      <c r="Z5" s="104" t="n">
        <v>0</v>
      </c>
      <c r="AA5" s="104" t="n"/>
      <c r="AB5" s="112" t="n"/>
    </row>
    <row r="6" ht="12.65" customHeight="1" s="79">
      <c r="A6" s="104">
        <f>MIN(O6,M6)</f>
        <v/>
      </c>
      <c r="B6" s="104">
        <f>MIN(O6,N6)</f>
        <v/>
      </c>
      <c r="C6" s="104">
        <f>MIN(Q6,M6)</f>
        <v/>
      </c>
      <c r="D6" s="104">
        <f>MIN(Q6,N6)</f>
        <v/>
      </c>
      <c r="E6" s="104">
        <f>MIN((O6+Y6+Z6),N6)</f>
        <v/>
      </c>
      <c r="F6" s="105" t="inlineStr">
        <is>
          <t>CHANDRAPAL NEGI</t>
        </is>
      </c>
      <c r="G6" s="106" t="inlineStr">
        <is>
          <t>LIFESTYLE</t>
        </is>
      </c>
      <c r="H6" s="107" t="inlineStr">
        <is>
          <t>LS_WINTER_ACCESSORIES</t>
        </is>
      </c>
      <c r="I6" s="107" t="inlineStr">
        <is>
          <t>LS_KBW_GLOVES</t>
        </is>
      </c>
      <c r="J6" s="107" t="inlineStr">
        <is>
          <t>GLOVES 49-[LSKBW02]</t>
        </is>
      </c>
      <c r="K6" s="107" t="inlineStr">
        <is>
          <t>ACTIVE</t>
        </is>
      </c>
      <c r="L6" s="109" t="n">
        <v>25</v>
      </c>
      <c r="M6" s="110" t="n">
        <v>3275</v>
      </c>
      <c r="N6" s="110" t="n">
        <v>7951.54637684521</v>
      </c>
      <c r="O6" s="104" t="n">
        <v>0</v>
      </c>
      <c r="P6" s="104" t="n">
        <v>0</v>
      </c>
      <c r="Q6" s="104">
        <f>$O6+P6</f>
        <v/>
      </c>
      <c r="R6" s="111">
        <f>IFERROR(A6/M6,0)</f>
        <v/>
      </c>
      <c r="S6" s="111">
        <f>IFERROR(B6/N6,0)</f>
        <v/>
      </c>
      <c r="T6" s="111">
        <f>IFERROR(C6/M6,0)</f>
        <v/>
      </c>
      <c r="U6" s="111">
        <f>IFERROR(D6/N6,0)</f>
        <v/>
      </c>
      <c r="W6" s="111">
        <f>IFERROR(E6/N6,0)</f>
        <v/>
      </c>
      <c r="X6" s="125">
        <f>N6-(O6+Y6+Z6)</f>
        <v/>
      </c>
      <c r="Y6" s="104" t="n">
        <v>4320</v>
      </c>
      <c r="Z6" s="104" t="n">
        <v>0</v>
      </c>
      <c r="AA6" s="104" t="n"/>
      <c r="AB6" s="104" t="n"/>
    </row>
    <row r="7" ht="12.65" customHeight="1" s="79">
      <c r="A7" s="104">
        <f>MIN(O7,M7)</f>
        <v/>
      </c>
      <c r="B7" s="104">
        <f>MIN(O7,N7)</f>
        <v/>
      </c>
      <c r="C7" s="104">
        <f>MIN(Q7,M7)</f>
        <v/>
      </c>
      <c r="D7" s="104">
        <f>MIN(Q7,N7)</f>
        <v/>
      </c>
      <c r="E7" s="104">
        <f>MIN((O7+Y7+Z7),N7)</f>
        <v/>
      </c>
      <c r="F7" s="105" t="inlineStr">
        <is>
          <t>CHANDRAPAL NEGI</t>
        </is>
      </c>
      <c r="G7" s="106" t="inlineStr">
        <is>
          <t>LIFESTYLE</t>
        </is>
      </c>
      <c r="H7" s="107" t="inlineStr">
        <is>
          <t>LS_WINTER_ACCESSORIES</t>
        </is>
      </c>
      <c r="I7" s="107" t="inlineStr">
        <is>
          <t>LS_KBW_GLOVES</t>
        </is>
      </c>
      <c r="J7" s="107" t="inlineStr">
        <is>
          <t>GLOVES 79-[LSKBW02]</t>
        </is>
      </c>
      <c r="K7" s="107" t="inlineStr">
        <is>
          <t>ACTIVE</t>
        </is>
      </c>
      <c r="L7" s="109" t="n">
        <v>25</v>
      </c>
      <c r="M7" s="110" t="n">
        <v>2266</v>
      </c>
      <c r="N7" s="110" t="n">
        <v>6238.89254194987</v>
      </c>
      <c r="O7" s="104" t="n">
        <v>0</v>
      </c>
      <c r="P7" s="104" t="n">
        <v>1800</v>
      </c>
      <c r="Q7" s="104">
        <f>$O7+P7</f>
        <v/>
      </c>
      <c r="R7" s="111">
        <f>IFERROR(A7/M7,0)</f>
        <v/>
      </c>
      <c r="S7" s="111">
        <f>IFERROR(B7/N7,0)</f>
        <v/>
      </c>
      <c r="T7" s="111">
        <f>IFERROR(C7/M7,0)</f>
        <v/>
      </c>
      <c r="U7" s="111">
        <f>IFERROR(D7/N7,0)</f>
        <v/>
      </c>
      <c r="W7" s="111">
        <f>IFERROR(E7/N7,0)</f>
        <v/>
      </c>
      <c r="X7" s="125">
        <f>N7-(O7+Y7+Z7)</f>
        <v/>
      </c>
      <c r="Y7" s="104" t="n">
        <v>7200</v>
      </c>
      <c r="Z7" s="104" t="n">
        <v>0</v>
      </c>
      <c r="AA7" s="104" t="n"/>
      <c r="AB7" s="112" t="n"/>
    </row>
    <row r="8" ht="12.65" customHeight="1" s="79">
      <c r="A8" s="104">
        <f>MIN(O8,M8)</f>
        <v/>
      </c>
      <c r="B8" s="104">
        <f>MIN(O8,N8)</f>
        <v/>
      </c>
      <c r="C8" s="104">
        <f>MIN(Q8,M8)</f>
        <v/>
      </c>
      <c r="D8" s="104">
        <f>MIN(Q8,N8)</f>
        <v/>
      </c>
      <c r="E8" s="104">
        <f>MIN((O8+Y8+Z8),N8)</f>
        <v/>
      </c>
      <c r="F8" s="105" t="inlineStr">
        <is>
          <t>CHANDRAPAL NEGI</t>
        </is>
      </c>
      <c r="G8" s="106" t="inlineStr">
        <is>
          <t>LIFESTYLE</t>
        </is>
      </c>
      <c r="H8" s="107" t="inlineStr">
        <is>
          <t>LS_WINTER_ACCESSORIES</t>
        </is>
      </c>
      <c r="I8" s="107" t="inlineStr">
        <is>
          <t>LS_KGW_CAP</t>
        </is>
      </c>
      <c r="J8" s="107" t="inlineStr">
        <is>
          <t>CAP 179-[LSKGW02]</t>
        </is>
      </c>
      <c r="K8" s="107" t="inlineStr">
        <is>
          <t>ACTIVE</t>
        </is>
      </c>
      <c r="L8" s="109" t="n">
        <v>7</v>
      </c>
      <c r="M8" s="110" t="n">
        <v>62902</v>
      </c>
      <c r="N8" s="110" t="n">
        <v>111010.457656106</v>
      </c>
      <c r="O8" s="104" t="n">
        <v>0</v>
      </c>
      <c r="P8" s="104" t="n">
        <v>2160</v>
      </c>
      <c r="Q8" s="104">
        <f>$O8+P8</f>
        <v/>
      </c>
      <c r="R8" s="111">
        <f>IFERROR(A8/M8,0)</f>
        <v/>
      </c>
      <c r="S8" s="111">
        <f>IFERROR(B8/N8,0)</f>
        <v/>
      </c>
      <c r="T8" s="111">
        <f>IFERROR(C8/M8,0)</f>
        <v/>
      </c>
      <c r="U8" s="111">
        <f>IFERROR(D8/N8,0)</f>
        <v/>
      </c>
      <c r="W8" s="111">
        <f>IFERROR(E8/N8,0)</f>
        <v/>
      </c>
      <c r="X8" s="125">
        <f>N8-(O8+Y8+Z8)</f>
        <v/>
      </c>
      <c r="Y8" s="104" t="n">
        <v>173100</v>
      </c>
      <c r="Z8" s="104" t="n">
        <v>0</v>
      </c>
      <c r="AA8" s="104" t="n"/>
      <c r="AB8" s="104" t="n"/>
    </row>
    <row r="9" ht="12.65" customHeight="1" s="79">
      <c r="A9" s="104">
        <f>MIN(O9,M9)</f>
        <v/>
      </c>
      <c r="B9" s="104">
        <f>MIN(O9,N9)</f>
        <v/>
      </c>
      <c r="C9" s="104">
        <f>MIN(Q9,M9)</f>
        <v/>
      </c>
      <c r="D9" s="104">
        <f>MIN(Q9,N9)</f>
        <v/>
      </c>
      <c r="E9" s="104">
        <f>MIN((O9+Y9+Z9),N9)</f>
        <v/>
      </c>
      <c r="F9" s="105" t="inlineStr">
        <is>
          <t>CHANDRAPAL NEGI</t>
        </is>
      </c>
      <c r="G9" s="106" t="inlineStr">
        <is>
          <t>LIFESTYLE</t>
        </is>
      </c>
      <c r="H9" s="107" t="inlineStr">
        <is>
          <t>LS_WINTER_ACCESSORIES</t>
        </is>
      </c>
      <c r="I9" s="107" t="inlineStr">
        <is>
          <t>LS_KGW_CAP</t>
        </is>
      </c>
      <c r="J9" s="107" t="inlineStr">
        <is>
          <t>CAP 129-[LSKGW02]</t>
        </is>
      </c>
      <c r="K9" s="107" t="inlineStr">
        <is>
          <t>ACTIVE</t>
        </is>
      </c>
      <c r="L9" s="109" t="n">
        <v>7</v>
      </c>
      <c r="M9" s="110" t="n">
        <v>32070</v>
      </c>
      <c r="N9" s="110" t="n">
        <v>61555.1790404717</v>
      </c>
      <c r="O9" s="104" t="n">
        <v>0</v>
      </c>
      <c r="P9" s="104" t="n">
        <v>11604</v>
      </c>
      <c r="Q9" s="104">
        <f>$O9+P9</f>
        <v/>
      </c>
      <c r="R9" s="111">
        <f>IFERROR(A9/M9,0)</f>
        <v/>
      </c>
      <c r="S9" s="111">
        <f>IFERROR(B9/N9,0)</f>
        <v/>
      </c>
      <c r="T9" s="111">
        <f>IFERROR(C9/M9,0)</f>
        <v/>
      </c>
      <c r="U9" s="111">
        <f>IFERROR(D9/N9,0)</f>
        <v/>
      </c>
      <c r="W9" s="111">
        <f>IFERROR(E9/N9,0)</f>
        <v/>
      </c>
      <c r="X9" s="125">
        <f>N9-(O9+Y9+Z9)</f>
        <v/>
      </c>
      <c r="Y9" s="104" t="n">
        <v>28800</v>
      </c>
      <c r="Z9" s="104" t="n">
        <v>0</v>
      </c>
      <c r="AA9" s="104" t="n"/>
      <c r="AB9" s="112" t="n"/>
    </row>
    <row r="10" ht="12.65" customHeight="1" s="79">
      <c r="A10" s="104">
        <f>MIN(O10,M10)</f>
        <v/>
      </c>
      <c r="B10" s="104">
        <f>MIN(O10,N10)</f>
        <v/>
      </c>
      <c r="C10" s="104">
        <f>MIN(Q10,M10)</f>
        <v/>
      </c>
      <c r="D10" s="104">
        <f>MIN(Q10,N10)</f>
        <v/>
      </c>
      <c r="E10" s="104">
        <f>MIN((O10+Y10+Z10),N10)</f>
        <v/>
      </c>
      <c r="F10" s="105" t="inlineStr">
        <is>
          <t>CHANDRAPAL NEGI</t>
        </is>
      </c>
      <c r="G10" s="106" t="inlineStr">
        <is>
          <t>LIFESTYLE</t>
        </is>
      </c>
      <c r="H10" s="107" t="inlineStr">
        <is>
          <t>LS_WINTER_ACCESSORIES</t>
        </is>
      </c>
      <c r="I10" s="107" t="inlineStr">
        <is>
          <t>LS_KGW_CAP</t>
        </is>
      </c>
      <c r="J10" s="107" t="inlineStr">
        <is>
          <t>CAP 99-[LSKGW02]</t>
        </is>
      </c>
      <c r="K10" s="107" t="inlineStr">
        <is>
          <t>ACTIVE</t>
        </is>
      </c>
      <c r="L10" s="109" t="n">
        <v>7</v>
      </c>
      <c r="M10" s="110" t="n">
        <v>567</v>
      </c>
      <c r="N10" s="110" t="n">
        <v>2333.29644688157</v>
      </c>
      <c r="O10" s="104" t="n">
        <v>0</v>
      </c>
      <c r="P10" s="104" t="n">
        <v>0</v>
      </c>
      <c r="Q10" s="104">
        <f>$O10+P10</f>
        <v/>
      </c>
      <c r="R10" s="111">
        <f>IFERROR(A10/M10,0)</f>
        <v/>
      </c>
      <c r="S10" s="111">
        <f>IFERROR(B10/N10,0)</f>
        <v/>
      </c>
      <c r="T10" s="111">
        <f>IFERROR(C10/M10,0)</f>
        <v/>
      </c>
      <c r="U10" s="111">
        <f>IFERROR(D10/N10,0)</f>
        <v/>
      </c>
      <c r="W10" s="111">
        <f>IFERROR(E10/N10,0)</f>
        <v/>
      </c>
      <c r="X10" s="125">
        <f>N10-(O10+Y10+Z10)</f>
        <v/>
      </c>
      <c r="Y10" s="104" t="n">
        <v>0</v>
      </c>
      <c r="Z10" s="104" t="n">
        <v>0</v>
      </c>
      <c r="AA10" s="104" t="n"/>
      <c r="AB10" s="112" t="n"/>
    </row>
    <row r="11" ht="12.65" customHeight="1" s="79">
      <c r="A11" s="104">
        <f>MIN(O11,M11)</f>
        <v/>
      </c>
      <c r="B11" s="104">
        <f>MIN(O11,N11)</f>
        <v/>
      </c>
      <c r="C11" s="104">
        <f>MIN(Q11,M11)</f>
        <v/>
      </c>
      <c r="D11" s="104">
        <f>MIN(Q11,N11)</f>
        <v/>
      </c>
      <c r="E11" s="104">
        <f>MIN((O11+Y11+Z11),N11)</f>
        <v/>
      </c>
      <c r="F11" s="105" t="inlineStr">
        <is>
          <t>CHANDRAPAL NEGI</t>
        </is>
      </c>
      <c r="G11" s="106" t="inlineStr">
        <is>
          <t>LIFESTYLE</t>
        </is>
      </c>
      <c r="H11" s="107" t="inlineStr">
        <is>
          <t>LS_WINTER_ACCESSORIES</t>
        </is>
      </c>
      <c r="I11" s="107" t="inlineStr">
        <is>
          <t>LS_KGW_EARMUFF</t>
        </is>
      </c>
      <c r="J11" s="107" t="inlineStr">
        <is>
          <t>EARMUFF 149-[LSLWW06]</t>
        </is>
      </c>
      <c r="K11" s="107" t="inlineStr">
        <is>
          <t>ACTIVE</t>
        </is>
      </c>
      <c r="L11" s="109" t="n">
        <v>11</v>
      </c>
      <c r="M11" s="110" t="n">
        <v>56635</v>
      </c>
      <c r="N11" s="110" t="n">
        <v>163968.525451407</v>
      </c>
      <c r="O11" s="104" t="n">
        <v>84000</v>
      </c>
      <c r="P11" s="104" t="n">
        <v>0</v>
      </c>
      <c r="Q11" s="104">
        <f>$O11+P11</f>
        <v/>
      </c>
      <c r="R11" s="111">
        <f>IFERROR(A11/M11,0)</f>
        <v/>
      </c>
      <c r="S11" s="111">
        <f>IFERROR(B11/N11,0)</f>
        <v/>
      </c>
      <c r="T11" s="111">
        <f>IFERROR(C11/M11,0)</f>
        <v/>
      </c>
      <c r="U11" s="111">
        <f>IFERROR(D11/N11,0)</f>
        <v/>
      </c>
      <c r="W11" s="111">
        <f>IFERROR(E11/N11,0)</f>
        <v/>
      </c>
      <c r="X11" s="125">
        <f>N11-(O11+Y11+Z11)</f>
        <v/>
      </c>
      <c r="Y11" s="104" t="n">
        <v>134400</v>
      </c>
      <c r="Z11" s="104" t="n">
        <v>0</v>
      </c>
      <c r="AA11" s="104" t="n"/>
      <c r="AB11" s="112" t="n"/>
    </row>
    <row r="12" ht="12.65" customHeight="1" s="79">
      <c r="A12" s="104">
        <f>MIN(O12,M12)</f>
        <v/>
      </c>
      <c r="B12" s="104">
        <f>MIN(O12,N12)</f>
        <v/>
      </c>
      <c r="C12" s="104">
        <f>MIN(Q12,M12)</f>
        <v/>
      </c>
      <c r="D12" s="104">
        <f>MIN(Q12,N12)</f>
        <v/>
      </c>
      <c r="E12" s="104">
        <f>MIN((O12+Y12+Z12),N12)</f>
        <v/>
      </c>
      <c r="F12" s="105" t="inlineStr">
        <is>
          <t>CHANDRAPAL NEGI</t>
        </is>
      </c>
      <c r="G12" s="106" t="inlineStr">
        <is>
          <t>LIFESTYLE</t>
        </is>
      </c>
      <c r="H12" s="107" t="inlineStr">
        <is>
          <t>LS_WINTER_ACCESSORIES</t>
        </is>
      </c>
      <c r="I12" s="107" t="inlineStr">
        <is>
          <t>LS_KGW_GLOVES</t>
        </is>
      </c>
      <c r="J12" s="107" t="inlineStr">
        <is>
          <t>GLOVES 99-[LSKGW03]</t>
        </is>
      </c>
      <c r="K12" s="107" t="inlineStr">
        <is>
          <t>ACTIVE</t>
        </is>
      </c>
      <c r="L12" s="109" t="n">
        <v>21</v>
      </c>
      <c r="M12" s="110" t="n">
        <v>30550</v>
      </c>
      <c r="N12" s="110" t="n">
        <v>75356.1658681874</v>
      </c>
      <c r="O12" s="104" t="n">
        <v>0</v>
      </c>
      <c r="P12" s="104" t="n">
        <v>30000</v>
      </c>
      <c r="Q12" s="104">
        <f>$O12+P12</f>
        <v/>
      </c>
      <c r="R12" s="111">
        <f>IFERROR(A12/M12,0)</f>
        <v/>
      </c>
      <c r="S12" s="111">
        <f>IFERROR(B12/N12,0)</f>
        <v/>
      </c>
      <c r="T12" s="111">
        <f>IFERROR(C12/M12,0)</f>
        <v/>
      </c>
      <c r="U12" s="111">
        <f>IFERROR(D12/N12,0)</f>
        <v/>
      </c>
      <c r="W12" s="111">
        <f>IFERROR(E12/N12,0)</f>
        <v/>
      </c>
      <c r="X12" s="125">
        <f>N12-(O12+Y12+Z12)</f>
        <v/>
      </c>
      <c r="Y12" s="104" t="n">
        <v>82440</v>
      </c>
      <c r="Z12" s="104" t="n">
        <v>0</v>
      </c>
      <c r="AA12" s="104" t="n"/>
      <c r="AB12" s="104" t="n"/>
    </row>
    <row r="13" ht="12.65" customHeight="1" s="79">
      <c r="A13" s="104">
        <f>MIN(O13,M13)</f>
        <v/>
      </c>
      <c r="B13" s="104">
        <f>MIN(O13,N13)</f>
        <v/>
      </c>
      <c r="C13" s="104">
        <f>MIN(Q13,M13)</f>
        <v/>
      </c>
      <c r="D13" s="104">
        <f>MIN(Q13,N13)</f>
        <v/>
      </c>
      <c r="E13" s="104">
        <f>MIN((O13+Y13+Z13),N13)</f>
        <v/>
      </c>
      <c r="F13" s="105" t="inlineStr">
        <is>
          <t>CHANDRAPAL NEGI</t>
        </is>
      </c>
      <c r="G13" s="106" t="inlineStr">
        <is>
          <t>LIFESTYLE</t>
        </is>
      </c>
      <c r="H13" s="107" t="inlineStr">
        <is>
          <t>LS_WINTER_ACCESSORIES</t>
        </is>
      </c>
      <c r="I13" s="107" t="inlineStr">
        <is>
          <t>LS_KGW_GLOVES</t>
        </is>
      </c>
      <c r="J13" s="107" t="inlineStr">
        <is>
          <t>GLOVES 59-[LSKGW03]</t>
        </is>
      </c>
      <c r="K13" s="107" t="inlineStr">
        <is>
          <t>ACTIVE</t>
        </is>
      </c>
      <c r="L13" s="109" t="n">
        <v>21</v>
      </c>
      <c r="M13" s="110" t="n">
        <v>1199</v>
      </c>
      <c r="N13" s="110" t="n">
        <v>6211.59436999918</v>
      </c>
      <c r="O13" s="104" t="n">
        <v>0</v>
      </c>
      <c r="P13" s="104" t="n">
        <v>0</v>
      </c>
      <c r="Q13" s="104">
        <f>$O13+P13</f>
        <v/>
      </c>
      <c r="R13" s="111">
        <f>IFERROR(A13/M13,0)</f>
        <v/>
      </c>
      <c r="S13" s="111">
        <f>IFERROR(B13/N13,0)</f>
        <v/>
      </c>
      <c r="T13" s="111">
        <f>IFERROR(C13/M13,0)</f>
        <v/>
      </c>
      <c r="U13" s="111">
        <f>IFERROR(D13/N13,0)</f>
        <v/>
      </c>
      <c r="W13" s="111">
        <f>IFERROR(E13/N13,0)</f>
        <v/>
      </c>
      <c r="X13" s="125">
        <f>N13-(O13+Y13+Z13)</f>
        <v/>
      </c>
      <c r="Y13" s="104" t="n">
        <v>0</v>
      </c>
      <c r="Z13" s="104" t="n">
        <v>0</v>
      </c>
      <c r="AA13" s="104" t="n"/>
      <c r="AB13" s="112" t="n"/>
    </row>
    <row r="14" ht="12.65" customHeight="1" s="79">
      <c r="A14" s="104">
        <f>MIN(O14,M14)</f>
        <v/>
      </c>
      <c r="B14" s="104">
        <f>MIN(O14,N14)</f>
        <v/>
      </c>
      <c r="C14" s="104">
        <f>MIN(Q14,M14)</f>
        <v/>
      </c>
      <c r="D14" s="104">
        <f>MIN(Q14,N14)</f>
        <v/>
      </c>
      <c r="E14" s="104">
        <f>MIN((O14+Y14+Z14),N14)</f>
        <v/>
      </c>
      <c r="F14" s="105" t="inlineStr">
        <is>
          <t>CHANDRAPAL NEGI</t>
        </is>
      </c>
      <c r="G14" s="106" t="inlineStr">
        <is>
          <t>LIFESTYLE</t>
        </is>
      </c>
      <c r="H14" s="107" t="inlineStr">
        <is>
          <t>LS_WINTER_ACCESSORIES</t>
        </is>
      </c>
      <c r="I14" s="107" t="inlineStr">
        <is>
          <t>LS_KGW_MUFFLER</t>
        </is>
      </c>
      <c r="J14" s="107" t="inlineStr">
        <is>
          <t>MUFFLER 149-[LSKGW04]</t>
        </is>
      </c>
      <c r="K14" s="107" t="inlineStr">
        <is>
          <t>ACTIVE</t>
        </is>
      </c>
      <c r="L14" s="109" t="n">
        <v>26</v>
      </c>
      <c r="M14" s="110" t="n">
        <v>6402</v>
      </c>
      <c r="N14" s="110" t="n">
        <v>16116.9912430307</v>
      </c>
      <c r="O14" s="104" t="n">
        <v>0</v>
      </c>
      <c r="P14" s="104" t="n">
        <v>0</v>
      </c>
      <c r="Q14" s="104">
        <f>$O14+P14</f>
        <v/>
      </c>
      <c r="R14" s="111">
        <f>IFERROR(A14/M14,0)</f>
        <v/>
      </c>
      <c r="S14" s="111">
        <f>IFERROR(B14/N14,0)</f>
        <v/>
      </c>
      <c r="T14" s="111">
        <f>IFERROR(C14/M14,0)</f>
        <v/>
      </c>
      <c r="U14" s="111">
        <f>IFERROR(D14/N14,0)</f>
        <v/>
      </c>
      <c r="W14" s="111">
        <f>IFERROR(E14/N14,0)</f>
        <v/>
      </c>
      <c r="X14" s="125">
        <f>N14-(O14+Y14+Z14)</f>
        <v/>
      </c>
      <c r="Y14" s="104" t="n">
        <v>24400</v>
      </c>
      <c r="Z14" s="104" t="n">
        <v>0</v>
      </c>
      <c r="AA14" s="104" t="n"/>
      <c r="AB14" s="104" t="n"/>
    </row>
    <row r="15" ht="12.65" customHeight="1" s="79">
      <c r="A15" s="104">
        <f>MIN(O15,M15)</f>
        <v/>
      </c>
      <c r="B15" s="104">
        <f>MIN(O15,N15)</f>
        <v/>
      </c>
      <c r="C15" s="104">
        <f>MIN(Q15,M15)</f>
        <v/>
      </c>
      <c r="D15" s="104">
        <f>MIN(Q15,N15)</f>
        <v/>
      </c>
      <c r="E15" s="104">
        <f>MIN((O15+Y15+Z15),N15)</f>
        <v/>
      </c>
      <c r="F15" s="105" t="inlineStr">
        <is>
          <t>CHANDRAPAL NEGI</t>
        </is>
      </c>
      <c r="G15" s="106" t="inlineStr">
        <is>
          <t>LIFESTYLE</t>
        </is>
      </c>
      <c r="H15" s="107" t="inlineStr">
        <is>
          <t>LS_WINTER_ACCESSORIES</t>
        </is>
      </c>
      <c r="I15" s="107" t="inlineStr">
        <is>
          <t>LS_KIW_BLANKET</t>
        </is>
      </c>
      <c r="J15" s="107" t="inlineStr">
        <is>
          <t>BLANKET 499-[LSKIW01]</t>
        </is>
      </c>
      <c r="K15" s="107" t="inlineStr">
        <is>
          <t>ACTIVE</t>
        </is>
      </c>
      <c r="L15" s="109" t="n">
        <v>6</v>
      </c>
      <c r="M15" s="110" t="n">
        <v>12435</v>
      </c>
      <c r="N15" s="110" t="n">
        <v>37464.3391319297</v>
      </c>
      <c r="O15" s="104" t="n">
        <v>0</v>
      </c>
      <c r="P15" s="104" t="n">
        <v>1884</v>
      </c>
      <c r="Q15" s="104">
        <f>$O15+P15</f>
        <v/>
      </c>
      <c r="R15" s="111">
        <f>IFERROR(A15/M15,0)</f>
        <v/>
      </c>
      <c r="S15" s="111">
        <f>IFERROR(B15/N15,0)</f>
        <v/>
      </c>
      <c r="T15" s="111">
        <f>IFERROR(C15/M15,0)</f>
        <v/>
      </c>
      <c r="U15" s="111">
        <f>IFERROR(D15/N15,0)</f>
        <v/>
      </c>
      <c r="W15" s="111">
        <f>IFERROR(E15/N15,0)</f>
        <v/>
      </c>
      <c r="X15" s="125">
        <f>N15-(O15+Y15+Z15)</f>
        <v/>
      </c>
      <c r="Y15" s="104" t="n">
        <v>43908</v>
      </c>
      <c r="Z15" s="104" t="n">
        <v>0</v>
      </c>
      <c r="AA15" s="104" t="n"/>
      <c r="AB15" s="112" t="n"/>
    </row>
    <row r="16" ht="12.65" customHeight="1" s="79">
      <c r="A16" s="104">
        <f>MIN(O16,M16)</f>
        <v/>
      </c>
      <c r="B16" s="104">
        <f>MIN(O16,N16)</f>
        <v/>
      </c>
      <c r="C16" s="104">
        <f>MIN(Q16,M16)</f>
        <v/>
      </c>
      <c r="D16" s="104">
        <f>MIN(Q16,N16)</f>
        <v/>
      </c>
      <c r="E16" s="104">
        <f>MIN((O16+Y16+Z16),N16)</f>
        <v/>
      </c>
      <c r="F16" s="105" t="inlineStr">
        <is>
          <t>CHANDRAPAL NEGI</t>
        </is>
      </c>
      <c r="G16" s="106" t="inlineStr">
        <is>
          <t>LIFESTYLE</t>
        </is>
      </c>
      <c r="H16" s="107" t="inlineStr">
        <is>
          <t>LS_WINTER_ACCESSORIES</t>
        </is>
      </c>
      <c r="I16" s="107" t="inlineStr">
        <is>
          <t>LS_KIW_BLANKET</t>
        </is>
      </c>
      <c r="J16" s="107" t="inlineStr">
        <is>
          <t>BLANKET 199-[LSKIW01]</t>
        </is>
      </c>
      <c r="K16" s="107" t="inlineStr">
        <is>
          <t>ACTIVE</t>
        </is>
      </c>
      <c r="L16" s="109" t="n">
        <v>6</v>
      </c>
      <c r="M16" s="110" t="n">
        <v>14483</v>
      </c>
      <c r="N16" s="110" t="n">
        <v>35514.233533944</v>
      </c>
      <c r="O16" s="104" t="n">
        <v>2388</v>
      </c>
      <c r="P16" s="104" t="n">
        <v>0</v>
      </c>
      <c r="Q16" s="104">
        <f>$O16+P16</f>
        <v/>
      </c>
      <c r="R16" s="111">
        <f>IFERROR(A16/M16,0)</f>
        <v/>
      </c>
      <c r="S16" s="111">
        <f>IFERROR(B16/N16,0)</f>
        <v/>
      </c>
      <c r="T16" s="111">
        <f>IFERROR(C16/M16,0)</f>
        <v/>
      </c>
      <c r="U16" s="111">
        <f>IFERROR(D16/N16,0)</f>
        <v/>
      </c>
      <c r="W16" s="111">
        <f>IFERROR(E16/N16,0)</f>
        <v/>
      </c>
      <c r="X16" s="125">
        <f>N16-(O16+Y16+Z16)</f>
        <v/>
      </c>
      <c r="Y16" s="104" t="n">
        <v>13212</v>
      </c>
      <c r="Z16" s="104" t="n">
        <v>0</v>
      </c>
      <c r="AA16" s="104" t="n"/>
      <c r="AB16" s="112" t="n"/>
    </row>
    <row r="17" ht="12.65" customHeight="1" s="79">
      <c r="A17" s="104">
        <f>MIN(O17,M17)</f>
        <v/>
      </c>
      <c r="B17" s="104">
        <f>MIN(O17,N17)</f>
        <v/>
      </c>
      <c r="C17" s="104">
        <f>MIN(Q17,M17)</f>
        <v/>
      </c>
      <c r="D17" s="104">
        <f>MIN(Q17,N17)</f>
        <v/>
      </c>
      <c r="E17" s="104">
        <f>MIN((O17+Y17+Z17),N17)</f>
        <v/>
      </c>
      <c r="F17" s="105" t="inlineStr">
        <is>
          <t>CHANDRAPAL NEGI</t>
        </is>
      </c>
      <c r="G17" s="106" t="inlineStr">
        <is>
          <t>LIFESTYLE</t>
        </is>
      </c>
      <c r="H17" s="107" t="inlineStr">
        <is>
          <t>LS_WINTER_ACCESSORIES</t>
        </is>
      </c>
      <c r="I17" s="107" t="inlineStr">
        <is>
          <t>LS_KIW_BLANKET</t>
        </is>
      </c>
      <c r="J17" s="107" t="inlineStr">
        <is>
          <t>BLANKET 299-[LSKIW01]</t>
        </is>
      </c>
      <c r="K17" s="107" t="inlineStr">
        <is>
          <t>ACTIVE</t>
        </is>
      </c>
      <c r="L17" s="109" t="n">
        <v>6</v>
      </c>
      <c r="M17" s="110" t="n">
        <v>4519</v>
      </c>
      <c r="N17" s="110" t="n">
        <v>23551.8533345847</v>
      </c>
      <c r="O17" s="104" t="n">
        <v>7956</v>
      </c>
      <c r="P17" s="104" t="n">
        <v>2400</v>
      </c>
      <c r="Q17" s="104">
        <f>$O17+P17</f>
        <v/>
      </c>
      <c r="R17" s="111">
        <f>IFERROR(A17/M17,0)</f>
        <v/>
      </c>
      <c r="S17" s="111">
        <f>IFERROR(B17/N17,0)</f>
        <v/>
      </c>
      <c r="T17" s="111">
        <f>IFERROR(C17/M17,0)</f>
        <v/>
      </c>
      <c r="U17" s="111">
        <f>IFERROR(D17/N17,0)</f>
        <v/>
      </c>
      <c r="W17" s="111">
        <f>IFERROR(E17/N17,0)</f>
        <v/>
      </c>
      <c r="X17" s="125">
        <f>N17-(O17+Y17+Z17)</f>
        <v/>
      </c>
      <c r="Y17" s="104" t="n">
        <v>22644</v>
      </c>
      <c r="Z17" s="104" t="n">
        <v>0</v>
      </c>
      <c r="AA17" s="104" t="n"/>
      <c r="AB17" s="104" t="n"/>
    </row>
    <row r="18" ht="12.65" customHeight="1" s="79">
      <c r="A18" s="104">
        <f>MIN(O18,M18)</f>
        <v/>
      </c>
      <c r="B18" s="104">
        <f>MIN(O18,N18)</f>
        <v/>
      </c>
      <c r="C18" s="104">
        <f>MIN(Q18,M18)</f>
        <v/>
      </c>
      <c r="D18" s="104">
        <f>MIN(Q18,N18)</f>
        <v/>
      </c>
      <c r="E18" s="104">
        <f>MIN((O18+Y18+Z18),N18)</f>
        <v/>
      </c>
      <c r="F18" s="105" t="inlineStr">
        <is>
          <t>CHANDRAPAL NEGI</t>
        </is>
      </c>
      <c r="G18" s="106" t="inlineStr">
        <is>
          <t>LIFESTYLE</t>
        </is>
      </c>
      <c r="H18" s="107" t="inlineStr">
        <is>
          <t>LS_WINTER_ACCESSORIES</t>
        </is>
      </c>
      <c r="I18" s="107" t="inlineStr">
        <is>
          <t>LS_KIW_BLANKET</t>
        </is>
      </c>
      <c r="J18" s="107" t="inlineStr">
        <is>
          <t>BLANKET 149-[LSKIW01]</t>
        </is>
      </c>
      <c r="K18" s="107" t="inlineStr">
        <is>
          <t>ACTIVE</t>
        </is>
      </c>
      <c r="L18" s="109" t="n">
        <v>6</v>
      </c>
      <c r="M18" s="110" t="n">
        <v>2061</v>
      </c>
      <c r="N18" s="110" t="n">
        <v>11096.4465645151</v>
      </c>
      <c r="O18" s="104" t="n">
        <v>4800</v>
      </c>
      <c r="P18" s="104" t="n">
        <v>0</v>
      </c>
      <c r="Q18" s="104">
        <f>$O18+P18</f>
        <v/>
      </c>
      <c r="R18" s="111">
        <f>IFERROR(A18/M18,0)</f>
        <v/>
      </c>
      <c r="S18" s="111">
        <f>IFERROR(B18/N18,0)</f>
        <v/>
      </c>
      <c r="T18" s="111">
        <f>IFERROR(C18/M18,0)</f>
        <v/>
      </c>
      <c r="U18" s="111">
        <f>IFERROR(D18/N18,0)</f>
        <v/>
      </c>
      <c r="W18" s="111">
        <f>IFERROR(E18/N18,0)</f>
        <v/>
      </c>
      <c r="X18" s="125">
        <f>N18-(O18+Y18+Z18)</f>
        <v/>
      </c>
      <c r="Y18" s="104" t="n">
        <v>8400</v>
      </c>
      <c r="Z18" s="104" t="n">
        <v>0</v>
      </c>
      <c r="AA18" s="104" t="n"/>
      <c r="AB18" s="104" t="n"/>
    </row>
    <row r="19" ht="12.65" customHeight="1" s="79">
      <c r="A19" s="104">
        <f>MIN(O19,M19)</f>
        <v/>
      </c>
      <c r="B19" s="104">
        <f>MIN(O19,N19)</f>
        <v/>
      </c>
      <c r="C19" s="104">
        <f>MIN(Q19,M19)</f>
        <v/>
      </c>
      <c r="D19" s="104">
        <f>MIN(Q19,N19)</f>
        <v/>
      </c>
      <c r="E19" s="104">
        <f>MIN((O19+Y19+Z19),N19)</f>
        <v/>
      </c>
      <c r="F19" s="105" t="inlineStr">
        <is>
          <t>CHANDRAPAL NEGI</t>
        </is>
      </c>
      <c r="G19" s="106" t="inlineStr">
        <is>
          <t>LIFESTYLE</t>
        </is>
      </c>
      <c r="H19" s="107" t="inlineStr">
        <is>
          <t>LS_WINTER_ACCESSORIES</t>
        </is>
      </c>
      <c r="I19" s="107" t="inlineStr">
        <is>
          <t>LS_KIW_BLANKET</t>
        </is>
      </c>
      <c r="J19" s="107" t="inlineStr">
        <is>
          <t>BLANKET 699-[LSKIW01]</t>
        </is>
      </c>
      <c r="K19" s="107" t="inlineStr">
        <is>
          <t>ACTIVE</t>
        </is>
      </c>
      <c r="L19" s="109" t="n">
        <v>6</v>
      </c>
      <c r="M19" s="110" t="n">
        <v>358</v>
      </c>
      <c r="N19" s="110" t="n">
        <v>2481.71913805127</v>
      </c>
      <c r="O19" s="104" t="n">
        <v>0</v>
      </c>
      <c r="P19" s="104" t="n">
        <v>0</v>
      </c>
      <c r="Q19" s="104">
        <f>$O19+P19</f>
        <v/>
      </c>
      <c r="R19" s="111">
        <f>IFERROR(A19/M19,0)</f>
        <v/>
      </c>
      <c r="S19" s="111">
        <f>IFERROR(B19/N19,0)</f>
        <v/>
      </c>
      <c r="T19" s="111">
        <f>IFERROR(C19/M19,0)</f>
        <v/>
      </c>
      <c r="U19" s="111">
        <f>IFERROR(D19/N19,0)</f>
        <v/>
      </c>
      <c r="W19" s="111">
        <f>IFERROR(E19/N19,0)</f>
        <v/>
      </c>
      <c r="X19" s="125">
        <f>N19-(O19+Y19+Z19)</f>
        <v/>
      </c>
      <c r="Y19" s="104" t="n">
        <v>27904</v>
      </c>
      <c r="Z19" s="104" t="n">
        <v>0</v>
      </c>
      <c r="AA19" s="104" t="n"/>
      <c r="AB19" s="104" t="n"/>
    </row>
    <row r="20" ht="12.65" customHeight="1" s="79">
      <c r="A20" s="104">
        <f>MIN(O20,M20)</f>
        <v/>
      </c>
      <c r="B20" s="104">
        <f>MIN(O20,N20)</f>
        <v/>
      </c>
      <c r="C20" s="104">
        <f>MIN(Q20,M20)</f>
        <v/>
      </c>
      <c r="D20" s="104">
        <f>MIN(Q20,N20)</f>
        <v/>
      </c>
      <c r="E20" s="104">
        <f>MIN((O20+Y20+Z20),N20)</f>
        <v/>
      </c>
      <c r="F20" s="105" t="inlineStr">
        <is>
          <t>CHANDRAPAL NEGI</t>
        </is>
      </c>
      <c r="G20" s="106" t="inlineStr">
        <is>
          <t>LIFESTYLE</t>
        </is>
      </c>
      <c r="H20" s="107" t="inlineStr">
        <is>
          <t>LS_WINTER_ACCESSORIES</t>
        </is>
      </c>
      <c r="I20" s="107" t="inlineStr">
        <is>
          <t>LS_KIW_CAP</t>
        </is>
      </c>
      <c r="J20" s="107" t="inlineStr">
        <is>
          <t>CAP 199-[LSKIW02]</t>
        </is>
      </c>
      <c r="K20" s="107" t="inlineStr">
        <is>
          <t>ACTIVE</t>
        </is>
      </c>
      <c r="L20" s="109" t="n">
        <v>9</v>
      </c>
      <c r="M20" s="110" t="n">
        <v>53396</v>
      </c>
      <c r="N20" s="110" t="n">
        <v>80546.741402107</v>
      </c>
      <c r="O20" s="104" t="n">
        <v>0</v>
      </c>
      <c r="P20" s="104" t="n">
        <v>0</v>
      </c>
      <c r="Q20" s="104">
        <f>$O20+P20</f>
        <v/>
      </c>
      <c r="R20" s="111">
        <f>IFERROR(A20/M20,0)</f>
        <v/>
      </c>
      <c r="S20" s="111">
        <f>IFERROR(B20/N20,0)</f>
        <v/>
      </c>
      <c r="T20" s="111">
        <f>IFERROR(C20/M20,0)</f>
        <v/>
      </c>
      <c r="U20" s="111">
        <f>IFERROR(D20/N20,0)</f>
        <v/>
      </c>
      <c r="W20" s="111">
        <f>IFERROR(E20/N20,0)</f>
        <v/>
      </c>
      <c r="X20" s="125">
        <f>N20-(O20+Y20+Z20)</f>
        <v/>
      </c>
      <c r="Y20" s="104" t="n">
        <v>56400</v>
      </c>
      <c r="Z20" s="104" t="n">
        <v>0</v>
      </c>
      <c r="AA20" s="104" t="n"/>
      <c r="AB20" s="104" t="n"/>
    </row>
    <row r="21" ht="12.65" customHeight="1" s="79">
      <c r="A21" s="104">
        <f>MIN(O21,M21)</f>
        <v/>
      </c>
      <c r="B21" s="104">
        <f>MIN(O21,N21)</f>
        <v/>
      </c>
      <c r="C21" s="104">
        <f>MIN(Q21,M21)</f>
        <v/>
      </c>
      <c r="D21" s="104">
        <f>MIN(Q21,N21)</f>
        <v/>
      </c>
      <c r="E21" s="104">
        <f>MIN((O21+Y21+Z21),N21)</f>
        <v/>
      </c>
      <c r="F21" s="105" t="inlineStr">
        <is>
          <t>CHANDRAPAL NEGI</t>
        </is>
      </c>
      <c r="G21" s="106" t="inlineStr">
        <is>
          <t>LIFESTYLE</t>
        </is>
      </c>
      <c r="H21" s="107" t="inlineStr">
        <is>
          <t>LS_WINTER_ACCESSORIES</t>
        </is>
      </c>
      <c r="I21" s="107" t="inlineStr">
        <is>
          <t>LS_KIW_CAP</t>
        </is>
      </c>
      <c r="J21" s="107" t="inlineStr">
        <is>
          <t>CAP 149-[LSKIW02]</t>
        </is>
      </c>
      <c r="K21" s="107" t="inlineStr">
        <is>
          <t>ACTIVE</t>
        </is>
      </c>
      <c r="L21" s="109" t="n">
        <v>9</v>
      </c>
      <c r="M21" s="110" t="n">
        <v>47462</v>
      </c>
      <c r="N21" s="110" t="n">
        <v>78438.9040275763</v>
      </c>
      <c r="O21" s="104" t="n">
        <v>0</v>
      </c>
      <c r="P21" s="104" t="n">
        <v>0</v>
      </c>
      <c r="Q21" s="104">
        <f>$O21+P21</f>
        <v/>
      </c>
      <c r="R21" s="111">
        <f>IFERROR(A21/M21,0)</f>
        <v/>
      </c>
      <c r="S21" s="111">
        <f>IFERROR(B21/N21,0)</f>
        <v/>
      </c>
      <c r="T21" s="111">
        <f>IFERROR(C21/M21,0)</f>
        <v/>
      </c>
      <c r="U21" s="111">
        <f>IFERROR(D21/N21,0)</f>
        <v/>
      </c>
      <c r="W21" s="111">
        <f>IFERROR(E21/N21,0)</f>
        <v/>
      </c>
      <c r="X21" s="125">
        <f>N21-(O21+Y21+Z21)</f>
        <v/>
      </c>
      <c r="Y21" s="104" t="n">
        <v>177600</v>
      </c>
      <c r="Z21" s="104" t="n">
        <v>0</v>
      </c>
      <c r="AA21" s="104" t="n"/>
      <c r="AB21" s="112" t="n"/>
    </row>
    <row r="22" ht="12.65" customHeight="1" s="79">
      <c r="A22" s="104">
        <f>MIN(O22,M22)</f>
        <v/>
      </c>
      <c r="B22" s="104">
        <f>MIN(O22,N22)</f>
        <v/>
      </c>
      <c r="C22" s="104">
        <f>MIN(Q22,M22)</f>
        <v/>
      </c>
      <c r="D22" s="104">
        <f>MIN(Q22,N22)</f>
        <v/>
      </c>
      <c r="E22" s="104">
        <f>MIN((O22+Y22+Z22),N22)</f>
        <v/>
      </c>
      <c r="F22" s="105" t="inlineStr">
        <is>
          <t>CHANDRAPAL NEGI</t>
        </is>
      </c>
      <c r="G22" s="106" t="inlineStr">
        <is>
          <t>LIFESTYLE</t>
        </is>
      </c>
      <c r="H22" s="107" t="inlineStr">
        <is>
          <t>LS_WINTER_ACCESSORIES</t>
        </is>
      </c>
      <c r="I22" s="107" t="inlineStr">
        <is>
          <t>LS_KIW_CAP</t>
        </is>
      </c>
      <c r="J22" s="107" t="inlineStr">
        <is>
          <t>CAP 99-[LSKIW02]</t>
        </is>
      </c>
      <c r="K22" s="107" t="inlineStr">
        <is>
          <t>ACTIVE</t>
        </is>
      </c>
      <c r="L22" s="109" t="n">
        <v>9</v>
      </c>
      <c r="M22" s="110" t="n">
        <v>14173</v>
      </c>
      <c r="N22" s="110" t="n">
        <v>28085.7070539773</v>
      </c>
      <c r="O22" s="104" t="n">
        <v>0</v>
      </c>
      <c r="P22" s="104" t="n">
        <v>0</v>
      </c>
      <c r="Q22" s="104">
        <f>$O22+P22</f>
        <v/>
      </c>
      <c r="R22" s="111">
        <f>IFERROR(A22/M22,0)</f>
        <v/>
      </c>
      <c r="S22" s="111">
        <f>IFERROR(B22/N22,0)</f>
        <v/>
      </c>
      <c r="T22" s="111">
        <f>IFERROR(C22/M22,0)</f>
        <v/>
      </c>
      <c r="U22" s="111">
        <f>IFERROR(D22/N22,0)</f>
        <v/>
      </c>
      <c r="W22" s="111">
        <f>IFERROR(E22/N22,0)</f>
        <v/>
      </c>
      <c r="X22" s="125">
        <f>N22-(O22+Y22+Z22)</f>
        <v/>
      </c>
      <c r="Y22" s="104" t="n">
        <v>900</v>
      </c>
      <c r="Z22" s="104" t="n">
        <v>0</v>
      </c>
      <c r="AA22" s="104" t="n"/>
      <c r="AB22" s="112" t="n"/>
    </row>
    <row r="23" ht="12.65" customHeight="1" s="79">
      <c r="A23" s="104">
        <f>MIN(O23,M23)</f>
        <v/>
      </c>
      <c r="B23" s="104">
        <f>MIN(O23,N23)</f>
        <v/>
      </c>
      <c r="C23" s="104">
        <f>MIN(Q23,M23)</f>
        <v/>
      </c>
      <c r="D23" s="104">
        <f>MIN(Q23,N23)</f>
        <v/>
      </c>
      <c r="E23" s="104">
        <f>MIN((O23+Y23+Z23),N23)</f>
        <v/>
      </c>
      <c r="F23" s="105" t="inlineStr">
        <is>
          <t>CHANDRAPAL NEGI</t>
        </is>
      </c>
      <c r="G23" s="106" t="inlineStr">
        <is>
          <t>LIFESTYLE</t>
        </is>
      </c>
      <c r="H23" s="107" t="inlineStr">
        <is>
          <t>LS_WINTER_ACCESSORIES</t>
        </is>
      </c>
      <c r="I23" s="107" t="inlineStr">
        <is>
          <t>LS_KIW_GLOVES</t>
        </is>
      </c>
      <c r="J23" s="107" t="inlineStr">
        <is>
          <t>GLOVES 79-[LSKIW03]</t>
        </is>
      </c>
      <c r="K23" s="107" t="inlineStr">
        <is>
          <t>ACTIVE</t>
        </is>
      </c>
      <c r="L23" s="109" t="n">
        <v>24</v>
      </c>
      <c r="M23" s="110" t="n">
        <v>13950</v>
      </c>
      <c r="N23" s="110" t="n">
        <v>33722.810310748</v>
      </c>
      <c r="O23" s="104" t="n">
        <v>0</v>
      </c>
      <c r="P23" s="104" t="n">
        <v>23520</v>
      </c>
      <c r="Q23" s="104">
        <f>$O23+P23</f>
        <v/>
      </c>
      <c r="R23" s="111">
        <f>IFERROR(A23/M23,0)</f>
        <v/>
      </c>
      <c r="S23" s="111">
        <f>IFERROR(B23/N23,0)</f>
        <v/>
      </c>
      <c r="T23" s="111">
        <f>IFERROR(C23/M23,0)</f>
        <v/>
      </c>
      <c r="U23" s="111">
        <f>IFERROR(D23/N23,0)</f>
        <v/>
      </c>
      <c r="W23" s="111">
        <f>IFERROR(E23/N23,0)</f>
        <v/>
      </c>
      <c r="X23" s="125">
        <f>N23-(O23+Y23+Z23)</f>
        <v/>
      </c>
      <c r="Y23" s="104" t="n">
        <v>57120</v>
      </c>
      <c r="Z23" s="104" t="n">
        <v>0</v>
      </c>
      <c r="AA23" s="104" t="n"/>
      <c r="AB23" s="112" t="n"/>
    </row>
    <row r="24" ht="12.65" customHeight="1" s="79">
      <c r="A24" s="104">
        <f>MIN(O24,M24)</f>
        <v/>
      </c>
      <c r="B24" s="104">
        <f>MIN(O24,N24)</f>
        <v/>
      </c>
      <c r="C24" s="104">
        <f>MIN(Q24,M24)</f>
        <v/>
      </c>
      <c r="D24" s="104">
        <f>MIN(Q24,N24)</f>
        <v/>
      </c>
      <c r="E24" s="104">
        <f>MIN((O24+Y24+Z24),N24)</f>
        <v/>
      </c>
      <c r="F24" s="105" t="inlineStr">
        <is>
          <t>CHANDRAPAL NEGI</t>
        </is>
      </c>
      <c r="G24" s="106" t="inlineStr">
        <is>
          <t>LIFESTYLE</t>
        </is>
      </c>
      <c r="H24" s="107" t="inlineStr">
        <is>
          <t>LS_WINTER_ACCESSORIES</t>
        </is>
      </c>
      <c r="I24" s="107" t="inlineStr">
        <is>
          <t>LS_KIW_GLOVES</t>
        </is>
      </c>
      <c r="J24" s="107" t="inlineStr">
        <is>
          <t>GLOVES 59-[LSKIW03]</t>
        </is>
      </c>
      <c r="K24" s="107" t="inlineStr">
        <is>
          <t>ACTIVE</t>
        </is>
      </c>
      <c r="L24" s="109" t="n">
        <v>24</v>
      </c>
      <c r="M24" s="110" t="n">
        <v>14251</v>
      </c>
      <c r="N24" s="110" t="n">
        <v>28505.7862858191</v>
      </c>
      <c r="O24" s="104" t="n">
        <v>0</v>
      </c>
      <c r="P24" s="104" t="n">
        <v>5760</v>
      </c>
      <c r="Q24" s="104">
        <f>$O24+P24</f>
        <v/>
      </c>
      <c r="R24" s="111">
        <f>IFERROR(A24/M24,0)</f>
        <v/>
      </c>
      <c r="S24" s="111">
        <f>IFERROR(B24/N24,0)</f>
        <v/>
      </c>
      <c r="T24" s="111">
        <f>IFERROR(C24/M24,0)</f>
        <v/>
      </c>
      <c r="U24" s="111">
        <f>IFERROR(D24/N24,0)</f>
        <v/>
      </c>
      <c r="W24" s="111">
        <f>IFERROR(E24/N24,0)</f>
        <v/>
      </c>
      <c r="X24" s="125">
        <f>N24-(O24+Y24+Z24)</f>
        <v/>
      </c>
      <c r="Y24" s="104" t="n">
        <v>11160</v>
      </c>
      <c r="Z24" s="104" t="n">
        <v>0</v>
      </c>
      <c r="AA24" s="104" t="n"/>
      <c r="AB24" s="104" t="n"/>
    </row>
    <row r="25" ht="12.65" customHeight="1" s="79">
      <c r="A25" s="104">
        <f>MIN(O25,M25)</f>
        <v/>
      </c>
      <c r="B25" s="104">
        <f>MIN(O25,N25)</f>
        <v/>
      </c>
      <c r="C25" s="104">
        <f>MIN(Q25,M25)</f>
        <v/>
      </c>
      <c r="D25" s="104">
        <f>MIN(Q25,N25)</f>
        <v/>
      </c>
      <c r="E25" s="104">
        <f>MIN((O25+Y25+Z25),N25)</f>
        <v/>
      </c>
      <c r="F25" s="105" t="inlineStr">
        <is>
          <t>CHANDRAPAL NEGI</t>
        </is>
      </c>
      <c r="G25" s="106" t="inlineStr">
        <is>
          <t>LIFESTYLE</t>
        </is>
      </c>
      <c r="H25" s="107" t="inlineStr">
        <is>
          <t>LS_WINTER_ACCESSORIES</t>
        </is>
      </c>
      <c r="I25" s="107" t="inlineStr">
        <is>
          <t>LS_KIW_WINTER BOOTY</t>
        </is>
      </c>
      <c r="J25" s="107" t="inlineStr">
        <is>
          <t>WINTER BOOTY 149-[LSKIW04]</t>
        </is>
      </c>
      <c r="K25" s="107" t="inlineStr">
        <is>
          <t>ACTIVE</t>
        </is>
      </c>
      <c r="L25" s="109" t="n">
        <v>14</v>
      </c>
      <c r="M25" s="110" t="n">
        <v>37187</v>
      </c>
      <c r="N25" s="110" t="n">
        <v>66056.68545400329</v>
      </c>
      <c r="O25" s="104" t="n">
        <v>2160</v>
      </c>
      <c r="P25" s="104" t="n">
        <v>0</v>
      </c>
      <c r="Q25" s="104">
        <f>$O25+P25</f>
        <v/>
      </c>
      <c r="R25" s="111">
        <f>IFERROR(A25/M25,0)</f>
        <v/>
      </c>
      <c r="S25" s="111">
        <f>IFERROR(B25/N25,0)</f>
        <v/>
      </c>
      <c r="T25" s="111">
        <f>IFERROR(C25/M25,0)</f>
        <v/>
      </c>
      <c r="U25" s="111">
        <f>IFERROR(D25/N25,0)</f>
        <v/>
      </c>
      <c r="W25" s="111">
        <f>IFERROR(E25/N25,0)</f>
        <v/>
      </c>
      <c r="X25" s="125">
        <f>N25-(O25+Y25+Z25)</f>
        <v/>
      </c>
      <c r="Y25" s="104" t="n">
        <v>60540</v>
      </c>
      <c r="Z25" s="104" t="n">
        <v>0</v>
      </c>
      <c r="AA25" s="104" t="n"/>
      <c r="AB25" s="112" t="n"/>
    </row>
    <row r="26" ht="12.65" customHeight="1" s="79">
      <c r="A26" s="104">
        <f>MIN(O26,M26)</f>
        <v/>
      </c>
      <c r="B26" s="104">
        <f>MIN(O26,N26)</f>
        <v/>
      </c>
      <c r="C26" s="104">
        <f>MIN(Q26,M26)</f>
        <v/>
      </c>
      <c r="D26" s="104">
        <f>MIN(Q26,N26)</f>
        <v/>
      </c>
      <c r="E26" s="104">
        <f>MIN((O26+Y26+Z26),N26)</f>
        <v/>
      </c>
      <c r="F26" s="105" t="inlineStr">
        <is>
          <t>CHANDRAPAL NEGI</t>
        </is>
      </c>
      <c r="G26" s="106" t="inlineStr">
        <is>
          <t>LIFESTYLE</t>
        </is>
      </c>
      <c r="H26" s="107" t="inlineStr">
        <is>
          <t>LS_WINTER_ACCESSORIES</t>
        </is>
      </c>
      <c r="I26" s="107" t="inlineStr">
        <is>
          <t>LS_KIW_WINTER BOOTY</t>
        </is>
      </c>
      <c r="J26" s="107" t="inlineStr">
        <is>
          <t>WINTER BOOTY 199-[LSKIW04]</t>
        </is>
      </c>
      <c r="K26" s="107" t="inlineStr">
        <is>
          <t>ACTIVE</t>
        </is>
      </c>
      <c r="L26" s="109" t="n">
        <v>14</v>
      </c>
      <c r="M26" s="110" t="n">
        <v>28018</v>
      </c>
      <c r="N26" s="110" t="n">
        <v>64154.4585182086</v>
      </c>
      <c r="O26" s="104" t="n">
        <v>0</v>
      </c>
      <c r="P26" s="104" t="n">
        <v>0</v>
      </c>
      <c r="Q26" s="104">
        <f>$O26+P26</f>
        <v/>
      </c>
      <c r="R26" s="111">
        <f>IFERROR(A26/M26,0)</f>
        <v/>
      </c>
      <c r="S26" s="111">
        <f>IFERROR(B26/N26,0)</f>
        <v/>
      </c>
      <c r="T26" s="111">
        <f>IFERROR(C26/M26,0)</f>
        <v/>
      </c>
      <c r="U26" s="111">
        <f>IFERROR(D26/N26,0)</f>
        <v/>
      </c>
      <c r="W26" s="111">
        <f>IFERROR(E26/N26,0)</f>
        <v/>
      </c>
      <c r="X26" s="125">
        <f>N26-(O26+Y26+Z26)</f>
        <v/>
      </c>
      <c r="Y26" s="104" t="n">
        <v>123600</v>
      </c>
      <c r="Z26" s="104" t="n">
        <v>0</v>
      </c>
      <c r="AA26" s="104" t="n"/>
      <c r="AB26" s="112" t="n"/>
    </row>
    <row r="27" ht="12.65" customHeight="1" s="79">
      <c r="A27" s="104">
        <f>MIN(O27,M27)</f>
        <v/>
      </c>
      <c r="B27" s="104">
        <f>MIN(O27,N27)</f>
        <v/>
      </c>
      <c r="C27" s="104">
        <f>MIN(Q27,M27)</f>
        <v/>
      </c>
      <c r="D27" s="104">
        <f>MIN(Q27,N27)</f>
        <v/>
      </c>
      <c r="E27" s="104">
        <f>MIN((O27+Y27+Z27),N27)</f>
        <v/>
      </c>
      <c r="F27" s="105" t="inlineStr">
        <is>
          <t>CHANDRAPAL NEGI</t>
        </is>
      </c>
      <c r="G27" s="106" t="inlineStr">
        <is>
          <t>LIFESTYLE</t>
        </is>
      </c>
      <c r="H27" s="107" t="inlineStr">
        <is>
          <t>LS_WINTER_ACCESSORIES</t>
        </is>
      </c>
      <c r="I27" s="107" t="inlineStr">
        <is>
          <t>LS_LWW_CAP</t>
        </is>
      </c>
      <c r="J27" s="107" t="inlineStr">
        <is>
          <t>CAP 149-[LSLWW01]</t>
        </is>
      </c>
      <c r="K27" s="107" t="inlineStr">
        <is>
          <t>ACTIVE</t>
        </is>
      </c>
      <c r="L27" s="109" t="n">
        <v>8</v>
      </c>
      <c r="M27" s="110" t="n">
        <v>17230</v>
      </c>
      <c r="N27" s="110" t="n">
        <v>82911.45304757501</v>
      </c>
      <c r="O27" s="104" t="n">
        <v>0</v>
      </c>
      <c r="P27" s="104" t="n">
        <v>0</v>
      </c>
      <c r="Q27" s="104">
        <f>$O27+P27</f>
        <v/>
      </c>
      <c r="R27" s="111">
        <f>IFERROR(A27/M27,0)</f>
        <v/>
      </c>
      <c r="S27" s="111">
        <f>IFERROR(B27/N27,0)</f>
        <v/>
      </c>
      <c r="T27" s="111">
        <f>IFERROR(C27/M27,0)</f>
        <v/>
      </c>
      <c r="U27" s="111">
        <f>IFERROR(D27/N27,0)</f>
        <v/>
      </c>
      <c r="W27" s="111">
        <f>IFERROR(E27/N27,0)</f>
        <v/>
      </c>
      <c r="X27" s="125">
        <f>N27-(O27+Y27+Z27)</f>
        <v/>
      </c>
      <c r="Y27" s="104" t="n">
        <v>65100</v>
      </c>
      <c r="Z27" s="104" t="n">
        <v>0</v>
      </c>
      <c r="AA27" s="104" t="n"/>
      <c r="AB27" s="104" t="n"/>
    </row>
    <row r="28" ht="12.65" customHeight="1" s="79">
      <c r="A28" s="104">
        <f>MIN(O28,M28)</f>
        <v/>
      </c>
      <c r="B28" s="104">
        <f>MIN(O28,N28)</f>
        <v/>
      </c>
      <c r="C28" s="104">
        <f>MIN(Q28,M28)</f>
        <v/>
      </c>
      <c r="D28" s="104">
        <f>MIN(Q28,N28)</f>
        <v/>
      </c>
      <c r="E28" s="104">
        <f>MIN((O28+Y28+Z28),N28)</f>
        <v/>
      </c>
      <c r="F28" s="105" t="inlineStr">
        <is>
          <t>CHANDRAPAL NEGI</t>
        </is>
      </c>
      <c r="G28" s="106" t="inlineStr">
        <is>
          <t>LIFESTYLE</t>
        </is>
      </c>
      <c r="H28" s="107" t="inlineStr">
        <is>
          <t>LS_WINTER_ACCESSORIES</t>
        </is>
      </c>
      <c r="I28" s="107" t="inlineStr">
        <is>
          <t>LS_LWW_CAP</t>
        </is>
      </c>
      <c r="J28" s="107" t="inlineStr">
        <is>
          <t>CAP 199-[LSLWW01]</t>
        </is>
      </c>
      <c r="K28" s="107" t="inlineStr">
        <is>
          <t>ACTIVE</t>
        </is>
      </c>
      <c r="L28" s="109" t="n">
        <v>8</v>
      </c>
      <c r="M28" s="110" t="n">
        <v>12334</v>
      </c>
      <c r="N28" s="110" t="n">
        <v>54949.5195756742</v>
      </c>
      <c r="O28" s="104" t="n">
        <v>0</v>
      </c>
      <c r="P28" s="104" t="n">
        <v>0</v>
      </c>
      <c r="Q28" s="104">
        <f>$O28+P28</f>
        <v/>
      </c>
      <c r="R28" s="111">
        <f>IFERROR(A28/M28,0)</f>
        <v/>
      </c>
      <c r="S28" s="111">
        <f>IFERROR(B28/N28,0)</f>
        <v/>
      </c>
      <c r="T28" s="111">
        <f>IFERROR(C28/M28,0)</f>
        <v/>
      </c>
      <c r="U28" s="111">
        <f>IFERROR(D28/N28,0)</f>
        <v/>
      </c>
      <c r="W28" s="111">
        <f>IFERROR(E28/N28,0)</f>
        <v/>
      </c>
      <c r="X28" s="125">
        <f>N28-(O28+Y28+Z28)</f>
        <v/>
      </c>
      <c r="Y28" s="104" t="n">
        <v>124950</v>
      </c>
      <c r="Z28" s="104" t="n">
        <v>0</v>
      </c>
      <c r="AA28" s="104" t="n"/>
      <c r="AB28" s="112" t="n"/>
    </row>
    <row r="29" ht="12.65" customHeight="1" s="79">
      <c r="A29" s="104">
        <f>MIN(O29,M29)</f>
        <v/>
      </c>
      <c r="B29" s="104">
        <f>MIN(O29,N29)</f>
        <v/>
      </c>
      <c r="C29" s="104">
        <f>MIN(Q29,M29)</f>
        <v/>
      </c>
      <c r="D29" s="104">
        <f>MIN(Q29,N29)</f>
        <v/>
      </c>
      <c r="E29" s="104">
        <f>MIN((O29+Y29+Z29),N29)</f>
        <v/>
      </c>
      <c r="F29" s="105" t="inlineStr">
        <is>
          <t>CHANDRAPAL NEGI</t>
        </is>
      </c>
      <c r="G29" s="106" t="inlineStr">
        <is>
          <t>LIFESTYLE</t>
        </is>
      </c>
      <c r="H29" s="107" t="inlineStr">
        <is>
          <t>LS_WINTER_ACCESSORIES</t>
        </is>
      </c>
      <c r="I29" s="107" t="inlineStr">
        <is>
          <t>LS_LWW_CAP</t>
        </is>
      </c>
      <c r="J29" s="107" t="inlineStr">
        <is>
          <t>CAP 99-[LSLWW01]</t>
        </is>
      </c>
      <c r="K29" s="107" t="inlineStr">
        <is>
          <t>ACTIVE</t>
        </is>
      </c>
      <c r="L29" s="109" t="n">
        <v>8</v>
      </c>
      <c r="M29" s="110" t="n">
        <v>8698</v>
      </c>
      <c r="N29" s="110" t="n">
        <v>35961.5036914023</v>
      </c>
      <c r="O29" s="104" t="n">
        <v>0</v>
      </c>
      <c r="P29" s="104" t="n">
        <v>2400</v>
      </c>
      <c r="Q29" s="104">
        <f>$O29+P29</f>
        <v/>
      </c>
      <c r="R29" s="111">
        <f>IFERROR(A29/M29,0)</f>
        <v/>
      </c>
      <c r="S29" s="111">
        <f>IFERROR(B29/N29,0)</f>
        <v/>
      </c>
      <c r="T29" s="111">
        <f>IFERROR(C29/M29,0)</f>
        <v/>
      </c>
      <c r="U29" s="111">
        <f>IFERROR(D29/N29,0)</f>
        <v/>
      </c>
      <c r="W29" s="111">
        <f>IFERROR(E29/N29,0)</f>
        <v/>
      </c>
      <c r="X29" s="125">
        <f>N29-(O29+Y29+Z29)</f>
        <v/>
      </c>
      <c r="Y29" s="104" t="n">
        <v>25200</v>
      </c>
      <c r="Z29" s="104" t="n">
        <v>0</v>
      </c>
      <c r="AA29" s="104" t="n"/>
      <c r="AB29" s="112" t="n"/>
    </row>
    <row r="30" ht="12.65" customHeight="1" s="79">
      <c r="A30" s="104">
        <f>MIN(O30,M30)</f>
        <v/>
      </c>
      <c r="B30" s="104">
        <f>MIN(O30,N30)</f>
        <v/>
      </c>
      <c r="C30" s="104">
        <f>MIN(Q30,M30)</f>
        <v/>
      </c>
      <c r="D30" s="104">
        <f>MIN(Q30,N30)</f>
        <v/>
      </c>
      <c r="E30" s="104">
        <f>MIN((O30+Y30+Z30),N30)</f>
        <v/>
      </c>
      <c r="F30" s="105" t="inlineStr">
        <is>
          <t>CHANDRAPAL NEGI</t>
        </is>
      </c>
      <c r="G30" s="106" t="inlineStr">
        <is>
          <t>LIFESTYLE</t>
        </is>
      </c>
      <c r="H30" s="107" t="inlineStr">
        <is>
          <t>LS_WINTER_ACCESSORIES</t>
        </is>
      </c>
      <c r="I30" s="107" t="inlineStr">
        <is>
          <t>LS_LWW_GLOVES</t>
        </is>
      </c>
      <c r="J30" s="107" t="inlineStr">
        <is>
          <t>GLOVES 149-[LSLWW03]</t>
        </is>
      </c>
      <c r="K30" s="107" t="inlineStr">
        <is>
          <t>ACTIVE</t>
        </is>
      </c>
      <c r="L30" s="109" t="n">
        <v>20</v>
      </c>
      <c r="M30" s="110" t="n">
        <v>15031</v>
      </c>
      <c r="N30" s="110" t="n">
        <v>57670.8765803609</v>
      </c>
      <c r="O30" s="104" t="n">
        <v>0</v>
      </c>
      <c r="P30" s="104" t="n">
        <v>22800</v>
      </c>
      <c r="Q30" s="104">
        <f>$O30+P30</f>
        <v/>
      </c>
      <c r="R30" s="111">
        <f>IFERROR(A30/M30,0)</f>
        <v/>
      </c>
      <c r="S30" s="111">
        <f>IFERROR(B30/N30,0)</f>
        <v/>
      </c>
      <c r="T30" s="111">
        <f>IFERROR(C30/M30,0)</f>
        <v/>
      </c>
      <c r="U30" s="111">
        <f>IFERROR(D30/N30,0)</f>
        <v/>
      </c>
      <c r="W30" s="111">
        <f>IFERROR(E30/N30,0)</f>
        <v/>
      </c>
      <c r="X30" s="125">
        <f>N30-(O30+Y30+Z30)</f>
        <v/>
      </c>
      <c r="Y30" s="104" t="n">
        <v>68520</v>
      </c>
      <c r="Z30" s="104" t="n">
        <v>0</v>
      </c>
      <c r="AA30" s="104" t="n"/>
      <c r="AB30" s="112" t="n"/>
    </row>
    <row r="31" ht="12.65" customHeight="1" s="79">
      <c r="A31" s="104">
        <f>MIN(O31,M31)</f>
        <v/>
      </c>
      <c r="B31" s="104">
        <f>MIN(O31,N31)</f>
        <v/>
      </c>
      <c r="C31" s="104">
        <f>MIN(Q31,M31)</f>
        <v/>
      </c>
      <c r="D31" s="104">
        <f>MIN(Q31,N31)</f>
        <v/>
      </c>
      <c r="E31" s="104">
        <f>MIN((O31+Y31+Z31),N31)</f>
        <v/>
      </c>
      <c r="F31" s="105" t="inlineStr">
        <is>
          <t>CHANDRAPAL NEGI</t>
        </is>
      </c>
      <c r="G31" s="106" t="inlineStr">
        <is>
          <t>LIFESTYLE</t>
        </is>
      </c>
      <c r="H31" s="107" t="inlineStr">
        <is>
          <t>LS_WINTER_ACCESSORIES</t>
        </is>
      </c>
      <c r="I31" s="107" t="inlineStr">
        <is>
          <t>LS_LWW_GLOVES</t>
        </is>
      </c>
      <c r="J31" s="107" t="inlineStr">
        <is>
          <t>GLOVES 99-[LSLWW03]</t>
        </is>
      </c>
      <c r="K31" s="107" t="inlineStr">
        <is>
          <t>ACTIVE</t>
        </is>
      </c>
      <c r="L31" s="109" t="n">
        <v>20</v>
      </c>
      <c r="M31" s="110" t="n">
        <v>1143</v>
      </c>
      <c r="N31" s="110" t="n">
        <v>6345.50116907555</v>
      </c>
      <c r="O31" s="104" t="n">
        <v>0</v>
      </c>
      <c r="P31" s="104" t="n">
        <v>0</v>
      </c>
      <c r="Q31" s="104">
        <f>$O31+P31</f>
        <v/>
      </c>
      <c r="R31" s="111">
        <f>IFERROR(A31/M31,0)</f>
        <v/>
      </c>
      <c r="S31" s="111">
        <f>IFERROR(B31/N31,0)</f>
        <v/>
      </c>
      <c r="T31" s="111">
        <f>IFERROR(C31/M31,0)</f>
        <v/>
      </c>
      <c r="U31" s="111">
        <f>IFERROR(D31/N31,0)</f>
        <v/>
      </c>
      <c r="W31" s="111">
        <f>IFERROR(E31/N31,0)</f>
        <v/>
      </c>
      <c r="X31" s="125">
        <f>N31-(O31+Y31+Z31)</f>
        <v/>
      </c>
      <c r="Y31" s="104" t="n">
        <v>0</v>
      </c>
      <c r="Z31" s="104" t="n">
        <v>0</v>
      </c>
      <c r="AA31" s="104" t="n"/>
      <c r="AB31" s="104" t="n"/>
    </row>
    <row r="32" ht="12.65" customHeight="1" s="79">
      <c r="A32" s="104">
        <f>MIN(O32,M32)</f>
        <v/>
      </c>
      <c r="B32" s="104">
        <f>MIN(O32,N32)</f>
        <v/>
      </c>
      <c r="C32" s="104">
        <f>MIN(Q32,M32)</f>
        <v/>
      </c>
      <c r="D32" s="104">
        <f>MIN(Q32,N32)</f>
        <v/>
      </c>
      <c r="E32" s="104">
        <f>MIN((O32+Y32+Z32),N32)</f>
        <v/>
      </c>
      <c r="F32" s="105" t="inlineStr">
        <is>
          <t>CHANDRAPAL NEGI</t>
        </is>
      </c>
      <c r="G32" s="106" t="inlineStr">
        <is>
          <t>LIFESTYLE</t>
        </is>
      </c>
      <c r="H32" s="107" t="inlineStr">
        <is>
          <t>LS_WINTER_ACCESSORIES</t>
        </is>
      </c>
      <c r="I32" s="107" t="inlineStr">
        <is>
          <t>LS_LWW_MUFFLER</t>
        </is>
      </c>
      <c r="J32" s="107" t="inlineStr">
        <is>
          <t>MUFFLER 249-[LSLWW04]</t>
        </is>
      </c>
      <c r="K32" s="107" t="inlineStr">
        <is>
          <t>ACTIVE</t>
        </is>
      </c>
      <c r="L32" s="109" t="n">
        <v>15</v>
      </c>
      <c r="M32" s="110" t="n">
        <v>9700</v>
      </c>
      <c r="N32" s="110" t="n">
        <v>39199.8416609322</v>
      </c>
      <c r="O32" s="104" t="n">
        <v>42860</v>
      </c>
      <c r="P32" s="104" t="n">
        <v>0</v>
      </c>
      <c r="Q32" s="104">
        <f>$O32+P32</f>
        <v/>
      </c>
      <c r="R32" s="111">
        <f>IFERROR(A32/M32,0)</f>
        <v/>
      </c>
      <c r="S32" s="111">
        <f>IFERROR(B32/N32,0)</f>
        <v/>
      </c>
      <c r="T32" s="111">
        <f>IFERROR(C32/M32,0)</f>
        <v/>
      </c>
      <c r="U32" s="111">
        <f>IFERROR(D32/N32,0)</f>
        <v/>
      </c>
      <c r="W32" s="111">
        <f>IFERROR(E32/N32,0)</f>
        <v/>
      </c>
      <c r="X32" s="125">
        <f>N32-(O32+Y32+Z32)</f>
        <v/>
      </c>
      <c r="Y32" s="104" t="n">
        <v>49612</v>
      </c>
      <c r="Z32" s="104" t="n">
        <v>0</v>
      </c>
      <c r="AA32" s="104" t="n"/>
      <c r="AB32" s="104" t="n"/>
    </row>
    <row r="33" ht="12.65" customHeight="1" s="79">
      <c r="A33" s="104">
        <f>MIN(O33,M33)</f>
        <v/>
      </c>
      <c r="B33" s="104">
        <f>MIN(O33,N33)</f>
        <v/>
      </c>
      <c r="C33" s="104">
        <f>MIN(Q33,M33)</f>
        <v/>
      </c>
      <c r="D33" s="104">
        <f>MIN(Q33,N33)</f>
        <v/>
      </c>
      <c r="E33" s="104">
        <f>MIN((O33+Y33+Z33),N33)</f>
        <v/>
      </c>
      <c r="F33" s="105" t="inlineStr">
        <is>
          <t>CHANDRAPAL NEGI</t>
        </is>
      </c>
      <c r="G33" s="106" t="inlineStr">
        <is>
          <t>LIFESTYLE</t>
        </is>
      </c>
      <c r="H33" s="107" t="inlineStr">
        <is>
          <t>LS_WINTER_ACCESSORIES</t>
        </is>
      </c>
      <c r="I33" s="107" t="inlineStr">
        <is>
          <t>LS_LWW_MUFFLER</t>
        </is>
      </c>
      <c r="J33" s="107" t="inlineStr">
        <is>
          <t>MUFFLER 199-[LSLWW04]</t>
        </is>
      </c>
      <c r="K33" s="107" t="inlineStr">
        <is>
          <t>ACTIVE</t>
        </is>
      </c>
      <c r="L33" s="109" t="n">
        <v>15</v>
      </c>
      <c r="M33" s="110" t="n">
        <v>7640</v>
      </c>
      <c r="N33" s="110" t="n">
        <v>30631.7139301622</v>
      </c>
      <c r="O33" s="104" t="n">
        <v>0</v>
      </c>
      <c r="P33" s="104" t="n">
        <v>0</v>
      </c>
      <c r="Q33" s="104">
        <f>$O33+P33</f>
        <v/>
      </c>
      <c r="R33" s="111">
        <f>IFERROR(A33/M33,0)</f>
        <v/>
      </c>
      <c r="S33" s="111">
        <f>IFERROR(B33/N33,0)</f>
        <v/>
      </c>
      <c r="T33" s="111">
        <f>IFERROR(C33/M33,0)</f>
        <v/>
      </c>
      <c r="U33" s="111">
        <f>IFERROR(D33/N33,0)</f>
        <v/>
      </c>
      <c r="W33" s="111">
        <f>IFERROR(E33/N33,0)</f>
        <v/>
      </c>
      <c r="X33" s="125">
        <f>N33-(O33+Y33+Z33)</f>
        <v/>
      </c>
      <c r="Y33" s="104" t="n">
        <v>7700</v>
      </c>
      <c r="Z33" s="104" t="n">
        <v>0</v>
      </c>
      <c r="AA33" s="104" t="n"/>
      <c r="AB33" s="104" t="n"/>
    </row>
    <row r="34" ht="12.65" customHeight="1" s="79">
      <c r="A34" s="104">
        <f>MIN(O34,M34)</f>
        <v/>
      </c>
      <c r="B34" s="104">
        <f>MIN(O34,N34)</f>
        <v/>
      </c>
      <c r="C34" s="104">
        <f>MIN(Q34,M34)</f>
        <v/>
      </c>
      <c r="D34" s="104">
        <f>MIN(Q34,N34)</f>
        <v/>
      </c>
      <c r="E34" s="104">
        <f>MIN((O34+Y34+Z34),N34)</f>
        <v/>
      </c>
      <c r="F34" s="105" t="inlineStr">
        <is>
          <t>CHANDRAPAL NEGI</t>
        </is>
      </c>
      <c r="G34" s="106" t="inlineStr">
        <is>
          <t>LIFESTYLE</t>
        </is>
      </c>
      <c r="H34" s="107" t="inlineStr">
        <is>
          <t>LS_WINTER_ACCESSORIES</t>
        </is>
      </c>
      <c r="I34" s="107" t="inlineStr">
        <is>
          <t>LS_LWW_MUFFLER</t>
        </is>
      </c>
      <c r="J34" s="107" t="inlineStr">
        <is>
          <t>MUFFLER 99-[LSLWW04]</t>
        </is>
      </c>
      <c r="K34" s="107" t="inlineStr">
        <is>
          <t>ACTIVE</t>
        </is>
      </c>
      <c r="L34" s="109" t="n">
        <v>15</v>
      </c>
      <c r="M34" s="110" t="n">
        <v>495</v>
      </c>
      <c r="N34" s="110" t="n">
        <v>3670.75490514071</v>
      </c>
      <c r="O34" s="104" t="n">
        <v>0</v>
      </c>
      <c r="P34" s="104" t="n">
        <v>0</v>
      </c>
      <c r="Q34" s="104">
        <f>$O34+P34</f>
        <v/>
      </c>
      <c r="R34" s="111">
        <f>IFERROR(A34/M34,0)</f>
        <v/>
      </c>
      <c r="S34" s="111">
        <f>IFERROR(B34/N34,0)</f>
        <v/>
      </c>
      <c r="T34" s="111">
        <f>IFERROR(C34/M34,0)</f>
        <v/>
      </c>
      <c r="U34" s="111">
        <f>IFERROR(D34/N34,0)</f>
        <v/>
      </c>
      <c r="W34" s="111">
        <f>IFERROR(E34/N34,0)</f>
        <v/>
      </c>
      <c r="X34" s="125">
        <f>N34-(O34+Y34+Z34)</f>
        <v/>
      </c>
      <c r="Y34" s="104" t="n">
        <v>0</v>
      </c>
      <c r="Z34" s="104" t="n">
        <v>0</v>
      </c>
      <c r="AA34" s="104" t="n"/>
      <c r="AB34" s="112" t="n"/>
    </row>
    <row r="35" ht="12.65" customHeight="1" s="79">
      <c r="A35" s="104">
        <f>MIN(O35,M35)</f>
        <v/>
      </c>
      <c r="B35" s="104">
        <f>MIN(O35,N35)</f>
        <v/>
      </c>
      <c r="C35" s="104">
        <f>MIN(Q35,M35)</f>
        <v/>
      </c>
      <c r="D35" s="104">
        <f>MIN(Q35,N35)</f>
        <v/>
      </c>
      <c r="E35" s="104">
        <f>MIN((O35+Y35+Z35),N35)</f>
        <v/>
      </c>
      <c r="F35" s="105" t="inlineStr">
        <is>
          <t>CHANDRAPAL NEGI</t>
        </is>
      </c>
      <c r="G35" s="106" t="inlineStr">
        <is>
          <t>LIFESTYLE</t>
        </is>
      </c>
      <c r="H35" s="107" t="inlineStr">
        <is>
          <t>LS_WINTER_ACCESSORIES</t>
        </is>
      </c>
      <c r="I35" s="107" t="inlineStr">
        <is>
          <t>LS_LWW_SOCKS</t>
        </is>
      </c>
      <c r="J35" s="107" t="inlineStr">
        <is>
          <t>SOCKS 99-[LSLWW05]</t>
        </is>
      </c>
      <c r="K35" s="107" t="inlineStr">
        <is>
          <t>ACTIVE</t>
        </is>
      </c>
      <c r="L35" s="109" t="n">
        <v>22</v>
      </c>
      <c r="M35" s="110" t="n">
        <v>18318</v>
      </c>
      <c r="N35" s="110" t="n">
        <v>66310.0266950838</v>
      </c>
      <c r="O35" s="104" t="n">
        <v>0</v>
      </c>
      <c r="P35" s="104" t="n">
        <v>0</v>
      </c>
      <c r="Q35" s="104">
        <f>$O35+P35</f>
        <v/>
      </c>
      <c r="R35" s="111">
        <f>IFERROR(A35/M35,0)</f>
        <v/>
      </c>
      <c r="S35" s="111">
        <f>IFERROR(B35/N35,0)</f>
        <v/>
      </c>
      <c r="T35" s="111">
        <f>IFERROR(C35/M35,0)</f>
        <v/>
      </c>
      <c r="U35" s="111">
        <f>IFERROR(D35/N35,0)</f>
        <v/>
      </c>
      <c r="W35" s="111">
        <f>IFERROR(E35/N35,0)</f>
        <v/>
      </c>
      <c r="X35" s="125">
        <f>N35-(O35+Y35+Z35)</f>
        <v/>
      </c>
      <c r="Y35" s="104" t="n">
        <v>85800</v>
      </c>
      <c r="Z35" s="104" t="n">
        <v>0</v>
      </c>
      <c r="AA35" s="104" t="n"/>
      <c r="AB35" s="104" t="n"/>
    </row>
    <row r="36" ht="12.65" customHeight="1" s="79">
      <c r="A36" s="104">
        <f>MIN(O36,M36)</f>
        <v/>
      </c>
      <c r="B36" s="104">
        <f>MIN(O36,N36)</f>
        <v/>
      </c>
      <c r="C36" s="104">
        <f>MIN(Q36,M36)</f>
        <v/>
      </c>
      <c r="D36" s="104">
        <f>MIN(Q36,N36)</f>
        <v/>
      </c>
      <c r="E36" s="104">
        <f>MIN((O36+Y36+Z36),N36)</f>
        <v/>
      </c>
      <c r="F36" s="105" t="inlineStr">
        <is>
          <t>CHANDRAPAL NEGI</t>
        </is>
      </c>
      <c r="G36" s="106" t="inlineStr">
        <is>
          <t>LIFESTYLE</t>
        </is>
      </c>
      <c r="H36" s="107" t="inlineStr">
        <is>
          <t>LS_WINTER_ACCESSORIES</t>
        </is>
      </c>
      <c r="I36" s="107" t="inlineStr">
        <is>
          <t>LS_LWW_SOCKS</t>
        </is>
      </c>
      <c r="J36" s="107" t="inlineStr">
        <is>
          <t>THUMB 49-[LSLWW05]</t>
        </is>
      </c>
      <c r="K36" s="107" t="inlineStr">
        <is>
          <t>ACTIVE</t>
        </is>
      </c>
      <c r="L36" s="109" t="n">
        <v>22</v>
      </c>
      <c r="M36" s="110" t="n">
        <v>11311</v>
      </c>
      <c r="N36" s="110" t="n">
        <v>33854.8466778926</v>
      </c>
      <c r="O36" s="104" t="n">
        <v>0</v>
      </c>
      <c r="P36" s="104" t="n">
        <v>0</v>
      </c>
      <c r="Q36" s="104">
        <f>$O36+P36</f>
        <v/>
      </c>
      <c r="R36" s="111">
        <f>IFERROR(A36/M36,0)</f>
        <v/>
      </c>
      <c r="S36" s="111">
        <f>IFERROR(B36/N36,0)</f>
        <v/>
      </c>
      <c r="T36" s="111">
        <f>IFERROR(C36/M36,0)</f>
        <v/>
      </c>
      <c r="U36" s="111">
        <f>IFERROR(D36/N36,0)</f>
        <v/>
      </c>
      <c r="W36" s="111">
        <f>IFERROR(E36/N36,0)</f>
        <v/>
      </c>
      <c r="X36" s="125">
        <f>N36-(O36+Y36+Z36)</f>
        <v/>
      </c>
      <c r="Y36" s="104" t="n">
        <v>60000</v>
      </c>
      <c r="Z36" s="104" t="n">
        <v>0</v>
      </c>
      <c r="AA36" s="104" t="n"/>
      <c r="AB36" s="112" t="n"/>
    </row>
    <row r="37" ht="12.65" customHeight="1" s="79">
      <c r="A37" s="104">
        <f>MIN(O37,M37)</f>
        <v/>
      </c>
      <c r="B37" s="104">
        <f>MIN(O37,N37)</f>
        <v/>
      </c>
      <c r="C37" s="104">
        <f>MIN(Q37,M37)</f>
        <v/>
      </c>
      <c r="D37" s="104">
        <f>MIN(Q37,N37)</f>
        <v/>
      </c>
      <c r="E37" s="104">
        <f>MIN((O37+Y37+Z37),N37)</f>
        <v/>
      </c>
      <c r="F37" s="105" t="inlineStr">
        <is>
          <t>CHANDRAPAL NEGI</t>
        </is>
      </c>
      <c r="G37" s="106" t="inlineStr">
        <is>
          <t>LIFESTYLE</t>
        </is>
      </c>
      <c r="H37" s="107" t="inlineStr">
        <is>
          <t>LS_WINTER_ACCESSORIES</t>
        </is>
      </c>
      <c r="I37" s="107" t="inlineStr">
        <is>
          <t>LS_MW_CAP</t>
        </is>
      </c>
      <c r="J37" s="107" t="inlineStr">
        <is>
          <t>CAP 199-[LSMW01]</t>
        </is>
      </c>
      <c r="K37" s="107" t="inlineStr">
        <is>
          <t>ACTIVE</t>
        </is>
      </c>
      <c r="L37" s="109" t="n">
        <v>3</v>
      </c>
      <c r="M37" s="110" t="n">
        <v>30704</v>
      </c>
      <c r="N37" s="110" t="n">
        <v>171800.042516157</v>
      </c>
      <c r="O37" s="104" t="n">
        <v>0</v>
      </c>
      <c r="P37" s="104" t="n">
        <v>0</v>
      </c>
      <c r="Q37" s="104">
        <f>$O37+P37</f>
        <v/>
      </c>
      <c r="R37" s="111">
        <f>IFERROR(A37/M37,0)</f>
        <v/>
      </c>
      <c r="S37" s="111">
        <f>IFERROR(B37/N37,0)</f>
        <v/>
      </c>
      <c r="T37" s="111">
        <f>IFERROR(C37/M37,0)</f>
        <v/>
      </c>
      <c r="U37" s="111">
        <f>IFERROR(D37/N37,0)</f>
        <v/>
      </c>
      <c r="W37" s="111">
        <f>IFERROR(E37/N37,0)</f>
        <v/>
      </c>
      <c r="X37" s="125">
        <f>N37-(O37+Y37+Z37)</f>
        <v/>
      </c>
      <c r="Y37" s="104" t="n">
        <v>277200</v>
      </c>
      <c r="Z37" s="104" t="n">
        <v>0</v>
      </c>
      <c r="AA37" s="104" t="n"/>
      <c r="AB37" s="104" t="n"/>
    </row>
    <row r="38" ht="12.65" customHeight="1" s="79">
      <c r="A38" s="104">
        <f>MIN(O38,M38)</f>
        <v/>
      </c>
      <c r="B38" s="104">
        <f>MIN(O38,N38)</f>
        <v/>
      </c>
      <c r="C38" s="104">
        <f>MIN(Q38,M38)</f>
        <v/>
      </c>
      <c r="D38" s="104">
        <f>MIN(Q38,N38)</f>
        <v/>
      </c>
      <c r="E38" s="104">
        <f>MIN((O38+Y38+Z38),N38)</f>
        <v/>
      </c>
      <c r="F38" s="105" t="inlineStr">
        <is>
          <t>CHANDRAPAL NEGI</t>
        </is>
      </c>
      <c r="G38" s="106" t="inlineStr">
        <is>
          <t>LIFESTYLE</t>
        </is>
      </c>
      <c r="H38" s="107" t="inlineStr">
        <is>
          <t>LS_WINTER_ACCESSORIES</t>
        </is>
      </c>
      <c r="I38" s="107" t="inlineStr">
        <is>
          <t>LS_MW_CAP</t>
        </is>
      </c>
      <c r="J38" s="107" t="inlineStr">
        <is>
          <t>CAP 149-[LSMW01]</t>
        </is>
      </c>
      <c r="K38" s="107" t="inlineStr">
        <is>
          <t>ACTIVE</t>
        </is>
      </c>
      <c r="L38" s="109" t="n">
        <v>3</v>
      </c>
      <c r="M38" s="110" t="n">
        <v>20620</v>
      </c>
      <c r="N38" s="110" t="n">
        <v>120586.722293599</v>
      </c>
      <c r="O38" s="104" t="n">
        <v>0</v>
      </c>
      <c r="P38" s="104" t="n">
        <v>0</v>
      </c>
      <c r="Q38" s="104">
        <f>$O38+P38</f>
        <v/>
      </c>
      <c r="R38" s="111">
        <f>IFERROR(A38/M38,0)</f>
        <v/>
      </c>
      <c r="S38" s="111">
        <f>IFERROR(B38/N38,0)</f>
        <v/>
      </c>
      <c r="T38" s="111">
        <f>IFERROR(C38/M38,0)</f>
        <v/>
      </c>
      <c r="U38" s="111">
        <f>IFERROR(D38/N38,0)</f>
        <v/>
      </c>
      <c r="W38" s="111">
        <f>IFERROR(E38/N38,0)</f>
        <v/>
      </c>
      <c r="X38" s="125">
        <f>N38-(O38+Y38+Z38)</f>
        <v/>
      </c>
      <c r="Y38" s="104" t="n">
        <v>92100</v>
      </c>
      <c r="Z38" s="104" t="n">
        <v>0</v>
      </c>
      <c r="AA38" s="104" t="n"/>
      <c r="AB38" s="112" t="n"/>
    </row>
    <row r="39" ht="12.65" customHeight="1" s="79">
      <c r="A39" s="104">
        <f>MIN(O39,M39)</f>
        <v/>
      </c>
      <c r="B39" s="104">
        <f>MIN(O39,N39)</f>
        <v/>
      </c>
      <c r="C39" s="104">
        <f>MIN(Q39,M39)</f>
        <v/>
      </c>
      <c r="D39" s="104">
        <f>MIN(Q39,N39)</f>
        <v/>
      </c>
      <c r="E39" s="104">
        <f>MIN((O39+Y39+Z39),N39)</f>
        <v/>
      </c>
      <c r="F39" s="105" t="inlineStr">
        <is>
          <t>CHANDRAPAL NEGI</t>
        </is>
      </c>
      <c r="G39" s="106" t="inlineStr">
        <is>
          <t>LIFESTYLE</t>
        </is>
      </c>
      <c r="H39" s="107" t="inlineStr">
        <is>
          <t>LS_WINTER_ACCESSORIES</t>
        </is>
      </c>
      <c r="I39" s="107" t="inlineStr">
        <is>
          <t>LS_MW_CAP</t>
        </is>
      </c>
      <c r="J39" s="107" t="inlineStr">
        <is>
          <t>CAP 129-[LSMW01]</t>
        </is>
      </c>
      <c r="K39" s="107" t="inlineStr">
        <is>
          <t>ACTIVE</t>
        </is>
      </c>
      <c r="L39" s="109" t="n">
        <v>3</v>
      </c>
      <c r="M39" s="110" t="n">
        <v>9899</v>
      </c>
      <c r="N39" s="110" t="n">
        <v>54850.4243666116</v>
      </c>
      <c r="O39" s="104" t="n">
        <v>0</v>
      </c>
      <c r="P39" s="104" t="n">
        <v>0</v>
      </c>
      <c r="Q39" s="104">
        <f>$O39+P39</f>
        <v/>
      </c>
      <c r="R39" s="111">
        <f>IFERROR(A39/M39,0)</f>
        <v/>
      </c>
      <c r="S39" s="111">
        <f>IFERROR(B39/N39,0)</f>
        <v/>
      </c>
      <c r="T39" s="111">
        <f>IFERROR(C39/M39,0)</f>
        <v/>
      </c>
      <c r="U39" s="111">
        <f>IFERROR(D39/N39,0)</f>
        <v/>
      </c>
      <c r="W39" s="111">
        <f>IFERROR(E39/N39,0)</f>
        <v/>
      </c>
      <c r="X39" s="125">
        <f>N39-(O39+Y39+Z39)</f>
        <v/>
      </c>
      <c r="Y39" s="104" t="n">
        <v>77400</v>
      </c>
      <c r="Z39" s="104" t="n">
        <v>0</v>
      </c>
      <c r="AA39" s="104" t="n"/>
      <c r="AB39" s="104" t="n"/>
    </row>
    <row r="40" ht="12.65" customHeight="1" s="79">
      <c r="A40" s="104">
        <f>MIN(O40,M40)</f>
        <v/>
      </c>
      <c r="B40" s="104">
        <f>MIN(O40,N40)</f>
        <v/>
      </c>
      <c r="C40" s="104">
        <f>MIN(Q40,M40)</f>
        <v/>
      </c>
      <c r="D40" s="104">
        <f>MIN(Q40,N40)</f>
        <v/>
      </c>
      <c r="E40" s="104">
        <f>MIN((O40+Y40+Z40),N40)</f>
        <v/>
      </c>
      <c r="F40" s="105" t="inlineStr">
        <is>
          <t>CHANDRAPAL NEGI</t>
        </is>
      </c>
      <c r="G40" s="106" t="inlineStr">
        <is>
          <t>LIFESTYLE</t>
        </is>
      </c>
      <c r="H40" s="107" t="inlineStr">
        <is>
          <t>LS_WINTER_ACCESSORIES</t>
        </is>
      </c>
      <c r="I40" s="107" t="inlineStr">
        <is>
          <t>LS_MW_CAP</t>
        </is>
      </c>
      <c r="J40" s="107" t="inlineStr">
        <is>
          <t>CAP 99-[LSMW01]</t>
        </is>
      </c>
      <c r="K40" s="107" t="inlineStr">
        <is>
          <t>ACTIVE</t>
        </is>
      </c>
      <c r="L40" s="109" t="n">
        <v>3</v>
      </c>
      <c r="M40" s="110" t="n">
        <v>6794</v>
      </c>
      <c r="N40" s="110" t="n">
        <v>41543.9913392288</v>
      </c>
      <c r="O40" s="104" t="n">
        <v>0</v>
      </c>
      <c r="P40" s="104" t="n">
        <v>0</v>
      </c>
      <c r="Q40" s="104">
        <f>$O40+P40</f>
        <v/>
      </c>
      <c r="R40" s="111">
        <f>IFERROR(A40/M40,0)</f>
        <v/>
      </c>
      <c r="S40" s="111">
        <f>IFERROR(B40/N40,0)</f>
        <v/>
      </c>
      <c r="T40" s="111">
        <f>IFERROR(C40/M40,0)</f>
        <v/>
      </c>
      <c r="U40" s="111">
        <f>IFERROR(D40/N40,0)</f>
        <v/>
      </c>
      <c r="W40" s="111">
        <f>IFERROR(E40/N40,0)</f>
        <v/>
      </c>
      <c r="X40" s="125">
        <f>N40-(O40+Y40+Z40)</f>
        <v/>
      </c>
      <c r="Y40" s="104" t="n">
        <v>16200</v>
      </c>
      <c r="Z40" s="104" t="n">
        <v>0</v>
      </c>
      <c r="AA40" s="104" t="n"/>
      <c r="AB40" s="112" t="n"/>
    </row>
    <row r="41" ht="12.65" customHeight="1" s="79">
      <c r="A41" s="104">
        <f>MIN(O41,M41)</f>
        <v/>
      </c>
      <c r="B41" s="104">
        <f>MIN(O41,N41)</f>
        <v/>
      </c>
      <c r="C41" s="104">
        <f>MIN(Q41,M41)</f>
        <v/>
      </c>
      <c r="D41" s="104">
        <f>MIN(Q41,N41)</f>
        <v/>
      </c>
      <c r="E41" s="104">
        <f>MIN((O41+Y41+Z41),N41)</f>
        <v/>
      </c>
      <c r="F41" s="105" t="inlineStr">
        <is>
          <t>CHANDRAPAL NEGI</t>
        </is>
      </c>
      <c r="G41" s="106" t="inlineStr">
        <is>
          <t>LIFESTYLE</t>
        </is>
      </c>
      <c r="H41" s="107" t="inlineStr">
        <is>
          <t>LS_WINTER_ACCESSORIES</t>
        </is>
      </c>
      <c r="I41" s="107" t="inlineStr">
        <is>
          <t>LS_MW_GLOVES</t>
        </is>
      </c>
      <c r="J41" s="107" t="inlineStr">
        <is>
          <t>GLOVES 199-[LSMW02]</t>
        </is>
      </c>
      <c r="K41" s="107" t="inlineStr">
        <is>
          <t>ACTIVE</t>
        </is>
      </c>
      <c r="L41" s="109" t="n">
        <v>10</v>
      </c>
      <c r="M41" s="110" t="n">
        <v>14728</v>
      </c>
      <c r="N41" s="110" t="n">
        <v>108108.867725597</v>
      </c>
      <c r="O41" s="104" t="n">
        <v>0</v>
      </c>
      <c r="P41" s="104" t="n">
        <v>83040</v>
      </c>
      <c r="Q41" s="104">
        <f>$O41+P41</f>
        <v/>
      </c>
      <c r="R41" s="111">
        <f>IFERROR(A41/M41,0)</f>
        <v/>
      </c>
      <c r="S41" s="111">
        <f>IFERROR(B41/N41,0)</f>
        <v/>
      </c>
      <c r="T41" s="111">
        <f>IFERROR(C41/M41,0)</f>
        <v/>
      </c>
      <c r="U41" s="111">
        <f>IFERROR(D41/N41,0)</f>
        <v/>
      </c>
      <c r="W41" s="111">
        <f>IFERROR(E41/N41,0)</f>
        <v/>
      </c>
      <c r="X41" s="125">
        <f>N41-(O41+Y41+Z41)</f>
        <v/>
      </c>
      <c r="Y41" s="104" t="n">
        <v>178080</v>
      </c>
      <c r="Z41" s="104" t="n">
        <v>0</v>
      </c>
      <c r="AA41" s="104" t="n"/>
      <c r="AB41" s="112" t="n"/>
    </row>
    <row r="42" ht="12.65" customHeight="1" s="79">
      <c r="A42" s="104">
        <f>MIN(O42,M42)</f>
        <v/>
      </c>
      <c r="B42" s="104">
        <f>MIN(O42,N42)</f>
        <v/>
      </c>
      <c r="C42" s="104">
        <f>MIN(Q42,M42)</f>
        <v/>
      </c>
      <c r="D42" s="104">
        <f>MIN(Q42,N42)</f>
        <v/>
      </c>
      <c r="E42" s="104">
        <f>MIN((O42+Y42+Z42),N42)</f>
        <v/>
      </c>
      <c r="F42" s="105" t="inlineStr">
        <is>
          <t>CHANDRAPAL NEGI</t>
        </is>
      </c>
      <c r="G42" s="106" t="inlineStr">
        <is>
          <t>LIFESTYLE</t>
        </is>
      </c>
      <c r="H42" s="107" t="inlineStr">
        <is>
          <t>LS_WINTER_ACCESSORIES</t>
        </is>
      </c>
      <c r="I42" s="107" t="inlineStr">
        <is>
          <t>LS_MW_GLOVES</t>
        </is>
      </c>
      <c r="J42" s="107" t="inlineStr">
        <is>
          <t>GLOVES 149-[LSMW02]</t>
        </is>
      </c>
      <c r="K42" s="107" t="inlineStr">
        <is>
          <t>ACTIVE</t>
        </is>
      </c>
      <c r="L42" s="109" t="n">
        <v>10</v>
      </c>
      <c r="M42" s="110" t="n">
        <v>6438</v>
      </c>
      <c r="N42" s="110" t="n">
        <v>49660.7316725542</v>
      </c>
      <c r="O42" s="104" t="n">
        <v>0</v>
      </c>
      <c r="P42" s="104" t="n">
        <v>5400</v>
      </c>
      <c r="Q42" s="104">
        <f>$O42+P42</f>
        <v/>
      </c>
      <c r="R42" s="111">
        <f>IFERROR(A42/M42,0)</f>
        <v/>
      </c>
      <c r="S42" s="111">
        <f>IFERROR(B42/N42,0)</f>
        <v/>
      </c>
      <c r="T42" s="111">
        <f>IFERROR(C42/M42,0)</f>
        <v/>
      </c>
      <c r="U42" s="111">
        <f>IFERROR(D42/N42,0)</f>
        <v/>
      </c>
      <c r="W42" s="111">
        <f>IFERROR(E42/N42,0)</f>
        <v/>
      </c>
      <c r="X42" s="125">
        <f>N42-(O42+Y42+Z42)</f>
        <v/>
      </c>
      <c r="Y42" s="104" t="n">
        <v>16680</v>
      </c>
      <c r="Z42" s="104" t="n">
        <v>0</v>
      </c>
      <c r="AA42" s="104" t="n"/>
      <c r="AB42" s="104" t="n"/>
    </row>
    <row r="43" ht="12.65" customHeight="1" s="79">
      <c r="A43" s="104">
        <f>MIN(O43,M43)</f>
        <v/>
      </c>
      <c r="B43" s="104">
        <f>MIN(O43,N43)</f>
        <v/>
      </c>
      <c r="C43" s="104">
        <f>MIN(Q43,M43)</f>
        <v/>
      </c>
      <c r="D43" s="104">
        <f>MIN(Q43,N43)</f>
        <v/>
      </c>
      <c r="E43" s="104">
        <f>MIN((O43+Y43+Z43),N43)</f>
        <v/>
      </c>
      <c r="F43" s="105" t="inlineStr">
        <is>
          <t>CHANDRAPAL NEGI</t>
        </is>
      </c>
      <c r="G43" s="106" t="inlineStr">
        <is>
          <t>LIFESTYLE</t>
        </is>
      </c>
      <c r="H43" s="107" t="inlineStr">
        <is>
          <t>LS_WINTER_ACCESSORIES</t>
        </is>
      </c>
      <c r="I43" s="107" t="inlineStr">
        <is>
          <t>LS_MW_GLOVES</t>
        </is>
      </c>
      <c r="J43" s="107" t="inlineStr">
        <is>
          <t>GLOVES 99-[LSMW02]</t>
        </is>
      </c>
      <c r="K43" s="107" t="inlineStr">
        <is>
          <t>ACTIVE</t>
        </is>
      </c>
      <c r="L43" s="109" t="n">
        <v>10</v>
      </c>
      <c r="M43" s="110" t="n">
        <v>1728</v>
      </c>
      <c r="N43" s="110" t="n">
        <v>13781.8596344859</v>
      </c>
      <c r="O43" s="104" t="n">
        <v>0</v>
      </c>
      <c r="P43" s="104" t="n">
        <v>4800</v>
      </c>
      <c r="Q43" s="104">
        <f>$O43+P43</f>
        <v/>
      </c>
      <c r="R43" s="111">
        <f>IFERROR(A43/M43,0)</f>
        <v/>
      </c>
      <c r="S43" s="111">
        <f>IFERROR(B43/N43,0)</f>
        <v/>
      </c>
      <c r="T43" s="111">
        <f>IFERROR(C43/M43,0)</f>
        <v/>
      </c>
      <c r="U43" s="111">
        <f>IFERROR(D43/N43,0)</f>
        <v/>
      </c>
      <c r="W43" s="111">
        <f>IFERROR(E43/N43,0)</f>
        <v/>
      </c>
      <c r="X43" s="125">
        <f>N43-(O43+Y43+Z43)</f>
        <v/>
      </c>
      <c r="Y43" s="104" t="n">
        <v>4800</v>
      </c>
      <c r="Z43" s="104" t="n">
        <v>0</v>
      </c>
      <c r="AA43" s="104" t="n"/>
      <c r="AB43" s="112" t="n"/>
    </row>
    <row r="44" ht="12.65" customHeight="1" s="79">
      <c r="A44" s="104">
        <f>MIN(O44,M44)</f>
        <v/>
      </c>
      <c r="B44" s="104">
        <f>MIN(O44,N44)</f>
        <v/>
      </c>
      <c r="C44" s="104">
        <f>MIN(Q44,M44)</f>
        <v/>
      </c>
      <c r="D44" s="104">
        <f>MIN(Q44,N44)</f>
        <v/>
      </c>
      <c r="E44" s="104">
        <f>MIN((O44+Y44+Z44),N44)</f>
        <v/>
      </c>
      <c r="F44" s="105" t="inlineStr">
        <is>
          <t>CHANDRAPAL NEGI</t>
        </is>
      </c>
      <c r="G44" s="106" t="inlineStr">
        <is>
          <t>LIFESTYLE</t>
        </is>
      </c>
      <c r="H44" s="107" t="inlineStr">
        <is>
          <t>LS_WINTER_ACCESSORIES</t>
        </is>
      </c>
      <c r="I44" s="107" t="inlineStr">
        <is>
          <t>LS_MW_GLOVES</t>
        </is>
      </c>
      <c r="J44" s="107" t="inlineStr">
        <is>
          <t>GLOVES 79-[LSMW02]</t>
        </is>
      </c>
      <c r="K44" s="107" t="inlineStr">
        <is>
          <t>ACTIVE</t>
        </is>
      </c>
      <c r="L44" s="109" t="n">
        <v>10</v>
      </c>
      <c r="M44" s="110" t="n">
        <v>837</v>
      </c>
      <c r="N44" s="110" t="n">
        <v>5903.20772884909</v>
      </c>
      <c r="O44" s="104" t="n">
        <v>0</v>
      </c>
      <c r="P44" s="104" t="n">
        <v>0</v>
      </c>
      <c r="Q44" s="104">
        <f>$O44+P44</f>
        <v/>
      </c>
      <c r="R44" s="111">
        <f>IFERROR(A44/M44,0)</f>
        <v/>
      </c>
      <c r="S44" s="111">
        <f>IFERROR(B44/N44,0)</f>
        <v/>
      </c>
      <c r="T44" s="111">
        <f>IFERROR(C44/M44,0)</f>
        <v/>
      </c>
      <c r="U44" s="111">
        <f>IFERROR(D44/N44,0)</f>
        <v/>
      </c>
      <c r="W44" s="111">
        <f>IFERROR(E44/N44,0)</f>
        <v/>
      </c>
      <c r="X44" s="125">
        <f>N44-(O44+Y44+Z44)</f>
        <v/>
      </c>
      <c r="Y44" s="104" t="n">
        <v>4800</v>
      </c>
      <c r="Z44" s="104" t="n">
        <v>0</v>
      </c>
      <c r="AA44" s="104" t="n"/>
      <c r="AB44" s="112" t="n"/>
    </row>
    <row r="45" ht="12.65" customHeight="1" s="79">
      <c r="A45" s="104">
        <f>MIN(O45,M45)</f>
        <v/>
      </c>
      <c r="B45" s="104">
        <f>MIN(O45,N45)</f>
        <v/>
      </c>
      <c r="C45" s="104">
        <f>MIN(Q45,M45)</f>
        <v/>
      </c>
      <c r="D45" s="104">
        <f>MIN(Q45,N45)</f>
        <v/>
      </c>
      <c r="E45" s="104">
        <f>MIN((O45+Y45+Z45),N45)</f>
        <v/>
      </c>
      <c r="F45" s="105" t="inlineStr">
        <is>
          <t>CHANDRAPAL NEGI</t>
        </is>
      </c>
      <c r="G45" s="106" t="inlineStr">
        <is>
          <t>LIFESTYLE</t>
        </is>
      </c>
      <c r="H45" s="107" t="inlineStr">
        <is>
          <t>LS_WINTER_ACCESSORIES</t>
        </is>
      </c>
      <c r="I45" s="107" t="inlineStr">
        <is>
          <t>LS_MW_MUFFLER</t>
        </is>
      </c>
      <c r="J45" s="107" t="inlineStr">
        <is>
          <t>MUFFLER 199-[LSMW03]</t>
        </is>
      </c>
      <c r="K45" s="107" t="inlineStr">
        <is>
          <t>ACTIVE</t>
        </is>
      </c>
      <c r="L45" s="109" t="n">
        <v>5</v>
      </c>
      <c r="M45" s="110" t="n">
        <v>26536</v>
      </c>
      <c r="N45" s="110" t="n">
        <v>108134.019830208</v>
      </c>
      <c r="O45" s="104" t="n">
        <v>60000</v>
      </c>
      <c r="P45" s="104" t="n">
        <v>0</v>
      </c>
      <c r="Q45" s="104">
        <f>$O45+P45</f>
        <v/>
      </c>
      <c r="R45" s="111">
        <f>IFERROR(A45/M45,0)</f>
        <v/>
      </c>
      <c r="S45" s="111">
        <f>IFERROR(B45/N45,0)</f>
        <v/>
      </c>
      <c r="T45" s="111">
        <f>IFERROR(C45/M45,0)</f>
        <v/>
      </c>
      <c r="U45" s="111">
        <f>IFERROR(D45/N45,0)</f>
        <v/>
      </c>
      <c r="W45" s="111">
        <f>IFERROR(E45/N45,0)</f>
        <v/>
      </c>
      <c r="X45" s="125">
        <f>N45-(O45+Y45+Z45)</f>
        <v/>
      </c>
      <c r="Y45" s="104" t="n">
        <v>134604</v>
      </c>
      <c r="Z45" s="104" t="n">
        <v>0</v>
      </c>
      <c r="AA45" s="104" t="n"/>
      <c r="AB45" s="112" t="n"/>
    </row>
    <row r="46" ht="12.65" customHeight="1" s="79">
      <c r="A46" s="104">
        <f>MIN(O46,M46)</f>
        <v/>
      </c>
      <c r="B46" s="104">
        <f>MIN(O46,N46)</f>
        <v/>
      </c>
      <c r="C46" s="104">
        <f>MIN(Q46,M46)</f>
        <v/>
      </c>
      <c r="D46" s="104">
        <f>MIN(Q46,N46)</f>
        <v/>
      </c>
      <c r="E46" s="104">
        <f>MIN((O46+Y46+Z46),N46)</f>
        <v/>
      </c>
      <c r="F46" s="105" t="inlineStr">
        <is>
          <t>CHANDRAPAL NEGI</t>
        </is>
      </c>
      <c r="G46" s="106" t="inlineStr">
        <is>
          <t>LIFESTYLE</t>
        </is>
      </c>
      <c r="H46" s="107" t="inlineStr">
        <is>
          <t>LS_WINTER_ACCESSORIES</t>
        </is>
      </c>
      <c r="I46" s="107" t="inlineStr">
        <is>
          <t>LS_MW_MUFFLER</t>
        </is>
      </c>
      <c r="J46" s="107" t="inlineStr">
        <is>
          <t>MUFFLER 249-[LSMW03]</t>
        </is>
      </c>
      <c r="K46" s="107" t="inlineStr">
        <is>
          <t>ACTIVE</t>
        </is>
      </c>
      <c r="L46" s="109" t="n">
        <v>5</v>
      </c>
      <c r="M46" s="110" t="n">
        <v>14241</v>
      </c>
      <c r="N46" s="110" t="n">
        <v>53465.3541063218</v>
      </c>
      <c r="O46" s="104" t="n">
        <v>7200</v>
      </c>
      <c r="P46" s="104" t="n">
        <v>0</v>
      </c>
      <c r="Q46" s="104">
        <f>$O46+P46</f>
        <v/>
      </c>
      <c r="R46" s="111">
        <f>IFERROR(A46/M46,0)</f>
        <v/>
      </c>
      <c r="S46" s="111">
        <f>IFERROR(B46/N46,0)</f>
        <v/>
      </c>
      <c r="T46" s="111">
        <f>IFERROR(C46/M46,0)</f>
        <v/>
      </c>
      <c r="U46" s="111">
        <f>IFERROR(D46/N46,0)</f>
        <v/>
      </c>
      <c r="W46" s="111">
        <f>IFERROR(E46/N46,0)</f>
        <v/>
      </c>
      <c r="X46" s="125">
        <f>N46-(O46+Y46+Z46)</f>
        <v/>
      </c>
      <c r="Y46" s="104" t="n">
        <v>117892</v>
      </c>
      <c r="Z46" s="104" t="n">
        <v>0</v>
      </c>
      <c r="AA46" s="104" t="n"/>
      <c r="AB46" s="112" t="n"/>
    </row>
    <row r="47" ht="12.65" customHeight="1" s="79">
      <c r="A47" s="104">
        <f>MIN(O47,M47)</f>
        <v/>
      </c>
      <c r="B47" s="104">
        <f>MIN(O47,N47)</f>
        <v/>
      </c>
      <c r="C47" s="104">
        <f>MIN(Q47,M47)</f>
        <v/>
      </c>
      <c r="D47" s="104">
        <f>MIN(Q47,N47)</f>
        <v/>
      </c>
      <c r="E47" s="104">
        <f>MIN((O47+Y47+Z47),N47)</f>
        <v/>
      </c>
      <c r="F47" s="105" t="inlineStr">
        <is>
          <t>CHANDRAPAL NEGI</t>
        </is>
      </c>
      <c r="G47" s="106" t="inlineStr">
        <is>
          <t>LIFESTYLE</t>
        </is>
      </c>
      <c r="H47" s="107" t="inlineStr">
        <is>
          <t>LS_WINTER_ACCESSORIES</t>
        </is>
      </c>
      <c r="I47" s="107" t="inlineStr">
        <is>
          <t>LS_MW_MUFFLER</t>
        </is>
      </c>
      <c r="J47" s="107" t="inlineStr">
        <is>
          <t>MUFFLER 149-[LSMW03]</t>
        </is>
      </c>
      <c r="K47" s="107" t="inlineStr">
        <is>
          <t>ACTIVE</t>
        </is>
      </c>
      <c r="L47" s="109" t="n">
        <v>5</v>
      </c>
      <c r="M47" s="110" t="n">
        <v>11689</v>
      </c>
      <c r="N47" s="110" t="n">
        <v>51439.6741334068</v>
      </c>
      <c r="O47" s="104" t="n">
        <v>22500</v>
      </c>
      <c r="P47" s="104" t="n">
        <v>0</v>
      </c>
      <c r="Q47" s="104">
        <f>$O47+P47</f>
        <v/>
      </c>
      <c r="R47" s="111">
        <f>IFERROR(A47/M47,0)</f>
        <v/>
      </c>
      <c r="S47" s="111">
        <f>IFERROR(B47/N47,0)</f>
        <v/>
      </c>
      <c r="T47" s="111">
        <f>IFERROR(C47/M47,0)</f>
        <v/>
      </c>
      <c r="U47" s="111">
        <f>IFERROR(D47/N47,0)</f>
        <v/>
      </c>
      <c r="W47" s="111">
        <f>IFERROR(E47/N47,0)</f>
        <v/>
      </c>
      <c r="X47" s="125">
        <f>N47-(O47+Y47+Z47)</f>
        <v/>
      </c>
      <c r="Y47" s="104" t="n">
        <v>36900</v>
      </c>
      <c r="Z47" s="104" t="n">
        <v>0</v>
      </c>
      <c r="AA47" s="104" t="n"/>
      <c r="AB47" s="104" t="n"/>
    </row>
    <row r="48" ht="12.65" customHeight="1" s="79">
      <c r="A48" s="104">
        <f>MIN(O48,M48)</f>
        <v/>
      </c>
      <c r="B48" s="104">
        <f>MIN(O48,N48)</f>
        <v/>
      </c>
      <c r="C48" s="104">
        <f>MIN(Q48,M48)</f>
        <v/>
      </c>
      <c r="D48" s="104">
        <f>MIN(Q48,N48)</f>
        <v/>
      </c>
      <c r="E48" s="104">
        <f>MIN((O48+Y48+Z48),N48)</f>
        <v/>
      </c>
      <c r="F48" s="105" t="inlineStr">
        <is>
          <t>CHANDRAPAL NEGI</t>
        </is>
      </c>
      <c r="G48" s="106" t="inlineStr">
        <is>
          <t>LIFESTYLE</t>
        </is>
      </c>
      <c r="H48" s="107" t="inlineStr">
        <is>
          <t>LS_WINTER_ACCESSORIES</t>
        </is>
      </c>
      <c r="I48" s="107" t="inlineStr">
        <is>
          <t>LS_MW_MUFFLER</t>
        </is>
      </c>
      <c r="J48" s="107" t="inlineStr">
        <is>
          <t>MUFFLER 99-[LSMW03]</t>
        </is>
      </c>
      <c r="K48" s="107" t="inlineStr">
        <is>
          <t>ACTIVE</t>
        </is>
      </c>
      <c r="L48" s="109" t="n">
        <v>5</v>
      </c>
      <c r="M48" s="110" t="n">
        <v>3234</v>
      </c>
      <c r="N48" s="110" t="n">
        <v>14106.9164549285</v>
      </c>
      <c r="O48" s="104" t="n">
        <v>0</v>
      </c>
      <c r="P48" s="104" t="n">
        <v>0</v>
      </c>
      <c r="Q48" s="104">
        <f>$O48+P48</f>
        <v/>
      </c>
      <c r="R48" s="111">
        <f>IFERROR(A48/M48,0)</f>
        <v/>
      </c>
      <c r="S48" s="111">
        <f>IFERROR(B48/N48,0)</f>
        <v/>
      </c>
      <c r="T48" s="111">
        <f>IFERROR(C48/M48,0)</f>
        <v/>
      </c>
      <c r="U48" s="111">
        <f>IFERROR(D48/N48,0)</f>
        <v/>
      </c>
      <c r="W48" s="111">
        <f>IFERROR(E48/N48,0)</f>
        <v/>
      </c>
      <c r="X48" s="125">
        <f>N48-(O48+Y48+Z48)</f>
        <v/>
      </c>
      <c r="Y48" s="104" t="n">
        <v>4800</v>
      </c>
      <c r="Z48" s="104" t="n">
        <v>0</v>
      </c>
      <c r="AA48" s="104" t="n"/>
      <c r="AB48" s="112" t="n"/>
    </row>
    <row r="49" ht="12.65" customHeight="1" s="79">
      <c r="A49" s="104">
        <f>MIN(O49,M49)</f>
        <v/>
      </c>
      <c r="B49" s="104">
        <f>MIN(O49,N49)</f>
        <v/>
      </c>
      <c r="C49" s="104">
        <f>MIN(Q49,M49)</f>
        <v/>
      </c>
      <c r="D49" s="104">
        <f>MIN(Q49,N49)</f>
        <v/>
      </c>
      <c r="E49" s="104">
        <f>MIN((O49+Y49+Z49),N49)</f>
        <v/>
      </c>
      <c r="F49" s="105" t="inlineStr">
        <is>
          <t>KAMLESH SINGH</t>
        </is>
      </c>
      <c r="G49" s="106" t="inlineStr">
        <is>
          <t>FOOTWEAR</t>
        </is>
      </c>
      <c r="H49" s="107" t="inlineStr">
        <is>
          <t>FW_WINTER_SLIPPER</t>
        </is>
      </c>
      <c r="I49" s="107" t="inlineStr">
        <is>
          <t>FW_B_WINTER SLIPPER</t>
        </is>
      </c>
      <c r="J49" s="107" t="inlineStr">
        <is>
          <t>IMP CSL PVC 299-[FWK08]</t>
        </is>
      </c>
      <c r="K49" s="107" t="inlineStr">
        <is>
          <t>ACTIVE</t>
        </is>
      </c>
      <c r="L49" s="109" t="n">
        <v>17</v>
      </c>
      <c r="M49" s="110" t="n">
        <v>8834</v>
      </c>
      <c r="N49" s="110" t="n">
        <v>50750.095954428</v>
      </c>
      <c r="O49" s="104" t="n">
        <v>0</v>
      </c>
      <c r="P49" s="104" t="n">
        <v>3600</v>
      </c>
      <c r="Q49" s="104">
        <f>$O49+P49</f>
        <v/>
      </c>
      <c r="R49" s="111">
        <f>IFERROR(A49/M49,0)</f>
        <v/>
      </c>
      <c r="S49" s="111">
        <f>IFERROR(B49/N49,0)</f>
        <v/>
      </c>
      <c r="T49" s="111">
        <f>IFERROR(C49/M49,0)</f>
        <v/>
      </c>
      <c r="U49" s="111">
        <f>IFERROR(D49/N49,0)</f>
        <v/>
      </c>
      <c r="W49" s="111">
        <f>IFERROR(E49/N49,0)</f>
        <v/>
      </c>
      <c r="X49" s="125">
        <f>N49-(O49+Y49+Z49)</f>
        <v/>
      </c>
      <c r="Y49" s="104" t="n">
        <v>61720</v>
      </c>
      <c r="Z49" s="104" t="n">
        <v>0</v>
      </c>
      <c r="AA49" s="104" t="n"/>
      <c r="AB49" s="112" t="n"/>
    </row>
    <row r="50" ht="12.65" customHeight="1" s="79">
      <c r="A50" s="104">
        <f>MIN(O50,M50)</f>
        <v/>
      </c>
      <c r="B50" s="104">
        <f>MIN(O50,N50)</f>
        <v/>
      </c>
      <c r="C50" s="104">
        <f>MIN(Q50,M50)</f>
        <v/>
      </c>
      <c r="D50" s="104">
        <f>MIN(Q50,N50)</f>
        <v/>
      </c>
      <c r="E50" s="104">
        <f>MIN((O50+Y50+Z50),N50)</f>
        <v/>
      </c>
      <c r="F50" s="105" t="inlineStr">
        <is>
          <t>KAMLESH SINGH</t>
        </is>
      </c>
      <c r="G50" s="106" t="inlineStr">
        <is>
          <t>FOOTWEAR</t>
        </is>
      </c>
      <c r="H50" s="107" t="inlineStr">
        <is>
          <t>FW_WINTER_SLIPPER</t>
        </is>
      </c>
      <c r="I50" s="107" t="inlineStr">
        <is>
          <t>FW_B_WINTER SLIPPER</t>
        </is>
      </c>
      <c r="J50" s="107" t="inlineStr">
        <is>
          <t>IMP CSL PVC 249-[FWK08]</t>
        </is>
      </c>
      <c r="K50" s="107" t="inlineStr">
        <is>
          <t>ACTIVE</t>
        </is>
      </c>
      <c r="L50" s="109" t="n">
        <v>17</v>
      </c>
      <c r="M50" s="110" t="n">
        <v>0</v>
      </c>
      <c r="N50" s="110" t="n">
        <v>283.780181352295</v>
      </c>
      <c r="O50" s="104" t="n">
        <v>0</v>
      </c>
      <c r="P50" s="104" t="n">
        <v>0</v>
      </c>
      <c r="Q50" s="104">
        <f>$O50+P50</f>
        <v/>
      </c>
      <c r="R50" s="111">
        <f>IFERROR(A50/M50,0)</f>
        <v/>
      </c>
      <c r="S50" s="111">
        <f>IFERROR(B50/N50,0)</f>
        <v/>
      </c>
      <c r="T50" s="111">
        <f>IFERROR(C50/M50,0)</f>
        <v/>
      </c>
      <c r="U50" s="111">
        <f>IFERROR(D50/N50,0)</f>
        <v/>
      </c>
      <c r="W50" s="111">
        <f>IFERROR(E50/N50,0)</f>
        <v/>
      </c>
      <c r="X50" s="125">
        <f>N50-(O50+Y50+Z50)</f>
        <v/>
      </c>
      <c r="Y50" s="104" t="n">
        <v>0</v>
      </c>
      <c r="Z50" s="104" t="n">
        <v>0</v>
      </c>
      <c r="AA50" s="104" t="n"/>
      <c r="AB50" s="104" t="n"/>
    </row>
    <row r="51" ht="12.65" customHeight="1" s="79">
      <c r="A51" s="104">
        <f>MIN(O51,M51)</f>
        <v/>
      </c>
      <c r="B51" s="104">
        <f>MIN(O51,N51)</f>
        <v/>
      </c>
      <c r="C51" s="104">
        <f>MIN(Q51,M51)</f>
        <v/>
      </c>
      <c r="D51" s="104">
        <f>MIN(Q51,N51)</f>
        <v/>
      </c>
      <c r="E51" s="104">
        <f>MIN((O51+Y51+Z51),N51)</f>
        <v/>
      </c>
      <c r="F51" s="105" t="inlineStr">
        <is>
          <t>KAMLESH SINGH</t>
        </is>
      </c>
      <c r="G51" s="106" t="inlineStr">
        <is>
          <t>FOOTWEAR</t>
        </is>
      </c>
      <c r="H51" s="107" t="inlineStr">
        <is>
          <t>FW_WINTER_SLIPPER</t>
        </is>
      </c>
      <c r="I51" s="107" t="inlineStr">
        <is>
          <t>FW_B_WINTER SLIPPER</t>
        </is>
      </c>
      <c r="J51" s="107" t="inlineStr">
        <is>
          <t>IMP CSL PVC 199-[FWK08]</t>
        </is>
      </c>
      <c r="K51" s="107" t="inlineStr">
        <is>
          <t>ACTIVE</t>
        </is>
      </c>
      <c r="L51" s="109" t="n">
        <v>17</v>
      </c>
      <c r="M51" s="110" t="n">
        <v>0</v>
      </c>
      <c r="N51" s="110" t="n">
        <v>273.139692561957</v>
      </c>
      <c r="O51" s="104" t="n">
        <v>0</v>
      </c>
      <c r="P51" s="104" t="n">
        <v>0</v>
      </c>
      <c r="Q51" s="104">
        <f>$O51+P51</f>
        <v/>
      </c>
      <c r="R51" s="111">
        <f>IFERROR(A51/M51,0)</f>
        <v/>
      </c>
      <c r="S51" s="111">
        <f>IFERROR(B51/N51,0)</f>
        <v/>
      </c>
      <c r="T51" s="111">
        <f>IFERROR(C51/M51,0)</f>
        <v/>
      </c>
      <c r="U51" s="111">
        <f>IFERROR(D51/N51,0)</f>
        <v/>
      </c>
      <c r="W51" s="111">
        <f>IFERROR(E51/N51,0)</f>
        <v/>
      </c>
      <c r="X51" s="125">
        <f>N51-(O51+Y51+Z51)</f>
        <v/>
      </c>
      <c r="Y51" s="104" t="n">
        <v>0</v>
      </c>
      <c r="Z51" s="104" t="n">
        <v>0</v>
      </c>
      <c r="AA51" s="104" t="n"/>
      <c r="AB51" s="112" t="n"/>
    </row>
    <row r="52" ht="12.65" customHeight="1" s="79">
      <c r="A52" s="104">
        <f>MIN(O52,M52)</f>
        <v/>
      </c>
      <c r="B52" s="104">
        <f>MIN(O52,N52)</f>
        <v/>
      </c>
      <c r="C52" s="104">
        <f>MIN(Q52,M52)</f>
        <v/>
      </c>
      <c r="D52" s="104">
        <f>MIN(Q52,N52)</f>
        <v/>
      </c>
      <c r="E52" s="104">
        <f>MIN((O52+Y52+Z52),N52)</f>
        <v/>
      </c>
      <c r="F52" s="105" t="inlineStr">
        <is>
          <t>KAMLESH SINGH</t>
        </is>
      </c>
      <c r="G52" s="106" t="inlineStr">
        <is>
          <t>FOOTWEAR</t>
        </is>
      </c>
      <c r="H52" s="107" t="inlineStr">
        <is>
          <t>FW_WINTER_SLIPPER</t>
        </is>
      </c>
      <c r="I52" s="107" t="inlineStr">
        <is>
          <t>FW_L_WINTER SLIPPER</t>
        </is>
      </c>
      <c r="J52" s="107" t="inlineStr">
        <is>
          <t>IMP CSL PVC 299-[FWL05]</t>
        </is>
      </c>
      <c r="K52" s="107" t="inlineStr">
        <is>
          <t>ACTIVE</t>
        </is>
      </c>
      <c r="L52" s="109" t="n">
        <v>13</v>
      </c>
      <c r="M52" s="110" t="n">
        <v>17516</v>
      </c>
      <c r="N52" s="110" t="n">
        <v>59052.749930734</v>
      </c>
      <c r="O52" s="104" t="n">
        <v>0</v>
      </c>
      <c r="P52" s="104" t="n">
        <v>0</v>
      </c>
      <c r="Q52" s="104">
        <f>$O52+P52</f>
        <v/>
      </c>
      <c r="R52" s="111">
        <f>IFERROR(A52/M52,0)</f>
        <v/>
      </c>
      <c r="S52" s="111">
        <f>IFERROR(B52/N52,0)</f>
        <v/>
      </c>
      <c r="T52" s="111">
        <f>IFERROR(C52/M52,0)</f>
        <v/>
      </c>
      <c r="U52" s="111">
        <f>IFERROR(D52/N52,0)</f>
        <v/>
      </c>
      <c r="W52" s="111">
        <f>IFERROR(E52/N52,0)</f>
        <v/>
      </c>
      <c r="X52" s="125">
        <f>N52-(O52+Y52+Z52)</f>
        <v/>
      </c>
      <c r="Y52" s="104" t="n">
        <v>11000</v>
      </c>
      <c r="Z52" s="104" t="n">
        <v>0</v>
      </c>
      <c r="AA52" s="104" t="n"/>
      <c r="AB52" s="104" t="n"/>
    </row>
    <row r="53" ht="12.65" customHeight="1" s="79">
      <c r="A53" s="104">
        <f>MIN(O53,M53)</f>
        <v/>
      </c>
      <c r="B53" s="104">
        <f>MIN(O53,N53)</f>
        <v/>
      </c>
      <c r="C53" s="104">
        <f>MIN(Q53,M53)</f>
        <v/>
      </c>
      <c r="D53" s="104">
        <f>MIN(Q53,N53)</f>
        <v/>
      </c>
      <c r="E53" s="104">
        <f>MIN((O53+Y53+Z53),N53)</f>
        <v/>
      </c>
      <c r="F53" s="105" t="inlineStr">
        <is>
          <t>KAMLESH SINGH</t>
        </is>
      </c>
      <c r="G53" s="106" t="inlineStr">
        <is>
          <t>FOOTWEAR</t>
        </is>
      </c>
      <c r="H53" s="107" t="inlineStr">
        <is>
          <t>FW_WINTER_SLIPPER</t>
        </is>
      </c>
      <c r="I53" s="107" t="inlineStr">
        <is>
          <t>FW_L_WINTER SLIPPER</t>
        </is>
      </c>
      <c r="J53" s="107" t="inlineStr">
        <is>
          <t>IMP CSL PVC 249-[FWL05]</t>
        </is>
      </c>
      <c r="K53" s="107" t="inlineStr">
        <is>
          <t>ACTIVE</t>
        </is>
      </c>
      <c r="L53" s="109" t="n">
        <v>13</v>
      </c>
      <c r="M53" s="110" t="n">
        <v>2248</v>
      </c>
      <c r="N53" s="110" t="n">
        <v>7979.87203511393</v>
      </c>
      <c r="O53" s="104" t="n">
        <v>0</v>
      </c>
      <c r="P53" s="104" t="n">
        <v>18378</v>
      </c>
      <c r="Q53" s="104">
        <f>$O53+P53</f>
        <v/>
      </c>
      <c r="R53" s="111">
        <f>IFERROR(A53/M53,0)</f>
        <v/>
      </c>
      <c r="S53" s="111">
        <f>IFERROR(B53/N53,0)</f>
        <v/>
      </c>
      <c r="T53" s="111">
        <f>IFERROR(C53/M53,0)</f>
        <v/>
      </c>
      <c r="U53" s="111">
        <f>IFERROR(D53/N53,0)</f>
        <v/>
      </c>
      <c r="W53" s="111">
        <f>IFERROR(E53/N53,0)</f>
        <v/>
      </c>
      <c r="X53" s="125">
        <f>N53-(O53+Y53+Z53)</f>
        <v/>
      </c>
      <c r="Y53" s="104" t="n">
        <v>86600</v>
      </c>
      <c r="Z53" s="104" t="n">
        <v>0</v>
      </c>
      <c r="AA53" s="104" t="n"/>
      <c r="AB53" s="112" t="n"/>
    </row>
    <row r="54" ht="12.65" customHeight="1" s="79">
      <c r="A54" s="104">
        <f>MIN(O54,M54)</f>
        <v/>
      </c>
      <c r="B54" s="104">
        <f>MIN(O54,N54)</f>
        <v/>
      </c>
      <c r="C54" s="104">
        <f>MIN(Q54,M54)</f>
        <v/>
      </c>
      <c r="D54" s="104">
        <f>MIN(Q54,N54)</f>
        <v/>
      </c>
      <c r="E54" s="104">
        <f>MIN((O54+Y54+Z54),N54)</f>
        <v/>
      </c>
      <c r="F54" s="105" t="inlineStr">
        <is>
          <t>KAMLESH SINGH</t>
        </is>
      </c>
      <c r="G54" s="106" t="inlineStr">
        <is>
          <t>FOOTWEAR</t>
        </is>
      </c>
      <c r="H54" s="107" t="inlineStr">
        <is>
          <t>FW_WINTER_SLIPPER</t>
        </is>
      </c>
      <c r="I54" s="107" t="inlineStr">
        <is>
          <t>FW_L_WINTER SLIPPER</t>
        </is>
      </c>
      <c r="J54" s="107" t="inlineStr">
        <is>
          <t>IMP CSL PVC 199-[FWL05]</t>
        </is>
      </c>
      <c r="K54" s="107" t="inlineStr">
        <is>
          <t>ACTIVE</t>
        </is>
      </c>
      <c r="L54" s="109" t="n">
        <v>13</v>
      </c>
      <c r="M54" s="110" t="n">
        <v>0</v>
      </c>
      <c r="N54" s="110" t="n">
        <v>0</v>
      </c>
      <c r="O54" s="104" t="n">
        <v>0</v>
      </c>
      <c r="P54" s="104" t="n">
        <v>0</v>
      </c>
      <c r="Q54" s="104">
        <f>$O54+P54</f>
        <v/>
      </c>
      <c r="R54" s="111">
        <f>IFERROR(A54/M54,0)</f>
        <v/>
      </c>
      <c r="S54" s="111">
        <f>IFERROR(B54/N54,0)</f>
        <v/>
      </c>
      <c r="T54" s="111">
        <f>IFERROR(C54/M54,0)</f>
        <v/>
      </c>
      <c r="U54" s="111">
        <f>IFERROR(D54/N54,0)</f>
        <v/>
      </c>
      <c r="W54" s="111">
        <f>IFERROR(E54/N54,0)</f>
        <v/>
      </c>
      <c r="X54" s="125">
        <f>N54-(O54+Y54+Z54)</f>
        <v/>
      </c>
      <c r="Y54" s="104" t="n">
        <v>0</v>
      </c>
      <c r="Z54" s="104" t="n">
        <v>0</v>
      </c>
      <c r="AA54" s="104" t="n"/>
      <c r="AB54" s="104" t="n"/>
    </row>
    <row r="55" ht="12.65" customHeight="1" s="79">
      <c r="A55" s="104">
        <f>MIN(O55,M55)</f>
        <v/>
      </c>
      <c r="B55" s="104">
        <f>MIN(O55,N55)</f>
        <v/>
      </c>
      <c r="C55" s="104">
        <f>MIN(Q55,M55)</f>
        <v/>
      </c>
      <c r="D55" s="104">
        <f>MIN(Q55,N55)</f>
        <v/>
      </c>
      <c r="E55" s="104">
        <f>MIN((O55+Y55+Z55),N55)</f>
        <v/>
      </c>
      <c r="F55" s="105" t="inlineStr">
        <is>
          <t>KAMLESH SINGH</t>
        </is>
      </c>
      <c r="G55" s="106" t="inlineStr">
        <is>
          <t>FOOTWEAR</t>
        </is>
      </c>
      <c r="H55" s="107" t="inlineStr">
        <is>
          <t>FW_WINTER_SLIPPER</t>
        </is>
      </c>
      <c r="I55" s="107" t="inlineStr">
        <is>
          <t>FW_M_WINTER SLIPPER</t>
        </is>
      </c>
      <c r="J55" s="107" t="inlineStr">
        <is>
          <t>IMP CSL PVC 299-[FWM04]</t>
        </is>
      </c>
      <c r="K55" s="107" t="inlineStr">
        <is>
          <t>ACTIVE</t>
        </is>
      </c>
      <c r="L55" s="109" t="n">
        <v>19</v>
      </c>
      <c r="M55" s="110" t="n">
        <v>17565</v>
      </c>
      <c r="N55" s="110" t="n">
        <v>44155.6937917111</v>
      </c>
      <c r="O55" s="104" t="n">
        <v>0</v>
      </c>
      <c r="P55" s="104" t="n">
        <v>5000</v>
      </c>
      <c r="Q55" s="104">
        <f>$O55+P55</f>
        <v/>
      </c>
      <c r="R55" s="111">
        <f>IFERROR(A55/M55,0)</f>
        <v/>
      </c>
      <c r="S55" s="111">
        <f>IFERROR(B55/N55,0)</f>
        <v/>
      </c>
      <c r="T55" s="111">
        <f>IFERROR(C55/M55,0)</f>
        <v/>
      </c>
      <c r="U55" s="111">
        <f>IFERROR(D55/N55,0)</f>
        <v/>
      </c>
      <c r="W55" s="111">
        <f>IFERROR(E55/N55,0)</f>
        <v/>
      </c>
      <c r="X55" s="125">
        <f>N55-(O55+Y55+Z55)</f>
        <v/>
      </c>
      <c r="Y55" s="104" t="n">
        <v>53950</v>
      </c>
      <c r="Z55" s="104" t="n">
        <v>0</v>
      </c>
      <c r="AA55" s="104" t="n"/>
      <c r="AB55" s="104" t="n"/>
    </row>
    <row r="56" ht="12.65" customHeight="1" s="79">
      <c r="A56" s="104">
        <f>MIN(O56,M56)</f>
        <v/>
      </c>
      <c r="B56" s="104">
        <f>MIN(O56,N56)</f>
        <v/>
      </c>
      <c r="C56" s="104">
        <f>MIN(Q56,M56)</f>
        <v/>
      </c>
      <c r="D56" s="104">
        <f>MIN(Q56,N56)</f>
        <v/>
      </c>
      <c r="E56" s="104">
        <f>MIN((O56+Y56+Z56),N56)</f>
        <v/>
      </c>
      <c r="F56" s="105" t="inlineStr">
        <is>
          <t>KAMLESH SINGH</t>
        </is>
      </c>
      <c r="G56" s="106" t="inlineStr">
        <is>
          <t>FOOTWEAR</t>
        </is>
      </c>
      <c r="H56" s="107" t="inlineStr">
        <is>
          <t>FW_WINTER_SLIPPER</t>
        </is>
      </c>
      <c r="I56" s="107" t="inlineStr">
        <is>
          <t>FW_M_WINTER SLIPPER</t>
        </is>
      </c>
      <c r="J56" s="107" t="inlineStr">
        <is>
          <t>IMP CSL PVC 279-[FWM04]</t>
        </is>
      </c>
      <c r="K56" s="107" t="inlineStr">
        <is>
          <t>ACTIVE</t>
        </is>
      </c>
      <c r="L56" s="109" t="n">
        <v>19</v>
      </c>
      <c r="M56" s="110" t="n">
        <v>0</v>
      </c>
      <c r="N56" s="110" t="n">
        <v>0</v>
      </c>
      <c r="O56" s="104" t="n">
        <v>0</v>
      </c>
      <c r="P56" s="104" t="n">
        <v>0</v>
      </c>
      <c r="Q56" s="104">
        <f>$O56+P56</f>
        <v/>
      </c>
      <c r="R56" s="111">
        <f>IFERROR(A56/M56,0)</f>
        <v/>
      </c>
      <c r="S56" s="111">
        <f>IFERROR(B56/N56,0)</f>
        <v/>
      </c>
      <c r="T56" s="111">
        <f>IFERROR(C56/M56,0)</f>
        <v/>
      </c>
      <c r="U56" s="111">
        <f>IFERROR(D56/N56,0)</f>
        <v/>
      </c>
      <c r="W56" s="111">
        <f>IFERROR(E56/N56,0)</f>
        <v/>
      </c>
      <c r="X56" s="125">
        <f>N56-(O56+Y56+Z56)</f>
        <v/>
      </c>
      <c r="Y56" s="104" t="n">
        <v>0</v>
      </c>
      <c r="Z56" s="104" t="n">
        <v>0</v>
      </c>
      <c r="AA56" s="104" t="n"/>
      <c r="AB56" s="112" t="n"/>
    </row>
    <row r="57" ht="12.65" customHeight="1" s="79">
      <c r="A57" s="104">
        <f>MIN(O57,M57)</f>
        <v/>
      </c>
      <c r="B57" s="104">
        <f>MIN(O57,N57)</f>
        <v/>
      </c>
      <c r="C57" s="104">
        <f>MIN(Q57,M57)</f>
        <v/>
      </c>
      <c r="D57" s="104">
        <f>MIN(Q57,N57)</f>
        <v/>
      </c>
      <c r="E57" s="104">
        <f>MIN((O57+Y57+Z57),N57)</f>
        <v/>
      </c>
      <c r="F57" s="105" t="inlineStr">
        <is>
          <t>MAHIMA VOHRA</t>
        </is>
      </c>
      <c r="G57" s="106" t="inlineStr">
        <is>
          <t>HOME FURNISHING</t>
        </is>
      </c>
      <c r="H57" s="107" t="inlineStr">
        <is>
          <t>HF_BED LINEN</t>
        </is>
      </c>
      <c r="I57" s="107" t="inlineStr">
        <is>
          <t>HF_BF_BLANKET</t>
        </is>
      </c>
      <c r="J57" s="107" t="inlineStr">
        <is>
          <t>DB SP 1299-[HFBF01]</t>
        </is>
      </c>
      <c r="K57" s="107" t="inlineStr">
        <is>
          <t>ACTIVE</t>
        </is>
      </c>
      <c r="L57" s="109" t="n">
        <v>1</v>
      </c>
      <c r="M57" s="110" t="n">
        <v>7204</v>
      </c>
      <c r="N57" s="110" t="n">
        <v>31084.80001154</v>
      </c>
      <c r="O57" s="104" t="n">
        <v>0</v>
      </c>
      <c r="P57" s="104" t="n">
        <v>0</v>
      </c>
      <c r="Q57" s="104">
        <f>$O57+P57</f>
        <v/>
      </c>
      <c r="R57" s="111">
        <f>IFERROR(A57/M57,0)</f>
        <v/>
      </c>
      <c r="S57" s="111">
        <f>IFERROR(B57/N57,0)</f>
        <v/>
      </c>
      <c r="T57" s="111">
        <f>IFERROR(C57/M57,0)</f>
        <v/>
      </c>
      <c r="U57" s="111">
        <f>IFERROR(D57/N57,0)</f>
        <v/>
      </c>
      <c r="W57" s="111">
        <f>IFERROR(E57/N57,0)</f>
        <v/>
      </c>
      <c r="X57" s="125">
        <f>N57-(O57+Y57+Z57)</f>
        <v/>
      </c>
      <c r="Y57" s="104" t="n">
        <v>24306</v>
      </c>
      <c r="Z57" s="104" t="n">
        <v>0</v>
      </c>
      <c r="AA57" s="104" t="n"/>
      <c r="AB57" s="112" t="n"/>
    </row>
    <row r="58" ht="12.65" customHeight="1" s="79">
      <c r="A58" s="104">
        <f>MIN(O58,M58)</f>
        <v/>
      </c>
      <c r="B58" s="104">
        <f>MIN(O58,N58)</f>
        <v/>
      </c>
      <c r="C58" s="104">
        <f>MIN(Q58,M58)</f>
        <v/>
      </c>
      <c r="D58" s="104">
        <f>MIN(Q58,N58)</f>
        <v/>
      </c>
      <c r="E58" s="104">
        <f>MIN((O58+Y58+Z58),N58)</f>
        <v/>
      </c>
      <c r="F58" s="105" t="inlineStr">
        <is>
          <t>MAHIMA VOHRA</t>
        </is>
      </c>
      <c r="G58" s="106" t="inlineStr">
        <is>
          <t>HOME FURNISHING</t>
        </is>
      </c>
      <c r="H58" s="107" t="inlineStr">
        <is>
          <t>HF_BED LINEN</t>
        </is>
      </c>
      <c r="I58" s="107" t="inlineStr">
        <is>
          <t>HF_BF_BLANKET</t>
        </is>
      </c>
      <c r="J58" s="107" t="inlineStr">
        <is>
          <t>DB DP 2999-[HFBF01]</t>
        </is>
      </c>
      <c r="K58" s="107" t="inlineStr">
        <is>
          <t>ACTIVE</t>
        </is>
      </c>
      <c r="L58" s="109" t="n">
        <v>1</v>
      </c>
      <c r="M58" s="110" t="n">
        <v>4127</v>
      </c>
      <c r="N58" s="110" t="n">
        <v>18155.3811040696</v>
      </c>
      <c r="O58" s="104" t="n">
        <v>0</v>
      </c>
      <c r="P58" s="104" t="n">
        <v>0</v>
      </c>
      <c r="Q58" s="104">
        <f>$O58+P58</f>
        <v/>
      </c>
      <c r="R58" s="111">
        <f>IFERROR(A58/M58,0)</f>
        <v/>
      </c>
      <c r="S58" s="111">
        <f>IFERROR(B58/N58,0)</f>
        <v/>
      </c>
      <c r="T58" s="111">
        <f>IFERROR(C58/M58,0)</f>
        <v/>
      </c>
      <c r="U58" s="111">
        <f>IFERROR(D58/N58,0)</f>
        <v/>
      </c>
      <c r="W58" s="111">
        <f>IFERROR(E58/N58,0)</f>
        <v/>
      </c>
      <c r="X58" s="125">
        <f>N58-(O58+Y58+Z58)</f>
        <v/>
      </c>
      <c r="Y58" s="104" t="n">
        <v>20762</v>
      </c>
      <c r="Z58" s="104" t="n">
        <v>0</v>
      </c>
      <c r="AA58" s="104" t="n"/>
      <c r="AB58" s="112" t="n"/>
    </row>
    <row r="59" ht="12.65" customHeight="1" s="79">
      <c r="A59" s="104">
        <f>MIN(O59,M59)</f>
        <v/>
      </c>
      <c r="B59" s="104">
        <f>MIN(O59,N59)</f>
        <v/>
      </c>
      <c r="C59" s="104">
        <f>MIN(Q59,M59)</f>
        <v/>
      </c>
      <c r="D59" s="104">
        <f>MIN(Q59,N59)</f>
        <v/>
      </c>
      <c r="E59" s="104">
        <f>MIN((O59+Y59+Z59),N59)</f>
        <v/>
      </c>
      <c r="F59" s="105" t="inlineStr">
        <is>
          <t>MAHIMA VOHRA</t>
        </is>
      </c>
      <c r="G59" s="106" t="inlineStr">
        <is>
          <t>HOME FURNISHING</t>
        </is>
      </c>
      <c r="H59" s="107" t="inlineStr">
        <is>
          <t>HF_BED LINEN</t>
        </is>
      </c>
      <c r="I59" s="107" t="inlineStr">
        <is>
          <t>HF_BF_BLANKET</t>
        </is>
      </c>
      <c r="J59" s="107" t="inlineStr">
        <is>
          <t>SB SP 999-[HFBF01]</t>
        </is>
      </c>
      <c r="K59" s="107" t="inlineStr">
        <is>
          <t>ACTIVE</t>
        </is>
      </c>
      <c r="L59" s="109" t="n">
        <v>1</v>
      </c>
      <c r="M59" s="110" t="n">
        <v>3998</v>
      </c>
      <c r="N59" s="110" t="n">
        <v>15235.1312811843</v>
      </c>
      <c r="O59" s="104" t="n">
        <v>0</v>
      </c>
      <c r="P59" s="104" t="n">
        <v>0</v>
      </c>
      <c r="Q59" s="104">
        <f>$O59+P59</f>
        <v/>
      </c>
      <c r="R59" s="111">
        <f>IFERROR(A59/M59,0)</f>
        <v/>
      </c>
      <c r="S59" s="111">
        <f>IFERROR(B59/N59,0)</f>
        <v/>
      </c>
      <c r="T59" s="111">
        <f>IFERROR(C59/M59,0)</f>
        <v/>
      </c>
      <c r="U59" s="111">
        <f>IFERROR(D59/N59,0)</f>
        <v/>
      </c>
      <c r="W59" s="111">
        <f>IFERROR(E59/N59,0)</f>
        <v/>
      </c>
      <c r="X59" s="125">
        <f>N59-(O59+Y59+Z59)</f>
        <v/>
      </c>
      <c r="Y59" s="104" t="n">
        <v>18606</v>
      </c>
      <c r="Z59" s="104" t="n">
        <v>0</v>
      </c>
      <c r="AA59" s="104" t="n"/>
      <c r="AB59" s="112" t="n"/>
    </row>
    <row r="60" ht="12.65" customHeight="1" s="79">
      <c r="A60" s="104">
        <f>MIN(O60,M60)</f>
        <v/>
      </c>
      <c r="B60" s="104">
        <f>MIN(O60,N60)</f>
        <v/>
      </c>
      <c r="C60" s="104">
        <f>MIN(Q60,M60)</f>
        <v/>
      </c>
      <c r="D60" s="104">
        <f>MIN(Q60,N60)</f>
        <v/>
      </c>
      <c r="E60" s="104">
        <f>MIN((O60+Y60+Z60),N60)</f>
        <v/>
      </c>
      <c r="F60" s="105" t="inlineStr">
        <is>
          <t>MAHIMA VOHRA</t>
        </is>
      </c>
      <c r="G60" s="106" t="inlineStr">
        <is>
          <t>HOME FURNISHING</t>
        </is>
      </c>
      <c r="H60" s="107" t="inlineStr">
        <is>
          <t>HF_BED LINEN</t>
        </is>
      </c>
      <c r="I60" s="107" t="inlineStr">
        <is>
          <t>HF_BF_BLANKET</t>
        </is>
      </c>
      <c r="J60" s="107" t="inlineStr">
        <is>
          <t>DB SP 1999-[HFBF01]</t>
        </is>
      </c>
      <c r="K60" s="107" t="inlineStr">
        <is>
          <t>ACTIVE</t>
        </is>
      </c>
      <c r="L60" s="109" t="n">
        <v>1</v>
      </c>
      <c r="M60" s="110" t="n">
        <v>3136</v>
      </c>
      <c r="N60" s="110" t="n">
        <v>11034.6323314121</v>
      </c>
      <c r="O60" s="104" t="n">
        <v>0</v>
      </c>
      <c r="P60" s="104" t="n">
        <v>0</v>
      </c>
      <c r="Q60" s="104">
        <f>$O60+P60</f>
        <v/>
      </c>
      <c r="R60" s="111">
        <f>IFERROR(A60/M60,0)</f>
        <v/>
      </c>
      <c r="S60" s="111">
        <f>IFERROR(B60/N60,0)</f>
        <v/>
      </c>
      <c r="T60" s="111">
        <f>IFERROR(C60/M60,0)</f>
        <v/>
      </c>
      <c r="U60" s="111">
        <f>IFERROR(D60/N60,0)</f>
        <v/>
      </c>
      <c r="W60" s="111">
        <f>IFERROR(E60/N60,0)</f>
        <v/>
      </c>
      <c r="X60" s="125">
        <f>N60-(O60+Y60+Z60)</f>
        <v/>
      </c>
      <c r="Y60" s="104" t="n">
        <v>13008</v>
      </c>
      <c r="Z60" s="104" t="n">
        <v>0</v>
      </c>
      <c r="AA60" s="104" t="n"/>
      <c r="AB60" s="104" t="n"/>
    </row>
    <row r="61" ht="12.65" customHeight="1" s="79">
      <c r="A61" s="104">
        <f>MIN(O61,M61)</f>
        <v/>
      </c>
      <c r="B61" s="104">
        <f>MIN(O61,N61)</f>
        <v/>
      </c>
      <c r="C61" s="104">
        <f>MIN(Q61,M61)</f>
        <v/>
      </c>
      <c r="D61" s="104">
        <f>MIN(Q61,N61)</f>
        <v/>
      </c>
      <c r="E61" s="104">
        <f>MIN((O61+Y61+Z61),N61)</f>
        <v/>
      </c>
      <c r="F61" s="105" t="inlineStr">
        <is>
          <t>MAHIMA VOHRA</t>
        </is>
      </c>
      <c r="G61" s="106" t="inlineStr">
        <is>
          <t>HOME FURNISHING</t>
        </is>
      </c>
      <c r="H61" s="107" t="inlineStr">
        <is>
          <t>HF_BED LINEN</t>
        </is>
      </c>
      <c r="I61" s="107" t="inlineStr">
        <is>
          <t>HF_BF_BLANKET</t>
        </is>
      </c>
      <c r="J61" s="107" t="inlineStr">
        <is>
          <t>DB DP 3999-[HFBF01]</t>
        </is>
      </c>
      <c r="K61" s="107" t="inlineStr">
        <is>
          <t>ACTIVE</t>
        </is>
      </c>
      <c r="L61" s="109" t="n">
        <v>1</v>
      </c>
      <c r="M61" s="110" t="n">
        <v>3116</v>
      </c>
      <c r="N61" s="110" t="n">
        <v>9996.817849924149</v>
      </c>
      <c r="O61" s="104" t="n">
        <v>0</v>
      </c>
      <c r="P61" s="104" t="n">
        <v>0</v>
      </c>
      <c r="Q61" s="104">
        <f>$O61+P61</f>
        <v/>
      </c>
      <c r="R61" s="111">
        <f>IFERROR(A61/M61,0)</f>
        <v/>
      </c>
      <c r="S61" s="111">
        <f>IFERROR(B61/N61,0)</f>
        <v/>
      </c>
      <c r="T61" s="111">
        <f>IFERROR(C61/M61,0)</f>
        <v/>
      </c>
      <c r="U61" s="111">
        <f>IFERROR(D61/N61,0)</f>
        <v/>
      </c>
      <c r="W61" s="111">
        <f>IFERROR(E61/N61,0)</f>
        <v/>
      </c>
      <c r="X61" s="125">
        <f>N61-(O61+Y61+Z61)</f>
        <v/>
      </c>
      <c r="Y61" s="104" t="n">
        <v>12700</v>
      </c>
      <c r="Z61" s="104" t="n">
        <v>0</v>
      </c>
      <c r="AA61" s="104" t="n"/>
      <c r="AB61" s="112" t="n"/>
    </row>
    <row r="62" ht="12.65" customHeight="1" s="79">
      <c r="A62" s="104">
        <f>MIN(O62,M62)</f>
        <v/>
      </c>
      <c r="B62" s="104">
        <f>MIN(O62,N62)</f>
        <v/>
      </c>
      <c r="C62" s="104">
        <f>MIN(Q62,M62)</f>
        <v/>
      </c>
      <c r="D62" s="104">
        <f>MIN(Q62,N62)</f>
        <v/>
      </c>
      <c r="E62" s="104">
        <f>MIN((O62+Y62+Z62),N62)</f>
        <v/>
      </c>
      <c r="F62" s="105" t="inlineStr">
        <is>
          <t>MAHIMA VOHRA</t>
        </is>
      </c>
      <c r="G62" s="106" t="inlineStr">
        <is>
          <t>HOME FURNISHING</t>
        </is>
      </c>
      <c r="H62" s="107" t="inlineStr">
        <is>
          <t>HF_BED LINEN</t>
        </is>
      </c>
      <c r="I62" s="107" t="inlineStr">
        <is>
          <t>HF_BF_BLANKET</t>
        </is>
      </c>
      <c r="J62" s="107" t="inlineStr">
        <is>
          <t>DB DP 1999-[HFBF01]</t>
        </is>
      </c>
      <c r="K62" s="107" t="inlineStr">
        <is>
          <t>ACTIVE</t>
        </is>
      </c>
      <c r="L62" s="109" t="n">
        <v>1</v>
      </c>
      <c r="M62" s="110" t="n">
        <v>1473</v>
      </c>
      <c r="N62" s="110" t="n">
        <v>5603.87465846225</v>
      </c>
      <c r="O62" s="104" t="n">
        <v>0</v>
      </c>
      <c r="P62" s="104" t="n">
        <v>0</v>
      </c>
      <c r="Q62" s="104">
        <f>$O62+P62</f>
        <v/>
      </c>
      <c r="R62" s="111">
        <f>IFERROR(A62/M62,0)</f>
        <v/>
      </c>
      <c r="S62" s="111">
        <f>IFERROR(B62/N62,0)</f>
        <v/>
      </c>
      <c r="T62" s="111">
        <f>IFERROR(C62/M62,0)</f>
        <v/>
      </c>
      <c r="U62" s="111">
        <f>IFERROR(D62/N62,0)</f>
        <v/>
      </c>
      <c r="W62" s="111">
        <f>IFERROR(E62/N62,0)</f>
        <v/>
      </c>
      <c r="X62" s="125">
        <f>N62-(O62+Y62+Z62)</f>
        <v/>
      </c>
      <c r="Y62" s="104" t="n">
        <v>6504</v>
      </c>
      <c r="Z62" s="104" t="n">
        <v>0</v>
      </c>
      <c r="AA62" s="104" t="n"/>
      <c r="AB62" s="104" t="n"/>
    </row>
    <row r="63" ht="12.65" customHeight="1" s="79">
      <c r="A63" s="104">
        <f>MIN(O63,M63)</f>
        <v/>
      </c>
      <c r="B63" s="104">
        <f>MIN(O63,N63)</f>
        <v/>
      </c>
      <c r="C63" s="104">
        <f>MIN(Q63,M63)</f>
        <v/>
      </c>
      <c r="D63" s="104">
        <f>MIN(Q63,N63)</f>
        <v/>
      </c>
      <c r="E63" s="104">
        <f>MIN((O63+Y63+Z63),N63)</f>
        <v/>
      </c>
      <c r="F63" s="105" t="inlineStr">
        <is>
          <t>MAHIMA VOHRA</t>
        </is>
      </c>
      <c r="G63" s="106" t="inlineStr">
        <is>
          <t>HOME FURNISHING</t>
        </is>
      </c>
      <c r="H63" s="107" t="inlineStr">
        <is>
          <t>HF_BED LINEN</t>
        </is>
      </c>
      <c r="I63" s="107" t="inlineStr">
        <is>
          <t>HF_BF_BLANKET</t>
        </is>
      </c>
      <c r="J63" s="107" t="inlineStr">
        <is>
          <t>DB DP 1299-[HFBF01]</t>
        </is>
      </c>
      <c r="K63" s="107" t="inlineStr">
        <is>
          <t>ACTIVE</t>
        </is>
      </c>
      <c r="L63" s="109" t="n">
        <v>1</v>
      </c>
      <c r="M63" s="110" t="n">
        <v>1358</v>
      </c>
      <c r="N63" s="110" t="n">
        <v>5443.16285411172</v>
      </c>
      <c r="O63" s="104" t="n">
        <v>0</v>
      </c>
      <c r="P63" s="104" t="n">
        <v>0</v>
      </c>
      <c r="Q63" s="104">
        <f>$O63+P63</f>
        <v/>
      </c>
      <c r="R63" s="111">
        <f>IFERROR(A63/M63,0)</f>
        <v/>
      </c>
      <c r="S63" s="111">
        <f>IFERROR(B63/N63,0)</f>
        <v/>
      </c>
      <c r="T63" s="111">
        <f>IFERROR(C63/M63,0)</f>
        <v/>
      </c>
      <c r="U63" s="111">
        <f>IFERROR(D63/N63,0)</f>
        <v/>
      </c>
      <c r="W63" s="111">
        <f>IFERROR(E63/N63,0)</f>
        <v/>
      </c>
      <c r="X63" s="125">
        <f>N63-(O63+Y63+Z63)</f>
        <v/>
      </c>
      <c r="Y63" s="104" t="n">
        <v>6606</v>
      </c>
      <c r="Z63" s="104" t="n">
        <v>0</v>
      </c>
      <c r="AA63" s="104" t="n"/>
      <c r="AB63" s="112" t="n"/>
    </row>
    <row r="64" ht="12.65" customHeight="1" s="79">
      <c r="A64" s="104">
        <f>MIN(O64,M64)</f>
        <v/>
      </c>
      <c r="B64" s="104">
        <f>MIN(O64,N64)</f>
        <v/>
      </c>
      <c r="C64" s="104">
        <f>MIN(Q64,M64)</f>
        <v/>
      </c>
      <c r="D64" s="104">
        <f>MIN(Q64,N64)</f>
        <v/>
      </c>
      <c r="E64" s="104">
        <f>MIN((O64+Y64+Z64),N64)</f>
        <v/>
      </c>
      <c r="F64" s="105" t="inlineStr">
        <is>
          <t>MAHIMA VOHRA</t>
        </is>
      </c>
      <c r="G64" s="106" t="inlineStr">
        <is>
          <t>HOME FURNISHING</t>
        </is>
      </c>
      <c r="H64" s="107" t="inlineStr">
        <is>
          <t>HF_BED LINEN</t>
        </is>
      </c>
      <c r="I64" s="107" t="inlineStr">
        <is>
          <t>HF_BF_BLANKET</t>
        </is>
      </c>
      <c r="J64" s="107" t="inlineStr">
        <is>
          <t>SB DP 999-[HFBF01]</t>
        </is>
      </c>
      <c r="K64" s="107" t="inlineStr">
        <is>
          <t>ACTIVE</t>
        </is>
      </c>
      <c r="L64" s="109" t="n">
        <v>1</v>
      </c>
      <c r="M64" s="110" t="n">
        <v>0</v>
      </c>
      <c r="N64" s="110" t="n">
        <v>107.39096208514</v>
      </c>
      <c r="O64" s="104" t="n">
        <v>0</v>
      </c>
      <c r="P64" s="104" t="n">
        <v>0</v>
      </c>
      <c r="Q64" s="104">
        <f>$O64+P64</f>
        <v/>
      </c>
      <c r="R64" s="111">
        <f>IFERROR(A64/M64,0)</f>
        <v/>
      </c>
      <c r="S64" s="111">
        <f>IFERROR(B64/N64,0)</f>
        <v/>
      </c>
      <c r="T64" s="111">
        <f>IFERROR(C64/M64,0)</f>
        <v/>
      </c>
      <c r="U64" s="111">
        <f>IFERROR(D64/N64,0)</f>
        <v/>
      </c>
      <c r="W64" s="111">
        <f>IFERROR(E64/N64,0)</f>
        <v/>
      </c>
      <c r="X64" s="125">
        <f>N64-(O64+Y64+Z64)</f>
        <v/>
      </c>
      <c r="Y64" s="104" t="n">
        <v>0</v>
      </c>
      <c r="Z64" s="104" t="n">
        <v>0</v>
      </c>
      <c r="AA64" s="104" t="n"/>
      <c r="AB64" s="112" t="n"/>
    </row>
    <row r="65" ht="12.65" customHeight="1" s="79">
      <c r="A65" s="104">
        <f>MIN(O65,M65)</f>
        <v/>
      </c>
      <c r="B65" s="104">
        <f>MIN(O65,N65)</f>
        <v/>
      </c>
      <c r="C65" s="104">
        <f>MIN(Q65,M65)</f>
        <v/>
      </c>
      <c r="D65" s="104">
        <f>MIN(Q65,N65)</f>
        <v/>
      </c>
      <c r="E65" s="104">
        <f>MIN((O65+Y65+Z65),N65)</f>
        <v/>
      </c>
      <c r="F65" s="105" t="inlineStr">
        <is>
          <t>MAHIMA VOHRA</t>
        </is>
      </c>
      <c r="G65" s="106" t="inlineStr">
        <is>
          <t>HOME FURNISHING</t>
        </is>
      </c>
      <c r="H65" s="107" t="inlineStr">
        <is>
          <t>HF_BED LINEN</t>
        </is>
      </c>
      <c r="I65" s="107" t="inlineStr">
        <is>
          <t>HF_BF_COMFORTER</t>
        </is>
      </c>
      <c r="J65" s="107" t="inlineStr">
        <is>
          <t>GF SET - [HFBF09]</t>
        </is>
      </c>
      <c r="K65" s="107" t="inlineStr">
        <is>
          <t>ACTIVE</t>
        </is>
      </c>
      <c r="L65" s="109" t="n">
        <v>12</v>
      </c>
      <c r="M65" s="110" t="n">
        <v>6960</v>
      </c>
      <c r="N65" s="110" t="n">
        <v>18737.8092140738</v>
      </c>
      <c r="O65" s="104" t="n">
        <v>2736</v>
      </c>
      <c r="P65" s="104" t="n">
        <v>0</v>
      </c>
      <c r="Q65" s="104">
        <f>$O65+P65</f>
        <v/>
      </c>
      <c r="R65" s="111">
        <f>IFERROR(A65/M65,0)</f>
        <v/>
      </c>
      <c r="S65" s="111">
        <f>IFERROR(B65/N65,0)</f>
        <v/>
      </c>
      <c r="T65" s="111">
        <f>IFERROR(C65/M65,0)</f>
        <v/>
      </c>
      <c r="U65" s="111">
        <f>IFERROR(D65/N65,0)</f>
        <v/>
      </c>
      <c r="W65" s="111">
        <f>IFERROR(E65/N65,0)</f>
        <v/>
      </c>
      <c r="X65" s="125">
        <f>N65-(O65+Y65+Z65)</f>
        <v/>
      </c>
      <c r="Y65" s="104" t="n">
        <v>14268</v>
      </c>
      <c r="Z65" s="104" t="n">
        <v>0</v>
      </c>
      <c r="AA65" s="104" t="n"/>
      <c r="AB65" s="104" t="n"/>
    </row>
    <row r="66" ht="12.65" customHeight="1" s="79">
      <c r="A66" s="104">
        <f>MIN(O66,M66)</f>
        <v/>
      </c>
      <c r="B66" s="104">
        <f>MIN(O66,N66)</f>
        <v/>
      </c>
      <c r="C66" s="104">
        <f>MIN(Q66,M66)</f>
        <v/>
      </c>
      <c r="D66" s="104">
        <f>MIN(Q66,N66)</f>
        <v/>
      </c>
      <c r="E66" s="104">
        <f>MIN((O66+Y66+Z66),N66)</f>
        <v/>
      </c>
      <c r="F66" s="105" t="inlineStr">
        <is>
          <t>MAHIMA VOHRA</t>
        </is>
      </c>
      <c r="G66" s="106" t="inlineStr">
        <is>
          <t>HOME FURNISHING</t>
        </is>
      </c>
      <c r="H66" s="107" t="inlineStr">
        <is>
          <t>HF_BED LINEN</t>
        </is>
      </c>
      <c r="I66" s="107" t="inlineStr">
        <is>
          <t>HF_BF_COMFORTER</t>
        </is>
      </c>
      <c r="J66" s="107" t="inlineStr">
        <is>
          <t>CMFRTR - [HFBF09]</t>
        </is>
      </c>
      <c r="K66" s="107" t="inlineStr">
        <is>
          <t>ACTIVE</t>
        </is>
      </c>
      <c r="L66" s="109" t="n">
        <v>12</v>
      </c>
      <c r="M66" s="110" t="n">
        <v>8657</v>
      </c>
      <c r="N66" s="110" t="n">
        <v>16822.4286382052</v>
      </c>
      <c r="O66" s="104" t="n">
        <v>0</v>
      </c>
      <c r="P66" s="104" t="n">
        <v>0</v>
      </c>
      <c r="Q66" s="104">
        <f>$O66+P66</f>
        <v/>
      </c>
      <c r="R66" s="111">
        <f>IFERROR(A66/M66,0)</f>
        <v/>
      </c>
      <c r="S66" s="111">
        <f>IFERROR(B66/N66,0)</f>
        <v/>
      </c>
      <c r="T66" s="111">
        <f>IFERROR(C66/M66,0)</f>
        <v/>
      </c>
      <c r="U66" s="111">
        <f>IFERROR(D66/N66,0)</f>
        <v/>
      </c>
      <c r="W66" s="111">
        <f>IFERROR(E66/N66,0)</f>
        <v/>
      </c>
      <c r="X66" s="125">
        <f>N66-(O66+Y66+Z66)</f>
        <v/>
      </c>
      <c r="Y66" s="104" t="n">
        <v>22008</v>
      </c>
      <c r="Z66" s="104" t="n">
        <v>0</v>
      </c>
      <c r="AA66" s="104" t="n"/>
      <c r="AB66" s="112" t="n"/>
    </row>
    <row r="67" ht="12.65" customHeight="1" s="79">
      <c r="A67" s="104">
        <f>MIN(O67,M67)</f>
        <v/>
      </c>
      <c r="B67" s="104">
        <f>MIN(O67,N67)</f>
        <v/>
      </c>
      <c r="C67" s="104">
        <f>MIN(Q67,M67)</f>
        <v/>
      </c>
      <c r="D67" s="104">
        <f>MIN(Q67,N67)</f>
        <v/>
      </c>
      <c r="E67" s="104">
        <f>MIN((O67+Y67+Z67),N67)</f>
        <v/>
      </c>
      <c r="F67" s="105" t="inlineStr">
        <is>
          <t>MAHIMA VOHRA</t>
        </is>
      </c>
      <c r="G67" s="106" t="inlineStr">
        <is>
          <t>HOME FURNISHING</t>
        </is>
      </c>
      <c r="H67" s="107" t="inlineStr">
        <is>
          <t>HF_BED LINEN</t>
        </is>
      </c>
      <c r="I67" s="107" t="inlineStr">
        <is>
          <t>HF_BF_FLANEL</t>
        </is>
      </c>
      <c r="J67" s="107" t="inlineStr">
        <is>
          <t>FLN 399-[HFBL01]</t>
        </is>
      </c>
      <c r="K67" s="107" t="inlineStr">
        <is>
          <t>ACTIVE</t>
        </is>
      </c>
      <c r="L67" s="109" t="n">
        <v>18</v>
      </c>
      <c r="M67" s="110" t="n">
        <v>13825</v>
      </c>
      <c r="N67" s="110" t="n">
        <v>27125.0139928538</v>
      </c>
      <c r="O67" s="104" t="n">
        <v>8088</v>
      </c>
      <c r="P67" s="104" t="n">
        <v>0</v>
      </c>
      <c r="Q67" s="104">
        <f>$O67+P67</f>
        <v/>
      </c>
      <c r="R67" s="111">
        <f>IFERROR(A67/M67,0)</f>
        <v/>
      </c>
      <c r="S67" s="111">
        <f>IFERROR(B67/N67,0)</f>
        <v/>
      </c>
      <c r="T67" s="111">
        <f>IFERROR(C67/M67,0)</f>
        <v/>
      </c>
      <c r="U67" s="111">
        <f>IFERROR(D67/N67,0)</f>
        <v/>
      </c>
      <c r="W67" s="111">
        <f>IFERROR(E67/N67,0)</f>
        <v/>
      </c>
      <c r="X67" s="125">
        <f>N67-(O67+Y67+Z67)</f>
        <v/>
      </c>
      <c r="Y67" s="104" t="n">
        <v>27204</v>
      </c>
      <c r="Z67" s="104" t="n">
        <v>0</v>
      </c>
      <c r="AA67" s="104" t="n"/>
      <c r="AB67" s="104" t="n"/>
    </row>
    <row r="68" ht="12.65" customHeight="1" s="79">
      <c r="A68" s="104">
        <f>MIN(O68,M68)</f>
        <v/>
      </c>
      <c r="B68" s="104">
        <f>MIN(O68,N68)</f>
        <v/>
      </c>
      <c r="C68" s="104">
        <f>MIN(Q68,M68)</f>
        <v/>
      </c>
      <c r="D68" s="104">
        <f>MIN(Q68,N68)</f>
        <v/>
      </c>
      <c r="E68" s="104">
        <f>MIN((O68+Y68+Z68),N68)</f>
        <v/>
      </c>
      <c r="F68" s="105" t="inlineStr">
        <is>
          <t>MAHIMA VOHRA</t>
        </is>
      </c>
      <c r="G68" s="106" t="inlineStr">
        <is>
          <t>HOME FURNISHING</t>
        </is>
      </c>
      <c r="H68" s="107" t="inlineStr">
        <is>
          <t>HF_BED LINEN</t>
        </is>
      </c>
      <c r="I68" s="107" t="inlineStr">
        <is>
          <t>HF_BF_FLANEL</t>
        </is>
      </c>
      <c r="J68" s="107" t="inlineStr">
        <is>
          <t>FLN 799-[HFBL01]</t>
        </is>
      </c>
      <c r="K68" s="107" t="inlineStr">
        <is>
          <t>ACTIVE</t>
        </is>
      </c>
      <c r="L68" s="109" t="n">
        <v>18</v>
      </c>
      <c r="M68" s="110" t="n">
        <v>2743</v>
      </c>
      <c r="N68" s="110" t="n">
        <v>4744.41381662645</v>
      </c>
      <c r="O68" s="104" t="n">
        <v>0</v>
      </c>
      <c r="P68" s="104" t="n">
        <v>0</v>
      </c>
      <c r="Q68" s="104">
        <f>$O68+P68</f>
        <v/>
      </c>
      <c r="R68" s="111">
        <f>IFERROR(A68/M68,0)</f>
        <v/>
      </c>
      <c r="S68" s="111">
        <f>IFERROR(B68/N68,0)</f>
        <v/>
      </c>
      <c r="T68" s="111">
        <f>IFERROR(C68/M68,0)</f>
        <v/>
      </c>
      <c r="U68" s="111">
        <f>IFERROR(D68/N68,0)</f>
        <v/>
      </c>
      <c r="W68" s="111">
        <f>IFERROR(E68/N68,0)</f>
        <v/>
      </c>
      <c r="X68" s="125">
        <f>N68-(O68+Y68+Z68)</f>
        <v/>
      </c>
      <c r="Y68" s="104" t="n">
        <v>0</v>
      </c>
      <c r="Z68" s="104" t="n">
        <v>0</v>
      </c>
      <c r="AA68" s="104" t="n"/>
      <c r="AB68" s="104" t="n"/>
    </row>
    <row r="69" ht="12.65" customHeight="1" s="79">
      <c r="A69" s="104">
        <f>MIN(O69,M69)</f>
        <v/>
      </c>
      <c r="B69" s="104">
        <f>MIN(O69,N69)</f>
        <v/>
      </c>
      <c r="C69" s="104">
        <f>MIN(Q69,M69)</f>
        <v/>
      </c>
      <c r="D69" s="104">
        <f>MIN(Q69,N69)</f>
        <v/>
      </c>
      <c r="E69" s="104">
        <f>MIN((O69+Y69+Z69),N69)</f>
        <v/>
      </c>
      <c r="F69" s="105" t="inlineStr">
        <is>
          <t>MAHIMA VOHRA</t>
        </is>
      </c>
      <c r="G69" s="106" t="inlineStr">
        <is>
          <t>HOME FURNISHING</t>
        </is>
      </c>
      <c r="H69" s="107" t="inlineStr">
        <is>
          <t>HF_BED LINEN</t>
        </is>
      </c>
      <c r="I69" s="107" t="inlineStr">
        <is>
          <t>HF_BF_POLAR</t>
        </is>
      </c>
      <c r="J69" s="107" t="inlineStr">
        <is>
          <t>FLC SB-[HFBF08]</t>
        </is>
      </c>
      <c r="K69" s="107" t="inlineStr">
        <is>
          <t>ACTIVE</t>
        </is>
      </c>
      <c r="L69" s="109" t="n">
        <v>23</v>
      </c>
      <c r="M69" s="110" t="n">
        <v>31256</v>
      </c>
      <c r="N69" s="110" t="n">
        <v>59318.8008683706</v>
      </c>
      <c r="O69" s="104" t="n">
        <v>0</v>
      </c>
      <c r="P69" s="104" t="n">
        <v>0</v>
      </c>
      <c r="Q69" s="104">
        <f>$O69+P69</f>
        <v/>
      </c>
      <c r="R69" s="111">
        <f>IFERROR(A69/M69,0)</f>
        <v/>
      </c>
      <c r="S69" s="111">
        <f>IFERROR(B69/N69,0)</f>
        <v/>
      </c>
      <c r="T69" s="111">
        <f>IFERROR(C69/M69,0)</f>
        <v/>
      </c>
      <c r="U69" s="111">
        <f>IFERROR(D69/N69,0)</f>
        <v/>
      </c>
      <c r="W69" s="111">
        <f>IFERROR(E69/N69,0)</f>
        <v/>
      </c>
      <c r="X69" s="125">
        <f>N69-(O69+Y69+Z69)</f>
        <v/>
      </c>
      <c r="Y69" s="104" t="n">
        <v>50004</v>
      </c>
      <c r="Z69" s="104" t="n">
        <v>0</v>
      </c>
      <c r="AA69" s="104" t="n"/>
      <c r="AB69" s="104" t="n"/>
    </row>
    <row r="70" ht="12.65" customHeight="1" s="79">
      <c r="A70" s="104">
        <f>MIN(O70,M70)</f>
        <v/>
      </c>
      <c r="B70" s="104">
        <f>MIN(O70,N70)</f>
        <v/>
      </c>
      <c r="C70" s="104">
        <f>MIN(Q70,M70)</f>
        <v/>
      </c>
      <c r="D70" s="104">
        <f>MIN(Q70,N70)</f>
        <v/>
      </c>
      <c r="E70" s="104">
        <f>MIN((O70+Y70+Z70),N70)</f>
        <v/>
      </c>
      <c r="F70" s="105" t="inlineStr">
        <is>
          <t>MAHIMA VOHRA</t>
        </is>
      </c>
      <c r="G70" s="106" t="inlineStr">
        <is>
          <t>HOME FURNISHING</t>
        </is>
      </c>
      <c r="H70" s="107" t="inlineStr">
        <is>
          <t>HF_BED LINEN</t>
        </is>
      </c>
      <c r="I70" s="107" t="inlineStr">
        <is>
          <t>HF_BF_POLAR</t>
        </is>
      </c>
      <c r="J70" s="107" t="inlineStr">
        <is>
          <t>FLC DB-[HFBF08]</t>
        </is>
      </c>
      <c r="K70" s="107" t="inlineStr">
        <is>
          <t>ACTIVE</t>
        </is>
      </c>
      <c r="L70" s="109" t="n">
        <v>23</v>
      </c>
      <c r="M70" s="110" t="n">
        <v>0</v>
      </c>
      <c r="N70" s="110" t="n">
        <v>13.4217757018994</v>
      </c>
      <c r="O70" s="104" t="n">
        <v>0</v>
      </c>
      <c r="P70" s="104" t="n">
        <v>0</v>
      </c>
      <c r="Q70" s="104">
        <f>$O70+P70</f>
        <v/>
      </c>
      <c r="R70" s="111">
        <f>IFERROR(A70/M70,0)</f>
        <v/>
      </c>
      <c r="S70" s="111">
        <f>IFERROR(B70/N70,0)</f>
        <v/>
      </c>
      <c r="T70" s="111">
        <f>IFERROR(C70/M70,0)</f>
        <v/>
      </c>
      <c r="U70" s="111">
        <f>IFERROR(D70/N70,0)</f>
        <v/>
      </c>
      <c r="W70" s="111">
        <f>IFERROR(E70/N70,0)</f>
        <v/>
      </c>
      <c r="X70" s="125">
        <f>N70-(O70+Y70+Z70)</f>
        <v/>
      </c>
      <c r="Y70" s="104" t="n">
        <v>0</v>
      </c>
      <c r="Z70" s="104" t="n">
        <v>0</v>
      </c>
      <c r="AA70" s="104" t="n"/>
      <c r="AB70" s="112" t="n"/>
    </row>
    <row r="71" ht="12.65" customHeight="1" s="79">
      <c r="A71" s="104">
        <f>MIN(O71,M71)</f>
        <v/>
      </c>
      <c r="B71" s="104">
        <f>MIN(O71,N71)</f>
        <v/>
      </c>
      <c r="C71" s="104">
        <f>MIN(Q71,M71)</f>
        <v/>
      </c>
      <c r="D71" s="104">
        <f>MIN(Q71,N71)</f>
        <v/>
      </c>
      <c r="E71" s="104">
        <f>MIN((O71+Y71+Z71),N71)</f>
        <v/>
      </c>
      <c r="F71" s="105" t="inlineStr">
        <is>
          <t>MAHIMA VOHRA</t>
        </is>
      </c>
      <c r="G71" s="106" t="inlineStr">
        <is>
          <t>HOME FURNISHING</t>
        </is>
      </c>
      <c r="H71" s="107" t="inlineStr">
        <is>
          <t>HF_BED LINEN</t>
        </is>
      </c>
      <c r="I71" s="107" t="inlineStr">
        <is>
          <t>HF_BF_POLAR</t>
        </is>
      </c>
      <c r="J71" s="107" t="inlineStr">
        <is>
          <t>FLN DB-[HFBF08]</t>
        </is>
      </c>
      <c r="K71" s="107" t="inlineStr">
        <is>
          <t>ACTIVE</t>
        </is>
      </c>
      <c r="L71" s="109" t="n">
        <v>23</v>
      </c>
      <c r="M71" s="110" t="n">
        <v>0</v>
      </c>
      <c r="N71" s="110" t="n">
        <v>0</v>
      </c>
      <c r="O71" s="104" t="n">
        <v>0</v>
      </c>
      <c r="P71" s="104" t="n">
        <v>0</v>
      </c>
      <c r="Q71" s="104">
        <f>$O71+P71</f>
        <v/>
      </c>
      <c r="R71" s="111">
        <f>IFERROR(A71/M71,0)</f>
        <v/>
      </c>
      <c r="S71" s="111">
        <f>IFERROR(B71/N71,0)</f>
        <v/>
      </c>
      <c r="T71" s="111">
        <f>IFERROR(C71/M71,0)</f>
        <v/>
      </c>
      <c r="U71" s="111">
        <f>IFERROR(D71/N71,0)</f>
        <v/>
      </c>
      <c r="W71" s="111">
        <f>IFERROR(E71/N71,0)</f>
        <v/>
      </c>
      <c r="X71" s="125">
        <f>N71-(O71+Y71+Z71)</f>
        <v/>
      </c>
      <c r="Y71" s="104" t="n">
        <v>0</v>
      </c>
      <c r="Z71" s="104" t="n">
        <v>0</v>
      </c>
      <c r="AA71" s="104" t="n"/>
      <c r="AB71" s="112" t="n"/>
    </row>
    <row r="72" ht="12.65" customHeight="1" s="79">
      <c r="A72" s="104">
        <f>MIN(O72,M72)</f>
        <v/>
      </c>
      <c r="B72" s="104">
        <f>MIN(O72,N72)</f>
        <v/>
      </c>
      <c r="C72" s="104">
        <f>MIN(Q72,M72)</f>
        <v/>
      </c>
      <c r="D72" s="104">
        <f>MIN(Q72,N72)</f>
        <v/>
      </c>
      <c r="E72" s="104">
        <f>MIN((O72+Y72+Z72),N72)</f>
        <v/>
      </c>
      <c r="F72" s="105" t="inlineStr">
        <is>
          <t>MAHIMA VOHRA</t>
        </is>
      </c>
      <c r="G72" s="106" t="inlineStr">
        <is>
          <t>HOME FURNISHING</t>
        </is>
      </c>
      <c r="H72" s="107" t="inlineStr">
        <is>
          <t>HF_BED LINEN</t>
        </is>
      </c>
      <c r="I72" s="107" t="inlineStr">
        <is>
          <t>HF_BF_QUILT</t>
        </is>
      </c>
      <c r="J72" s="107" t="inlineStr">
        <is>
          <t>FLNL BY FLNL-[HFBF04]</t>
        </is>
      </c>
      <c r="K72" s="107" t="inlineStr">
        <is>
          <t>ACTIVE</t>
        </is>
      </c>
      <c r="L72" s="109" t="n">
        <v>2</v>
      </c>
      <c r="M72" s="110" t="n">
        <v>1242</v>
      </c>
      <c r="N72" s="110" t="n">
        <v>19097.414279419</v>
      </c>
      <c r="O72" s="104" t="n">
        <v>0</v>
      </c>
      <c r="P72" s="104" t="n">
        <v>0</v>
      </c>
      <c r="Q72" s="104">
        <f>$O72+P72</f>
        <v/>
      </c>
      <c r="R72" s="111">
        <f>IFERROR(A72/M72,0)</f>
        <v/>
      </c>
      <c r="S72" s="111">
        <f>IFERROR(B72/N72,0)</f>
        <v/>
      </c>
      <c r="T72" s="111">
        <f>IFERROR(C72/M72,0)</f>
        <v/>
      </c>
      <c r="U72" s="111">
        <f>IFERROR(D72/N72,0)</f>
        <v/>
      </c>
      <c r="W72" s="111">
        <f>IFERROR(E72/N72,0)</f>
        <v/>
      </c>
      <c r="X72" s="125">
        <f>N72-(O72+Y72+Z72)</f>
        <v/>
      </c>
      <c r="Y72" s="104" t="n">
        <v>17030</v>
      </c>
      <c r="Z72" s="104" t="n">
        <v>0</v>
      </c>
      <c r="AA72" s="104" t="n"/>
      <c r="AB72" s="112" t="n"/>
    </row>
    <row r="73" ht="12.65" customHeight="1" s="79">
      <c r="A73" s="104">
        <f>MIN(O73,M73)</f>
        <v/>
      </c>
      <c r="B73" s="104">
        <f>MIN(O73,N73)</f>
        <v/>
      </c>
      <c r="C73" s="104">
        <f>MIN(Q73,M73)</f>
        <v/>
      </c>
      <c r="D73" s="104">
        <f>MIN(Q73,N73)</f>
        <v/>
      </c>
      <c r="E73" s="104">
        <f>MIN((O73+Y73+Z73),N73)</f>
        <v/>
      </c>
      <c r="F73" s="105" t="inlineStr">
        <is>
          <t>MAHIMA VOHRA</t>
        </is>
      </c>
      <c r="G73" s="106" t="inlineStr">
        <is>
          <t>HOME FURNISHING</t>
        </is>
      </c>
      <c r="H73" s="107" t="inlineStr">
        <is>
          <t>HF_BED LINEN</t>
        </is>
      </c>
      <c r="I73" s="107" t="inlineStr">
        <is>
          <t>HF_BF_QUILT</t>
        </is>
      </c>
      <c r="J73" s="107" t="inlineStr">
        <is>
          <t>FLNL BY CORL-[HFBF04]</t>
        </is>
      </c>
      <c r="K73" s="107" t="inlineStr">
        <is>
          <t>ACTIVE</t>
        </is>
      </c>
      <c r="L73" s="109" t="n">
        <v>2</v>
      </c>
      <c r="M73" s="110" t="n">
        <v>742</v>
      </c>
      <c r="N73" s="110" t="n">
        <v>12509.5056535031</v>
      </c>
      <c r="O73" s="104" t="n">
        <v>0</v>
      </c>
      <c r="P73" s="104" t="n">
        <v>0</v>
      </c>
      <c r="Q73" s="104">
        <f>$O73+P73</f>
        <v/>
      </c>
      <c r="R73" s="111">
        <f>IFERROR(A73/M73,0)</f>
        <v/>
      </c>
      <c r="S73" s="111">
        <f>IFERROR(B73/N73,0)</f>
        <v/>
      </c>
      <c r="T73" s="111">
        <f>IFERROR(C73/M73,0)</f>
        <v/>
      </c>
      <c r="U73" s="111">
        <f>IFERROR(D73/N73,0)</f>
        <v/>
      </c>
      <c r="W73" s="111">
        <f>IFERROR(E73/N73,0)</f>
        <v/>
      </c>
      <c r="X73" s="125">
        <f>N73-(O73+Y73+Z73)</f>
        <v/>
      </c>
      <c r="Y73" s="104" t="n">
        <v>7866</v>
      </c>
      <c r="Z73" s="104" t="n">
        <v>0</v>
      </c>
      <c r="AA73" s="104" t="n"/>
      <c r="AB73" s="104" t="n"/>
    </row>
    <row r="74" ht="12.65" customHeight="1" s="79">
      <c r="A74" s="104">
        <f>MIN(O74,M74)</f>
        <v/>
      </c>
      <c r="B74" s="104">
        <f>MIN(O74,N74)</f>
        <v/>
      </c>
      <c r="C74" s="104">
        <f>MIN(Q74,M74)</f>
        <v/>
      </c>
      <c r="D74" s="104">
        <f>MIN(Q74,N74)</f>
        <v/>
      </c>
      <c r="E74" s="104">
        <f>MIN((O74+Y74+Z74),N74)</f>
        <v/>
      </c>
      <c r="F74" s="105" t="inlineStr">
        <is>
          <t>MAHIMA VOHRA</t>
        </is>
      </c>
      <c r="G74" s="106" t="inlineStr">
        <is>
          <t>HOME FURNISHING</t>
        </is>
      </c>
      <c r="H74" s="107" t="inlineStr">
        <is>
          <t>HF_BED LINEN</t>
        </is>
      </c>
      <c r="I74" s="107" t="inlineStr">
        <is>
          <t>HF_BF_QUILT</t>
        </is>
      </c>
      <c r="J74" s="107" t="inlineStr">
        <is>
          <t>SHERPA-[HFBF04]</t>
        </is>
      </c>
      <c r="K74" s="107" t="inlineStr">
        <is>
          <t>ACTIVE</t>
        </is>
      </c>
      <c r="L74" s="109" t="n">
        <v>2</v>
      </c>
      <c r="M74" s="110" t="n">
        <v>728</v>
      </c>
      <c r="N74" s="110" t="n">
        <v>7232.91234105725</v>
      </c>
      <c r="O74" s="104" t="n">
        <v>0</v>
      </c>
      <c r="P74" s="104" t="n">
        <v>0</v>
      </c>
      <c r="Q74" s="104">
        <f>$O74+P74</f>
        <v/>
      </c>
      <c r="R74" s="111">
        <f>IFERROR(A74/M74,0)</f>
        <v/>
      </c>
      <c r="S74" s="111">
        <f>IFERROR(B74/N74,0)</f>
        <v/>
      </c>
      <c r="T74" s="111">
        <f>IFERROR(C74/M74,0)</f>
        <v/>
      </c>
      <c r="U74" s="111">
        <f>IFERROR(D74/N74,0)</f>
        <v/>
      </c>
      <c r="W74" s="111">
        <f>IFERROR(E74/N74,0)</f>
        <v/>
      </c>
      <c r="X74" s="125">
        <f>N74-(O74+Y74+Z74)</f>
        <v/>
      </c>
      <c r="Y74" s="104" t="n">
        <v>10114</v>
      </c>
      <c r="Z74" s="104" t="n">
        <v>0</v>
      </c>
      <c r="AA74" s="104" t="n"/>
      <c r="AB74" s="112" t="n"/>
    </row>
    <row r="75" ht="12.65" customHeight="1" s="79">
      <c r="A75" s="104">
        <f>MIN(O75,M75)</f>
        <v/>
      </c>
      <c r="B75" s="104">
        <f>MIN(O75,N75)</f>
        <v/>
      </c>
      <c r="C75" s="104">
        <f>MIN(Q75,M75)</f>
        <v/>
      </c>
      <c r="D75" s="104">
        <f>MIN(Q75,N75)</f>
        <v/>
      </c>
      <c r="E75" s="104">
        <f>MIN((O75+Y75+Z75),N75)</f>
        <v/>
      </c>
      <c r="F75" s="105" t="inlineStr">
        <is>
          <t>MAHIMA VOHRA</t>
        </is>
      </c>
      <c r="G75" s="106" t="inlineStr">
        <is>
          <t>HOME FURNISHING</t>
        </is>
      </c>
      <c r="H75" s="107" t="inlineStr">
        <is>
          <t>HF_BED LINEN</t>
        </is>
      </c>
      <c r="I75" s="107" t="inlineStr">
        <is>
          <t>HF_BF_QUILT</t>
        </is>
      </c>
      <c r="J75" s="107" t="inlineStr">
        <is>
          <t>PV PRT-[HFBF04]</t>
        </is>
      </c>
      <c r="K75" s="107" t="inlineStr">
        <is>
          <t>ACTIVE</t>
        </is>
      </c>
      <c r="L75" s="109" t="n">
        <v>2</v>
      </c>
      <c r="M75" s="110" t="n">
        <v>125</v>
      </c>
      <c r="N75" s="110" t="n">
        <v>2532.47323247393</v>
      </c>
      <c r="O75" s="104" t="n">
        <v>0</v>
      </c>
      <c r="P75" s="104" t="n">
        <v>0</v>
      </c>
      <c r="Q75" s="104">
        <f>$O75+P75</f>
        <v/>
      </c>
      <c r="R75" s="111">
        <f>IFERROR(A75/M75,0)</f>
        <v/>
      </c>
      <c r="S75" s="111">
        <f>IFERROR(B75/N75,0)</f>
        <v/>
      </c>
      <c r="T75" s="111">
        <f>IFERROR(C75/M75,0)</f>
        <v/>
      </c>
      <c r="U75" s="111">
        <f>IFERROR(D75/N75,0)</f>
        <v/>
      </c>
      <c r="W75" s="111">
        <f>IFERROR(E75/N75,0)</f>
        <v/>
      </c>
      <c r="X75" s="125">
        <f>N75-(O75+Y75+Z75)</f>
        <v/>
      </c>
      <c r="Y75" s="104" t="n">
        <v>1200</v>
      </c>
      <c r="Z75" s="104" t="n">
        <v>0</v>
      </c>
      <c r="AA75" s="104" t="n"/>
      <c r="AB75" s="104" t="n"/>
    </row>
    <row r="76" ht="12.65" customHeight="1" s="79">
      <c r="A76" s="104">
        <f>MIN(O76,M76)</f>
        <v/>
      </c>
      <c r="B76" s="104">
        <f>MIN(O76,N76)</f>
        <v/>
      </c>
      <c r="C76" s="104">
        <f>MIN(Q76,M76)</f>
        <v/>
      </c>
      <c r="D76" s="104">
        <f>MIN(Q76,N76)</f>
        <v/>
      </c>
      <c r="E76" s="104">
        <f>MIN((O76+Y76+Z76),N76)</f>
        <v/>
      </c>
      <c r="F76" s="105" t="inlineStr">
        <is>
          <t>MAHIMA VOHRA</t>
        </is>
      </c>
      <c r="G76" s="106" t="inlineStr">
        <is>
          <t>NON FOOD</t>
        </is>
      </c>
      <c r="H76" s="107" t="inlineStr">
        <is>
          <t>NF_BEAUTY CARE</t>
        </is>
      </c>
      <c r="I76" s="107" t="inlineStr">
        <is>
          <t>NF_B_CREME</t>
        </is>
      </c>
      <c r="J76" s="107" t="inlineStr">
        <is>
          <t>CREAME 129-[LSB03]</t>
        </is>
      </c>
      <c r="K76" s="107" t="inlineStr">
        <is>
          <t>ACTIVE</t>
        </is>
      </c>
      <c r="L76" s="109" t="n">
        <v>16</v>
      </c>
      <c r="M76" s="110" t="n">
        <v>55851</v>
      </c>
      <c r="N76" s="110" t="n">
        <v>108317.720944507</v>
      </c>
      <c r="O76" s="104" t="n">
        <v>27840</v>
      </c>
      <c r="P76" s="104" t="n">
        <v>0</v>
      </c>
      <c r="Q76" s="104">
        <f>$O76+P76</f>
        <v/>
      </c>
      <c r="R76" s="111">
        <f>IFERROR(A76/M76,0)</f>
        <v/>
      </c>
      <c r="S76" s="111">
        <f>IFERROR(B76/N76,0)</f>
        <v/>
      </c>
      <c r="T76" s="111">
        <f>IFERROR(C76/M76,0)</f>
        <v/>
      </c>
      <c r="U76" s="111">
        <f>IFERROR(D76/N76,0)</f>
        <v/>
      </c>
      <c r="W76" s="111">
        <f>IFERROR(E76/N76,0)</f>
        <v/>
      </c>
      <c r="X76" s="125">
        <f>N76-(O76+Y76+Z76)</f>
        <v/>
      </c>
      <c r="Y76" s="104" t="n">
        <v>70320</v>
      </c>
      <c r="Z76" s="104" t="n">
        <v>0</v>
      </c>
      <c r="AA76" s="104" t="n"/>
      <c r="AB76" s="104" t="n"/>
    </row>
    <row r="77" ht="12.65" customHeight="1" s="79">
      <c r="A77" s="104">
        <f>MIN(O77,M77)</f>
        <v/>
      </c>
      <c r="B77" s="104">
        <f>MIN(O77,N77)</f>
        <v/>
      </c>
      <c r="C77" s="104">
        <f>MIN(Q77,M77)</f>
        <v/>
      </c>
      <c r="D77" s="104">
        <f>MIN(Q77,N77)</f>
        <v/>
      </c>
      <c r="E77" s="104">
        <f>MIN((O77+Y77+Z77),N77)</f>
        <v/>
      </c>
      <c r="F77" s="105" t="inlineStr">
        <is>
          <t>MAHIMA VOHRA</t>
        </is>
      </c>
      <c r="G77" s="106" t="inlineStr">
        <is>
          <t>NON FOOD</t>
        </is>
      </c>
      <c r="H77" s="107" t="inlineStr">
        <is>
          <t>NF_BEAUTY CARE</t>
        </is>
      </c>
      <c r="I77" s="107" t="inlineStr">
        <is>
          <t>NF_B_LOTION</t>
        </is>
      </c>
      <c r="J77" s="107" t="inlineStr">
        <is>
          <t>LOTION 149-[LSB02]</t>
        </is>
      </c>
      <c r="K77" s="107" t="inlineStr">
        <is>
          <t>ACTIVE</t>
        </is>
      </c>
      <c r="L77" s="109" t="n">
        <v>4</v>
      </c>
      <c r="M77" s="110" t="n">
        <v>47921</v>
      </c>
      <c r="N77" s="110" t="n">
        <v>89985.2144081689</v>
      </c>
      <c r="O77" s="104" t="n">
        <v>0</v>
      </c>
      <c r="P77" s="104" t="n">
        <v>23520</v>
      </c>
      <c r="Q77" s="104">
        <f>$O77+P77</f>
        <v/>
      </c>
      <c r="R77" s="111">
        <f>IFERROR(A77/M77,0)</f>
        <v/>
      </c>
      <c r="S77" s="111">
        <f>IFERROR(B77/N77,0)</f>
        <v/>
      </c>
      <c r="T77" s="111">
        <f>IFERROR(C77/M77,0)</f>
        <v/>
      </c>
      <c r="U77" s="111">
        <f>IFERROR(D77/N77,0)</f>
        <v/>
      </c>
      <c r="W77" s="111">
        <f>IFERROR(E77/N77,0)</f>
        <v/>
      </c>
      <c r="X77" s="125">
        <f>N77-(O77+Y77+Z77)</f>
        <v/>
      </c>
      <c r="Y77" s="104" t="n">
        <v>75360</v>
      </c>
      <c r="Z77" s="104" t="n">
        <v>0</v>
      </c>
      <c r="AA77" s="104" t="n"/>
      <c r="AB77" s="104" t="n"/>
    </row>
    <row r="78" ht="12.65" customHeight="1" s="79">
      <c r="A78" s="104">
        <f>MIN(O78,M78)</f>
        <v/>
      </c>
      <c r="B78" s="104">
        <f>MIN(O78,N78)</f>
        <v/>
      </c>
      <c r="C78" s="104">
        <f>MIN(Q78,M78)</f>
        <v/>
      </c>
      <c r="D78" s="104">
        <f>MIN(Q78,N78)</f>
        <v/>
      </c>
      <c r="E78" s="104">
        <f>MIN((O78+Y78+Z78),N78)</f>
        <v/>
      </c>
      <c r="F78" s="105" t="inlineStr">
        <is>
          <t>MAHIMA VOHRA</t>
        </is>
      </c>
      <c r="G78" s="106" t="inlineStr">
        <is>
          <t>NON FOOD</t>
        </is>
      </c>
      <c r="H78" s="107" t="inlineStr">
        <is>
          <t>NF_BEAUTY CARE</t>
        </is>
      </c>
      <c r="I78" s="107" t="inlineStr">
        <is>
          <t>NF_B_LOTION</t>
        </is>
      </c>
      <c r="J78" s="107" t="inlineStr">
        <is>
          <t>JOY LOTION 149-[LSB02]</t>
        </is>
      </c>
      <c r="K78" s="107" t="inlineStr">
        <is>
          <t>ACTIVE</t>
        </is>
      </c>
      <c r="L78" s="109" t="n">
        <v>4</v>
      </c>
      <c r="M78" s="110" t="n">
        <v>41646</v>
      </c>
      <c r="N78" s="110" t="n">
        <v>79403.6211191506</v>
      </c>
      <c r="O78" s="104" t="n">
        <v>0</v>
      </c>
      <c r="P78" s="104" t="n">
        <v>0</v>
      </c>
      <c r="Q78" s="104">
        <f>$O78+P78</f>
        <v/>
      </c>
      <c r="R78" s="111">
        <f>IFERROR(A78/M78,0)</f>
        <v/>
      </c>
      <c r="S78" s="111">
        <f>IFERROR(B78/N78,0)</f>
        <v/>
      </c>
      <c r="T78" s="111">
        <f>IFERROR(C78/M78,0)</f>
        <v/>
      </c>
      <c r="U78" s="111">
        <f>IFERROR(D78/N78,0)</f>
        <v/>
      </c>
      <c r="W78" s="111">
        <f>IFERROR(E78/N78,0)</f>
        <v/>
      </c>
      <c r="X78" s="125">
        <f>N78-(O78+Y78+Z78)</f>
        <v/>
      </c>
      <c r="Y78" s="104" t="n">
        <v>0</v>
      </c>
      <c r="Z78" s="104" t="n">
        <v>0</v>
      </c>
      <c r="AA78" s="104" t="n"/>
      <c r="AB78" s="104" t="n"/>
    </row>
    <row r="79" ht="12.65" customHeight="1" s="79">
      <c r="A79" s="104">
        <f>MIN(O79,M79)</f>
        <v/>
      </c>
      <c r="B79" s="104">
        <f>MIN(O79,N79)</f>
        <v/>
      </c>
      <c r="C79" s="104">
        <f>MIN(Q79,M79)</f>
        <v/>
      </c>
      <c r="D79" s="104">
        <f>MIN(Q79,N79)</f>
        <v/>
      </c>
      <c r="E79" s="104">
        <f>MIN((O79+Y79+Z79),N79)</f>
        <v/>
      </c>
      <c r="F79" s="105" t="inlineStr">
        <is>
          <t>MAHIMA VOHRA</t>
        </is>
      </c>
      <c r="G79" s="106" t="inlineStr">
        <is>
          <t>NON FOOD</t>
        </is>
      </c>
      <c r="H79" s="107" t="inlineStr">
        <is>
          <t>NF_BEAUTY CARE</t>
        </is>
      </c>
      <c r="I79" s="107" t="inlineStr">
        <is>
          <t>NF_B_LOTION</t>
        </is>
      </c>
      <c r="J79" s="107" t="inlineStr">
        <is>
          <t>JOY LOTION KIT 299-[LSB02]</t>
        </is>
      </c>
      <c r="K79" s="107" t="inlineStr">
        <is>
          <t>ACTIVE</t>
        </is>
      </c>
      <c r="L79" s="109" t="n">
        <v>4</v>
      </c>
      <c r="M79" s="110" t="n">
        <v>23498</v>
      </c>
      <c r="N79" s="110" t="n">
        <v>42652.4117124865</v>
      </c>
      <c r="O79" s="104" t="n">
        <v>7920</v>
      </c>
      <c r="P79" s="104" t="n">
        <v>0</v>
      </c>
      <c r="Q79" s="104">
        <f>$O79+P79</f>
        <v/>
      </c>
      <c r="R79" s="111">
        <f>IFERROR(A79/M79,0)</f>
        <v/>
      </c>
      <c r="S79" s="111">
        <f>IFERROR(B79/N79,0)</f>
        <v/>
      </c>
      <c r="T79" s="111">
        <f>IFERROR(C79/M79,0)</f>
        <v/>
      </c>
      <c r="U79" s="111">
        <f>IFERROR(D79/N79,0)</f>
        <v/>
      </c>
      <c r="W79" s="111">
        <f>IFERROR(E79/N79,0)</f>
        <v/>
      </c>
      <c r="X79" s="125">
        <f>N79-(O79+Y79+Z79)</f>
        <v/>
      </c>
      <c r="Y79" s="104" t="n">
        <v>26880</v>
      </c>
      <c r="Z79" s="104" t="n">
        <v>0</v>
      </c>
      <c r="AA79" s="104" t="n"/>
      <c r="AB79" s="112" t="n"/>
    </row>
    <row r="80" ht="12.65" customHeight="1" s="79">
      <c r="A80" s="104">
        <f>MIN(O80,M80)</f>
        <v/>
      </c>
      <c r="B80" s="104">
        <f>MIN(O80,N80)</f>
        <v/>
      </c>
      <c r="C80" s="104">
        <f>MIN(Q80,M80)</f>
        <v/>
      </c>
      <c r="D80" s="104">
        <f>MIN(Q80,N80)</f>
        <v/>
      </c>
      <c r="E80" s="104">
        <f>MIN((O80+Y80+Z80),N80)</f>
        <v/>
      </c>
      <c r="F80" s="105" t="inlineStr">
        <is>
          <t>MAHIMA VOHRA</t>
        </is>
      </c>
      <c r="G80" s="106" t="inlineStr">
        <is>
          <t>NON FOOD</t>
        </is>
      </c>
      <c r="H80" s="107" t="inlineStr">
        <is>
          <t>NF_BEAUTY CARE</t>
        </is>
      </c>
      <c r="I80" s="107" t="inlineStr">
        <is>
          <t>NF_B_LOTION</t>
        </is>
      </c>
      <c r="J80" s="107" t="inlineStr">
        <is>
          <t>JOY LOTION 499-[LSB02]</t>
        </is>
      </c>
      <c r="K80" s="107" t="inlineStr">
        <is>
          <t>ACTIVE</t>
        </is>
      </c>
      <c r="L80" s="109" t="n">
        <v>4</v>
      </c>
      <c r="M80" s="110" t="n">
        <v>15760</v>
      </c>
      <c r="N80" s="110" t="n">
        <v>26865.0717683009</v>
      </c>
      <c r="O80" s="104" t="n">
        <v>22680</v>
      </c>
      <c r="P80" s="104" t="n">
        <v>0</v>
      </c>
      <c r="Q80" s="104">
        <f>$O80+P80</f>
        <v/>
      </c>
      <c r="R80" s="111">
        <f>IFERROR(A80/M80,0)</f>
        <v/>
      </c>
      <c r="S80" s="111">
        <f>IFERROR(B80/N80,0)</f>
        <v/>
      </c>
      <c r="T80" s="111">
        <f>IFERROR(C80/M80,0)</f>
        <v/>
      </c>
      <c r="U80" s="111">
        <f>IFERROR(D80/N80,0)</f>
        <v/>
      </c>
      <c r="W80" s="111">
        <f>IFERROR(E80/N80,0)</f>
        <v/>
      </c>
      <c r="X80" s="125">
        <f>N80-(O80+Y80+Z80)</f>
        <v/>
      </c>
      <c r="Y80" s="104" t="n">
        <v>86520</v>
      </c>
      <c r="Z80" s="104" t="n">
        <v>0</v>
      </c>
      <c r="AA80" s="104" t="n"/>
      <c r="AB80" s="104" t="n"/>
    </row>
    <row r="81" ht="12.65" customHeight="1" s="79">
      <c r="A81" s="104">
        <f>MIN(O81,M81)</f>
        <v/>
      </c>
      <c r="B81" s="104">
        <f>MIN(O81,N81)</f>
        <v/>
      </c>
      <c r="C81" s="104">
        <f>MIN(Q81,M81)</f>
        <v/>
      </c>
      <c r="D81" s="104">
        <f>MIN(Q81,N81)</f>
        <v/>
      </c>
      <c r="E81" s="104">
        <f>MIN((O81+Y81+Z81),N81)</f>
        <v/>
      </c>
      <c r="F81" s="105" t="inlineStr">
        <is>
          <t>MAHIMA VOHRA</t>
        </is>
      </c>
      <c r="G81" s="106" t="inlineStr">
        <is>
          <t>NON FOOD</t>
        </is>
      </c>
      <c r="H81" s="107" t="inlineStr">
        <is>
          <t>NF_BEAUTY CARE</t>
        </is>
      </c>
      <c r="I81" s="107" t="inlineStr">
        <is>
          <t>NF_B_LOTION</t>
        </is>
      </c>
      <c r="J81" s="107" t="inlineStr">
        <is>
          <t>LOTION 99-[LSB02]</t>
        </is>
      </c>
      <c r="K81" s="107" t="inlineStr">
        <is>
          <t>ACTIVE</t>
        </is>
      </c>
      <c r="L81" s="109" t="n">
        <v>4</v>
      </c>
      <c r="M81" s="110" t="n">
        <v>12562</v>
      </c>
      <c r="N81" s="110" t="n">
        <v>21425.1896617389</v>
      </c>
      <c r="O81" s="104" t="n">
        <v>0</v>
      </c>
      <c r="P81" s="104" t="n">
        <v>4800</v>
      </c>
      <c r="Q81" s="104">
        <f>$O81+P81</f>
        <v/>
      </c>
      <c r="R81" s="111">
        <f>IFERROR(A81/M81,0)</f>
        <v/>
      </c>
      <c r="S81" s="111">
        <f>IFERROR(B81/N81,0)</f>
        <v/>
      </c>
      <c r="T81" s="111">
        <f>IFERROR(C81/M81,0)</f>
        <v/>
      </c>
      <c r="U81" s="111">
        <f>IFERROR(D81/N81,0)</f>
        <v/>
      </c>
      <c r="W81" s="111">
        <f>IFERROR(E81/N81,0)</f>
        <v/>
      </c>
      <c r="X81" s="125">
        <f>N81-(O81+Y81+Z81)</f>
        <v/>
      </c>
      <c r="Y81" s="104" t="n">
        <v>34800</v>
      </c>
      <c r="Z81" s="104" t="n">
        <v>0</v>
      </c>
      <c r="AA81" s="104" t="n"/>
      <c r="AB81" s="112" t="n"/>
    </row>
    <row r="82" ht="12.65" customHeight="1" s="79">
      <c r="A82" s="123">
        <f>SUBTOTAL(9,A5:A81)</f>
        <v/>
      </c>
      <c r="B82" s="123">
        <f>SUBTOTAL(9,B5:B81)</f>
        <v/>
      </c>
      <c r="C82" s="123">
        <f>SUBTOTAL(9,C5:C81)</f>
        <v/>
      </c>
      <c r="D82" s="123">
        <f>SUBTOTAL(9,D5:D81)</f>
        <v/>
      </c>
      <c r="E82" s="123">
        <f>SUBTOTAL(9,E5:E81)</f>
        <v/>
      </c>
      <c r="F82" s="90" t="n"/>
      <c r="G82" s="91" t="n"/>
      <c r="H82" s="92" t="n"/>
      <c r="I82" s="92" t="n"/>
      <c r="J82" s="92" t="n"/>
      <c r="K82" s="92" t="n"/>
      <c r="L82" s="90" t="n"/>
      <c r="M82" s="123">
        <f>SUBTOTAL(9,M5:M81)</f>
        <v/>
      </c>
      <c r="N82" s="123">
        <f>SUBTOTAL(9,N5:N81)</f>
        <v/>
      </c>
      <c r="O82" s="123">
        <f>SUBTOTAL(9,O5:O81)</f>
        <v/>
      </c>
      <c r="P82" s="123">
        <f>SUBTOTAL(9,P5:P81)</f>
        <v/>
      </c>
      <c r="Q82" s="123">
        <f>SUBTOTAL(9,Q5:Q81)</f>
        <v/>
      </c>
      <c r="R82" s="111">
        <f>IFERROR(A82/M82,0)</f>
        <v/>
      </c>
      <c r="S82" s="111">
        <f>IFERROR(B82/N82,0)</f>
        <v/>
      </c>
      <c r="T82" s="111">
        <f>IFERROR(C82/M82,0)</f>
        <v/>
      </c>
      <c r="U82" s="111">
        <f>IFERROR(D82/N82,0)</f>
        <v/>
      </c>
      <c r="W82" s="118">
        <f>IFERROR(E82/N82,0)</f>
        <v/>
      </c>
      <c r="X82" s="123">
        <f>N82-(O82+Y82+Z82)</f>
        <v/>
      </c>
      <c r="Y82" s="123">
        <f>SUBTOTAL(9,Y5:Y81)</f>
        <v/>
      </c>
      <c r="Z82" s="123">
        <f>SUBTOTAL(9,Z5:Z81)</f>
        <v/>
      </c>
      <c r="AA82" s="124" t="n"/>
      <c r="AB82" s="124" t="n"/>
    </row>
  </sheetData>
  <autoFilter ref="A4:AB81"/>
  <mergeCells count="3">
    <mergeCell ref="R1:S1"/>
    <mergeCell ref="T1:U1"/>
    <mergeCell ref="W1:X1"/>
  </mergeCells>
  <conditionalFormatting sqref="X5:X81">
    <cfRule type="cellIs" rank="0" priority="2" equalAverage="0" operator="greaterThan" aboveAverage="0" dxfId="16" text="" percent="0" bottom="0">
      <formula>0</formula>
    </cfRule>
    <cfRule type="cellIs" rank="0" priority="3" equalAverage="0" operator="lessThan" aboveAverage="0" dxfId="10" text="" percent="0" bottom="0">
      <formula>0</formula>
    </cfRule>
  </conditionalFormatting>
  <conditionalFormatting sqref="R5:U82 W5:W82">
    <cfRule type="cellIs" rank="0" priority="4" equalAverage="0" operator="greaterThan" aboveAverage="0" dxfId="45" text="" percent="0" bottom="0">
      <formula>1</formula>
    </cfRule>
    <cfRule type="cellIs" rank="0" priority="5" equalAverage="0" operator="lessThan" aboveAverage="0" dxfId="10" text="" percent="0" bottom="0">
      <formula>0.8</formula>
    </cfRule>
    <cfRule type="cellIs" rank="0" priority="6" equalAverage="0" operator="greaterThan" aboveAverage="0" dxfId="16" text="" percent="0" bottom="0">
      <formula>0.8</formula>
    </cfRule>
  </conditionalFormatting>
  <conditionalFormatting sqref="J5:J81">
    <cfRule type="duplicateValues" rank="0" priority="7" equalAverage="0" aboveAverage="0" dxfId="1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H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19921875" defaultRowHeight="11.95" customHeight="1" zeroHeight="0" outlineLevelRow="0"/>
  <cols>
    <col width="10.2" customWidth="1" style="77" min="1" max="1"/>
    <col width="8" customWidth="1" style="77" min="2" max="2"/>
    <col width="9.199999999999999" customWidth="1" style="77" min="3" max="3"/>
    <col width="9.699999999999999" customWidth="1" style="77" min="4" max="4"/>
    <col width="7.3" customWidth="1" style="77" min="5" max="5"/>
    <col width="7" customWidth="1" style="77" min="6" max="6"/>
    <col width="11" customWidth="1" style="77" min="7" max="7"/>
    <col width="11.5" customWidth="1" style="77" min="8" max="8"/>
    <col width="10.2" customWidth="1" style="77" min="9" max="9"/>
    <col width="5.3" customWidth="1" style="77" min="10" max="10"/>
    <col width="5.2" customWidth="1" style="77" min="11" max="15"/>
    <col width="9.51" customWidth="1" style="77" min="16" max="16"/>
    <col width="5.51" customWidth="1" style="77" min="17" max="21"/>
    <col width="6.51" customWidth="1" style="77" min="22" max="22"/>
    <col width="10" customWidth="1" style="77" min="23" max="23"/>
    <col width="4.7" customWidth="1" style="77" min="24" max="24"/>
    <col width="7.2" customWidth="1" style="77" min="25" max="25"/>
    <col width="7.79" customWidth="1" style="77" min="26" max="26"/>
    <col width="8.199999999999999" customWidth="1" style="77" min="27" max="27"/>
    <col width="8.699999999999999" customWidth="1" style="77" min="28" max="28"/>
    <col width="10.3" customWidth="1" style="126" min="29" max="29"/>
    <col width="12.2" customWidth="1" style="77" min="30" max="30"/>
    <col width="14.51" customWidth="1" style="126" min="31" max="31"/>
    <col width="7.2" customWidth="1" style="77" min="32" max="32"/>
    <col width="7.5" customWidth="1" style="77" min="33" max="33"/>
    <col width="9.51" customWidth="1" style="77" min="34" max="34"/>
    <col width="9.199999999999999" customWidth="1" style="77" min="35" max="16384"/>
  </cols>
  <sheetData>
    <row r="1" ht="11.95" customHeight="1" s="79">
      <c r="A1" s="127" t="inlineStr">
        <is>
          <t>ENTRY DATE</t>
        </is>
      </c>
      <c r="B1" s="127" t="inlineStr">
        <is>
          <t>ENTRY NO</t>
        </is>
      </c>
      <c r="C1" s="127" t="inlineStr">
        <is>
          <t>ENTRY SITE</t>
        </is>
      </c>
      <c r="D1" s="127" t="inlineStr">
        <is>
          <t>ENTRY TYPE</t>
        </is>
      </c>
      <c r="E1" s="127" t="inlineStr">
        <is>
          <t>DIVISION</t>
        </is>
      </c>
      <c r="F1" s="127" t="inlineStr">
        <is>
          <t>SECTION</t>
        </is>
      </c>
      <c r="G1" s="127" t="inlineStr">
        <is>
          <t>DEPARTMENT</t>
        </is>
      </c>
      <c r="H1" s="127" t="inlineStr">
        <is>
          <t>ARTICLE NAME</t>
        </is>
      </c>
      <c r="I1" s="127" t="inlineStr">
        <is>
          <t>ATTRIBUTE1</t>
        </is>
      </c>
      <c r="J1" s="127" t="inlineStr">
        <is>
          <t>CAT-1</t>
        </is>
      </c>
      <c r="K1" s="127" t="inlineStr">
        <is>
          <t>CAT-2</t>
        </is>
      </c>
      <c r="L1" s="127" t="inlineStr">
        <is>
          <t>CAT-3</t>
        </is>
      </c>
      <c r="M1" s="127" t="inlineStr">
        <is>
          <t>CAT-4</t>
        </is>
      </c>
      <c r="N1" s="127" t="inlineStr">
        <is>
          <t>CAT-5</t>
        </is>
      </c>
      <c r="O1" s="127" t="inlineStr">
        <is>
          <t>CAT-6</t>
        </is>
      </c>
      <c r="P1" s="127" t="inlineStr">
        <is>
          <t>DESC1</t>
        </is>
      </c>
      <c r="Q1" s="127" t="inlineStr">
        <is>
          <t>DESC2</t>
        </is>
      </c>
      <c r="R1" s="127" t="inlineStr">
        <is>
          <t>DESC3</t>
        </is>
      </c>
      <c r="S1" s="127" t="inlineStr">
        <is>
          <t>DESC4</t>
        </is>
      </c>
      <c r="T1" s="127" t="inlineStr">
        <is>
          <t>DESC5</t>
        </is>
      </c>
      <c r="U1" s="127" t="inlineStr">
        <is>
          <t>DESC6</t>
        </is>
      </c>
      <c r="V1" s="127" t="inlineStr">
        <is>
          <t>SEASON</t>
        </is>
      </c>
      <c r="W1" s="127" t="inlineStr">
        <is>
          <t>ENTRY RATE</t>
        </is>
      </c>
      <c r="X1" s="127" t="inlineStr">
        <is>
          <t>MRP</t>
        </is>
      </c>
      <c r="Y1" s="127" t="inlineStr">
        <is>
          <t>REF_BAR</t>
        </is>
      </c>
      <c r="Z1" s="127" t="inlineStr">
        <is>
          <t>BARCODE</t>
        </is>
      </c>
      <c r="AA1" s="127" t="inlineStr">
        <is>
          <t>ORDER NO</t>
        </is>
      </c>
      <c r="AB1" s="127" t="inlineStr">
        <is>
          <t>BILL NO</t>
        </is>
      </c>
      <c r="AC1" s="128" t="inlineStr">
        <is>
          <t>ORDER DATE</t>
        </is>
      </c>
      <c r="AD1" s="127" t="inlineStr">
        <is>
          <t>GATE ENTRY NO</t>
        </is>
      </c>
      <c r="AE1" s="128" t="inlineStr">
        <is>
          <t>GATE ENTRY DATE</t>
        </is>
      </c>
      <c r="AF1" s="127" t="inlineStr">
        <is>
          <t>GRC QTY</t>
        </is>
      </c>
      <c r="AG1" s="127" t="inlineStr">
        <is>
          <t>GRC AMT</t>
        </is>
      </c>
      <c r="AH1" s="127" t="inlineStr">
        <is>
          <t>GRC MONTH</t>
        </is>
      </c>
    </row>
    <row r="2" ht="11.95" customHeight="1" s="79"/>
    <row r="3" ht="11.95" customHeight="1" s="79"/>
    <row r="4" ht="11.95" customHeight="1" s="79"/>
    <row r="5" ht="11.95" customHeight="1" s="79"/>
    <row r="6" ht="11.95" customHeight="1" s="79"/>
    <row r="7" ht="11.95" customHeight="1" s="79"/>
    <row r="8" ht="11.95" customHeight="1" s="79"/>
    <row r="9" ht="11.95" customHeight="1" s="79"/>
    <row r="10" ht="11.95" customHeight="1" s="79"/>
    <row r="11" ht="11.95" customHeight="1" s="79"/>
    <row r="12" ht="11.95" customHeight="1" s="79"/>
    <row r="13" ht="11.95" customHeight="1" s="79"/>
    <row r="14" ht="11.95" customHeight="1" s="79"/>
    <row r="15" ht="11.95" customHeight="1" s="79"/>
    <row r="16" ht="11.95" customHeight="1" s="79"/>
    <row r="17" ht="11.95" customHeight="1" s="79"/>
    <row r="18" ht="11.95" customHeight="1" s="79"/>
    <row r="19" ht="11.95" customHeight="1" s="79"/>
    <row r="20" ht="11.95" customHeight="1" s="79"/>
    <row r="21" ht="11.95" customHeight="1" s="79"/>
    <row r="22" ht="11.95" customHeight="1" s="79"/>
    <row r="23" ht="11.95" customHeight="1" s="79"/>
    <row r="24" ht="11.95" customHeight="1" s="79"/>
    <row r="25" ht="11.95" customHeight="1" s="79"/>
    <row r="26" ht="11.95" customHeight="1" s="79"/>
    <row r="27" ht="11.95" customHeight="1" s="79"/>
    <row r="28" ht="11.95" customHeight="1" s="79"/>
    <row r="29" ht="11.95" customHeight="1" s="79"/>
    <row r="30" ht="11.95" customHeight="1" s="79"/>
    <row r="31" ht="11.95" customHeight="1" s="79"/>
    <row r="32" ht="11.95" customHeight="1" s="79"/>
    <row r="33" ht="11.95" customHeight="1" s="79"/>
    <row r="34" ht="11.95" customHeight="1" s="79"/>
    <row r="35" ht="11.95" customHeight="1" s="79"/>
    <row r="36" ht="11.95" customHeight="1" s="79"/>
    <row r="37" ht="11.95" customHeight="1" s="79"/>
    <row r="38" ht="11.95" customHeight="1" s="79"/>
    <row r="39" ht="11.95" customHeight="1" s="79"/>
    <row r="40" ht="11.95" customHeight="1" s="79"/>
    <row r="41" ht="11.95" customHeight="1" s="79"/>
    <row r="42" ht="11.95" customHeight="1" s="79"/>
    <row r="43" ht="11.95" customHeight="1" s="79"/>
    <row r="44" ht="11.95" customHeight="1" s="79"/>
    <row r="45" ht="11.95" customHeight="1" s="79"/>
    <row r="46" ht="11.95" customHeight="1" s="79"/>
    <row r="47" ht="11.95" customHeight="1" s="79"/>
    <row r="48" ht="11.95" customHeight="1" s="79"/>
    <row r="49" ht="11.95" customHeight="1" s="79"/>
    <row r="50" ht="11.95" customHeight="1" s="79"/>
    <row r="51" ht="11.95" customHeight="1" s="79"/>
    <row r="52" ht="11.95" customHeight="1" s="79"/>
    <row r="53" ht="11.95" customHeight="1" s="79"/>
    <row r="54" ht="11.95" customHeight="1" s="79"/>
    <row r="55" ht="11.95" customHeight="1" s="79"/>
    <row r="56" ht="11.95" customHeight="1" s="79"/>
    <row r="57" ht="11.95" customHeight="1" s="79"/>
    <row r="58" ht="11.95" customHeight="1" s="79"/>
    <row r="59" ht="11.95" customHeight="1" s="79"/>
    <row r="60" ht="11.95" customHeight="1" s="79"/>
    <row r="61" ht="11.95" customHeight="1" s="79"/>
    <row r="62" ht="11.95" customHeight="1" s="79"/>
    <row r="63" ht="11.95" customHeight="1" s="79"/>
    <row r="64" ht="11.95" customHeight="1" s="79"/>
    <row r="65" ht="11.95" customHeight="1" s="79"/>
    <row r="66" ht="11.95" customHeight="1" s="79"/>
    <row r="67" ht="11.95" customHeight="1" s="79"/>
    <row r="68" ht="11.95" customHeight="1" s="79"/>
    <row r="69" ht="11.95" customHeight="1" s="79"/>
    <row r="70" ht="11.95" customHeight="1" s="79"/>
    <row r="71" ht="11.95" customHeight="1" s="79"/>
    <row r="72" ht="11.95" customHeight="1" s="79"/>
    <row r="73" ht="11.95" customHeight="1" s="79"/>
    <row r="74" ht="11.95" customHeight="1" s="79"/>
    <row r="75" ht="11.95" customHeight="1" s="79"/>
    <row r="76" ht="11.95" customHeight="1" s="79"/>
    <row r="77" ht="11.95" customHeight="1" s="79"/>
    <row r="78" ht="11.95" customHeight="1" s="79"/>
    <row r="79" ht="11.95" customHeight="1" s="79"/>
    <row r="80" ht="11.95" customHeight="1" s="79"/>
    <row r="81" ht="11.95" customHeight="1" s="79"/>
    <row r="82" ht="11.95" customHeight="1" s="79"/>
    <row r="83" ht="11.95" customHeight="1" s="79"/>
    <row r="84" ht="11.95" customHeight="1" s="79"/>
    <row r="85" ht="11.95" customHeight="1" s="79"/>
    <row r="86" ht="11.95" customHeight="1" s="79"/>
    <row r="87" ht="11.95" customHeight="1" s="79"/>
    <row r="88" ht="11.95" customHeight="1" s="79"/>
    <row r="89" ht="11.95" customHeight="1" s="79"/>
    <row r="90" ht="11.95" customHeight="1" s="79"/>
    <row r="91" ht="11.95" customHeight="1" s="79"/>
    <row r="92" ht="11.95" customHeight="1" s="79"/>
    <row r="93" ht="11.95" customHeight="1" s="79"/>
    <row r="94" ht="11.95" customHeight="1" s="79"/>
    <row r="95" ht="11.95" customHeight="1" s="79"/>
    <row r="96" ht="11.95" customHeight="1" s="79"/>
    <row r="97" ht="11.95" customHeight="1" s="79"/>
    <row r="98" ht="11.95" customHeight="1" s="79"/>
    <row r="99" ht="11.95" customHeight="1" s="79"/>
    <row r="100" ht="11.95" customHeight="1" s="79"/>
    <row r="101" ht="11.95" customHeight="1" s="79"/>
    <row r="102" ht="11.95" customHeight="1" s="79"/>
    <row r="103" ht="11.95" customHeight="1" s="79"/>
    <row r="104" ht="11.95" customHeight="1" s="79"/>
    <row r="105" ht="11.95" customHeight="1" s="79"/>
    <row r="106" ht="11.95" customHeight="1" s="79"/>
    <row r="107" ht="11.95" customHeight="1" s="79"/>
    <row r="108" ht="11.95" customHeight="1" s="79"/>
    <row r="109" ht="11.95" customHeight="1" s="79"/>
    <row r="110" ht="11.95" customHeight="1" s="79"/>
    <row r="111" ht="11.95" customHeight="1" s="79"/>
    <row r="112" ht="11.95" customHeight="1" s="79"/>
    <row r="113" ht="11.95" customHeight="1" s="79"/>
    <row r="114" ht="11.95" customHeight="1" s="79"/>
    <row r="115" ht="11.95" customHeight="1" s="79"/>
    <row r="116" ht="11.95" customHeight="1" s="79"/>
    <row r="117" ht="11.95" customHeight="1" s="79"/>
    <row r="118" ht="11.95" customHeight="1" s="79"/>
    <row r="119" ht="11.95" customHeight="1" s="79"/>
    <row r="120" ht="11.95" customHeight="1" s="79"/>
    <row r="121" ht="11.95" customHeight="1" s="79"/>
    <row r="122" ht="11.95" customHeight="1" s="79"/>
    <row r="123" ht="11.95" customHeight="1" s="79"/>
    <row r="124" ht="11.95" customHeight="1" s="79"/>
    <row r="125" ht="11.95" customHeight="1" s="79"/>
    <row r="126" ht="11.95" customHeight="1" s="79"/>
    <row r="127" ht="11.95" customHeight="1" s="79"/>
    <row r="128" ht="11.95" customHeight="1" s="79"/>
    <row r="129" ht="11.95" customHeight="1" s="79"/>
    <row r="130" ht="11.95" customHeight="1" s="79"/>
    <row r="131" ht="11.95" customHeight="1" s="79"/>
    <row r="132" ht="11.95" customHeight="1" s="79"/>
    <row r="133" ht="11.95" customHeight="1" s="79"/>
    <row r="134" ht="11.95" customHeight="1" s="79"/>
    <row r="135" ht="11.95" customHeight="1" s="79"/>
    <row r="136" ht="11.95" customHeight="1" s="79"/>
    <row r="137" ht="11.95" customHeight="1" s="79"/>
    <row r="138" ht="11.95" customHeight="1" s="79"/>
    <row r="139" ht="11.95" customHeight="1" s="79"/>
    <row r="140" ht="11.95" customHeight="1" s="79"/>
    <row r="141" ht="11.95" customHeight="1" s="79"/>
    <row r="142" ht="11.95" customHeight="1" s="79"/>
    <row r="143" ht="11.95" customHeight="1" s="79"/>
    <row r="144" ht="11.95" customHeight="1" s="79"/>
    <row r="145" ht="11.95" customHeight="1" s="79"/>
    <row r="146" ht="11.95" customHeight="1" s="79"/>
    <row r="147" ht="11.95" customHeight="1" s="79"/>
    <row r="148" ht="11.95" customHeight="1" s="79"/>
    <row r="149" ht="11.95" customHeight="1" s="79"/>
    <row r="150" ht="11.95" customHeight="1" s="79"/>
    <row r="151" ht="11.95" customHeight="1" s="79"/>
    <row r="152" ht="11.95" customHeight="1" s="79"/>
    <row r="153" ht="11.95" customHeight="1" s="79"/>
    <row r="154" ht="11.95" customHeight="1" s="79"/>
    <row r="155" ht="11.95" customHeight="1" s="79"/>
    <row r="156" ht="11.95" customHeight="1" s="79"/>
    <row r="157" ht="11.95" customHeight="1" s="79"/>
    <row r="158" ht="11.95" customHeight="1" s="79"/>
    <row r="159" ht="11.95" customHeight="1" s="79"/>
    <row r="160" ht="11.95" customHeight="1" s="79"/>
    <row r="161" ht="11.95" customHeight="1" s="79"/>
    <row r="162" ht="11.95" customHeight="1" s="79"/>
    <row r="163" ht="11.95" customHeight="1" s="79"/>
    <row r="164" ht="11.95" customHeight="1" s="79"/>
    <row r="165" ht="11.95" customHeight="1" s="79"/>
    <row r="166" ht="11.95" customHeight="1" s="79"/>
    <row r="167" ht="11.95" customHeight="1" s="79"/>
    <row r="168" ht="11.95" customHeight="1" s="79"/>
    <row r="169" ht="11.95" customHeight="1" s="79"/>
    <row r="170" ht="11.95" customHeight="1" s="79"/>
    <row r="171" ht="11.95" customHeight="1" s="79"/>
    <row r="172" ht="11.95" customHeight="1" s="79"/>
    <row r="173" ht="11.95" customHeight="1" s="79"/>
    <row r="174" ht="11.95" customHeight="1" s="79"/>
    <row r="175" ht="11.95" customHeight="1" s="79"/>
    <row r="176" ht="11.95" customHeight="1" s="79"/>
    <row r="177" ht="11.95" customHeight="1" s="79"/>
    <row r="178" ht="11.95" customHeight="1" s="79"/>
    <row r="179" ht="11.95" customHeight="1" s="79"/>
    <row r="180" ht="11.95" customHeight="1" s="79"/>
    <row r="181" ht="11.95" customHeight="1" s="79"/>
    <row r="182" ht="11.95" customHeight="1" s="79"/>
    <row r="183" ht="11.95" customHeight="1" s="79"/>
    <row r="184" ht="11.95" customHeight="1" s="79"/>
    <row r="185" ht="11.95" customHeight="1" s="79"/>
    <row r="186" ht="11.95" customHeight="1" s="79"/>
    <row r="187" ht="11.95" customHeight="1" s="79"/>
    <row r="188" ht="11.95" customHeight="1" s="79"/>
    <row r="189" ht="11.95" customHeight="1" s="79"/>
    <row r="190" ht="11.95" customHeight="1" s="79"/>
    <row r="191" ht="11.95" customHeight="1" s="79"/>
    <row r="192" ht="11.95" customHeight="1" s="79"/>
    <row r="193" ht="11.95" customHeight="1" s="79"/>
    <row r="194" ht="11.95" customHeight="1" s="79"/>
    <row r="195" ht="11.95" customHeight="1" s="79"/>
    <row r="196" ht="11.95" customHeight="1" s="79"/>
    <row r="197" ht="11.95" customHeight="1" s="79"/>
    <row r="198" ht="11.95" customHeight="1" s="79"/>
    <row r="199" ht="11.95" customHeight="1" s="79"/>
    <row r="200" ht="11.95" customHeight="1" s="79"/>
    <row r="201" ht="11.95" customHeight="1" s="79"/>
    <row r="202" ht="11.95" customHeight="1" s="79"/>
    <row r="203" ht="11.95" customHeight="1" s="79"/>
    <row r="204" ht="11.95" customHeight="1" s="79"/>
    <row r="205" ht="11.95" customHeight="1" s="79"/>
    <row r="206" ht="11.95" customHeight="1" s="79"/>
    <row r="207" ht="11.95" customHeight="1" s="79"/>
    <row r="208" ht="11.95" customHeight="1" s="79"/>
    <row r="209" ht="11.95" customHeight="1" s="79"/>
    <row r="210" ht="11.95" customHeight="1" s="79"/>
    <row r="211" ht="11.95" customHeight="1" s="79"/>
    <row r="212" ht="11.95" customHeight="1" s="79"/>
    <row r="213" ht="11.95" customHeight="1" s="79"/>
    <row r="214" ht="11.95" customHeight="1" s="79"/>
    <row r="215" ht="11.95" customHeight="1" s="79"/>
    <row r="216" ht="11.95" customHeight="1" s="79"/>
    <row r="217" ht="11.95" customHeight="1" s="79"/>
    <row r="218" ht="11.95" customHeight="1" s="79"/>
    <row r="219" ht="11.95" customHeight="1" s="79"/>
    <row r="220" ht="11.95" customHeight="1" s="79"/>
    <row r="221" ht="11.95" customHeight="1" s="79"/>
    <row r="222" ht="11.95" customHeight="1" s="79"/>
    <row r="223" ht="11.95" customHeight="1" s="79"/>
    <row r="224" ht="11.95" customHeight="1" s="79"/>
    <row r="225" ht="11.95" customHeight="1" s="79"/>
    <row r="226" ht="11.95" customHeight="1" s="79"/>
    <row r="227" ht="11.95" customHeight="1" s="79"/>
    <row r="228" ht="11.95" customHeight="1" s="79"/>
    <row r="229" ht="11.95" customHeight="1" s="79"/>
    <row r="230" ht="11.95" customHeight="1" s="79"/>
    <row r="231" ht="11.95" customHeight="1" s="79"/>
    <row r="232" ht="11.95" customHeight="1" s="79"/>
    <row r="233" ht="11.95" customHeight="1" s="79"/>
    <row r="234" ht="11.95" customHeight="1" s="79"/>
    <row r="235" ht="11.95" customHeight="1" s="79"/>
    <row r="236" ht="11.95" customHeight="1" s="79"/>
    <row r="237" ht="11.95" customHeight="1" s="79"/>
    <row r="238" ht="11.95" customHeight="1" s="79"/>
    <row r="239" ht="11.95" customHeight="1" s="79"/>
    <row r="240" ht="11.95" customHeight="1" s="79"/>
    <row r="241" ht="11.95" customHeight="1" s="79"/>
    <row r="242" ht="11.95" customHeight="1" s="79"/>
    <row r="243" ht="11.95" customHeight="1" s="79"/>
    <row r="244" ht="11.95" customHeight="1" s="79"/>
    <row r="245" ht="11.95" customHeight="1" s="79"/>
    <row r="246" ht="11.95" customHeight="1" s="79"/>
    <row r="247" ht="11.95" customHeight="1" s="79"/>
    <row r="248" ht="11.95" customHeight="1" s="79"/>
    <row r="249" ht="11.95" customHeight="1" s="79"/>
    <row r="250" ht="11.95" customHeight="1" s="79"/>
    <row r="251" ht="11.95" customHeight="1" s="79"/>
    <row r="252" ht="11.95" customHeight="1" s="79"/>
    <row r="253" ht="11.95" customHeight="1" s="79"/>
    <row r="254" ht="11.95" customHeight="1" s="79"/>
    <row r="255" ht="11.95" customHeight="1" s="79"/>
    <row r="256" ht="11.95" customHeight="1" s="79"/>
    <row r="257" ht="11.95" customHeight="1" s="79"/>
    <row r="258" ht="11.95" customHeight="1" s="79"/>
    <row r="259" ht="11.95" customHeight="1" s="79"/>
    <row r="260" ht="11.95" customHeight="1" s="79"/>
    <row r="261" ht="11.95" customHeight="1" s="79"/>
    <row r="262" ht="11.95" customHeight="1" s="79"/>
    <row r="263" ht="11.95" customHeight="1" s="79"/>
    <row r="264" ht="11.95" customHeight="1" s="79"/>
    <row r="265" ht="11.95" customHeight="1" s="79"/>
    <row r="266" ht="11.95" customHeight="1" s="79"/>
    <row r="267" ht="11.95" customHeight="1" s="79"/>
    <row r="268" ht="11.95" customHeight="1" s="79"/>
    <row r="269" ht="11.95" customHeight="1" s="79"/>
    <row r="270" ht="11.95" customHeight="1" s="79"/>
    <row r="271" ht="11.95" customHeight="1" s="79"/>
    <row r="272" ht="11.95" customHeight="1" s="79"/>
    <row r="273" ht="11.95" customHeight="1" s="79"/>
    <row r="274" ht="11.95" customHeight="1" s="79"/>
    <row r="275" ht="11.95" customHeight="1" s="79"/>
    <row r="276" ht="11.95" customHeight="1" s="79"/>
    <row r="277" ht="11.95" customHeight="1" s="79"/>
    <row r="278" ht="11.95" customHeight="1" s="79"/>
    <row r="279" ht="11.95" customHeight="1" s="79"/>
    <row r="280" ht="11.95" customHeight="1" s="79"/>
    <row r="281" ht="11.95" customHeight="1" s="79"/>
    <row r="282" ht="11.95" customHeight="1" s="79"/>
    <row r="283" ht="11.95" customHeight="1" s="79"/>
    <row r="284" ht="11.95" customHeight="1" s="79"/>
    <row r="285" ht="11.95" customHeight="1" s="79"/>
    <row r="286" ht="11.95" customHeight="1" s="79"/>
    <row r="287" ht="11.95" customHeight="1" s="79"/>
    <row r="288" ht="11.95" customHeight="1" s="79"/>
    <row r="289" ht="11.95" customHeight="1" s="79"/>
    <row r="290" ht="11.95" customHeight="1" s="79"/>
    <row r="291" ht="11.95" customHeight="1" s="79"/>
    <row r="292" ht="11.95" customHeight="1" s="79"/>
    <row r="293" ht="11.95" customHeight="1" s="79"/>
    <row r="294" ht="11.95" customHeight="1" s="79"/>
    <row r="295" ht="11.95" customHeight="1" s="79"/>
    <row r="296" ht="11.95" customHeight="1" s="79"/>
    <row r="297" ht="11.95" customHeight="1" s="79"/>
    <row r="298" ht="11.95" customHeight="1" s="79"/>
    <row r="299" ht="11.95" customHeight="1" s="79"/>
    <row r="300" ht="11.95" customHeight="1" s="79"/>
    <row r="301" ht="11.95" customHeight="1" s="79"/>
    <row r="302" ht="11.95" customHeight="1" s="79"/>
    <row r="303" ht="11.95" customHeight="1" s="79"/>
    <row r="304" ht="11.95" customHeight="1" s="79"/>
    <row r="305" ht="11.95" customHeight="1" s="79"/>
    <row r="306" ht="11.95" customHeight="1" s="79"/>
    <row r="307" ht="11.95" customHeight="1" s="79"/>
    <row r="308" ht="11.95" customHeight="1" s="79"/>
    <row r="309" ht="11.95" customHeight="1" s="79"/>
    <row r="310" ht="11.95" customHeight="1" s="79"/>
    <row r="311" ht="11.95" customHeight="1" s="79"/>
    <row r="312" ht="11.95" customHeight="1" s="79"/>
    <row r="313" ht="11.95" customHeight="1" s="79"/>
    <row r="314" ht="11.95" customHeight="1" s="79"/>
    <row r="315" ht="11.95" customHeight="1" s="79"/>
    <row r="316" ht="11.95" customHeight="1" s="79"/>
    <row r="317" ht="11.95" customHeight="1" s="79"/>
    <row r="318" ht="11.95" customHeight="1" s="79"/>
    <row r="319" ht="11.95" customHeight="1" s="79"/>
    <row r="320" ht="11.95" customHeight="1" s="79"/>
    <row r="321" ht="11.95" customHeight="1" s="79"/>
    <row r="322" ht="11.95" customHeight="1" s="79"/>
    <row r="323" ht="11.95" customHeight="1" s="79"/>
    <row r="324" ht="11.95" customHeight="1" s="79"/>
    <row r="325" ht="11.95" customHeight="1" s="79"/>
    <row r="326" ht="11.95" customHeight="1" s="79"/>
    <row r="327" ht="11.95" customHeight="1" s="79"/>
    <row r="328" ht="11.95" customHeight="1" s="79"/>
    <row r="329" ht="11.95" customHeight="1" s="79"/>
    <row r="330" ht="11.95" customHeight="1" s="79"/>
    <row r="331" ht="11.95" customHeight="1" s="79"/>
    <row r="332" ht="11.95" customHeight="1" s="79"/>
    <row r="333" ht="11.95" customHeight="1" s="79"/>
    <row r="334" ht="11.95" customHeight="1" s="79"/>
    <row r="335" ht="11.95" customHeight="1" s="79"/>
    <row r="336" ht="11.95" customHeight="1" s="79"/>
    <row r="337" ht="11.95" customHeight="1" s="79"/>
    <row r="338" ht="11.95" customHeight="1" s="79"/>
    <row r="339" ht="11.95" customHeight="1" s="79"/>
    <row r="340" ht="11.95" customHeight="1" s="79"/>
    <row r="341" ht="11.95" customHeight="1" s="79"/>
    <row r="342" ht="11.95" customHeight="1" s="79"/>
    <row r="343" ht="11.95" customHeight="1" s="79"/>
    <row r="344" ht="11.95" customHeight="1" s="79"/>
    <row r="345" ht="11.95" customHeight="1" s="79"/>
    <row r="346" ht="11.95" customHeight="1" s="79"/>
    <row r="347" ht="11.95" customHeight="1" s="79"/>
    <row r="348" ht="11.95" customHeight="1" s="79"/>
    <row r="349" ht="11.95" customHeight="1" s="79"/>
    <row r="350" ht="11.95" customHeight="1" s="79"/>
    <row r="351" ht="11.95" customHeight="1" s="79"/>
    <row r="352" ht="11.95" customHeight="1" s="79"/>
    <row r="353" ht="11.95" customHeight="1" s="79"/>
    <row r="354" ht="11.95" customHeight="1" s="79"/>
    <row r="355" ht="11.95" customHeight="1" s="79"/>
    <row r="356" ht="11.95" customHeight="1" s="79"/>
    <row r="357" ht="11.95" customHeight="1" s="79"/>
    <row r="358" ht="11.95" customHeight="1" s="79"/>
    <row r="359" ht="11.95" customHeight="1" s="79"/>
    <row r="360" ht="11.95" customHeight="1" s="79"/>
    <row r="361" ht="11.95" customHeight="1" s="79"/>
    <row r="362" ht="11.95" customHeight="1" s="79"/>
    <row r="363" ht="11.95" customHeight="1" s="79"/>
    <row r="364" ht="11.95" customHeight="1" s="79"/>
    <row r="365" ht="11.95" customHeight="1" s="79"/>
    <row r="366" ht="11.95" customHeight="1" s="79"/>
    <row r="367" ht="11.95" customHeight="1" s="79"/>
    <row r="368" ht="11.95" customHeight="1" s="79"/>
    <row r="369" ht="11.95" customHeight="1" s="79"/>
    <row r="370" ht="11.95" customHeight="1" s="79"/>
    <row r="371" ht="11.95" customHeight="1" s="79"/>
    <row r="372" ht="11.95" customHeight="1" s="79"/>
    <row r="373" ht="11.95" customHeight="1" s="79"/>
    <row r="374" ht="11.95" customHeight="1" s="79"/>
    <row r="375" ht="11.95" customHeight="1" s="79"/>
    <row r="376" ht="11.95" customHeight="1" s="79"/>
    <row r="377" ht="11.95" customHeight="1" s="79"/>
    <row r="378" ht="11.95" customHeight="1" s="79"/>
    <row r="379" ht="11.95" customHeight="1" s="79"/>
    <row r="380" ht="11.95" customHeight="1" s="79"/>
    <row r="381" ht="11.95" customHeight="1" s="79"/>
    <row r="382" ht="11.95" customHeight="1" s="79"/>
    <row r="383" ht="11.95" customHeight="1" s="79"/>
    <row r="384" ht="11.95" customHeight="1" s="79"/>
    <row r="385" ht="11.95" customHeight="1" s="79"/>
    <row r="386" ht="11.95" customHeight="1" s="79"/>
    <row r="387" ht="11.95" customHeight="1" s="79"/>
    <row r="388" ht="11.95" customHeight="1" s="79"/>
    <row r="389" ht="11.95" customHeight="1" s="79"/>
    <row r="390" ht="11.95" customHeight="1" s="79"/>
    <row r="391" ht="11.95" customHeight="1" s="79"/>
    <row r="392" ht="11.95" customHeight="1" s="79"/>
    <row r="393" ht="11.95" customHeight="1" s="79"/>
    <row r="394" ht="11.95" customHeight="1" s="79"/>
    <row r="395" ht="11.95" customHeight="1" s="79"/>
    <row r="396" ht="11.95" customHeight="1" s="79"/>
    <row r="397" ht="11.95" customHeight="1" s="79"/>
    <row r="398" ht="11.95" customHeight="1" s="79"/>
    <row r="399" ht="11.95" customHeight="1" s="79"/>
    <row r="400" ht="11.95" customHeight="1" s="79"/>
    <row r="401" ht="11.95" customHeight="1" s="79"/>
    <row r="402" ht="11.95" customHeight="1" s="79"/>
    <row r="403" ht="11.95" customHeight="1" s="79"/>
    <row r="404" ht="11.95" customHeight="1" s="79"/>
    <row r="405" ht="11.95" customHeight="1" s="79"/>
    <row r="406" ht="11.95" customHeight="1" s="79"/>
    <row r="407" ht="11.95" customHeight="1" s="79"/>
    <row r="408" ht="11.95" customHeight="1" s="79"/>
    <row r="409" ht="11.95" customHeight="1" s="79"/>
    <row r="410" ht="11.95" customHeight="1" s="79"/>
    <row r="411" ht="11.95" customHeight="1" s="79"/>
    <row r="412" ht="11.95" customHeight="1" s="79"/>
    <row r="413" ht="11.95" customHeight="1" s="79"/>
    <row r="414" ht="11.95" customHeight="1" s="79"/>
    <row r="415" ht="11.95" customHeight="1" s="79"/>
    <row r="416" ht="11.95" customHeight="1" s="79"/>
    <row r="417" ht="11.95" customHeight="1" s="79"/>
    <row r="418" ht="11.95" customHeight="1" s="79"/>
    <row r="419" ht="11.95" customHeight="1" s="79"/>
    <row r="420" ht="11.95" customHeight="1" s="79"/>
    <row r="421" ht="11.95" customHeight="1" s="79"/>
    <row r="422" ht="11.95" customHeight="1" s="79"/>
    <row r="423" ht="11.95" customHeight="1" s="79"/>
    <row r="424" ht="11.95" customHeight="1" s="79"/>
    <row r="425" ht="11.95" customHeight="1" s="79"/>
    <row r="426" ht="11.95" customHeight="1" s="79"/>
    <row r="427" ht="11.95" customHeight="1" s="79"/>
    <row r="428" ht="11.95" customHeight="1" s="79"/>
    <row r="429" ht="11.95" customHeight="1" s="79"/>
    <row r="430" ht="11.95" customHeight="1" s="79"/>
    <row r="431" ht="11.95" customHeight="1" s="79"/>
    <row r="432" ht="11.95" customHeight="1" s="79"/>
    <row r="433" ht="11.95" customHeight="1" s="79"/>
    <row r="434" ht="11.95" customHeight="1" s="79"/>
    <row r="435" ht="11.95" customHeight="1" s="79"/>
    <row r="436" ht="11.95" customHeight="1" s="79"/>
    <row r="437" ht="11.95" customHeight="1" s="79"/>
    <row r="438" ht="11.95" customHeight="1" s="79"/>
    <row r="439" ht="11.95" customHeight="1" s="79"/>
    <row r="440" ht="11.95" customHeight="1" s="79"/>
    <row r="441" ht="11.95" customHeight="1" s="79"/>
    <row r="442" ht="11.95" customHeight="1" s="79"/>
    <row r="443" ht="11.95" customHeight="1" s="79"/>
    <row r="444" ht="11.95" customHeight="1" s="79"/>
    <row r="445" ht="11.95" customHeight="1" s="79"/>
    <row r="446" ht="11.95" customHeight="1" s="79"/>
    <row r="447" ht="11.95" customHeight="1" s="79"/>
    <row r="448" ht="11.95" customHeight="1" s="79"/>
    <row r="449" ht="11.95" customHeight="1" s="79"/>
    <row r="450" ht="11.95" customHeight="1" s="79"/>
    <row r="451" ht="11.95" customHeight="1" s="79"/>
    <row r="452" ht="11.95" customHeight="1" s="79"/>
    <row r="453" ht="11.95" customHeight="1" s="79"/>
    <row r="454" ht="11.95" customHeight="1" s="79"/>
    <row r="455" ht="11.95" customHeight="1" s="79"/>
    <row r="456" ht="11.95" customHeight="1" s="79"/>
    <row r="457" ht="11.95" customHeight="1" s="79"/>
    <row r="458" ht="11.95" customHeight="1" s="79"/>
    <row r="459" ht="11.95" customHeight="1" s="79"/>
    <row r="460" ht="11.95" customHeight="1" s="79"/>
    <row r="461" ht="11.95" customHeight="1" s="79"/>
    <row r="462" ht="11.95" customHeight="1" s="79"/>
    <row r="463" ht="11.95" customHeight="1" s="79"/>
    <row r="464" ht="11.95" customHeight="1" s="79"/>
    <row r="465" ht="11.95" customHeight="1" s="79"/>
    <row r="466" ht="11.95" customHeight="1" s="79"/>
    <row r="467" ht="11.95" customHeight="1" s="79"/>
    <row r="468" ht="11.95" customHeight="1" s="79"/>
    <row r="469" ht="11.95" customHeight="1" s="79"/>
    <row r="470" ht="11.95" customHeight="1" s="79"/>
    <row r="471" ht="11.95" customHeight="1" s="79"/>
    <row r="472" ht="11.95" customHeight="1" s="79"/>
    <row r="473" ht="11.95" customHeight="1" s="79"/>
    <row r="474" ht="11.95" customHeight="1" s="79"/>
    <row r="475" ht="11.95" customHeight="1" s="79"/>
    <row r="476" ht="11.95" customHeight="1" s="79"/>
    <row r="477" ht="11.95" customHeight="1" s="79"/>
    <row r="478" ht="11.95" customHeight="1" s="79"/>
    <row r="479" ht="11.95" customHeight="1" s="79"/>
    <row r="480" ht="11.95" customHeight="1" s="79"/>
    <row r="481" ht="11.95" customHeight="1" s="79"/>
    <row r="482" ht="11.95" customHeight="1" s="79"/>
    <row r="483" ht="11.95" customHeight="1" s="79"/>
    <row r="484" ht="11.95" customHeight="1" s="79"/>
    <row r="485" ht="11.95" customHeight="1" s="79"/>
    <row r="486" ht="11.95" customHeight="1" s="79"/>
    <row r="487" ht="11.95" customHeight="1" s="79"/>
    <row r="488" ht="11.95" customHeight="1" s="79"/>
    <row r="489" ht="11.95" customHeight="1" s="79"/>
    <row r="490" ht="11.95" customHeight="1" s="79"/>
    <row r="491" ht="11.95" customHeight="1" s="79"/>
    <row r="492" ht="11.95" customHeight="1" s="79"/>
    <row r="493" ht="11.95" customHeight="1" s="79"/>
    <row r="494" ht="11.95" customHeight="1" s="79"/>
    <row r="495" ht="11.95" customHeight="1" s="79"/>
    <row r="496" ht="11.95" customHeight="1" s="79"/>
    <row r="497" ht="11.95" customHeight="1" s="79"/>
    <row r="498" ht="11.95" customHeight="1" s="79"/>
    <row r="499" ht="11.95" customHeight="1" s="79"/>
    <row r="500" ht="11.95" customHeight="1" s="79"/>
    <row r="501" ht="11.95" customHeight="1" s="79"/>
    <row r="502" ht="11.95" customHeight="1" s="79"/>
    <row r="503" ht="11.95" customHeight="1" s="79"/>
    <row r="504" ht="11.95" customHeight="1" s="79"/>
    <row r="505" ht="11.95" customHeight="1" s="79"/>
    <row r="506" ht="11.95" customHeight="1" s="79"/>
    <row r="507" ht="11.95" customHeight="1" s="79"/>
    <row r="508" ht="11.95" customHeight="1" s="79"/>
    <row r="509" ht="11.95" customHeight="1" s="79"/>
    <row r="510" ht="11.95" customHeight="1" s="79"/>
    <row r="511" ht="11.95" customHeight="1" s="79"/>
    <row r="512" ht="11.95" customHeight="1" s="79"/>
    <row r="513" ht="11.95" customHeight="1" s="79"/>
    <row r="514" ht="11.95" customHeight="1" s="79"/>
    <row r="515" ht="11.95" customHeight="1" s="79"/>
    <row r="516" ht="11.95" customHeight="1" s="79"/>
    <row r="517" ht="11.95" customHeight="1" s="79"/>
    <row r="518" ht="11.95" customHeight="1" s="79"/>
    <row r="519" ht="11.95" customHeight="1" s="79"/>
    <row r="520" ht="11.95" customHeight="1" s="79"/>
    <row r="521" ht="11.95" customHeight="1" s="79"/>
    <row r="522" ht="11.95" customHeight="1" s="79"/>
    <row r="523" ht="11.95" customHeight="1" s="79"/>
    <row r="524" ht="11.95" customHeight="1" s="79"/>
    <row r="525" ht="11.95" customHeight="1" s="79"/>
    <row r="526" ht="11.95" customHeight="1" s="79"/>
    <row r="527" ht="11.95" customHeight="1" s="79"/>
    <row r="528" ht="11.95" customHeight="1" s="79"/>
    <row r="529" ht="11.95" customHeight="1" s="79"/>
    <row r="530" ht="11.95" customHeight="1" s="79"/>
    <row r="531" ht="11.95" customHeight="1" s="79"/>
    <row r="532" ht="11.95" customHeight="1" s="79"/>
    <row r="533" ht="11.95" customHeight="1" s="79"/>
    <row r="534" ht="11.95" customHeight="1" s="79"/>
    <row r="535" ht="11.95" customHeight="1" s="79"/>
    <row r="536" ht="11.95" customHeight="1" s="79"/>
    <row r="537" ht="11.95" customHeight="1" s="79"/>
    <row r="538" ht="11.95" customHeight="1" s="79"/>
    <row r="539" ht="11.95" customHeight="1" s="79"/>
    <row r="540" ht="11.95" customHeight="1" s="79"/>
    <row r="541" ht="11.95" customHeight="1" s="79"/>
    <row r="542" ht="11.95" customHeight="1" s="79"/>
    <row r="543" ht="11.95" customHeight="1" s="79"/>
    <row r="544" ht="11.95" customHeight="1" s="79"/>
    <row r="545" ht="11.95" customHeight="1" s="79"/>
    <row r="546" ht="11.95" customHeight="1" s="79"/>
    <row r="547" ht="11.95" customHeight="1" s="79"/>
    <row r="548" ht="11.95" customHeight="1" s="79"/>
    <row r="549" ht="11.95" customHeight="1" s="79"/>
    <row r="550" ht="11.95" customHeight="1" s="79"/>
    <row r="551" ht="11.95" customHeight="1" s="79"/>
    <row r="552" ht="11.95" customHeight="1" s="79"/>
    <row r="553" ht="11.95" customHeight="1" s="79"/>
    <row r="554" ht="11.95" customHeight="1" s="79"/>
    <row r="555" ht="11.95" customHeight="1" s="79"/>
    <row r="556" ht="11.95" customHeight="1" s="79"/>
    <row r="557" ht="11.95" customHeight="1" s="79"/>
    <row r="558" ht="11.95" customHeight="1" s="79"/>
    <row r="559" ht="11.95" customHeight="1" s="79"/>
    <row r="560" ht="11.95" customHeight="1" s="79"/>
    <row r="561" ht="11.95" customHeight="1" s="79"/>
    <row r="562" ht="11.95" customHeight="1" s="79"/>
    <row r="563" ht="11.95" customHeight="1" s="79"/>
    <row r="564" ht="11.95" customHeight="1" s="79"/>
    <row r="565" ht="11.95" customHeight="1" s="79"/>
    <row r="566" ht="11.95" customHeight="1" s="79"/>
    <row r="567" ht="11.95" customHeight="1" s="79"/>
    <row r="568" ht="11.95" customHeight="1" s="79"/>
    <row r="569" ht="11.95" customHeight="1" s="79"/>
    <row r="570" ht="11.95" customHeight="1" s="79"/>
    <row r="571" ht="11.95" customHeight="1" s="79"/>
    <row r="572" ht="11.95" customHeight="1" s="79"/>
    <row r="573" ht="11.95" customHeight="1" s="79"/>
    <row r="574" ht="11.95" customHeight="1" s="79"/>
    <row r="575" ht="11.95" customHeight="1" s="79"/>
    <row r="576" ht="11.95" customHeight="1" s="79"/>
    <row r="577" ht="11.95" customHeight="1" s="79"/>
    <row r="578" ht="11.95" customHeight="1" s="79"/>
    <row r="579" ht="11.95" customHeight="1" s="79"/>
    <row r="580" ht="11.95" customHeight="1" s="79"/>
    <row r="581" ht="11.95" customHeight="1" s="79"/>
    <row r="582" ht="11.95" customHeight="1" s="79"/>
    <row r="583" ht="11.95" customHeight="1" s="79"/>
    <row r="584" ht="11.95" customHeight="1" s="79"/>
    <row r="585" ht="11.95" customHeight="1" s="79"/>
    <row r="586" ht="11.95" customHeight="1" s="79"/>
    <row r="587" ht="11.95" customHeight="1" s="79"/>
    <row r="588" ht="11.95" customHeight="1" s="79"/>
    <row r="589" ht="11.95" customHeight="1" s="79"/>
    <row r="590" ht="11.95" customHeight="1" s="79"/>
    <row r="591" ht="11.95" customHeight="1" s="79"/>
    <row r="592" ht="11.95" customHeight="1" s="79"/>
    <row r="593" ht="11.95" customHeight="1" s="79"/>
    <row r="594" ht="11.95" customHeight="1" s="79"/>
    <row r="595" ht="11.95" customHeight="1" s="79"/>
    <row r="596" ht="11.95" customHeight="1" s="79"/>
    <row r="597" ht="11.95" customHeight="1" s="79"/>
    <row r="598" ht="11.95" customHeight="1" s="79"/>
    <row r="599" ht="11.95" customHeight="1" s="79"/>
    <row r="600" ht="11.95" customHeight="1" s="79"/>
    <row r="601" ht="11.95" customHeight="1" s="79"/>
    <row r="602" ht="11.95" customHeight="1" s="79"/>
    <row r="603" ht="11.95" customHeight="1" s="79"/>
    <row r="604" ht="11.95" customHeight="1" s="79"/>
    <row r="605" ht="11.95" customHeight="1" s="79"/>
    <row r="606" ht="11.95" customHeight="1" s="79"/>
    <row r="607" ht="11.95" customHeight="1" s="79"/>
    <row r="608" ht="11.95" customHeight="1" s="79"/>
    <row r="609" ht="11.95" customHeight="1" s="79"/>
    <row r="610" ht="11.95" customHeight="1" s="79"/>
    <row r="611" ht="11.95" customHeight="1" s="79"/>
    <row r="612" ht="11.95" customHeight="1" s="79"/>
    <row r="613" ht="11.95" customHeight="1" s="79"/>
    <row r="614" ht="11.95" customHeight="1" s="79"/>
    <row r="615" ht="11.95" customHeight="1" s="79"/>
    <row r="616" ht="11.95" customHeight="1" s="79"/>
    <row r="617" ht="11.95" customHeight="1" s="79"/>
    <row r="618" ht="11.95" customHeight="1" s="79"/>
    <row r="619" ht="11.95" customHeight="1" s="79"/>
    <row r="620" ht="11.95" customHeight="1" s="79"/>
    <row r="621" ht="11.95" customHeight="1" s="79"/>
    <row r="622" ht="11.95" customHeight="1" s="79"/>
    <row r="623" ht="11.95" customHeight="1" s="79"/>
    <row r="624" ht="11.95" customHeight="1" s="79"/>
    <row r="625" ht="11.95" customHeight="1" s="79"/>
    <row r="626" ht="11.95" customHeight="1" s="79"/>
    <row r="627" ht="11.95" customHeight="1" s="79"/>
    <row r="628" ht="11.95" customHeight="1" s="79"/>
    <row r="629" ht="11.95" customHeight="1" s="79"/>
    <row r="630" ht="11.95" customHeight="1" s="79"/>
    <row r="631" ht="11.95" customHeight="1" s="79"/>
    <row r="632" ht="11.95" customHeight="1" s="79"/>
    <row r="633" ht="11.95" customHeight="1" s="79"/>
    <row r="634" ht="11.95" customHeight="1" s="79"/>
    <row r="635" ht="11.95" customHeight="1" s="79"/>
    <row r="636" ht="11.95" customHeight="1" s="79"/>
    <row r="637" ht="11.95" customHeight="1" s="79"/>
    <row r="638" ht="11.95" customHeight="1" s="79"/>
    <row r="639" ht="11.95" customHeight="1" s="79"/>
    <row r="640" ht="11.95" customHeight="1" s="79"/>
    <row r="641" ht="11.95" customHeight="1" s="79"/>
    <row r="642" ht="11.95" customHeight="1" s="79"/>
    <row r="643" ht="11.95" customHeight="1" s="79"/>
    <row r="644" ht="11.95" customHeight="1" s="79"/>
    <row r="645" ht="11.95" customHeight="1" s="79"/>
    <row r="646" ht="11.95" customHeight="1" s="79"/>
    <row r="647" ht="11.95" customHeight="1" s="79"/>
    <row r="648" ht="11.95" customHeight="1" s="79"/>
    <row r="649" ht="11.95" customHeight="1" s="79"/>
    <row r="650" ht="11.95" customHeight="1" s="79"/>
    <row r="651" ht="11.95" customHeight="1" s="79"/>
    <row r="652" ht="11.95" customHeight="1" s="79"/>
    <row r="653" ht="11.95" customHeight="1" s="79"/>
    <row r="654" ht="11.95" customHeight="1" s="79"/>
    <row r="655" ht="11.95" customHeight="1" s="79"/>
    <row r="656" ht="11.95" customHeight="1" s="79"/>
    <row r="657" ht="11.95" customHeight="1" s="79"/>
    <row r="658" ht="11.95" customHeight="1" s="79"/>
    <row r="659" ht="11.95" customHeight="1" s="79"/>
    <row r="660" ht="11.95" customHeight="1" s="79"/>
    <row r="661" ht="11.95" customHeight="1" s="79"/>
    <row r="662" ht="11.95" customHeight="1" s="79"/>
    <row r="663" ht="11.95" customHeight="1" s="79"/>
    <row r="664" ht="11.95" customHeight="1" s="79"/>
    <row r="665" ht="11.95" customHeight="1" s="79"/>
    <row r="666" ht="11.95" customHeight="1" s="79"/>
    <row r="667" ht="11.95" customHeight="1" s="79"/>
    <row r="668" ht="11.95" customHeight="1" s="79"/>
    <row r="669" ht="11.95" customHeight="1" s="79"/>
    <row r="670" ht="11.95" customHeight="1" s="79"/>
    <row r="671" ht="11.95" customHeight="1" s="79"/>
    <row r="672" ht="11.95" customHeight="1" s="79"/>
    <row r="673" ht="11.95" customHeight="1" s="79"/>
    <row r="674" ht="11.95" customHeight="1" s="79"/>
    <row r="675" ht="11.95" customHeight="1" s="79"/>
    <row r="676" ht="11.95" customHeight="1" s="79"/>
    <row r="677" ht="11.95" customHeight="1" s="79"/>
    <row r="678" ht="11.95" customHeight="1" s="79"/>
    <row r="679" ht="11.95" customHeight="1" s="79"/>
    <row r="680" ht="11.95" customHeight="1" s="79"/>
    <row r="681" ht="11.95" customHeight="1" s="79"/>
    <row r="682" ht="11.95" customHeight="1" s="79"/>
    <row r="683" ht="11.95" customHeight="1" s="79"/>
    <row r="684" ht="11.95" customHeight="1" s="79"/>
    <row r="685" ht="11.95" customHeight="1" s="79"/>
    <row r="686" ht="11.95" customHeight="1" s="79"/>
    <row r="687" ht="11.95" customHeight="1" s="79"/>
    <row r="688" ht="11.95" customHeight="1" s="79"/>
    <row r="689" ht="11.95" customHeight="1" s="79"/>
    <row r="690" ht="11.95" customHeight="1" s="79"/>
    <row r="691" ht="11.95" customHeight="1" s="79"/>
    <row r="692" ht="11.95" customHeight="1" s="79"/>
    <row r="693" ht="11.95" customHeight="1" s="79"/>
    <row r="694" ht="11.95" customHeight="1" s="79"/>
    <row r="695" ht="11.95" customHeight="1" s="79"/>
    <row r="696" ht="11.95" customHeight="1" s="79"/>
    <row r="697" ht="11.95" customHeight="1" s="79"/>
    <row r="698" ht="11.95" customHeight="1" s="79"/>
    <row r="699" ht="11.95" customHeight="1" s="79"/>
    <row r="700" ht="11.95" customHeight="1" s="79"/>
    <row r="701" ht="11.95" customHeight="1" s="79"/>
    <row r="702" ht="11.95" customHeight="1" s="79"/>
    <row r="703" ht="11.95" customHeight="1" s="79"/>
    <row r="704" ht="11.95" customHeight="1" s="79"/>
    <row r="705" ht="11.95" customHeight="1" s="79"/>
    <row r="706" ht="11.95" customHeight="1" s="79"/>
    <row r="707" ht="11.95" customHeight="1" s="79"/>
    <row r="708" ht="11.95" customHeight="1" s="79"/>
    <row r="709" ht="11.95" customHeight="1" s="79"/>
    <row r="710" ht="11.95" customHeight="1" s="79"/>
    <row r="711" ht="11.95" customHeight="1" s="79"/>
    <row r="712" ht="11.95" customHeight="1" s="79"/>
    <row r="713" ht="11.95" customHeight="1" s="79"/>
    <row r="714" ht="11.95" customHeight="1" s="79"/>
    <row r="715" ht="11.95" customHeight="1" s="79"/>
    <row r="716" ht="11.95" customHeight="1" s="79"/>
    <row r="717" ht="11.95" customHeight="1" s="79"/>
    <row r="718" ht="11.95" customHeight="1" s="79"/>
    <row r="719" ht="11.95" customHeight="1" s="79"/>
    <row r="720" ht="11.95" customHeight="1" s="79"/>
    <row r="721" ht="11.95" customHeight="1" s="79"/>
    <row r="722" ht="11.95" customHeight="1" s="79"/>
    <row r="723" ht="11.95" customHeight="1" s="79"/>
    <row r="724" ht="11.95" customHeight="1" s="79"/>
    <row r="725" ht="11.95" customHeight="1" s="79"/>
    <row r="726" ht="11.95" customHeight="1" s="79"/>
    <row r="727" ht="11.95" customHeight="1" s="79"/>
    <row r="728" ht="11.95" customHeight="1" s="79"/>
    <row r="729" ht="11.95" customHeight="1" s="79"/>
    <row r="730" ht="11.95" customHeight="1" s="79"/>
    <row r="731" ht="11.95" customHeight="1" s="79"/>
    <row r="732" ht="11.95" customHeight="1" s="79"/>
    <row r="733" ht="11.95" customHeight="1" s="79"/>
    <row r="734" ht="11.95" customHeight="1" s="79"/>
    <row r="735" ht="11.95" customHeight="1" s="79"/>
    <row r="736" ht="11.95" customHeight="1" s="79"/>
    <row r="737" ht="11.95" customHeight="1" s="79"/>
    <row r="738" ht="11.95" customHeight="1" s="79"/>
    <row r="739" ht="11.95" customHeight="1" s="79"/>
    <row r="740" ht="11.95" customHeight="1" s="79"/>
    <row r="741" ht="11.95" customHeight="1" s="79"/>
    <row r="742" ht="11.95" customHeight="1" s="79"/>
    <row r="743" ht="11.95" customHeight="1" s="79"/>
    <row r="744" ht="11.95" customHeight="1" s="79"/>
    <row r="745" ht="11.95" customHeight="1" s="79"/>
    <row r="746" ht="11.95" customHeight="1" s="79"/>
    <row r="747" ht="11.95" customHeight="1" s="79"/>
    <row r="748" ht="11.95" customHeight="1" s="79"/>
    <row r="749" ht="11.95" customHeight="1" s="79"/>
    <row r="750" ht="11.95" customHeight="1" s="79"/>
    <row r="751" ht="11.95" customHeight="1" s="79"/>
    <row r="752" ht="11.95" customHeight="1" s="79"/>
    <row r="753" ht="11.95" customHeight="1" s="79"/>
    <row r="754" ht="11.95" customHeight="1" s="79"/>
    <row r="755" ht="11.95" customHeight="1" s="79"/>
    <row r="756" ht="11.95" customHeight="1" s="79"/>
    <row r="757" ht="11.95" customHeight="1" s="79"/>
    <row r="758" ht="11.95" customHeight="1" s="79"/>
    <row r="759" ht="11.95" customHeight="1" s="79"/>
    <row r="760" ht="11.95" customHeight="1" s="79"/>
    <row r="761" ht="11.95" customHeight="1" s="79"/>
    <row r="762" ht="11.95" customHeight="1" s="79"/>
    <row r="763" ht="11.95" customHeight="1" s="79"/>
    <row r="764" ht="11.95" customHeight="1" s="79"/>
    <row r="765" ht="11.95" customHeight="1" s="79"/>
    <row r="766" ht="11.95" customHeight="1" s="79"/>
    <row r="767" ht="11.95" customHeight="1" s="79"/>
    <row r="768" ht="11.95" customHeight="1" s="79"/>
    <row r="769" ht="11.95" customHeight="1" s="79"/>
    <row r="770" ht="11.95" customHeight="1" s="79"/>
    <row r="771" ht="11.95" customHeight="1" s="79"/>
    <row r="772" ht="11.95" customHeight="1" s="79"/>
    <row r="773" ht="11.95" customHeight="1" s="79"/>
    <row r="774" ht="11.95" customHeight="1" s="79"/>
    <row r="775" ht="11.95" customHeight="1" s="79"/>
    <row r="776" ht="11.95" customHeight="1" s="79"/>
    <row r="777" ht="11.95" customHeight="1" s="79"/>
    <row r="778" ht="11.95" customHeight="1" s="79"/>
    <row r="779" ht="11.95" customHeight="1" s="79"/>
    <row r="780" ht="11.95" customHeight="1" s="79"/>
    <row r="781" ht="11.95" customHeight="1" s="79"/>
    <row r="782" ht="11.95" customHeight="1" s="79"/>
    <row r="783" ht="11.95" customHeight="1" s="79"/>
    <row r="784" ht="11.95" customHeight="1" s="79"/>
    <row r="785" ht="11.95" customHeight="1" s="79"/>
    <row r="786" ht="11.95" customHeight="1" s="79"/>
    <row r="787" ht="11.95" customHeight="1" s="79"/>
    <row r="788" ht="11.95" customHeight="1" s="79"/>
    <row r="789" ht="11.95" customHeight="1" s="79"/>
    <row r="790" ht="11.95" customHeight="1" s="79"/>
    <row r="791" ht="11.95" customHeight="1" s="79"/>
    <row r="792" ht="11.95" customHeight="1" s="79"/>
    <row r="793" ht="11.95" customHeight="1" s="79"/>
    <row r="794" ht="11.95" customHeight="1" s="79"/>
    <row r="795" ht="11.95" customHeight="1" s="79"/>
    <row r="796" ht="11.95" customHeight="1" s="79"/>
    <row r="797" ht="11.95" customHeight="1" s="79"/>
    <row r="798" ht="11.95" customHeight="1" s="79"/>
    <row r="799" ht="11.95" customHeight="1" s="79"/>
    <row r="800" ht="11.95" customHeight="1" s="79"/>
    <row r="801" ht="11.95" customHeight="1" s="79"/>
    <row r="802" ht="11.95" customHeight="1" s="79"/>
    <row r="803" ht="11.95" customHeight="1" s="79"/>
    <row r="804" ht="11.95" customHeight="1" s="79"/>
    <row r="805" ht="11.95" customHeight="1" s="79"/>
    <row r="806" ht="11.95" customHeight="1" s="79"/>
    <row r="807" ht="11.95" customHeight="1" s="79"/>
    <row r="808" ht="11.95" customHeight="1" s="79"/>
    <row r="809" ht="11.95" customHeight="1" s="79"/>
    <row r="810" ht="11.95" customHeight="1" s="79"/>
    <row r="811" ht="11.95" customHeight="1" s="79"/>
    <row r="812" ht="11.95" customHeight="1" s="79"/>
    <row r="813" ht="11.95" customHeight="1" s="79"/>
    <row r="814" ht="11.95" customHeight="1" s="79"/>
    <row r="815" ht="11.95" customHeight="1" s="79"/>
    <row r="816" ht="11.95" customHeight="1" s="79"/>
    <row r="817" ht="11.95" customHeight="1" s="79"/>
    <row r="818" ht="11.95" customHeight="1" s="79"/>
    <row r="819" ht="11.95" customHeight="1" s="79"/>
    <row r="820" ht="11.95" customHeight="1" s="79"/>
    <row r="821" ht="11.95" customHeight="1" s="79"/>
    <row r="822" ht="11.95" customHeight="1" s="79"/>
    <row r="823" ht="11.95" customHeight="1" s="79"/>
    <row r="824" ht="11.95" customHeight="1" s="79"/>
    <row r="825" ht="11.95" customHeight="1" s="79"/>
    <row r="826" ht="11.95" customHeight="1" s="79"/>
    <row r="827" ht="11.95" customHeight="1" s="79"/>
    <row r="828" ht="11.95" customHeight="1" s="79"/>
    <row r="829" ht="11.95" customHeight="1" s="79"/>
    <row r="830" ht="11.95" customHeight="1" s="79"/>
    <row r="831" ht="11.95" customHeight="1" s="79"/>
    <row r="832" ht="11.95" customHeight="1" s="79"/>
    <row r="833" ht="11.95" customHeight="1" s="79"/>
    <row r="834" ht="11.95" customHeight="1" s="79"/>
    <row r="835" ht="11.95" customHeight="1" s="79"/>
    <row r="836" ht="11.95" customHeight="1" s="79"/>
    <row r="837" ht="11.95" customHeight="1" s="79"/>
    <row r="838" ht="11.95" customHeight="1" s="79"/>
    <row r="839" ht="11.95" customHeight="1" s="79"/>
    <row r="840" ht="11.95" customHeight="1" s="79"/>
    <row r="841" ht="11.95" customHeight="1" s="79"/>
    <row r="842" ht="11.95" customHeight="1" s="79"/>
    <row r="843" ht="11.95" customHeight="1" s="79"/>
    <row r="844" ht="11.95" customHeight="1" s="79"/>
    <row r="845" ht="11.95" customHeight="1" s="79"/>
    <row r="846" ht="11.95" customHeight="1" s="79"/>
    <row r="847" ht="11.95" customHeight="1" s="79"/>
    <row r="848" ht="11.95" customHeight="1" s="79"/>
    <row r="849" ht="11.95" customHeight="1" s="79"/>
    <row r="850" ht="11.95" customHeight="1" s="79"/>
    <row r="851" ht="11.95" customHeight="1" s="79"/>
    <row r="852" ht="11.95" customHeight="1" s="79"/>
    <row r="853" ht="11.95" customHeight="1" s="79"/>
    <row r="854" ht="11.95" customHeight="1" s="79"/>
    <row r="855" ht="11.95" customHeight="1" s="79"/>
    <row r="856" ht="11.95" customHeight="1" s="79"/>
    <row r="857" ht="11.95" customHeight="1" s="79"/>
    <row r="858" ht="11.95" customHeight="1" s="79"/>
    <row r="859" ht="11.95" customHeight="1" s="79"/>
    <row r="860" ht="11.95" customHeight="1" s="79"/>
    <row r="861" ht="11.95" customHeight="1" s="79"/>
    <row r="862" ht="11.95" customHeight="1" s="79"/>
    <row r="863" ht="11.95" customHeight="1" s="79"/>
    <row r="864" ht="11.95" customHeight="1" s="79"/>
    <row r="865" ht="11.95" customHeight="1" s="79"/>
    <row r="866" ht="11.95" customHeight="1" s="79"/>
    <row r="867" ht="11.95" customHeight="1" s="79"/>
    <row r="868" ht="11.95" customHeight="1" s="79"/>
    <row r="869" ht="11.95" customHeight="1" s="79"/>
    <row r="870" ht="11.95" customHeight="1" s="79"/>
    <row r="871" ht="11.95" customHeight="1" s="79"/>
    <row r="872" ht="11.95" customHeight="1" s="79"/>
    <row r="873" ht="11.95" customHeight="1" s="79"/>
    <row r="874" ht="11.95" customHeight="1" s="79"/>
    <row r="875" ht="11.95" customHeight="1" s="79"/>
    <row r="876" ht="11.95" customHeight="1" s="79"/>
    <row r="877" ht="11.95" customHeight="1" s="79"/>
    <row r="878" ht="11.95" customHeight="1" s="79"/>
    <row r="879" ht="11.95" customHeight="1" s="79"/>
    <row r="880" ht="11.95" customHeight="1" s="79"/>
    <row r="881" ht="11.95" customHeight="1" s="79"/>
    <row r="882" ht="11.95" customHeight="1" s="79"/>
    <row r="883" ht="11.95" customHeight="1" s="79"/>
    <row r="884" ht="11.95" customHeight="1" s="79"/>
    <row r="885" ht="11.95" customHeight="1" s="79"/>
    <row r="886" ht="11.95" customHeight="1" s="79"/>
    <row r="887" ht="11.95" customHeight="1" s="79"/>
    <row r="888" ht="11.95" customHeight="1" s="79"/>
    <row r="889" ht="11.95" customHeight="1" s="79"/>
    <row r="890" ht="11.95" customHeight="1" s="79"/>
    <row r="891" ht="11.95" customHeight="1" s="79"/>
    <row r="892" ht="11.95" customHeight="1" s="79"/>
    <row r="893" ht="11.95" customHeight="1" s="79"/>
    <row r="894" ht="11.95" customHeight="1" s="79"/>
    <row r="895" ht="11.95" customHeight="1" s="79"/>
    <row r="896" ht="11.95" customHeight="1" s="79"/>
    <row r="897" ht="11.95" customHeight="1" s="79"/>
    <row r="898" ht="11.95" customHeight="1" s="79"/>
    <row r="899" ht="11.95" customHeight="1" s="79"/>
    <row r="900" ht="11.95" customHeight="1" s="79"/>
    <row r="901" ht="11.95" customHeight="1" s="79"/>
    <row r="902" ht="11.95" customHeight="1" s="79"/>
    <row r="903" ht="11.95" customHeight="1" s="79"/>
    <row r="904" ht="11.95" customHeight="1" s="79"/>
    <row r="905" ht="11.95" customHeight="1" s="79"/>
    <row r="906" ht="11.95" customHeight="1" s="79"/>
    <row r="907" ht="11.95" customHeight="1" s="79"/>
    <row r="908" ht="11.95" customHeight="1" s="79"/>
    <row r="909" ht="11.95" customHeight="1" s="79"/>
    <row r="910" ht="11.95" customHeight="1" s="79"/>
    <row r="911" ht="11.95" customHeight="1" s="79"/>
    <row r="912" ht="11.95" customHeight="1" s="79"/>
    <row r="913" ht="11.95" customHeight="1" s="79"/>
    <row r="914" ht="11.95" customHeight="1" s="79"/>
    <row r="915" ht="11.95" customHeight="1" s="79"/>
    <row r="916" ht="11.95" customHeight="1" s="79"/>
    <row r="917" ht="11.95" customHeight="1" s="79"/>
    <row r="918" ht="11.95" customHeight="1" s="79"/>
    <row r="919" ht="11.95" customHeight="1" s="79"/>
    <row r="920" ht="11.95" customHeight="1" s="79"/>
    <row r="921" ht="11.95" customHeight="1" s="79"/>
    <row r="922" ht="11.95" customHeight="1" s="79"/>
    <row r="923" ht="11.95" customHeight="1" s="79"/>
    <row r="924" ht="11.95" customHeight="1" s="79"/>
    <row r="925" ht="11.95" customHeight="1" s="79"/>
    <row r="926" ht="11.95" customHeight="1" s="79"/>
    <row r="927" ht="11.95" customHeight="1" s="79"/>
    <row r="928" ht="11.95" customHeight="1" s="79"/>
    <row r="929" ht="11.95" customHeight="1" s="79"/>
    <row r="930" ht="11.95" customHeight="1" s="79"/>
    <row r="931" ht="11.95" customHeight="1" s="79"/>
    <row r="932" ht="11.95" customHeight="1" s="79"/>
    <row r="933" ht="11.95" customHeight="1" s="79"/>
    <row r="934" ht="11.95" customHeight="1" s="79"/>
    <row r="935" ht="11.95" customHeight="1" s="79"/>
    <row r="936" ht="11.95" customHeight="1" s="79"/>
    <row r="937" ht="11.95" customHeight="1" s="79"/>
    <row r="938" ht="11.95" customHeight="1" s="79"/>
    <row r="939" ht="11.95" customHeight="1" s="79"/>
    <row r="940" ht="11.95" customHeight="1" s="79"/>
    <row r="941" ht="11.95" customHeight="1" s="79"/>
    <row r="942" ht="11.95" customHeight="1" s="79"/>
    <row r="943" ht="11.95" customHeight="1" s="79"/>
    <row r="944" ht="11.95" customHeight="1" s="79"/>
    <row r="945" ht="11.95" customHeight="1" s="79"/>
    <row r="946" ht="11.95" customHeight="1" s="79"/>
    <row r="947" ht="11.95" customHeight="1" s="79"/>
    <row r="948" ht="11.95" customHeight="1" s="79"/>
    <row r="949" ht="11.95" customHeight="1" s="79"/>
    <row r="950" ht="11.95" customHeight="1" s="79"/>
    <row r="951" ht="11.95" customHeight="1" s="79"/>
    <row r="952" ht="11.95" customHeight="1" s="79"/>
    <row r="953" ht="11.95" customHeight="1" s="79"/>
    <row r="954" ht="11.95" customHeight="1" s="79"/>
    <row r="955" ht="11.95" customHeight="1" s="79"/>
    <row r="956" ht="11.95" customHeight="1" s="79"/>
    <row r="957" ht="11.95" customHeight="1" s="79"/>
    <row r="958" ht="11.95" customHeight="1" s="79"/>
    <row r="959" ht="11.95" customHeight="1" s="79"/>
    <row r="960" ht="11.95" customHeight="1" s="79"/>
    <row r="961" ht="11.95" customHeight="1" s="79"/>
    <row r="962" ht="11.95" customHeight="1" s="79"/>
    <row r="963" ht="11.95" customHeight="1" s="79"/>
    <row r="964" ht="11.95" customHeight="1" s="79"/>
    <row r="965" ht="11.95" customHeight="1" s="79"/>
    <row r="966" ht="11.95" customHeight="1" s="79"/>
    <row r="967" ht="11.95" customHeight="1" s="79"/>
    <row r="968" ht="11.95" customHeight="1" s="79"/>
    <row r="969" ht="11.95" customHeight="1" s="79"/>
    <row r="970" ht="11.95" customHeight="1" s="79"/>
    <row r="971" ht="11.95" customHeight="1" s="79"/>
    <row r="972" ht="11.95" customHeight="1" s="79"/>
    <row r="973" ht="11.95" customHeight="1" s="79"/>
    <row r="974" ht="11.95" customHeight="1" s="79"/>
    <row r="975" ht="11.95" customHeight="1" s="79"/>
    <row r="976" ht="11.95" customHeight="1" s="79"/>
    <row r="977" ht="11.95" customHeight="1" s="79"/>
    <row r="978" ht="11.95" customHeight="1" s="79"/>
    <row r="979" ht="11.95" customHeight="1" s="79"/>
    <row r="980" ht="11.95" customHeight="1" s="79"/>
    <row r="981" ht="11.95" customHeight="1" s="79"/>
    <row r="982" ht="11.95" customHeight="1" s="79"/>
    <row r="983" ht="11.95" customHeight="1" s="79"/>
    <row r="984" ht="11.95" customHeight="1" s="79"/>
    <row r="985" ht="11.95" customHeight="1" s="79"/>
    <row r="986" ht="11.95" customHeight="1" s="79"/>
    <row r="987" ht="11.95" customHeight="1" s="79"/>
    <row r="988" ht="11.95" customHeight="1" s="79"/>
    <row r="989" ht="11.95" customHeight="1" s="79"/>
    <row r="990" ht="11.95" customHeight="1" s="79"/>
    <row r="991" ht="11.95" customHeight="1" s="79"/>
    <row r="992" ht="11.95" customHeight="1" s="79"/>
    <row r="993" ht="11.95" customHeight="1" s="79"/>
    <row r="994" ht="11.95" customHeight="1" s="79"/>
    <row r="995" ht="11.95" customHeight="1" s="79"/>
    <row r="996" ht="11.95" customHeight="1" s="79"/>
    <row r="997" ht="11.95" customHeight="1" s="79"/>
    <row r="998" ht="11.95" customHeight="1" s="79"/>
    <row r="999" ht="11.95" customHeight="1" s="79"/>
    <row r="1000" ht="11.95" customHeight="1" s="79"/>
    <row r="1001" ht="11.95" customHeight="1" s="79"/>
    <row r="1002" ht="11.95" customHeight="1" s="79"/>
    <row r="1003" ht="11.95" customHeight="1" s="79"/>
    <row r="1004" ht="11.95" customHeight="1" s="79"/>
    <row r="1005" ht="11.95" customHeight="1" s="79"/>
    <row r="1006" ht="11.95" customHeight="1" s="79"/>
    <row r="1007" ht="11.95" customHeight="1" s="79"/>
    <row r="1008" ht="11.95" customHeight="1" s="79"/>
    <row r="1009" ht="11.95" customHeight="1" s="79"/>
    <row r="1010" ht="11.95" customHeight="1" s="79"/>
    <row r="1011" ht="11.95" customHeight="1" s="79"/>
    <row r="1012" ht="11.95" customHeight="1" s="79"/>
    <row r="1013" ht="11.95" customHeight="1" s="79"/>
    <row r="1014" ht="11.95" customHeight="1" s="79"/>
    <row r="1015" ht="11.95" customHeight="1" s="79"/>
    <row r="1016" ht="11.95" customHeight="1" s="79"/>
    <row r="1017" ht="11.95" customHeight="1" s="79"/>
    <row r="1018" ht="11.95" customHeight="1" s="79"/>
    <row r="1019" ht="11.95" customHeight="1" s="79"/>
    <row r="1020" ht="11.95" customHeight="1" s="79"/>
    <row r="1021" ht="11.95" customHeight="1" s="79"/>
    <row r="1022" ht="11.95" customHeight="1" s="79"/>
    <row r="1023" ht="11.95" customHeight="1" s="79"/>
    <row r="1024" ht="11.95" customHeight="1" s="79"/>
    <row r="1025" ht="11.95" customHeight="1" s="79"/>
    <row r="1026" ht="11.95" customHeight="1" s="79"/>
    <row r="1027" ht="11.95" customHeight="1" s="79"/>
    <row r="1028" ht="11.95" customHeight="1" s="79"/>
    <row r="1029" ht="11.95" customHeight="1" s="79"/>
    <row r="1030" ht="11.95" customHeight="1" s="79"/>
    <row r="1031" ht="11.95" customHeight="1" s="79"/>
    <row r="1032" ht="11.95" customHeight="1" s="79"/>
    <row r="1033" ht="11.95" customHeight="1" s="79"/>
    <row r="1034" ht="11.95" customHeight="1" s="79"/>
    <row r="1035" ht="11.95" customHeight="1" s="79"/>
    <row r="1036" ht="11.95" customHeight="1" s="79"/>
    <row r="1037" ht="11.95" customHeight="1" s="79"/>
    <row r="1038" ht="11.95" customHeight="1" s="79"/>
    <row r="1039" ht="11.95" customHeight="1" s="79"/>
    <row r="1040" ht="11.95" customHeight="1" s="79"/>
    <row r="1041" ht="11.95" customHeight="1" s="79"/>
    <row r="1042" ht="11.95" customHeight="1" s="79"/>
    <row r="1043" ht="11.95" customHeight="1" s="79"/>
    <row r="1044" ht="11.95" customHeight="1" s="79"/>
    <row r="1045" ht="11.95" customHeight="1" s="79"/>
    <row r="1046" ht="11.95" customHeight="1" s="79"/>
    <row r="1047" ht="11.95" customHeight="1" s="79"/>
    <row r="1048" ht="11.95" customHeight="1" s="79"/>
    <row r="1049" ht="11.95" customHeight="1" s="79"/>
    <row r="1050" ht="11.95" customHeight="1" s="79"/>
    <row r="1051" ht="11.95" customHeight="1" s="79"/>
    <row r="1052" ht="11.95" customHeight="1" s="79"/>
    <row r="1053" ht="11.95" customHeight="1" s="79"/>
    <row r="1054" ht="11.95" customHeight="1" s="79"/>
    <row r="1055" ht="11.95" customHeight="1" s="79"/>
    <row r="1056" ht="11.95" customHeight="1" s="79"/>
    <row r="1057" ht="11.95" customHeight="1" s="79"/>
    <row r="1058" ht="11.95" customHeight="1" s="79"/>
    <row r="1059" ht="11.95" customHeight="1" s="79"/>
    <row r="1060" ht="11.95" customHeight="1" s="79"/>
    <row r="1061" ht="11.95" customHeight="1" s="79"/>
    <row r="1062" ht="11.95" customHeight="1" s="79"/>
    <row r="1063" ht="11.95" customHeight="1" s="79"/>
    <row r="1064" ht="11.95" customHeight="1" s="79"/>
    <row r="1065" ht="11.95" customHeight="1" s="79"/>
    <row r="1066" ht="11.95" customHeight="1" s="79"/>
    <row r="1067" ht="11.95" customHeight="1" s="79"/>
    <row r="1068" ht="11.95" customHeight="1" s="79"/>
    <row r="1069" ht="11.95" customHeight="1" s="79"/>
    <row r="1070" ht="11.95" customHeight="1" s="79"/>
    <row r="1071" ht="11.95" customHeight="1" s="79"/>
    <row r="1072" ht="11.95" customHeight="1" s="79"/>
    <row r="1073" ht="11.95" customHeight="1" s="79"/>
    <row r="1074" ht="11.95" customHeight="1" s="79"/>
    <row r="1075" ht="11.95" customHeight="1" s="79"/>
    <row r="1076" ht="11.95" customHeight="1" s="79"/>
    <row r="1077" ht="11.95" customHeight="1" s="79"/>
    <row r="1078" ht="11.95" customHeight="1" s="79"/>
    <row r="1079" ht="11.95" customHeight="1" s="79"/>
    <row r="1080" ht="11.95" customHeight="1" s="79"/>
    <row r="1081" ht="11.95" customHeight="1" s="79"/>
    <row r="1082" ht="11.95" customHeight="1" s="79"/>
    <row r="1083" ht="11.95" customHeight="1" s="79"/>
    <row r="1084" ht="11.95" customHeight="1" s="79"/>
    <row r="1085" ht="11.95" customHeight="1" s="79"/>
    <row r="1086" ht="11.95" customHeight="1" s="79"/>
    <row r="1087" ht="11.95" customHeight="1" s="79"/>
    <row r="1088" ht="11.95" customHeight="1" s="79"/>
    <row r="1089" ht="11.95" customHeight="1" s="79"/>
    <row r="1090" ht="11.95" customHeight="1" s="79"/>
    <row r="1091" ht="11.95" customHeight="1" s="79"/>
    <row r="1092" ht="11.95" customHeight="1" s="79"/>
    <row r="1093" ht="11.95" customHeight="1" s="79"/>
    <row r="1094" ht="11.95" customHeight="1" s="79"/>
    <row r="1095" ht="11.95" customHeight="1" s="79"/>
    <row r="1096" ht="11.95" customHeight="1" s="79"/>
    <row r="1097" ht="11.95" customHeight="1" s="79"/>
    <row r="1098" ht="11.95" customHeight="1" s="79"/>
    <row r="1099" ht="11.95" customHeight="1" s="79"/>
    <row r="1100" ht="11.95" customHeight="1" s="79"/>
    <row r="1101" ht="11.95" customHeight="1" s="79"/>
    <row r="1102" ht="11.95" customHeight="1" s="79"/>
    <row r="1103" ht="11.95" customHeight="1" s="79"/>
    <row r="1104" ht="11.95" customHeight="1" s="79"/>
    <row r="1105" ht="11.95" customHeight="1" s="79"/>
    <row r="1106" ht="11.95" customHeight="1" s="79"/>
    <row r="1107" ht="11.95" customHeight="1" s="79"/>
    <row r="1108" ht="11.95" customHeight="1" s="79"/>
    <row r="1109" ht="11.95" customHeight="1" s="79"/>
    <row r="1110" ht="11.95" customHeight="1" s="79"/>
    <row r="1111" ht="11.95" customHeight="1" s="79"/>
    <row r="1112" ht="11.95" customHeight="1" s="79"/>
    <row r="1113" ht="11.95" customHeight="1" s="79"/>
    <row r="1114" ht="11.95" customHeight="1" s="79"/>
    <row r="1115" ht="11.95" customHeight="1" s="79"/>
    <row r="1116" ht="11.95" customHeight="1" s="79"/>
    <row r="1117" ht="11.95" customHeight="1" s="79"/>
    <row r="1118" ht="11.95" customHeight="1" s="79"/>
    <row r="1119" ht="11.95" customHeight="1" s="79"/>
    <row r="1120" ht="11.95" customHeight="1" s="79"/>
    <row r="1121" ht="11.95" customHeight="1" s="79"/>
    <row r="1122" ht="11.95" customHeight="1" s="79"/>
    <row r="1123" ht="11.95" customHeight="1" s="79"/>
    <row r="1124" ht="11.95" customHeight="1" s="79"/>
    <row r="1125" ht="11.95" customHeight="1" s="79"/>
    <row r="1126" ht="11.95" customHeight="1" s="79"/>
    <row r="1127" ht="11.95" customHeight="1" s="79"/>
    <row r="1128" ht="11.95" customHeight="1" s="79"/>
    <row r="1129" ht="11.95" customHeight="1" s="79"/>
    <row r="1130" ht="11.95" customHeight="1" s="79"/>
    <row r="1131" ht="11.95" customHeight="1" s="79"/>
    <row r="1132" ht="11.95" customHeight="1" s="79"/>
    <row r="1133" ht="11.95" customHeight="1" s="79"/>
    <row r="1134" ht="11.95" customHeight="1" s="79"/>
    <row r="1135" ht="11.95" customHeight="1" s="79"/>
    <row r="1136" ht="11.95" customHeight="1" s="79"/>
    <row r="1137" ht="11.95" customHeight="1" s="79"/>
    <row r="1138" ht="11.95" customHeight="1" s="79"/>
    <row r="1139" ht="11.95" customHeight="1" s="79"/>
    <row r="1140" ht="11.95" customHeight="1" s="79"/>
    <row r="1141" ht="11.95" customHeight="1" s="79"/>
    <row r="1142" ht="11.95" customHeight="1" s="79"/>
    <row r="1143" ht="11.95" customHeight="1" s="79"/>
    <row r="1144" ht="11.95" customHeight="1" s="79"/>
    <row r="1145" ht="11.95" customHeight="1" s="79"/>
    <row r="1146" ht="11.95" customHeight="1" s="79"/>
    <row r="1147" ht="11.95" customHeight="1" s="79"/>
    <row r="1148" ht="11.95" customHeight="1" s="79"/>
    <row r="1149" ht="11.95" customHeight="1" s="79"/>
    <row r="1150" ht="11.95" customHeight="1" s="79"/>
    <row r="1151" ht="11.95" customHeight="1" s="79"/>
    <row r="1152" ht="11.95" customHeight="1" s="79"/>
    <row r="1153" ht="11.95" customHeight="1" s="79"/>
    <row r="1154" ht="11.95" customHeight="1" s="79"/>
    <row r="1155" ht="11.95" customHeight="1" s="79"/>
    <row r="1156" ht="11.95" customHeight="1" s="79"/>
    <row r="1157" ht="11.95" customHeight="1" s="79"/>
    <row r="1158" ht="11.95" customHeight="1" s="79"/>
    <row r="1159" ht="11.95" customHeight="1" s="79"/>
    <row r="1160" ht="11.95" customHeight="1" s="79"/>
    <row r="1161" ht="11.95" customHeight="1" s="79"/>
    <row r="1162" ht="11.95" customHeight="1" s="79"/>
    <row r="1163" ht="11.95" customHeight="1" s="79"/>
    <row r="1164" ht="11.95" customHeight="1" s="79"/>
    <row r="1165" ht="11.95" customHeight="1" s="79"/>
    <row r="1166" ht="11.95" customHeight="1" s="79"/>
    <row r="1167" ht="11.95" customHeight="1" s="79"/>
    <row r="1168" ht="11.95" customHeight="1" s="79"/>
    <row r="1169" ht="11.95" customHeight="1" s="79"/>
    <row r="1170" ht="11.95" customHeight="1" s="79"/>
    <row r="1171" ht="11.95" customHeight="1" s="79"/>
    <row r="1172" ht="11.95" customHeight="1" s="79"/>
    <row r="1173" ht="11.95" customHeight="1" s="79"/>
    <row r="1174" ht="11.95" customHeight="1" s="79"/>
    <row r="1175" ht="11.95" customHeight="1" s="79"/>
    <row r="1176" ht="11.95" customHeight="1" s="79"/>
    <row r="1177" ht="11.95" customHeight="1" s="79"/>
    <row r="1178" ht="11.95" customHeight="1" s="79"/>
    <row r="1179" ht="11.95" customHeight="1" s="79"/>
    <row r="1180" ht="11.95" customHeight="1" s="79"/>
    <row r="1181" ht="11.95" customHeight="1" s="79"/>
    <row r="1182" ht="11.95" customHeight="1" s="79"/>
    <row r="1183" ht="11.95" customHeight="1" s="79"/>
    <row r="1184" ht="11.95" customHeight="1" s="79"/>
    <row r="1185" ht="11.95" customHeight="1" s="79"/>
    <row r="1186" ht="11.95" customHeight="1" s="79"/>
    <row r="1187" ht="11.95" customHeight="1" s="79"/>
    <row r="1188" ht="11.95" customHeight="1" s="79"/>
    <row r="1189" ht="11.95" customHeight="1" s="79"/>
    <row r="1190" ht="11.95" customHeight="1" s="79"/>
    <row r="1191" ht="11.95" customHeight="1" s="79"/>
    <row r="1192" ht="11.95" customHeight="1" s="79"/>
    <row r="1193" ht="11.95" customHeight="1" s="79"/>
    <row r="1194" ht="11.95" customHeight="1" s="79"/>
    <row r="1195" ht="11.95" customHeight="1" s="79"/>
    <row r="1196" ht="11.95" customHeight="1" s="79"/>
    <row r="1197" ht="11.95" customHeight="1" s="79"/>
    <row r="1198" ht="11.95" customHeight="1" s="79"/>
    <row r="1199" ht="11.95" customHeight="1" s="79"/>
    <row r="1200" ht="11.95" customHeight="1" s="79"/>
    <row r="1201" ht="11.95" customHeight="1" s="79"/>
    <row r="1202" ht="11.95" customHeight="1" s="79"/>
    <row r="1203" ht="11.95" customHeight="1" s="79"/>
    <row r="1204" ht="11.95" customHeight="1" s="79"/>
    <row r="1205" ht="11.95" customHeight="1" s="79"/>
    <row r="1206" ht="11.95" customHeight="1" s="79"/>
    <row r="1207" ht="11.95" customHeight="1" s="79"/>
    <row r="1208" ht="11.95" customHeight="1" s="79"/>
    <row r="1209" ht="11.95" customHeight="1" s="79"/>
    <row r="1210" ht="11.95" customHeight="1" s="79"/>
    <row r="1211" ht="11.95" customHeight="1" s="79"/>
    <row r="1212" ht="11.95" customHeight="1" s="79"/>
    <row r="1213" ht="11.95" customHeight="1" s="79"/>
    <row r="1214" ht="11.95" customHeight="1" s="79"/>
    <row r="1215" ht="11.95" customHeight="1" s="79"/>
    <row r="1216" ht="11.95" customHeight="1" s="79"/>
    <row r="1217" ht="11.95" customHeight="1" s="79"/>
    <row r="1218" ht="11.95" customHeight="1" s="79"/>
    <row r="1219" ht="11.95" customHeight="1" s="79"/>
    <row r="1220" ht="11.95" customHeight="1" s="79"/>
    <row r="1221" ht="11.95" customHeight="1" s="79"/>
    <row r="1222" ht="11.95" customHeight="1" s="79"/>
    <row r="1223" ht="11.95" customHeight="1" s="79"/>
    <row r="1224" ht="11.95" customHeight="1" s="79"/>
    <row r="1225" ht="11.95" customHeight="1" s="79"/>
    <row r="1226" ht="11.95" customHeight="1" s="79"/>
    <row r="1227" ht="11.95" customHeight="1" s="79"/>
    <row r="1228" ht="11.95" customHeight="1" s="79"/>
    <row r="1229" ht="11.95" customHeight="1" s="79"/>
    <row r="1230" ht="11.95" customHeight="1" s="79"/>
    <row r="1231" ht="11.95" customHeight="1" s="79"/>
    <row r="1232" ht="11.95" customHeight="1" s="79"/>
    <row r="1233" ht="11.95" customHeight="1" s="79"/>
    <row r="1234" ht="11.95" customHeight="1" s="79"/>
    <row r="1235" ht="11.95" customHeight="1" s="79"/>
    <row r="1236" ht="11.95" customHeight="1" s="79"/>
    <row r="1237" ht="11.95" customHeight="1" s="79"/>
    <row r="1238" ht="11.95" customHeight="1" s="79"/>
    <row r="1239" ht="11.95" customHeight="1" s="79"/>
    <row r="1240" ht="11.95" customHeight="1" s="79"/>
    <row r="1241" ht="11.95" customHeight="1" s="79"/>
    <row r="1242" ht="11.95" customHeight="1" s="79"/>
    <row r="1243" ht="11.95" customHeight="1" s="79"/>
    <row r="1244" ht="11.95" customHeight="1" s="79"/>
    <row r="1245" ht="11.95" customHeight="1" s="79"/>
    <row r="1246" ht="11.95" customHeight="1" s="79"/>
    <row r="1247" ht="11.95" customHeight="1" s="79"/>
    <row r="1248" ht="11.95" customHeight="1" s="79"/>
    <row r="1249" ht="11.95" customHeight="1" s="79"/>
    <row r="1250" ht="11.95" customHeight="1" s="79"/>
    <row r="1251" ht="11.95" customHeight="1" s="79"/>
    <row r="1252" ht="11.95" customHeight="1" s="79"/>
    <row r="1253" ht="11.95" customHeight="1" s="79"/>
    <row r="1254" ht="11.95" customHeight="1" s="79"/>
    <row r="1255" ht="11.95" customHeight="1" s="79"/>
    <row r="1256" ht="11.95" customHeight="1" s="79"/>
    <row r="1257" ht="11.95" customHeight="1" s="79"/>
    <row r="1258" ht="11.95" customHeight="1" s="79"/>
    <row r="1259" ht="11.95" customHeight="1" s="79"/>
    <row r="1260" ht="11.95" customHeight="1" s="79"/>
    <row r="1261" ht="11.95" customHeight="1" s="79"/>
    <row r="1262" ht="11.95" customHeight="1" s="79"/>
    <row r="1263" ht="11.95" customHeight="1" s="79"/>
    <row r="1264" ht="11.95" customHeight="1" s="79"/>
    <row r="1265" ht="11.95" customHeight="1" s="79"/>
    <row r="1266" ht="11.95" customHeight="1" s="79"/>
    <row r="1267" ht="11.95" customHeight="1" s="79"/>
    <row r="1268" ht="11.95" customHeight="1" s="79"/>
    <row r="1269" ht="11.95" customHeight="1" s="79"/>
    <row r="1270" ht="11.95" customHeight="1" s="79"/>
    <row r="1271" ht="11.95" customHeight="1" s="79"/>
    <row r="1272" ht="11.95" customHeight="1" s="79"/>
    <row r="1273" ht="11.95" customHeight="1" s="79"/>
    <row r="1274" ht="11.95" customHeight="1" s="79"/>
    <row r="1275" ht="11.95" customHeight="1" s="79"/>
    <row r="1276" ht="11.95" customHeight="1" s="79"/>
    <row r="1277" ht="11.95" customHeight="1" s="79"/>
    <row r="1278" ht="11.95" customHeight="1" s="79"/>
    <row r="1279" ht="11.95" customHeight="1" s="79"/>
    <row r="1280" ht="11.95" customHeight="1" s="79"/>
    <row r="1281" ht="11.95" customHeight="1" s="79"/>
    <row r="1282" ht="11.95" customHeight="1" s="79"/>
    <row r="1283" ht="11.95" customHeight="1" s="79"/>
    <row r="1284" ht="11.95" customHeight="1" s="79"/>
    <row r="1285" ht="11.95" customHeight="1" s="79"/>
    <row r="1286" ht="11.95" customHeight="1" s="79"/>
    <row r="1287" ht="11.95" customHeight="1" s="79"/>
    <row r="1288" ht="11.95" customHeight="1" s="79"/>
    <row r="1289" ht="11.95" customHeight="1" s="79"/>
    <row r="1290" ht="11.95" customHeight="1" s="79"/>
    <row r="1291" ht="11.95" customHeight="1" s="79"/>
    <row r="1292" ht="11.95" customHeight="1" s="79"/>
    <row r="1293" ht="11.95" customHeight="1" s="79"/>
    <row r="1294" ht="11.95" customHeight="1" s="79"/>
    <row r="1295" ht="11.95" customHeight="1" s="79"/>
    <row r="1296" ht="11.95" customHeight="1" s="79"/>
    <row r="1297" ht="11.95" customHeight="1" s="79"/>
    <row r="1298" ht="11.95" customHeight="1" s="79"/>
    <row r="1299" ht="11.95" customHeight="1" s="79"/>
    <row r="1300" ht="11.95" customHeight="1" s="79"/>
    <row r="1301" ht="11.95" customHeight="1" s="79"/>
    <row r="1302" ht="11.95" customHeight="1" s="79"/>
    <row r="1303" ht="11.95" customHeight="1" s="79"/>
    <row r="1304" ht="11.95" customHeight="1" s="79"/>
    <row r="1305" ht="11.95" customHeight="1" s="79"/>
    <row r="1306" ht="11.95" customHeight="1" s="79"/>
    <row r="1307" ht="11.95" customHeight="1" s="79"/>
    <row r="1308" ht="11.95" customHeight="1" s="79"/>
    <row r="1309" ht="11.95" customHeight="1" s="79"/>
    <row r="1310" ht="11.95" customHeight="1" s="79"/>
    <row r="1311" ht="11.95" customHeight="1" s="79"/>
    <row r="1312" ht="11.95" customHeight="1" s="79"/>
    <row r="1313" ht="11.95" customHeight="1" s="79"/>
    <row r="1314" ht="11.95" customHeight="1" s="79"/>
    <row r="1315" ht="11.95" customHeight="1" s="79"/>
    <row r="1316" ht="11.95" customHeight="1" s="79"/>
    <row r="1317" ht="11.95" customHeight="1" s="79"/>
    <row r="1318" ht="11.95" customHeight="1" s="79"/>
    <row r="1319" ht="11.95" customHeight="1" s="79"/>
    <row r="1320" ht="11.95" customHeight="1" s="79"/>
    <row r="1321" ht="11.95" customHeight="1" s="79"/>
    <row r="1322" ht="11.95" customHeight="1" s="79"/>
    <row r="1323" ht="11.95" customHeight="1" s="79"/>
    <row r="1324" ht="11.95" customHeight="1" s="79"/>
    <row r="1325" ht="11.95" customHeight="1" s="79"/>
    <row r="1326" ht="11.95" customHeight="1" s="79"/>
    <row r="1327" ht="11.95" customHeight="1" s="79"/>
    <row r="1328" ht="11.95" customHeight="1" s="79"/>
    <row r="1329" ht="11.95" customHeight="1" s="79"/>
    <row r="1330" ht="11.95" customHeight="1" s="79"/>
    <row r="1331" ht="11.95" customHeight="1" s="79"/>
    <row r="1332" ht="11.95" customHeight="1" s="79"/>
    <row r="1333" ht="11.95" customHeight="1" s="79"/>
    <row r="1334" ht="11.95" customHeight="1" s="79"/>
    <row r="1335" ht="11.95" customHeight="1" s="79"/>
    <row r="1336" ht="11.95" customHeight="1" s="79"/>
    <row r="1337" ht="11.95" customHeight="1" s="79"/>
    <row r="1338" ht="11.95" customHeight="1" s="79"/>
    <row r="1339" ht="11.95" customHeight="1" s="79"/>
    <row r="1340" ht="11.95" customHeight="1" s="79"/>
    <row r="1341" ht="11.95" customHeight="1" s="79"/>
    <row r="1342" ht="11.95" customHeight="1" s="79"/>
    <row r="1343" ht="11.95" customHeight="1" s="79"/>
    <row r="1344" ht="11.95" customHeight="1" s="79"/>
    <row r="1345" ht="11.95" customHeight="1" s="79"/>
    <row r="1346" ht="11.95" customHeight="1" s="79"/>
    <row r="1347" ht="11.95" customHeight="1" s="79"/>
    <row r="1348" ht="11.95" customHeight="1" s="79"/>
    <row r="1349" ht="11.95" customHeight="1" s="79"/>
    <row r="1350" ht="11.95" customHeight="1" s="79"/>
    <row r="1351" ht="11.95" customHeight="1" s="79"/>
    <row r="1352" ht="11.95" customHeight="1" s="79"/>
    <row r="1353" ht="11.95" customHeight="1" s="79"/>
    <row r="1354" ht="11.95" customHeight="1" s="79"/>
    <row r="1355" ht="11.95" customHeight="1" s="79"/>
    <row r="1356" ht="11.95" customHeight="1" s="79"/>
    <row r="1357" ht="11.95" customHeight="1" s="79"/>
    <row r="1358" ht="11.95" customHeight="1" s="79"/>
    <row r="1359" ht="11.95" customHeight="1" s="79"/>
    <row r="1360" ht="11.95" customHeight="1" s="79"/>
    <row r="1361" ht="11.95" customHeight="1" s="79"/>
    <row r="1362" ht="11.95" customHeight="1" s="79"/>
    <row r="1363" ht="11.95" customHeight="1" s="79"/>
    <row r="1364" ht="11.95" customHeight="1" s="79"/>
    <row r="1365" ht="11.95" customHeight="1" s="79"/>
    <row r="1366" ht="11.95" customHeight="1" s="79"/>
    <row r="1367" ht="11.95" customHeight="1" s="79"/>
    <row r="1368" ht="11.95" customHeight="1" s="79"/>
    <row r="1369" ht="11.95" customHeight="1" s="79"/>
    <row r="1370" ht="11.95" customHeight="1" s="79"/>
    <row r="1371" ht="11.95" customHeight="1" s="79"/>
    <row r="1372" ht="11.95" customHeight="1" s="79"/>
    <row r="1373" ht="11.95" customHeight="1" s="79"/>
    <row r="1374" ht="11.95" customHeight="1" s="79"/>
    <row r="1375" ht="11.95" customHeight="1" s="79"/>
    <row r="1376" ht="11.95" customHeight="1" s="79"/>
    <row r="1377" ht="11.95" customHeight="1" s="79"/>
    <row r="1378" ht="11.95" customHeight="1" s="79"/>
    <row r="1379" ht="11.95" customHeight="1" s="79"/>
    <row r="1380" ht="11.95" customHeight="1" s="79"/>
    <row r="1381" ht="11.95" customHeight="1" s="79"/>
    <row r="1382" ht="11.95" customHeight="1" s="79"/>
    <row r="1383" ht="11.95" customHeight="1" s="79"/>
    <row r="1384" ht="11.95" customHeight="1" s="79"/>
    <row r="1385" ht="11.95" customHeight="1" s="79"/>
    <row r="1386" ht="11.95" customHeight="1" s="79"/>
    <row r="1387" ht="11.95" customHeight="1" s="79"/>
    <row r="1388" ht="11.95" customHeight="1" s="79"/>
    <row r="1389" ht="11.95" customHeight="1" s="79"/>
    <row r="1390" ht="11.95" customHeight="1" s="79"/>
    <row r="1391" ht="11.95" customHeight="1" s="79"/>
    <row r="1392" ht="11.95" customHeight="1" s="79"/>
    <row r="1393" ht="11.95" customHeight="1" s="79"/>
    <row r="1394" ht="11.95" customHeight="1" s="79"/>
    <row r="1395" ht="11.95" customHeight="1" s="79"/>
    <row r="1396" ht="11.95" customHeight="1" s="79"/>
    <row r="1397" ht="11.95" customHeight="1" s="79"/>
    <row r="1398" ht="11.95" customHeight="1" s="79"/>
    <row r="1399" ht="11.95" customHeight="1" s="79"/>
    <row r="1400" ht="11.95" customHeight="1" s="79"/>
    <row r="1401" ht="11.95" customHeight="1" s="79"/>
    <row r="1402" ht="11.95" customHeight="1" s="79"/>
    <row r="1403" ht="11.95" customHeight="1" s="79"/>
    <row r="1404" ht="11.95" customHeight="1" s="79"/>
    <row r="1405" ht="11.95" customHeight="1" s="79"/>
    <row r="1406" ht="11.95" customHeight="1" s="79"/>
    <row r="1407" ht="11.95" customHeight="1" s="79"/>
    <row r="1408" ht="11.95" customHeight="1" s="79"/>
    <row r="1409" ht="11.95" customHeight="1" s="79"/>
    <row r="1410" ht="11.95" customHeight="1" s="79"/>
    <row r="1411" ht="11.95" customHeight="1" s="79"/>
    <row r="1412" ht="11.95" customHeight="1" s="79"/>
    <row r="1413" ht="11.95" customHeight="1" s="79"/>
    <row r="1414" ht="11.95" customHeight="1" s="79"/>
    <row r="1415" ht="11.95" customHeight="1" s="79"/>
    <row r="1416" ht="11.95" customHeight="1" s="79"/>
    <row r="1417" ht="11.95" customHeight="1" s="79"/>
    <row r="1418" ht="11.95" customHeight="1" s="79"/>
    <row r="1419" ht="11.95" customHeight="1" s="79"/>
    <row r="1420" ht="11.95" customHeight="1" s="79"/>
    <row r="1421" ht="11.95" customHeight="1" s="79"/>
    <row r="1422" ht="11.95" customHeight="1" s="79"/>
    <row r="1423" ht="11.95" customHeight="1" s="79"/>
    <row r="1424" ht="11.95" customHeight="1" s="79"/>
    <row r="1425" ht="11.95" customHeight="1" s="79"/>
    <row r="1426" ht="11.95" customHeight="1" s="79"/>
    <row r="1427" ht="11.95" customHeight="1" s="79"/>
    <row r="1428" ht="11.95" customHeight="1" s="79"/>
    <row r="1429" ht="11.95" customHeight="1" s="79"/>
    <row r="1430" ht="11.95" customHeight="1" s="79"/>
    <row r="1431" ht="11.95" customHeight="1" s="79"/>
    <row r="1432" ht="11.95" customHeight="1" s="79"/>
    <row r="1433" ht="11.95" customHeight="1" s="79"/>
    <row r="1434" ht="11.95" customHeight="1" s="79"/>
    <row r="1435" ht="11.95" customHeight="1" s="79"/>
    <row r="1436" ht="11.95" customHeight="1" s="79"/>
    <row r="1437" ht="11.95" customHeight="1" s="79"/>
    <row r="1438" ht="11.95" customHeight="1" s="79"/>
    <row r="1439" ht="11.95" customHeight="1" s="79"/>
    <row r="1440" ht="11.95" customHeight="1" s="79"/>
    <row r="1441" ht="11.95" customHeight="1" s="79"/>
    <row r="1442" ht="11.95" customHeight="1" s="79"/>
    <row r="1443" ht="11.95" customHeight="1" s="79"/>
    <row r="1444" ht="11.95" customHeight="1" s="79"/>
    <row r="1445" ht="11.95" customHeight="1" s="79"/>
    <row r="1446" ht="11.95" customHeight="1" s="79"/>
    <row r="1447" ht="11.95" customHeight="1" s="79"/>
    <row r="1448" ht="11.95" customHeight="1" s="79"/>
    <row r="1449" ht="11.95" customHeight="1" s="79"/>
    <row r="1450" ht="11.95" customHeight="1" s="79"/>
    <row r="1451" ht="11.95" customHeight="1" s="79"/>
    <row r="1452" ht="11.95" customHeight="1" s="79"/>
    <row r="1453" ht="11.95" customHeight="1" s="79"/>
    <row r="1454" ht="11.95" customHeight="1" s="79"/>
    <row r="1455" ht="11.95" customHeight="1" s="79"/>
    <row r="1456" ht="11.95" customHeight="1" s="79"/>
    <row r="1457" ht="11.95" customHeight="1" s="79"/>
    <row r="1458" ht="11.95" customHeight="1" s="79"/>
    <row r="1459" ht="11.95" customHeight="1" s="79"/>
    <row r="1460" ht="11.95" customHeight="1" s="79"/>
    <row r="1461" ht="11.95" customHeight="1" s="79"/>
    <row r="1462" ht="11.95" customHeight="1" s="79"/>
    <row r="1463" ht="11.95" customHeight="1" s="79"/>
    <row r="1464" ht="11.95" customHeight="1" s="79"/>
    <row r="1465" ht="11.95" customHeight="1" s="79"/>
    <row r="1466" ht="11.95" customHeight="1" s="79"/>
    <row r="1467" ht="11.95" customHeight="1" s="79"/>
    <row r="1468" ht="11.95" customHeight="1" s="79"/>
    <row r="1469" ht="11.95" customHeight="1" s="79"/>
    <row r="1470" ht="11.95" customHeight="1" s="79"/>
    <row r="1471" ht="11.95" customHeight="1" s="79"/>
    <row r="1472" ht="11.95" customHeight="1" s="79"/>
    <row r="1473" ht="11.95" customHeight="1" s="79"/>
    <row r="1474" ht="11.95" customHeight="1" s="79"/>
    <row r="1475" ht="11.95" customHeight="1" s="79"/>
    <row r="1476" ht="11.95" customHeight="1" s="79"/>
    <row r="1477" ht="11.95" customHeight="1" s="79"/>
    <row r="1478" ht="11.95" customHeight="1" s="79"/>
    <row r="1479" ht="11.95" customHeight="1" s="79"/>
    <row r="1480" ht="11.95" customHeight="1" s="79"/>
    <row r="1481" ht="11.95" customHeight="1" s="79"/>
    <row r="1482" ht="11.95" customHeight="1" s="79"/>
    <row r="1483" ht="11.95" customHeight="1" s="79"/>
    <row r="1484" ht="11.95" customHeight="1" s="79"/>
    <row r="1485" ht="11.95" customHeight="1" s="79"/>
    <row r="1486" ht="11.95" customHeight="1" s="79"/>
    <row r="1487" ht="11.95" customHeight="1" s="79"/>
    <row r="1488" ht="11.95" customHeight="1" s="79"/>
    <row r="1489" ht="11.95" customHeight="1" s="79"/>
    <row r="1490" ht="11.95" customHeight="1" s="79"/>
    <row r="1491" ht="11.95" customHeight="1" s="79"/>
    <row r="1492" ht="11.95" customHeight="1" s="79"/>
    <row r="1493" ht="11.95" customHeight="1" s="79"/>
    <row r="1494" ht="11.95" customHeight="1" s="79"/>
    <row r="1495" ht="11.95" customHeight="1" s="79"/>
    <row r="1496" ht="11.95" customHeight="1" s="79"/>
    <row r="1497" ht="11.95" customHeight="1" s="79"/>
    <row r="1498" ht="11.95" customHeight="1" s="79"/>
    <row r="1499" ht="11.95" customHeight="1" s="79"/>
    <row r="1500" ht="11.95" customHeight="1" s="79"/>
    <row r="1501" ht="11.95" customHeight="1" s="79"/>
    <row r="1502" ht="11.95" customHeight="1" s="79"/>
    <row r="1503" ht="11.95" customHeight="1" s="79"/>
    <row r="1504" ht="11.95" customHeight="1" s="79"/>
    <row r="1505" ht="11.95" customHeight="1" s="79"/>
    <row r="1506" ht="11.95" customHeight="1" s="79"/>
    <row r="1507" ht="11.95" customHeight="1" s="79"/>
    <row r="1508" ht="11.95" customHeight="1" s="79"/>
    <row r="1509" ht="11.95" customHeight="1" s="79"/>
    <row r="1510" ht="11.95" customHeight="1" s="79"/>
    <row r="1511" ht="11.95" customHeight="1" s="79"/>
    <row r="1512" ht="11.95" customHeight="1" s="79"/>
    <row r="1513" ht="11.95" customHeight="1" s="79"/>
    <row r="1514" ht="11.95" customHeight="1" s="79"/>
    <row r="1515" ht="11.95" customHeight="1" s="79"/>
    <row r="1516" ht="11.95" customHeight="1" s="79"/>
    <row r="1517" ht="11.95" customHeight="1" s="79"/>
    <row r="1518" ht="11.95" customHeight="1" s="79"/>
    <row r="1519" ht="11.95" customHeight="1" s="79"/>
    <row r="1520" ht="11.95" customHeight="1" s="79"/>
    <row r="1521" ht="11.95" customHeight="1" s="79"/>
    <row r="1522" ht="11.95" customHeight="1" s="79"/>
    <row r="1523" ht="11.95" customHeight="1" s="79"/>
    <row r="1524" ht="11.95" customHeight="1" s="79"/>
    <row r="1525" ht="11.95" customHeight="1" s="79"/>
    <row r="1526" ht="11.95" customHeight="1" s="79"/>
    <row r="1527" ht="11.95" customHeight="1" s="79"/>
    <row r="1528" ht="11.95" customHeight="1" s="79"/>
    <row r="1529" ht="11.95" customHeight="1" s="79"/>
    <row r="1530" ht="11.95" customHeight="1" s="79"/>
    <row r="1531" ht="11.95" customHeight="1" s="79"/>
    <row r="1532" ht="11.95" customHeight="1" s="79"/>
    <row r="1533" ht="11.95" customHeight="1" s="79"/>
    <row r="1534" ht="11.95" customHeight="1" s="79"/>
    <row r="1535" ht="11.95" customHeight="1" s="79"/>
    <row r="1536" ht="11.95" customHeight="1" s="79"/>
    <row r="1537" ht="11.95" customHeight="1" s="79"/>
    <row r="1538" ht="11.95" customHeight="1" s="79"/>
    <row r="1539" ht="11.95" customHeight="1" s="79"/>
    <row r="1540" ht="11.95" customHeight="1" s="79"/>
    <row r="1541" ht="11.95" customHeight="1" s="79"/>
    <row r="1542" ht="11.95" customHeight="1" s="79"/>
    <row r="1543" ht="11.95" customHeight="1" s="79"/>
    <row r="1544" ht="11.95" customHeight="1" s="79"/>
    <row r="1545" ht="11.95" customHeight="1" s="79"/>
    <row r="1546" ht="11.95" customHeight="1" s="79"/>
    <row r="1547" ht="11.95" customHeight="1" s="79"/>
    <row r="1548" ht="11.95" customHeight="1" s="79"/>
    <row r="1549" ht="11.95" customHeight="1" s="79"/>
    <row r="1550" ht="11.95" customHeight="1" s="79"/>
    <row r="1551" ht="11.95" customHeight="1" s="79"/>
    <row r="1552" ht="11.95" customHeight="1" s="79"/>
    <row r="1553" ht="11.95" customHeight="1" s="79"/>
    <row r="1554" ht="11.95" customHeight="1" s="79"/>
    <row r="1555" ht="11.95" customHeight="1" s="79"/>
    <row r="1556" ht="11.95" customHeight="1" s="79"/>
    <row r="1557" ht="11.95" customHeight="1" s="79"/>
    <row r="1558" ht="11.95" customHeight="1" s="79"/>
    <row r="1559" ht="11.95" customHeight="1" s="79"/>
    <row r="1560" ht="11.95" customHeight="1" s="79"/>
    <row r="1561" ht="11.95" customHeight="1" s="79"/>
    <row r="1562" ht="11.95" customHeight="1" s="79"/>
    <row r="1563" ht="11.95" customHeight="1" s="79"/>
    <row r="1564" ht="11.95" customHeight="1" s="79"/>
    <row r="1565" ht="11.95" customHeight="1" s="79"/>
    <row r="1566" ht="11.95" customHeight="1" s="79"/>
    <row r="1567" ht="11.95" customHeight="1" s="79"/>
    <row r="1568" ht="11.95" customHeight="1" s="79"/>
    <row r="1569" ht="11.95" customHeight="1" s="79"/>
    <row r="1570" ht="11.95" customHeight="1" s="79"/>
    <row r="1571" ht="11.95" customHeight="1" s="79"/>
    <row r="1572" ht="11.95" customHeight="1" s="79"/>
    <row r="1573" ht="11.95" customHeight="1" s="79"/>
    <row r="1574" ht="11.95" customHeight="1" s="79"/>
    <row r="1575" ht="11.95" customHeight="1" s="79"/>
    <row r="1576" ht="11.95" customHeight="1" s="79"/>
    <row r="1577" ht="11.95" customHeight="1" s="79"/>
    <row r="1578" ht="11.95" customHeight="1" s="79"/>
    <row r="1579" ht="11.95" customHeight="1" s="79"/>
    <row r="1580" ht="11.95" customHeight="1" s="79"/>
    <row r="1581" ht="11.95" customHeight="1" s="79"/>
    <row r="1582" ht="11.95" customHeight="1" s="79"/>
    <row r="1583" ht="11.95" customHeight="1" s="79"/>
    <row r="1584" ht="11.95" customHeight="1" s="79"/>
    <row r="1585" ht="11.95" customHeight="1" s="79"/>
    <row r="1586" ht="11.95" customHeight="1" s="79"/>
    <row r="1587" ht="11.95" customHeight="1" s="79"/>
    <row r="1588" ht="11.95" customHeight="1" s="79"/>
    <row r="1589" ht="11.95" customHeight="1" s="79"/>
    <row r="1590" ht="11.95" customHeight="1" s="79"/>
    <row r="1591" ht="11.95" customHeight="1" s="79"/>
    <row r="1592" ht="11.95" customHeight="1" s="79"/>
    <row r="1593" ht="11.95" customHeight="1" s="79"/>
    <row r="1594" ht="11.95" customHeight="1" s="79"/>
    <row r="1595" ht="11.95" customHeight="1" s="79"/>
    <row r="1596" ht="11.95" customHeight="1" s="79"/>
    <row r="1597" ht="11.95" customHeight="1" s="79"/>
    <row r="1598" ht="11.95" customHeight="1" s="79"/>
    <row r="1599" ht="11.95" customHeight="1" s="79"/>
    <row r="1600" ht="11.95" customHeight="1" s="79"/>
    <row r="1601" ht="11.95" customHeight="1" s="79"/>
    <row r="1602" ht="11.95" customHeight="1" s="79"/>
    <row r="1603" ht="11.95" customHeight="1" s="79"/>
    <row r="1604" ht="11.95" customHeight="1" s="79"/>
    <row r="1605" ht="11.95" customHeight="1" s="79"/>
    <row r="1606" ht="11.95" customHeight="1" s="79"/>
    <row r="1607" ht="11.95" customHeight="1" s="79"/>
    <row r="1608" ht="11.95" customHeight="1" s="79"/>
    <row r="1609" ht="11.95" customHeight="1" s="79"/>
    <row r="1610" ht="11.95" customHeight="1" s="79"/>
    <row r="1611" ht="11.95" customHeight="1" s="79"/>
    <row r="1612" ht="11.95" customHeight="1" s="79"/>
    <row r="1613" ht="11.95" customHeight="1" s="79"/>
    <row r="1614" ht="11.95" customHeight="1" s="79"/>
    <row r="1615" ht="11.95" customHeight="1" s="79"/>
    <row r="1616" ht="11.95" customHeight="1" s="79"/>
    <row r="1617" ht="11.95" customHeight="1" s="79"/>
    <row r="1618" ht="11.95" customHeight="1" s="79"/>
    <row r="1619" ht="11.95" customHeight="1" s="79"/>
    <row r="1620" ht="11.95" customHeight="1" s="79"/>
    <row r="1621" ht="11.95" customHeight="1" s="79"/>
    <row r="1622" ht="11.95" customHeight="1" s="79"/>
    <row r="1623" ht="11.95" customHeight="1" s="79"/>
    <row r="1624" ht="11.95" customHeight="1" s="79"/>
    <row r="1625" ht="11.95" customHeight="1" s="79"/>
    <row r="1626" ht="11.95" customHeight="1" s="79"/>
    <row r="1627" ht="11.95" customHeight="1" s="79"/>
    <row r="1628" ht="11.95" customHeight="1" s="79"/>
    <row r="1629" ht="11.95" customHeight="1" s="79"/>
    <row r="1630" ht="11.95" customHeight="1" s="79"/>
    <row r="1631" ht="11.95" customHeight="1" s="79"/>
    <row r="1632" ht="11.95" customHeight="1" s="79"/>
    <row r="1633" ht="11.95" customHeight="1" s="79"/>
    <row r="1634" ht="11.95" customHeight="1" s="79"/>
    <row r="1635" ht="11.95" customHeight="1" s="79"/>
    <row r="1636" ht="11.95" customHeight="1" s="79"/>
    <row r="1637" ht="11.95" customHeight="1" s="79"/>
    <row r="1638" ht="11.95" customHeight="1" s="79"/>
    <row r="1639" ht="11.95" customHeight="1" s="79"/>
    <row r="1640" ht="11.95" customHeight="1" s="79"/>
    <row r="1641" ht="11.95" customHeight="1" s="79"/>
    <row r="1642" ht="11.95" customHeight="1" s="79"/>
    <row r="1643" ht="11.95" customHeight="1" s="79"/>
    <row r="1644" ht="11.95" customHeight="1" s="79"/>
    <row r="1645" ht="11.95" customHeight="1" s="79"/>
    <row r="1646" ht="11.95" customHeight="1" s="79"/>
    <row r="1647" ht="11.95" customHeight="1" s="79"/>
    <row r="1648" ht="11.95" customHeight="1" s="79"/>
    <row r="1649" ht="11.95" customHeight="1" s="79"/>
    <row r="1650" ht="11.95" customHeight="1" s="79"/>
    <row r="1651" ht="11.95" customHeight="1" s="79"/>
    <row r="1652" ht="11.95" customHeight="1" s="79"/>
    <row r="1653" ht="11.95" customHeight="1" s="79"/>
    <row r="1654" ht="11.95" customHeight="1" s="79"/>
    <row r="1655" ht="11.95" customHeight="1" s="79"/>
    <row r="1656" ht="11.95" customHeight="1" s="79"/>
    <row r="1657" ht="11.95" customHeight="1" s="79"/>
    <row r="1658" ht="11.95" customHeight="1" s="79"/>
    <row r="1659" ht="11.95" customHeight="1" s="79"/>
    <row r="1660" ht="11.95" customHeight="1" s="79"/>
    <row r="1661" ht="11.95" customHeight="1" s="79"/>
    <row r="1662" ht="11.95" customHeight="1" s="79"/>
    <row r="1663" ht="11.95" customHeight="1" s="79"/>
    <row r="1664" ht="11.95" customHeight="1" s="79"/>
    <row r="1665" ht="11.95" customHeight="1" s="79"/>
    <row r="1666" ht="11.95" customHeight="1" s="79"/>
    <row r="1667" ht="11.95" customHeight="1" s="79"/>
    <row r="1668" ht="11.95" customHeight="1" s="79"/>
    <row r="1669" ht="11.95" customHeight="1" s="79"/>
    <row r="1670" ht="11.95" customHeight="1" s="79"/>
    <row r="1671" ht="11.95" customHeight="1" s="79"/>
    <row r="1672" ht="11.95" customHeight="1" s="79"/>
    <row r="1673" ht="11.95" customHeight="1" s="79"/>
    <row r="1674" ht="11.95" customHeight="1" s="79"/>
    <row r="1675" ht="11.95" customHeight="1" s="79"/>
    <row r="1676" ht="11.95" customHeight="1" s="79"/>
    <row r="1677" ht="11.95" customHeight="1" s="79"/>
    <row r="1678" ht="11.95" customHeight="1" s="79"/>
    <row r="1679" ht="11.95" customHeight="1" s="79"/>
    <row r="1680" ht="11.95" customHeight="1" s="79"/>
    <row r="1681" ht="11.95" customHeight="1" s="79"/>
    <row r="1682" ht="11.95" customHeight="1" s="79"/>
    <row r="1683" ht="11.95" customHeight="1" s="79"/>
    <row r="1684" ht="11.95" customHeight="1" s="79"/>
    <row r="1685" ht="11.95" customHeight="1" s="79"/>
    <row r="1686" ht="11.95" customHeight="1" s="79"/>
    <row r="1687" ht="11.95" customHeight="1" s="79"/>
    <row r="1688" ht="11.95" customHeight="1" s="79"/>
    <row r="1689" ht="11.95" customHeight="1" s="79"/>
    <row r="1690" ht="11.95" customHeight="1" s="79"/>
    <row r="1691" ht="11.95" customHeight="1" s="79"/>
    <row r="1692" ht="11.95" customHeight="1" s="79"/>
    <row r="1693" ht="11.95" customHeight="1" s="79"/>
    <row r="1694" ht="11.95" customHeight="1" s="79"/>
    <row r="1695" ht="11.95" customHeight="1" s="79"/>
    <row r="1696" ht="11.95" customHeight="1" s="79"/>
    <row r="1697" ht="11.95" customHeight="1" s="79"/>
    <row r="1698" ht="11.95" customHeight="1" s="79"/>
    <row r="1699" ht="11.95" customHeight="1" s="79"/>
    <row r="1700" ht="11.95" customHeight="1" s="79"/>
    <row r="1701" ht="11.95" customHeight="1" s="79"/>
    <row r="1702" ht="11.95" customHeight="1" s="79"/>
    <row r="1703" ht="11.95" customHeight="1" s="79"/>
    <row r="1704" ht="11.95" customHeight="1" s="79"/>
    <row r="1705" ht="11.95" customHeight="1" s="79"/>
    <row r="1706" ht="11.95" customHeight="1" s="79"/>
    <row r="1707" ht="11.95" customHeight="1" s="79"/>
    <row r="1708" ht="11.95" customHeight="1" s="79"/>
    <row r="1709" ht="11.95" customHeight="1" s="79"/>
    <row r="1710" ht="11.95" customHeight="1" s="79"/>
    <row r="1711" ht="11.95" customHeight="1" s="79"/>
    <row r="1712" ht="11.95" customHeight="1" s="79"/>
    <row r="1713" ht="11.95" customHeight="1" s="79"/>
    <row r="1714" ht="11.95" customHeight="1" s="79"/>
    <row r="1715" ht="11.95" customHeight="1" s="79"/>
    <row r="1716" ht="11.95" customHeight="1" s="79"/>
    <row r="1717" ht="11.95" customHeight="1" s="79"/>
    <row r="1718" ht="11.95" customHeight="1" s="79"/>
    <row r="1719" ht="11.95" customHeight="1" s="79"/>
    <row r="1720" ht="11.95" customHeight="1" s="79"/>
    <row r="1721" ht="11.95" customHeight="1" s="79"/>
    <row r="1722" ht="11.95" customHeight="1" s="79"/>
    <row r="1723" ht="11.95" customHeight="1" s="79"/>
    <row r="1724" ht="11.95" customHeight="1" s="79"/>
    <row r="1725" ht="11.95" customHeight="1" s="79"/>
    <row r="1726" ht="11.95" customHeight="1" s="79"/>
    <row r="1727" ht="11.95" customHeight="1" s="79"/>
    <row r="1728" ht="11.95" customHeight="1" s="79"/>
    <row r="1729" ht="11.95" customHeight="1" s="79"/>
    <row r="1730" ht="11.95" customHeight="1" s="79"/>
    <row r="1731" ht="11.95" customHeight="1" s="79"/>
    <row r="1732" ht="11.95" customHeight="1" s="79"/>
    <row r="1733" ht="11.95" customHeight="1" s="79"/>
    <row r="1734" ht="11.95" customHeight="1" s="79"/>
    <row r="1735" ht="11.95" customHeight="1" s="79"/>
    <row r="1736" ht="11.95" customHeight="1" s="79"/>
    <row r="1737" ht="11.95" customHeight="1" s="79"/>
    <row r="1738" ht="11.95" customHeight="1" s="79"/>
    <row r="1739" ht="11.95" customHeight="1" s="79"/>
    <row r="1740" ht="11.95" customHeight="1" s="79"/>
    <row r="1741" ht="11.95" customHeight="1" s="79"/>
    <row r="1742" ht="11.95" customHeight="1" s="79"/>
    <row r="1743" ht="11.95" customHeight="1" s="79"/>
    <row r="1744" ht="11.95" customHeight="1" s="79"/>
    <row r="1745" ht="11.95" customHeight="1" s="79"/>
    <row r="1746" ht="11.95" customHeight="1" s="79"/>
    <row r="1747" ht="11.95" customHeight="1" s="79"/>
    <row r="1748" ht="11.95" customHeight="1" s="79"/>
    <row r="1749" ht="11.95" customHeight="1" s="79"/>
    <row r="1750" ht="11.95" customHeight="1" s="79"/>
    <row r="1751" ht="11.95" customHeight="1" s="79"/>
    <row r="1752" ht="11.95" customHeight="1" s="79"/>
    <row r="1753" ht="11.95" customHeight="1" s="79"/>
    <row r="1754" ht="11.95" customHeight="1" s="79"/>
    <row r="1755" ht="11.95" customHeight="1" s="79"/>
    <row r="1756" ht="11.95" customHeight="1" s="79"/>
    <row r="1757" ht="11.95" customHeight="1" s="79"/>
    <row r="1758" ht="11.95" customHeight="1" s="79"/>
    <row r="1759" ht="11.95" customHeight="1" s="79"/>
    <row r="1760" ht="11.95" customHeight="1" s="79"/>
    <row r="1761" ht="11.95" customHeight="1" s="79"/>
    <row r="1762" ht="11.95" customHeight="1" s="79"/>
    <row r="1763" ht="11.95" customHeight="1" s="79"/>
    <row r="1764" ht="11.95" customHeight="1" s="79"/>
    <row r="1765" ht="11.95" customHeight="1" s="79"/>
    <row r="1766" ht="11.95" customHeight="1" s="79"/>
    <row r="1767" ht="11.95" customHeight="1" s="79"/>
    <row r="1768" ht="11.95" customHeight="1" s="79"/>
    <row r="1769" ht="11.95" customHeight="1" s="79"/>
    <row r="1770" ht="11.95" customHeight="1" s="79"/>
    <row r="1771" ht="11.95" customHeight="1" s="79"/>
    <row r="1772" ht="11.95" customHeight="1" s="79"/>
    <row r="1773" ht="11.95" customHeight="1" s="79"/>
    <row r="1774" ht="11.95" customHeight="1" s="79"/>
    <row r="1775" ht="11.95" customHeight="1" s="79"/>
    <row r="1776" ht="11.95" customHeight="1" s="79"/>
    <row r="1777" ht="11.95" customHeight="1" s="79"/>
    <row r="1778" ht="11.95" customHeight="1" s="79"/>
    <row r="1779" ht="11.95" customHeight="1" s="79"/>
    <row r="1780" ht="11.95" customHeight="1" s="79"/>
    <row r="1781" ht="11.95" customHeight="1" s="79"/>
    <row r="1782" ht="11.95" customHeight="1" s="79"/>
    <row r="1783" ht="11.95" customHeight="1" s="79"/>
    <row r="1784" ht="11.95" customHeight="1" s="79"/>
    <row r="1785" ht="11.95" customHeight="1" s="79"/>
    <row r="1786" ht="11.95" customHeight="1" s="79"/>
    <row r="1787" ht="11.95" customHeight="1" s="79"/>
    <row r="1788" ht="11.95" customHeight="1" s="79"/>
    <row r="1789" ht="11.95" customHeight="1" s="79"/>
    <row r="1790" ht="11.95" customHeight="1" s="79"/>
    <row r="1791" ht="11.95" customHeight="1" s="79"/>
    <row r="1792" ht="11.95" customHeight="1" s="79"/>
    <row r="1793" ht="11.95" customHeight="1" s="79"/>
    <row r="1794" ht="11.95" customHeight="1" s="79"/>
    <row r="1795" ht="11.95" customHeight="1" s="79"/>
    <row r="1796" ht="11.95" customHeight="1" s="79"/>
    <row r="1797" ht="11.95" customHeight="1" s="79"/>
    <row r="1798" ht="11.95" customHeight="1" s="79"/>
    <row r="1799" ht="11.95" customHeight="1" s="79"/>
    <row r="1800" ht="11.95" customHeight="1" s="79"/>
    <row r="1801" ht="11.95" customHeight="1" s="79"/>
    <row r="1802" ht="11.95" customHeight="1" s="79"/>
    <row r="1803" ht="11.95" customHeight="1" s="79"/>
    <row r="1804" ht="11.95" customHeight="1" s="79"/>
    <row r="1805" ht="11.95" customHeight="1" s="79"/>
    <row r="1806" ht="11.95" customHeight="1" s="79"/>
    <row r="1807" ht="11.95" customHeight="1" s="79"/>
    <row r="1808" ht="11.95" customHeight="1" s="79"/>
    <row r="1809" ht="11.95" customHeight="1" s="79"/>
    <row r="1810" ht="11.95" customHeight="1" s="79"/>
    <row r="1811" ht="11.95" customHeight="1" s="79"/>
    <row r="1812" ht="11.95" customHeight="1" s="79"/>
    <row r="1813" ht="11.95" customHeight="1" s="79"/>
    <row r="1814" ht="11.95" customHeight="1" s="79"/>
    <row r="1815" ht="11.95" customHeight="1" s="79"/>
    <row r="1816" ht="11.95" customHeight="1" s="79"/>
    <row r="1817" ht="11.95" customHeight="1" s="79"/>
    <row r="1818" ht="11.95" customHeight="1" s="79"/>
    <row r="1819" ht="11.95" customHeight="1" s="79"/>
    <row r="1820" ht="11.95" customHeight="1" s="79"/>
    <row r="1821" ht="11.95" customHeight="1" s="79"/>
    <row r="1822" ht="11.95" customHeight="1" s="79"/>
    <row r="1823" ht="11.95" customHeight="1" s="79"/>
    <row r="1824" ht="11.95" customHeight="1" s="79"/>
    <row r="1825" ht="11.95" customHeight="1" s="79"/>
    <row r="1826" ht="11.95" customHeight="1" s="79"/>
    <row r="1827" ht="11.95" customHeight="1" s="79"/>
    <row r="1828" ht="11.95" customHeight="1" s="79"/>
    <row r="1829" ht="11.95" customHeight="1" s="79"/>
    <row r="1830" ht="11.95" customHeight="1" s="79"/>
    <row r="1831" ht="11.95" customHeight="1" s="79"/>
    <row r="1832" ht="11.95" customHeight="1" s="79"/>
    <row r="1833" ht="11.95" customHeight="1" s="79"/>
    <row r="1834" ht="11.95" customHeight="1" s="79"/>
    <row r="1835" ht="11.95" customHeight="1" s="79"/>
    <row r="1836" ht="11.95" customHeight="1" s="79"/>
    <row r="1837" ht="11.95" customHeight="1" s="79"/>
    <row r="1838" ht="11.95" customHeight="1" s="79"/>
    <row r="1839" ht="11.95" customHeight="1" s="79"/>
    <row r="1840" ht="11.95" customHeight="1" s="79"/>
    <row r="1841" ht="11.95" customHeight="1" s="79"/>
    <row r="1842" ht="11.95" customHeight="1" s="79"/>
    <row r="1843" ht="11.95" customHeight="1" s="79"/>
    <row r="1844" ht="11.95" customHeight="1" s="79"/>
    <row r="1845" ht="11.95" customHeight="1" s="79"/>
    <row r="1846" ht="11.95" customHeight="1" s="79"/>
    <row r="1847" ht="11.95" customHeight="1" s="79"/>
    <row r="1848" ht="11.95" customHeight="1" s="79"/>
    <row r="1849" ht="11.95" customHeight="1" s="79"/>
    <row r="1850" ht="11.95" customHeight="1" s="79"/>
    <row r="1851" ht="11.95" customHeight="1" s="79"/>
    <row r="1852" ht="11.95" customHeight="1" s="79"/>
    <row r="1853" ht="11.95" customHeight="1" s="79"/>
    <row r="1854" ht="11.95" customHeight="1" s="79"/>
    <row r="1855" ht="11.95" customHeight="1" s="79"/>
    <row r="1856" ht="11.95" customHeight="1" s="79"/>
    <row r="1857" ht="11.95" customHeight="1" s="79"/>
    <row r="1858" ht="11.95" customHeight="1" s="79"/>
    <row r="1859" ht="11.95" customHeight="1" s="79"/>
    <row r="1860" ht="11.95" customHeight="1" s="79"/>
    <row r="1861" ht="11.95" customHeight="1" s="79"/>
    <row r="1862" ht="11.95" customHeight="1" s="79"/>
    <row r="1863" ht="11.95" customHeight="1" s="79"/>
    <row r="1864" ht="11.95" customHeight="1" s="79"/>
    <row r="1865" ht="11.95" customHeight="1" s="79"/>
    <row r="1866" ht="11.95" customHeight="1" s="79"/>
    <row r="1867" ht="11.95" customHeight="1" s="79"/>
    <row r="1868" ht="11.95" customHeight="1" s="79"/>
    <row r="1869" ht="11.95" customHeight="1" s="79"/>
    <row r="1870" ht="11.95" customHeight="1" s="79"/>
    <row r="1871" ht="11.95" customHeight="1" s="79"/>
    <row r="1872" ht="11.95" customHeight="1" s="79"/>
    <row r="1873" ht="11.95" customHeight="1" s="79"/>
    <row r="1874" ht="11.95" customHeight="1" s="79"/>
    <row r="1875" ht="11.95" customHeight="1" s="79"/>
    <row r="1876" ht="11.95" customHeight="1" s="79"/>
    <row r="1877" ht="11.95" customHeight="1" s="79"/>
    <row r="1878" ht="11.95" customHeight="1" s="79"/>
    <row r="1879" ht="11.95" customHeight="1" s="79"/>
    <row r="1880" ht="11.95" customHeight="1" s="79"/>
    <row r="1881" ht="11.95" customHeight="1" s="79"/>
    <row r="1882" ht="11.95" customHeight="1" s="79"/>
    <row r="1883" ht="11.95" customHeight="1" s="79"/>
    <row r="1884" ht="11.95" customHeight="1" s="79"/>
    <row r="1885" ht="11.95" customHeight="1" s="79"/>
    <row r="1886" ht="11.95" customHeight="1" s="79"/>
    <row r="1887" ht="11.95" customHeight="1" s="79"/>
    <row r="1888" ht="11.95" customHeight="1" s="79"/>
    <row r="1889" ht="11.95" customHeight="1" s="79"/>
    <row r="1890" ht="11.95" customHeight="1" s="79"/>
    <row r="1891" ht="11.95" customHeight="1" s="79"/>
    <row r="1892" ht="11.95" customHeight="1" s="79"/>
    <row r="1893" ht="11.95" customHeight="1" s="79"/>
    <row r="1894" ht="11.95" customHeight="1" s="79"/>
    <row r="1895" ht="11.95" customHeight="1" s="79"/>
    <row r="1896" ht="11.95" customHeight="1" s="79"/>
    <row r="1897" ht="11.95" customHeight="1" s="79"/>
    <row r="1898" ht="11.95" customHeight="1" s="79"/>
    <row r="1899" ht="11.95" customHeight="1" s="79"/>
    <row r="1900" ht="11.95" customHeight="1" s="79"/>
    <row r="1901" ht="11.95" customHeight="1" s="79"/>
    <row r="1902" ht="11.95" customHeight="1" s="79"/>
    <row r="1903" ht="11.95" customHeight="1" s="79"/>
    <row r="1904" ht="11.95" customHeight="1" s="79"/>
    <row r="1905" ht="11.95" customHeight="1" s="79"/>
    <row r="1906" ht="11.95" customHeight="1" s="79"/>
    <row r="1907" ht="11.95" customHeight="1" s="79"/>
    <row r="1908" ht="11.95" customHeight="1" s="79"/>
    <row r="1909" ht="11.95" customHeight="1" s="79"/>
    <row r="1910" ht="11.95" customHeight="1" s="79"/>
    <row r="1911" ht="11.95" customHeight="1" s="79"/>
    <row r="1912" ht="11.95" customHeight="1" s="79"/>
    <row r="1913" ht="11.95" customHeight="1" s="79"/>
    <row r="1914" ht="11.95" customHeight="1" s="79"/>
    <row r="1915" ht="11.95" customHeight="1" s="79"/>
    <row r="1916" ht="11.95" customHeight="1" s="79"/>
    <row r="1917" ht="11.95" customHeight="1" s="79"/>
    <row r="1918" ht="11.95" customHeight="1" s="79"/>
    <row r="1919" ht="11.95" customHeight="1" s="79"/>
    <row r="1920" ht="11.95" customHeight="1" s="79"/>
    <row r="1921" ht="11.95" customHeight="1" s="79"/>
    <row r="1922" ht="11.95" customHeight="1" s="79"/>
    <row r="1923" ht="11.95" customHeight="1" s="79"/>
    <row r="1924" ht="11.95" customHeight="1" s="79"/>
    <row r="1925" ht="11.95" customHeight="1" s="79"/>
    <row r="1926" ht="11.95" customHeight="1" s="79"/>
    <row r="1927" ht="11.95" customHeight="1" s="79"/>
    <row r="1928" ht="11.95" customHeight="1" s="79"/>
    <row r="1929" ht="11.95" customHeight="1" s="79"/>
    <row r="1930" ht="11.95" customHeight="1" s="79"/>
    <row r="1931" ht="11.95" customHeight="1" s="79"/>
    <row r="1932" ht="11.95" customHeight="1" s="79"/>
    <row r="1933" ht="11.95" customHeight="1" s="79"/>
    <row r="1934" ht="11.95" customHeight="1" s="79"/>
    <row r="1935" ht="11.95" customHeight="1" s="79"/>
    <row r="1936" ht="11.95" customHeight="1" s="79"/>
    <row r="1937" ht="11.95" customHeight="1" s="79"/>
    <row r="1938" ht="11.95" customHeight="1" s="79"/>
    <row r="1939" ht="11.95" customHeight="1" s="79"/>
    <row r="1940" ht="11.95" customHeight="1" s="79"/>
    <row r="1941" ht="11.95" customHeight="1" s="79"/>
    <row r="1942" ht="11.95" customHeight="1" s="79"/>
    <row r="1943" ht="11.95" customHeight="1" s="79"/>
    <row r="1944" ht="11.95" customHeight="1" s="79"/>
    <row r="1945" ht="11.95" customHeight="1" s="79"/>
    <row r="1946" ht="11.95" customHeight="1" s="79"/>
    <row r="1947" ht="11.95" customHeight="1" s="79"/>
    <row r="1948" ht="11.95" customHeight="1" s="79"/>
    <row r="1949" ht="11.95" customHeight="1" s="79"/>
    <row r="1950" ht="11.95" customHeight="1" s="79"/>
    <row r="1951" ht="11.95" customHeight="1" s="79"/>
    <row r="1952" ht="11.95" customHeight="1" s="79"/>
    <row r="1953" ht="11.95" customHeight="1" s="79"/>
    <row r="1954" ht="11.95" customHeight="1" s="79"/>
    <row r="1955" ht="11.95" customHeight="1" s="79"/>
    <row r="1956" ht="11.95" customHeight="1" s="79"/>
    <row r="1957" ht="11.95" customHeight="1" s="79"/>
    <row r="1958" ht="11.95" customHeight="1" s="79"/>
    <row r="1959" ht="11.95" customHeight="1" s="79"/>
    <row r="1960" ht="11.95" customHeight="1" s="79"/>
    <row r="1961" ht="11.95" customHeight="1" s="79"/>
    <row r="1962" ht="11.95" customHeight="1" s="79"/>
    <row r="1963" ht="11.95" customHeight="1" s="79"/>
    <row r="1964" ht="11.95" customHeight="1" s="79"/>
    <row r="1965" ht="11.95" customHeight="1" s="79"/>
    <row r="1966" ht="11.95" customHeight="1" s="79"/>
    <row r="1967" ht="11.95" customHeight="1" s="79"/>
    <row r="1968" ht="11.95" customHeight="1" s="79"/>
    <row r="1969" ht="11.95" customHeight="1" s="79"/>
    <row r="1970" ht="11.95" customHeight="1" s="79"/>
    <row r="1971" ht="11.95" customHeight="1" s="79"/>
    <row r="1972" ht="11.95" customHeight="1" s="79"/>
    <row r="1973" ht="11.95" customHeight="1" s="79"/>
    <row r="1974" ht="11.95" customHeight="1" s="79"/>
    <row r="1975" ht="11.95" customHeight="1" s="79"/>
    <row r="1976" ht="11.95" customHeight="1" s="79"/>
    <row r="1977" ht="11.95" customHeight="1" s="79"/>
    <row r="1978" ht="11.95" customHeight="1" s="79"/>
    <row r="1979" ht="11.95" customHeight="1" s="79"/>
    <row r="1980" ht="11.95" customHeight="1" s="79"/>
    <row r="1981" ht="11.95" customHeight="1" s="79"/>
    <row r="1982" ht="11.95" customHeight="1" s="79"/>
    <row r="1983" ht="11.95" customHeight="1" s="79"/>
    <row r="1984" ht="11.95" customHeight="1" s="79"/>
    <row r="1985" ht="11.95" customHeight="1" s="79"/>
    <row r="1986" ht="11.95" customHeight="1" s="79"/>
    <row r="1987" ht="11.95" customHeight="1" s="79"/>
    <row r="1988" ht="11.95" customHeight="1" s="79"/>
    <row r="1989" ht="11.95" customHeight="1" s="79"/>
    <row r="1990" ht="11.95" customHeight="1" s="79"/>
    <row r="1991" ht="11.95" customHeight="1" s="79"/>
    <row r="1992" ht="11.95" customHeight="1" s="79"/>
    <row r="1993" ht="11.95" customHeight="1" s="79"/>
    <row r="1994" ht="11.95" customHeight="1" s="79"/>
    <row r="1995" ht="11.95" customHeight="1" s="79"/>
    <row r="1996" ht="11.95" customHeight="1" s="79"/>
    <row r="1997" ht="11.95" customHeight="1" s="79"/>
    <row r="1998" ht="11.95" customHeight="1" s="79"/>
    <row r="1999" ht="11.95" customHeight="1" s="79"/>
    <row r="2000" ht="11.95" customHeight="1" s="79"/>
    <row r="2001" ht="11.95" customHeight="1" s="79"/>
    <row r="2002" ht="11.95" customHeight="1" s="79"/>
    <row r="2003" ht="11.95" customHeight="1" s="79"/>
    <row r="2004" ht="11.95" customHeight="1" s="79"/>
    <row r="2005" ht="11.95" customHeight="1" s="79"/>
    <row r="2006" ht="11.95" customHeight="1" s="79"/>
    <row r="2007" ht="11.95" customHeight="1" s="79"/>
    <row r="2008" ht="11.95" customHeight="1" s="79"/>
    <row r="2009" ht="11.95" customHeight="1" s="79"/>
    <row r="2010" ht="11.95" customHeight="1" s="79"/>
    <row r="2011" ht="11.95" customHeight="1" s="79"/>
    <row r="2012" ht="11.95" customHeight="1" s="79"/>
    <row r="2013" ht="11.95" customHeight="1" s="79"/>
    <row r="2014" ht="11.95" customHeight="1" s="79"/>
    <row r="2015" ht="11.95" customHeight="1" s="79"/>
    <row r="2016" ht="11.95" customHeight="1" s="79"/>
    <row r="2017" ht="11.95" customHeight="1" s="79"/>
    <row r="2018" ht="11.95" customHeight="1" s="79"/>
    <row r="2019" ht="11.95" customHeight="1" s="79"/>
    <row r="2020" ht="11.95" customHeight="1" s="79"/>
    <row r="2021" ht="11.95" customHeight="1" s="79"/>
    <row r="2022" ht="11.95" customHeight="1" s="79"/>
    <row r="2023" ht="11.95" customHeight="1" s="79"/>
    <row r="2024" ht="11.95" customHeight="1" s="79"/>
    <row r="2025" ht="11.95" customHeight="1" s="79"/>
    <row r="2026" ht="11.95" customHeight="1" s="79"/>
    <row r="2027" ht="11.95" customHeight="1" s="79"/>
    <row r="2028" ht="11.95" customHeight="1" s="79"/>
    <row r="2029" ht="11.95" customHeight="1" s="79"/>
    <row r="2030" ht="11.95" customHeight="1" s="79"/>
    <row r="2031" ht="11.95" customHeight="1" s="79"/>
    <row r="2032" ht="11.95" customHeight="1" s="79"/>
    <row r="2033" ht="11.95" customHeight="1" s="79"/>
    <row r="2034" ht="11.95" customHeight="1" s="79"/>
    <row r="2035" ht="11.95" customHeight="1" s="79"/>
    <row r="2036" ht="11.95" customHeight="1" s="79"/>
    <row r="2037" ht="11.95" customHeight="1" s="79"/>
    <row r="2038" ht="11.95" customHeight="1" s="79"/>
    <row r="2039" ht="11.95" customHeight="1" s="79"/>
    <row r="2040" ht="11.95" customHeight="1" s="79"/>
    <row r="2041" ht="11.95" customHeight="1" s="79"/>
    <row r="2042" ht="11.95" customHeight="1" s="79"/>
    <row r="2043" ht="11.95" customHeight="1" s="79"/>
    <row r="2044" ht="11.95" customHeight="1" s="79"/>
    <row r="2045" ht="11.95" customHeight="1" s="79"/>
    <row r="2046" ht="11.95" customHeight="1" s="79"/>
    <row r="2047" ht="11.95" customHeight="1" s="79"/>
    <row r="2048" ht="11.95" customHeight="1" s="79"/>
    <row r="2049" ht="11.95" customHeight="1" s="79"/>
    <row r="2050" ht="11.95" customHeight="1" s="79"/>
    <row r="2051" ht="11.95" customHeight="1" s="79"/>
    <row r="2052" ht="11.95" customHeight="1" s="79"/>
    <row r="2053" ht="11.95" customHeight="1" s="79"/>
    <row r="2054" ht="11.95" customHeight="1" s="79"/>
    <row r="2055" ht="11.95" customHeight="1" s="79"/>
    <row r="2056" ht="11.95" customHeight="1" s="79"/>
    <row r="2057" ht="11.95" customHeight="1" s="79"/>
    <row r="2058" ht="11.95" customHeight="1" s="79"/>
    <row r="2059" ht="11.95" customHeight="1" s="79"/>
    <row r="2060" ht="11.95" customHeight="1" s="79"/>
    <row r="2061" ht="11.95" customHeight="1" s="79"/>
    <row r="2062" ht="11.95" customHeight="1" s="79"/>
    <row r="2063" ht="11.95" customHeight="1" s="79"/>
    <row r="2064" ht="11.95" customHeight="1" s="79"/>
    <row r="2065" ht="11.95" customHeight="1" s="79"/>
    <row r="2066" ht="11.95" customHeight="1" s="79"/>
    <row r="2067" ht="11.95" customHeight="1" s="79"/>
    <row r="2068" ht="11.95" customHeight="1" s="79"/>
    <row r="2069" ht="11.95" customHeight="1" s="79"/>
    <row r="2070" ht="11.95" customHeight="1" s="79"/>
    <row r="2071" ht="11.95" customHeight="1" s="79"/>
    <row r="2072" ht="11.95" customHeight="1" s="79"/>
    <row r="2073" ht="11.95" customHeight="1" s="79"/>
    <row r="2074" ht="11.95" customHeight="1" s="79"/>
    <row r="2075" ht="11.95" customHeight="1" s="79"/>
    <row r="2076" ht="11.95" customHeight="1" s="79"/>
    <row r="2077" ht="11.95" customHeight="1" s="79"/>
    <row r="2078" ht="11.95" customHeight="1" s="79"/>
    <row r="2079" ht="11.95" customHeight="1" s="79"/>
    <row r="2080" ht="11.95" customHeight="1" s="79"/>
    <row r="2081" ht="11.95" customHeight="1" s="79"/>
    <row r="2082" ht="11.95" customHeight="1" s="79"/>
    <row r="2083" ht="11.95" customHeight="1" s="79"/>
    <row r="2084" ht="11.95" customHeight="1" s="79"/>
    <row r="2085" ht="11.95" customHeight="1" s="79"/>
    <row r="2086" ht="11.95" customHeight="1" s="79"/>
    <row r="2087" ht="11.95" customHeight="1" s="79"/>
    <row r="2088" ht="11.95" customHeight="1" s="79"/>
    <row r="2089" ht="11.95" customHeight="1" s="79"/>
    <row r="2090" ht="11.95" customHeight="1" s="79"/>
    <row r="2091" ht="11.95" customHeight="1" s="79"/>
    <row r="2092" ht="11.95" customHeight="1" s="79"/>
    <row r="2093" ht="11.95" customHeight="1" s="79"/>
    <row r="2094" ht="11.95" customHeight="1" s="79"/>
    <row r="2095" ht="11.95" customHeight="1" s="79"/>
    <row r="2096" ht="11.95" customHeight="1" s="79"/>
    <row r="2097" ht="11.95" customHeight="1" s="79"/>
    <row r="2098" ht="11.95" customHeight="1" s="79"/>
    <row r="2099" ht="11.95" customHeight="1" s="79"/>
    <row r="2100" ht="11.95" customHeight="1" s="79"/>
    <row r="2101" ht="11.95" customHeight="1" s="79"/>
    <row r="2102" ht="11.95" customHeight="1" s="79"/>
    <row r="2103" ht="11.95" customHeight="1" s="79"/>
    <row r="2104" ht="11.95" customHeight="1" s="79"/>
    <row r="2105" ht="11.95" customHeight="1" s="79"/>
    <row r="2106" ht="11.95" customHeight="1" s="79"/>
    <row r="2107" ht="11.95" customHeight="1" s="79"/>
    <row r="2108" ht="11.95" customHeight="1" s="79"/>
    <row r="2109" ht="11.95" customHeight="1" s="79"/>
    <row r="2110" ht="11.95" customHeight="1" s="79"/>
    <row r="2111" ht="11.95" customHeight="1" s="79"/>
    <row r="2112" ht="11.95" customHeight="1" s="79"/>
    <row r="2113" ht="11.95" customHeight="1" s="79"/>
    <row r="2114" ht="11.95" customHeight="1" s="79"/>
    <row r="2115" ht="11.95" customHeight="1" s="79"/>
    <row r="2116" ht="11.95" customHeight="1" s="79"/>
    <row r="2117" ht="11.95" customHeight="1" s="79"/>
    <row r="2118" ht="11.95" customHeight="1" s="79"/>
    <row r="2119" ht="11.95" customHeight="1" s="79"/>
    <row r="2120" ht="11.95" customHeight="1" s="79"/>
    <row r="2121" ht="11.95" customHeight="1" s="79"/>
    <row r="2122" ht="11.95" customHeight="1" s="79"/>
    <row r="2123" ht="11.95" customHeight="1" s="79"/>
    <row r="2124" ht="11.95" customHeight="1" s="79"/>
    <row r="2125" ht="11.95" customHeight="1" s="79"/>
    <row r="2126" ht="11.95" customHeight="1" s="79"/>
    <row r="2127" ht="11.95" customHeight="1" s="79"/>
    <row r="2128" ht="11.95" customHeight="1" s="79"/>
    <row r="2129" ht="11.95" customHeight="1" s="79"/>
    <row r="2130" ht="11.95" customHeight="1" s="79"/>
    <row r="2131" ht="11.95" customHeight="1" s="79"/>
    <row r="2132" ht="11.95" customHeight="1" s="79"/>
    <row r="2133" ht="11.95" customHeight="1" s="79"/>
    <row r="2134" ht="11.95" customHeight="1" s="79"/>
    <row r="2135" ht="11.95" customHeight="1" s="79"/>
    <row r="2136" ht="11.95" customHeight="1" s="79"/>
    <row r="2137" ht="11.95" customHeight="1" s="79"/>
    <row r="2138" ht="11.95" customHeight="1" s="79"/>
    <row r="2139" ht="11.95" customHeight="1" s="79"/>
    <row r="2140" ht="11.95" customHeight="1" s="79"/>
    <row r="2141" ht="11.95" customHeight="1" s="79"/>
    <row r="2142" ht="11.95" customHeight="1" s="79"/>
    <row r="2143" ht="11.95" customHeight="1" s="79"/>
    <row r="2144" ht="11.95" customHeight="1" s="79"/>
    <row r="2145" ht="11.95" customHeight="1" s="79"/>
    <row r="2146" ht="11.95" customHeight="1" s="79"/>
    <row r="2147" ht="11.95" customHeight="1" s="79"/>
    <row r="2148" ht="11.95" customHeight="1" s="79"/>
    <row r="2149" ht="11.95" customHeight="1" s="79"/>
    <row r="2150" ht="11.95" customHeight="1" s="79"/>
    <row r="2151" ht="11.95" customHeight="1" s="79"/>
    <row r="2152" ht="11.95" customHeight="1" s="79"/>
    <row r="2153" ht="11.95" customHeight="1" s="79"/>
    <row r="2154" ht="11.95" customHeight="1" s="79"/>
    <row r="2155" ht="11.95" customHeight="1" s="79"/>
    <row r="2156" ht="11.95" customHeight="1" s="79"/>
    <row r="2157" ht="11.95" customHeight="1" s="79"/>
    <row r="2158" ht="11.95" customHeight="1" s="79"/>
    <row r="2159" ht="11.95" customHeight="1" s="79"/>
    <row r="2160" ht="11.95" customHeight="1" s="79"/>
    <row r="2161" ht="11.95" customHeight="1" s="79"/>
    <row r="2162" ht="11.95" customHeight="1" s="79"/>
    <row r="2163" ht="11.95" customHeight="1" s="79"/>
    <row r="2164" ht="11.95" customHeight="1" s="79"/>
    <row r="2165" ht="11.95" customHeight="1" s="79"/>
    <row r="2166" ht="11.95" customHeight="1" s="79"/>
    <row r="2167" ht="11.95" customHeight="1" s="79"/>
    <row r="2168" ht="11.95" customHeight="1" s="79"/>
    <row r="2169" ht="11.95" customHeight="1" s="79"/>
    <row r="2170" ht="11.95" customHeight="1" s="79"/>
    <row r="2171" ht="11.95" customHeight="1" s="79"/>
    <row r="2172" ht="11.95" customHeight="1" s="79"/>
    <row r="2173" ht="11.95" customHeight="1" s="79"/>
    <row r="2174" ht="11.95" customHeight="1" s="79"/>
    <row r="2175" ht="11.95" customHeight="1" s="79"/>
    <row r="2176" ht="11.95" customHeight="1" s="79"/>
    <row r="2177" ht="11.95" customHeight="1" s="79"/>
    <row r="2178" ht="11.95" customHeight="1" s="79"/>
    <row r="2179" ht="11.95" customHeight="1" s="79"/>
    <row r="2180" ht="11.95" customHeight="1" s="79"/>
    <row r="2181" ht="11.95" customHeight="1" s="79"/>
    <row r="2182" ht="11.95" customHeight="1" s="79"/>
    <row r="2183" ht="11.95" customHeight="1" s="79"/>
    <row r="2184" ht="11.95" customHeight="1" s="79"/>
    <row r="2185" ht="11.95" customHeight="1" s="79"/>
    <row r="2186" ht="11.95" customHeight="1" s="79"/>
    <row r="2187" ht="11.95" customHeight="1" s="79"/>
    <row r="2188" ht="11.95" customHeight="1" s="79"/>
    <row r="2189" ht="11.95" customHeight="1" s="79"/>
    <row r="2190" ht="11.95" customHeight="1" s="79"/>
    <row r="2191" ht="11.95" customHeight="1" s="79"/>
    <row r="2192" ht="11.95" customHeight="1" s="79"/>
    <row r="2193" ht="11.95" customHeight="1" s="79"/>
    <row r="2194" ht="11.95" customHeight="1" s="79"/>
    <row r="2195" ht="11.95" customHeight="1" s="79"/>
    <row r="2196" ht="11.95" customHeight="1" s="79"/>
    <row r="2197" ht="11.95" customHeight="1" s="79"/>
    <row r="2198" ht="11.95" customHeight="1" s="79"/>
    <row r="2199" ht="11.95" customHeight="1" s="79"/>
    <row r="2200" ht="11.95" customHeight="1" s="79"/>
    <row r="2201" ht="11.95" customHeight="1" s="79"/>
    <row r="2202" ht="11.95" customHeight="1" s="79"/>
    <row r="2203" ht="11.95" customHeight="1" s="79"/>
    <row r="2204" ht="11.95" customHeight="1" s="79"/>
    <row r="2205" ht="11.95" customHeight="1" s="79"/>
    <row r="2206" ht="11.95" customHeight="1" s="79"/>
    <row r="2207" ht="11.95" customHeight="1" s="79"/>
    <row r="2208" ht="11.95" customHeight="1" s="79"/>
    <row r="2209" ht="11.95" customHeight="1" s="79"/>
    <row r="2210" ht="11.95" customHeight="1" s="79"/>
    <row r="2211" ht="11.95" customHeight="1" s="79"/>
    <row r="2212" ht="11.95" customHeight="1" s="79"/>
    <row r="2213" ht="11.95" customHeight="1" s="79"/>
    <row r="2214" ht="11.95" customHeight="1" s="79"/>
    <row r="2215" ht="11.95" customHeight="1" s="79"/>
    <row r="2216" ht="11.95" customHeight="1" s="79"/>
    <row r="2217" ht="11.95" customHeight="1" s="79"/>
    <row r="2218" ht="11.95" customHeight="1" s="79"/>
    <row r="2219" ht="11.95" customHeight="1" s="79"/>
    <row r="2220" ht="11.95" customHeight="1" s="79"/>
    <row r="2221" ht="11.95" customHeight="1" s="79"/>
    <row r="2222" ht="11.95" customHeight="1" s="79"/>
    <row r="2223" ht="11.95" customHeight="1" s="79"/>
    <row r="2224" ht="11.95" customHeight="1" s="79"/>
    <row r="2225" ht="11.95" customHeight="1" s="79"/>
    <row r="2226" ht="11.95" customHeight="1" s="79"/>
    <row r="2227" ht="11.95" customHeight="1" s="79"/>
    <row r="2228" ht="11.95" customHeight="1" s="79"/>
    <row r="2229" ht="11.95" customHeight="1" s="79"/>
    <row r="2230" ht="11.95" customHeight="1" s="79"/>
    <row r="2231" ht="11.95" customHeight="1" s="79"/>
    <row r="2232" ht="11.95" customHeight="1" s="79"/>
    <row r="2233" ht="11.95" customHeight="1" s="79"/>
    <row r="2234" ht="11.95" customHeight="1" s="79"/>
    <row r="2235" ht="11.95" customHeight="1" s="79"/>
    <row r="2236" ht="11.95" customHeight="1" s="79"/>
    <row r="2237" ht="11.95" customHeight="1" s="79"/>
    <row r="2238" ht="11.95" customHeight="1" s="79"/>
    <row r="2239" ht="11.95" customHeight="1" s="79"/>
    <row r="2240" ht="11.95" customHeight="1" s="79"/>
    <row r="2241" ht="11.95" customHeight="1" s="79"/>
    <row r="2242" ht="11.95" customHeight="1" s="79"/>
    <row r="2243" ht="11.95" customHeight="1" s="79"/>
    <row r="2244" ht="11.95" customHeight="1" s="79"/>
    <row r="2245" ht="11.95" customHeight="1" s="79"/>
    <row r="2246" ht="11.95" customHeight="1" s="79"/>
    <row r="2247" ht="11.95" customHeight="1" s="79"/>
    <row r="2248" ht="11.95" customHeight="1" s="79"/>
    <row r="2249" ht="11.95" customHeight="1" s="79"/>
    <row r="2250" ht="11.95" customHeight="1" s="79"/>
    <row r="2251" ht="11.95" customHeight="1" s="79"/>
    <row r="2252" ht="11.95" customHeight="1" s="79"/>
    <row r="2253" ht="11.95" customHeight="1" s="79"/>
    <row r="2254" ht="11.95" customHeight="1" s="79"/>
    <row r="2255" ht="11.95" customHeight="1" s="79"/>
    <row r="2256" ht="11.95" customHeight="1" s="79"/>
    <row r="2257" ht="11.95" customHeight="1" s="79"/>
    <row r="2258" ht="11.95" customHeight="1" s="79"/>
    <row r="2259" ht="11.95" customHeight="1" s="79"/>
    <row r="2260" ht="11.95" customHeight="1" s="79"/>
    <row r="2261" ht="11.95" customHeight="1" s="79"/>
    <row r="2262" ht="11.95" customHeight="1" s="79"/>
    <row r="2263" ht="11.95" customHeight="1" s="79"/>
    <row r="2264" ht="11.95" customHeight="1" s="79"/>
    <row r="2265" ht="11.95" customHeight="1" s="79"/>
    <row r="2266" ht="11.95" customHeight="1" s="79"/>
    <row r="2267" ht="11.95" customHeight="1" s="79"/>
    <row r="2268" ht="11.95" customHeight="1" s="79"/>
    <row r="2269" ht="11.95" customHeight="1" s="79"/>
    <row r="2270" ht="11.95" customHeight="1" s="79"/>
    <row r="2271" ht="11.95" customHeight="1" s="79"/>
    <row r="2272" ht="11.95" customHeight="1" s="79"/>
    <row r="2273" ht="11.95" customHeight="1" s="79"/>
    <row r="2274" ht="11.95" customHeight="1" s="79"/>
    <row r="2275" ht="11.95" customHeight="1" s="79"/>
    <row r="2276" ht="11.95" customHeight="1" s="79"/>
    <row r="2277" ht="11.95" customHeight="1" s="79"/>
    <row r="2278" ht="11.95" customHeight="1" s="79"/>
    <row r="2279" ht="11.95" customHeight="1" s="79"/>
    <row r="2280" ht="11.95" customHeight="1" s="79"/>
    <row r="2281" ht="11.95" customHeight="1" s="79"/>
    <row r="2282" ht="11.95" customHeight="1" s="79"/>
    <row r="2283" ht="11.95" customHeight="1" s="79"/>
    <row r="2284" ht="11.95" customHeight="1" s="79"/>
    <row r="2285" ht="11.95" customHeight="1" s="79"/>
    <row r="2286" ht="11.95" customHeight="1" s="79"/>
    <row r="2287" ht="11.95" customHeight="1" s="79"/>
    <row r="2288" ht="11.95" customHeight="1" s="79"/>
    <row r="2289" ht="11.95" customHeight="1" s="79"/>
    <row r="2290" ht="11.95" customHeight="1" s="79"/>
    <row r="2291" ht="11.95" customHeight="1" s="79"/>
    <row r="2292" ht="11.95" customHeight="1" s="79"/>
    <row r="2293" ht="11.95" customHeight="1" s="79"/>
    <row r="2294" ht="11.95" customHeight="1" s="79"/>
    <row r="2295" ht="11.95" customHeight="1" s="79"/>
    <row r="2296" ht="11.95" customHeight="1" s="79"/>
    <row r="2297" ht="11.95" customHeight="1" s="79"/>
    <row r="2298" ht="11.95" customHeight="1" s="79"/>
    <row r="2299" ht="11.95" customHeight="1" s="79"/>
    <row r="2300" ht="11.95" customHeight="1" s="79"/>
    <row r="2301" ht="11.95" customHeight="1" s="79"/>
    <row r="2302" ht="11.95" customHeight="1" s="79"/>
    <row r="2303" ht="11.95" customHeight="1" s="79"/>
    <row r="2304" ht="11.95" customHeight="1" s="79"/>
    <row r="2305" ht="11.95" customHeight="1" s="79"/>
    <row r="2306" ht="11.95" customHeight="1" s="79"/>
    <row r="2307" ht="11.95" customHeight="1" s="79"/>
    <row r="2308" ht="11.95" customHeight="1" s="79"/>
    <row r="2309" ht="11.95" customHeight="1" s="79"/>
    <row r="2310" ht="11.95" customHeight="1" s="79"/>
    <row r="2311" ht="11.95" customHeight="1" s="79"/>
    <row r="2312" ht="11.95" customHeight="1" s="79"/>
    <row r="2313" ht="11.95" customHeight="1" s="79"/>
    <row r="2314" ht="11.95" customHeight="1" s="79"/>
    <row r="2315" ht="11.95" customHeight="1" s="79"/>
    <row r="2316" ht="11.95" customHeight="1" s="79"/>
    <row r="2317" ht="11.95" customHeight="1" s="79"/>
    <row r="2318" ht="11.95" customHeight="1" s="79"/>
    <row r="2319" ht="11.95" customHeight="1" s="79"/>
    <row r="2320" ht="11.95" customHeight="1" s="79"/>
    <row r="2321" ht="11.95" customHeight="1" s="79"/>
    <row r="2322" ht="11.95" customHeight="1" s="79"/>
    <row r="2323" ht="11.95" customHeight="1" s="79"/>
    <row r="2324" ht="11.95" customHeight="1" s="79"/>
    <row r="2325" ht="11.95" customHeight="1" s="79"/>
    <row r="2326" ht="11.95" customHeight="1" s="79"/>
    <row r="2327" ht="11.95" customHeight="1" s="79"/>
    <row r="2328" ht="11.95" customHeight="1" s="79"/>
    <row r="2329" ht="11.95" customHeight="1" s="79"/>
    <row r="2330" ht="11.95" customHeight="1" s="79"/>
    <row r="2331" ht="11.95" customHeight="1" s="79"/>
    <row r="2332" ht="11.95" customHeight="1" s="79"/>
    <row r="2333" ht="11.95" customHeight="1" s="79"/>
    <row r="2334" ht="11.95" customHeight="1" s="79"/>
    <row r="2335" ht="11.95" customHeight="1" s="79"/>
    <row r="2336" ht="11.95" customHeight="1" s="79"/>
    <row r="2337" ht="11.95" customHeight="1" s="79"/>
    <row r="2338" ht="11.95" customHeight="1" s="79"/>
    <row r="2339" ht="11.95" customHeight="1" s="79"/>
    <row r="2340" ht="11.95" customHeight="1" s="79"/>
    <row r="2341" ht="11.95" customHeight="1" s="79"/>
    <row r="2342" ht="11.95" customHeight="1" s="79"/>
    <row r="2343" ht="11.95" customHeight="1" s="79"/>
    <row r="2344" ht="11.95" customHeight="1" s="79"/>
    <row r="2345" ht="11.95" customHeight="1" s="79"/>
    <row r="2346" ht="11.95" customHeight="1" s="79"/>
    <row r="2347" ht="11.95" customHeight="1" s="79"/>
    <row r="2348" ht="11.95" customHeight="1" s="79"/>
    <row r="2349" ht="11.95" customHeight="1" s="79"/>
    <row r="2350" ht="11.95" customHeight="1" s="79"/>
    <row r="2351" ht="11.95" customHeight="1" s="79"/>
    <row r="2352" ht="11.95" customHeight="1" s="79"/>
    <row r="2353" ht="11.95" customHeight="1" s="79"/>
    <row r="2354" ht="11.95" customHeight="1" s="79"/>
    <row r="2355" ht="11.95" customHeight="1" s="79"/>
    <row r="2356" ht="11.95" customHeight="1" s="79"/>
    <row r="2357" ht="11.95" customHeight="1" s="79"/>
    <row r="2358" ht="11.95" customHeight="1" s="79"/>
    <row r="2359" ht="11.95" customHeight="1" s="79"/>
    <row r="2360" ht="11.95" customHeight="1" s="79"/>
    <row r="2361" ht="11.95" customHeight="1" s="79"/>
    <row r="2362" ht="11.95" customHeight="1" s="79"/>
    <row r="2363" ht="11.95" customHeight="1" s="79"/>
    <row r="2364" ht="11.95" customHeight="1" s="79"/>
    <row r="2365" ht="11.95" customHeight="1" s="79"/>
    <row r="2366" ht="11.95" customHeight="1" s="79"/>
    <row r="2367" ht="11.95" customHeight="1" s="79"/>
    <row r="2368" ht="11.95" customHeight="1" s="79"/>
    <row r="2369" ht="11.95" customHeight="1" s="79"/>
    <row r="2370" ht="11.95" customHeight="1" s="79"/>
    <row r="2371" ht="11.95" customHeight="1" s="79"/>
    <row r="2372" ht="11.95" customHeight="1" s="79"/>
    <row r="2373" ht="11.95" customHeight="1" s="79"/>
    <row r="2374" ht="11.95" customHeight="1" s="79"/>
    <row r="2375" ht="11.95" customHeight="1" s="79"/>
    <row r="2376" ht="11.95" customHeight="1" s="79"/>
    <row r="2377" ht="11.95" customHeight="1" s="79"/>
    <row r="2378" ht="11.95" customHeight="1" s="79"/>
    <row r="2379" ht="11.95" customHeight="1" s="79"/>
    <row r="2380" ht="11.95" customHeight="1" s="79"/>
    <row r="2381" ht="11.95" customHeight="1" s="79"/>
    <row r="2382" ht="11.95" customHeight="1" s="79"/>
    <row r="2383" ht="11.95" customHeight="1" s="79"/>
    <row r="2384" ht="11.95" customHeight="1" s="79"/>
    <row r="2385" ht="11.95" customHeight="1" s="79"/>
    <row r="2386" ht="11.95" customHeight="1" s="79"/>
    <row r="2387" ht="11.95" customHeight="1" s="79"/>
    <row r="2388" ht="11.95" customHeight="1" s="79"/>
    <row r="2389" ht="11.95" customHeight="1" s="79"/>
    <row r="2390" ht="11.95" customHeight="1" s="79"/>
    <row r="2391" ht="11.95" customHeight="1" s="79"/>
    <row r="2392" ht="11.95" customHeight="1" s="79"/>
    <row r="2393" ht="11.95" customHeight="1" s="79"/>
    <row r="2394" ht="11.95" customHeight="1" s="79"/>
    <row r="2395" ht="11.95" customHeight="1" s="79"/>
    <row r="2396" ht="11.95" customHeight="1" s="79"/>
    <row r="2397" ht="11.95" customHeight="1" s="79"/>
    <row r="2398" ht="11.95" customHeight="1" s="79"/>
    <row r="2399" ht="11.95" customHeight="1" s="79"/>
    <row r="2400" ht="11.95" customHeight="1" s="79"/>
    <row r="2401" ht="11.95" customHeight="1" s="79"/>
    <row r="2402" ht="11.95" customHeight="1" s="79"/>
    <row r="2403" ht="11.95" customHeight="1" s="79"/>
    <row r="2404" ht="11.95" customHeight="1" s="79"/>
    <row r="2405" ht="11.95" customHeight="1" s="79"/>
    <row r="2406" ht="11.95" customHeight="1" s="79"/>
    <row r="2407" ht="11.95" customHeight="1" s="79"/>
    <row r="2408" ht="11.95" customHeight="1" s="79"/>
    <row r="2409" ht="11.95" customHeight="1" s="79"/>
    <row r="2410" ht="11.95" customHeight="1" s="79"/>
    <row r="2411" ht="11.95" customHeight="1" s="79"/>
    <row r="2412" ht="11.95" customHeight="1" s="79"/>
    <row r="2413" ht="11.95" customHeight="1" s="79"/>
    <row r="2414" ht="11.95" customHeight="1" s="79"/>
    <row r="2415" ht="11.95" customHeight="1" s="79"/>
    <row r="2416" ht="11.95" customHeight="1" s="79"/>
    <row r="2417" ht="11.95" customHeight="1" s="79"/>
    <row r="2418" ht="11.95" customHeight="1" s="79"/>
    <row r="2419" ht="11.95" customHeight="1" s="79"/>
    <row r="2420" ht="11.95" customHeight="1" s="79"/>
    <row r="2421" ht="11.95" customHeight="1" s="79"/>
    <row r="2422" ht="11.95" customHeight="1" s="79"/>
    <row r="2423" ht="11.95" customHeight="1" s="79"/>
    <row r="2424" ht="11.95" customHeight="1" s="79"/>
    <row r="2425" ht="11.95" customHeight="1" s="79"/>
    <row r="2426" ht="11.95" customHeight="1" s="79"/>
    <row r="2427" ht="11.95" customHeight="1" s="79"/>
    <row r="2428" ht="11.95" customHeight="1" s="79"/>
    <row r="2429" ht="11.95" customHeight="1" s="79"/>
    <row r="2430" ht="11.95" customHeight="1" s="79"/>
    <row r="2431" ht="11.95" customHeight="1" s="79"/>
    <row r="2432" ht="11.95" customHeight="1" s="79"/>
    <row r="2433" ht="11.95" customHeight="1" s="79"/>
    <row r="2434" ht="11.95" customHeight="1" s="79"/>
    <row r="2435" ht="11.95" customHeight="1" s="79"/>
    <row r="2436" ht="11.95" customHeight="1" s="79"/>
    <row r="2437" ht="11.95" customHeight="1" s="79"/>
    <row r="2438" ht="11.95" customHeight="1" s="79"/>
    <row r="2439" ht="11.95" customHeight="1" s="79"/>
    <row r="2440" ht="11.95" customHeight="1" s="79"/>
    <row r="2441" ht="11.95" customHeight="1" s="79"/>
    <row r="2442" ht="11.95" customHeight="1" s="79"/>
    <row r="2443" ht="11.95" customHeight="1" s="79"/>
    <row r="2444" ht="11.95" customHeight="1" s="79"/>
    <row r="2445" ht="11.95" customHeight="1" s="79"/>
    <row r="2446" ht="11.95" customHeight="1" s="79"/>
    <row r="2447" ht="11.95" customHeight="1" s="79"/>
    <row r="2448" ht="11.95" customHeight="1" s="79"/>
    <row r="2449" ht="11.95" customHeight="1" s="79"/>
    <row r="2450" ht="11.95" customHeight="1" s="79"/>
    <row r="2451" ht="11.95" customHeight="1" s="79"/>
    <row r="2452" ht="11.95" customHeight="1" s="79"/>
    <row r="2453" ht="11.95" customHeight="1" s="79"/>
    <row r="2454" ht="11.95" customHeight="1" s="79"/>
    <row r="2455" ht="11.95" customHeight="1" s="79"/>
    <row r="2456" ht="11.95" customHeight="1" s="79"/>
    <row r="2457" ht="11.95" customHeight="1" s="79"/>
    <row r="2458" ht="11.95" customHeight="1" s="79"/>
    <row r="2459" ht="11.95" customHeight="1" s="79"/>
    <row r="2460" ht="11.95" customHeight="1" s="79"/>
    <row r="2461" ht="11.95" customHeight="1" s="79"/>
    <row r="2462" ht="11.95" customHeight="1" s="79"/>
    <row r="2463" ht="11.95" customHeight="1" s="79"/>
    <row r="2464" ht="11.95" customHeight="1" s="79"/>
    <row r="2465" ht="11.95" customHeight="1" s="79"/>
    <row r="2466" ht="11.95" customHeight="1" s="79"/>
    <row r="2467" ht="11.95" customHeight="1" s="79"/>
    <row r="2468" ht="11.95" customHeight="1" s="79"/>
    <row r="2469" ht="11.95" customHeight="1" s="79"/>
    <row r="2470" ht="11.95" customHeight="1" s="79"/>
    <row r="2471" ht="11.95" customHeight="1" s="79"/>
    <row r="2472" ht="11.95" customHeight="1" s="79"/>
    <row r="2473" ht="11.95" customHeight="1" s="79"/>
    <row r="2474" ht="11.95" customHeight="1" s="79"/>
    <row r="2475" ht="11.95" customHeight="1" s="79"/>
    <row r="2476" ht="11.95" customHeight="1" s="79"/>
    <row r="2477" ht="11.95" customHeight="1" s="79"/>
    <row r="2478" ht="11.95" customHeight="1" s="79"/>
    <row r="2479" ht="11.95" customHeight="1" s="79"/>
    <row r="2480" ht="11.95" customHeight="1" s="79"/>
    <row r="2481" ht="11.95" customHeight="1" s="79"/>
    <row r="2482" ht="11.95" customHeight="1" s="79"/>
    <row r="2483" ht="11.95" customHeight="1" s="79"/>
    <row r="2484" ht="11.95" customHeight="1" s="79"/>
    <row r="2485" ht="11.95" customHeight="1" s="79"/>
    <row r="2486" ht="11.95" customHeight="1" s="79"/>
    <row r="2487" ht="11.95" customHeight="1" s="79"/>
    <row r="2488" ht="11.95" customHeight="1" s="79"/>
    <row r="2489" ht="11.95" customHeight="1" s="79"/>
    <row r="2490" ht="11.95" customHeight="1" s="79"/>
    <row r="2491" ht="11.95" customHeight="1" s="79"/>
    <row r="2492" ht="11.95" customHeight="1" s="79"/>
    <row r="2493" ht="11.95" customHeight="1" s="79"/>
    <row r="2494" ht="11.95" customHeight="1" s="79"/>
    <row r="2495" ht="11.95" customHeight="1" s="79"/>
    <row r="2496" ht="11.95" customHeight="1" s="79"/>
    <row r="2497" ht="11.95" customHeight="1" s="79"/>
    <row r="2498" ht="11.95" customHeight="1" s="79"/>
    <row r="2499" ht="11.95" customHeight="1" s="79"/>
    <row r="2500" ht="11.95" customHeight="1" s="79"/>
    <row r="2501" ht="11.95" customHeight="1" s="79"/>
    <row r="2502" ht="11.95" customHeight="1" s="79"/>
    <row r="2503" ht="11.95" customHeight="1" s="79"/>
    <row r="2504" ht="11.95" customHeight="1" s="79"/>
    <row r="2505" ht="11.95" customHeight="1" s="79"/>
    <row r="2506" ht="11.95" customHeight="1" s="79"/>
    <row r="2507" ht="11.95" customHeight="1" s="79"/>
    <row r="2508" ht="11.95" customHeight="1" s="79"/>
    <row r="2509" ht="11.95" customHeight="1" s="79"/>
    <row r="2510" ht="11.95" customHeight="1" s="79"/>
    <row r="2511" ht="11.95" customHeight="1" s="79"/>
    <row r="2512" ht="11.95" customHeight="1" s="79"/>
    <row r="2513" ht="11.95" customHeight="1" s="79"/>
    <row r="2514" ht="11.95" customHeight="1" s="79"/>
    <row r="2515" ht="11.95" customHeight="1" s="79"/>
    <row r="2516" ht="11.95" customHeight="1" s="79"/>
    <row r="2517" ht="11.95" customHeight="1" s="79"/>
    <row r="2518" ht="11.95" customHeight="1" s="79"/>
    <row r="2519" ht="11.95" customHeight="1" s="79"/>
    <row r="2520" ht="11.95" customHeight="1" s="79"/>
    <row r="2521" ht="11.95" customHeight="1" s="79"/>
    <row r="2522" ht="11.95" customHeight="1" s="79"/>
    <row r="2523" ht="11.95" customHeight="1" s="79"/>
    <row r="2524" ht="11.95" customHeight="1" s="79"/>
    <row r="2525" ht="11.95" customHeight="1" s="79"/>
    <row r="2526" ht="11.95" customHeight="1" s="79"/>
    <row r="2527" ht="11.95" customHeight="1" s="79"/>
    <row r="2528" ht="11.95" customHeight="1" s="79"/>
    <row r="2529" ht="11.95" customHeight="1" s="79"/>
    <row r="2530" ht="11.95" customHeight="1" s="79"/>
    <row r="2531" ht="11.95" customHeight="1" s="79"/>
    <row r="2532" ht="11.95" customHeight="1" s="79"/>
    <row r="2533" ht="11.95" customHeight="1" s="79"/>
    <row r="2534" ht="11.95" customHeight="1" s="79"/>
    <row r="2535" ht="11.95" customHeight="1" s="79"/>
    <row r="2536" ht="11.95" customHeight="1" s="79"/>
    <row r="2537" ht="11.95" customHeight="1" s="79"/>
    <row r="2538" ht="11.95" customHeight="1" s="79"/>
    <row r="2539" ht="11.95" customHeight="1" s="79"/>
    <row r="2540" ht="11.95" customHeight="1" s="79"/>
    <row r="2541" ht="11.95" customHeight="1" s="79"/>
    <row r="2542" ht="11.95" customHeight="1" s="79"/>
    <row r="2543" ht="11.95" customHeight="1" s="79"/>
    <row r="2544" ht="11.95" customHeight="1" s="79"/>
    <row r="2545" ht="11.95" customHeight="1" s="79"/>
    <row r="2546" ht="11.95" customHeight="1" s="79"/>
    <row r="2547" ht="11.95" customHeight="1" s="79"/>
    <row r="2548" ht="11.95" customHeight="1" s="79"/>
    <row r="2549" ht="11.95" customHeight="1" s="79"/>
    <row r="2550" ht="11.95" customHeight="1" s="79"/>
    <row r="2551" ht="11.95" customHeight="1" s="79"/>
    <row r="2552" ht="11.95" customHeight="1" s="79"/>
    <row r="2553" ht="11.95" customHeight="1" s="79"/>
    <row r="2554" ht="11.95" customHeight="1" s="79"/>
    <row r="2555" ht="11.95" customHeight="1" s="79"/>
    <row r="2556" ht="11.95" customHeight="1" s="79"/>
    <row r="2557" ht="11.95" customHeight="1" s="79"/>
    <row r="2558" ht="11.95" customHeight="1" s="79"/>
    <row r="2559" ht="11.95" customHeight="1" s="79"/>
    <row r="2560" ht="11.95" customHeight="1" s="79"/>
    <row r="2561" ht="11.95" customHeight="1" s="79"/>
    <row r="2562" ht="11.95" customHeight="1" s="79"/>
    <row r="2563" ht="11.95" customHeight="1" s="79"/>
    <row r="2564" ht="11.95" customHeight="1" s="79"/>
    <row r="2565" ht="11.95" customHeight="1" s="79"/>
    <row r="2566" ht="11.95" customHeight="1" s="79"/>
    <row r="2567" ht="11.95" customHeight="1" s="79"/>
    <row r="2568" ht="11.95" customHeight="1" s="79"/>
    <row r="2569" ht="11.95" customHeight="1" s="79"/>
    <row r="2570" ht="11.95" customHeight="1" s="79"/>
    <row r="2571" ht="11.95" customHeight="1" s="79"/>
    <row r="2572" ht="11.95" customHeight="1" s="79"/>
    <row r="2573" ht="11.95" customHeight="1" s="79"/>
    <row r="2574" ht="11.95" customHeight="1" s="79"/>
    <row r="2575" ht="11.95" customHeight="1" s="79"/>
    <row r="2576" ht="11.95" customHeight="1" s="79"/>
    <row r="2577" ht="11.95" customHeight="1" s="79"/>
    <row r="2578" ht="11.95" customHeight="1" s="79"/>
    <row r="2579" ht="11.95" customHeight="1" s="79"/>
    <row r="2580" ht="11.95" customHeight="1" s="79"/>
    <row r="2581" ht="11.95" customHeight="1" s="79"/>
    <row r="2582" ht="11.95" customHeight="1" s="79"/>
    <row r="2583" ht="11.95" customHeight="1" s="79"/>
    <row r="2584" ht="11.95" customHeight="1" s="79"/>
    <row r="2585" ht="11.95" customHeight="1" s="79"/>
    <row r="2586" ht="11.95" customHeight="1" s="79"/>
    <row r="2587" ht="11.95" customHeight="1" s="79"/>
    <row r="2588" ht="11.95" customHeight="1" s="79"/>
    <row r="2589" ht="11.95" customHeight="1" s="79"/>
    <row r="2590" ht="11.95" customHeight="1" s="79"/>
    <row r="2591" ht="11.95" customHeight="1" s="79"/>
    <row r="2592" ht="11.95" customHeight="1" s="79"/>
    <row r="2593" ht="11.95" customHeight="1" s="79"/>
    <row r="2594" ht="11.95" customHeight="1" s="79"/>
    <row r="2595" ht="11.95" customHeight="1" s="79"/>
    <row r="2596" ht="11.95" customHeight="1" s="79"/>
    <row r="2597" ht="11.95" customHeight="1" s="79"/>
    <row r="2598" ht="11.95" customHeight="1" s="79"/>
    <row r="2599" ht="11.95" customHeight="1" s="79"/>
    <row r="2600" ht="11.95" customHeight="1" s="79"/>
    <row r="2601" ht="11.95" customHeight="1" s="79"/>
    <row r="2602" ht="11.95" customHeight="1" s="79"/>
    <row r="2603" ht="11.95" customHeight="1" s="79"/>
    <row r="2604" ht="11.95" customHeight="1" s="79"/>
    <row r="2605" ht="11.95" customHeight="1" s="79"/>
    <row r="2606" ht="11.95" customHeight="1" s="79"/>
    <row r="2607" ht="11.95" customHeight="1" s="79"/>
    <row r="2608" ht="11.95" customHeight="1" s="79"/>
    <row r="2609" ht="11.95" customHeight="1" s="79"/>
    <row r="2610" ht="11.95" customHeight="1" s="79"/>
    <row r="2611" ht="11.95" customHeight="1" s="79"/>
    <row r="2612" ht="11.95" customHeight="1" s="79"/>
    <row r="2613" ht="11.95" customHeight="1" s="79"/>
    <row r="2614" ht="11.95" customHeight="1" s="79"/>
    <row r="2615" ht="11.95" customHeight="1" s="79"/>
    <row r="2616" ht="11.95" customHeight="1" s="79"/>
    <row r="2617" ht="11.95" customHeight="1" s="79"/>
    <row r="2618" ht="11.95" customHeight="1" s="79"/>
    <row r="2619" ht="11.95" customHeight="1" s="79"/>
    <row r="2620" ht="11.95" customHeight="1" s="79"/>
    <row r="2621" ht="11.95" customHeight="1" s="79"/>
    <row r="2622" ht="11.95" customHeight="1" s="79"/>
    <row r="2623" ht="11.95" customHeight="1" s="79"/>
    <row r="2624" ht="11.95" customHeight="1" s="79"/>
    <row r="2625" ht="11.95" customHeight="1" s="79"/>
    <row r="2626" ht="11.95" customHeight="1" s="79"/>
    <row r="2627" ht="11.95" customHeight="1" s="79"/>
    <row r="2628" ht="11.95" customHeight="1" s="79"/>
    <row r="2629" ht="11.95" customHeight="1" s="79"/>
    <row r="2630" ht="11.95" customHeight="1" s="79"/>
    <row r="2631" ht="11.95" customHeight="1" s="79"/>
    <row r="2632" ht="11.95" customHeight="1" s="79"/>
    <row r="2633" ht="11.95" customHeight="1" s="79"/>
    <row r="2634" ht="11.95" customHeight="1" s="79"/>
    <row r="2635" ht="11.95" customHeight="1" s="79"/>
    <row r="2636" ht="11.95" customHeight="1" s="79"/>
    <row r="2637" ht="11.95" customHeight="1" s="79"/>
    <row r="2638" ht="11.95" customHeight="1" s="79"/>
    <row r="2639" ht="11.95" customHeight="1" s="79"/>
    <row r="2640" ht="11.95" customHeight="1" s="79"/>
    <row r="2641" ht="11.95" customHeight="1" s="79"/>
    <row r="2642" ht="11.95" customHeight="1" s="79"/>
    <row r="2643" ht="11.95" customHeight="1" s="79"/>
    <row r="2644" ht="11.95" customHeight="1" s="79"/>
    <row r="2645" ht="11.95" customHeight="1" s="79"/>
    <row r="2646" ht="11.95" customHeight="1" s="79"/>
    <row r="2647" ht="11.95" customHeight="1" s="79"/>
    <row r="2648" ht="11.95" customHeight="1" s="79"/>
    <row r="2649" ht="11.95" customHeight="1" s="79"/>
    <row r="2650" ht="11.95" customHeight="1" s="79"/>
    <row r="2651" ht="11.95" customHeight="1" s="79"/>
    <row r="2652" ht="11.95" customHeight="1" s="79"/>
    <row r="2653" ht="11.95" customHeight="1" s="79"/>
    <row r="2654" ht="11.95" customHeight="1" s="79"/>
    <row r="2655" ht="11.95" customHeight="1" s="79"/>
    <row r="2656" ht="11.95" customHeight="1" s="79"/>
    <row r="2657" ht="11.95" customHeight="1" s="79"/>
    <row r="2658" ht="11.95" customHeight="1" s="79"/>
    <row r="2659" ht="11.95" customHeight="1" s="79"/>
    <row r="2660" ht="11.95" customHeight="1" s="79"/>
    <row r="2661" ht="11.95" customHeight="1" s="79"/>
    <row r="2662" ht="11.95" customHeight="1" s="79"/>
    <row r="2663" ht="11.95" customHeight="1" s="79"/>
    <row r="2664" ht="11.95" customHeight="1" s="79"/>
    <row r="2665" ht="11.95" customHeight="1" s="79"/>
    <row r="2666" ht="11.95" customHeight="1" s="79"/>
    <row r="2667" ht="11.95" customHeight="1" s="79"/>
    <row r="2668" ht="11.95" customHeight="1" s="79"/>
    <row r="2669" ht="11.95" customHeight="1" s="79"/>
    <row r="2670" ht="11.95" customHeight="1" s="79"/>
    <row r="2671" ht="11.95" customHeight="1" s="79"/>
    <row r="2672" ht="11.95" customHeight="1" s="79"/>
    <row r="2673" ht="11.95" customHeight="1" s="79"/>
    <row r="2674" ht="11.95" customHeight="1" s="79"/>
    <row r="2675" ht="11.95" customHeight="1" s="79"/>
    <row r="2676" ht="11.95" customHeight="1" s="79"/>
    <row r="2677" ht="11.95" customHeight="1" s="79"/>
    <row r="2678" ht="11.95" customHeight="1" s="79"/>
    <row r="2679" ht="11.95" customHeight="1" s="7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M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19921875" defaultRowHeight="11.95" customHeight="1" zeroHeight="0" outlineLevelRow="0"/>
  <cols>
    <col width="7.2" customWidth="1" style="77" min="1" max="1"/>
    <col width="4.7" customWidth="1" style="77" min="2" max="2"/>
    <col width="10.79" customWidth="1" style="77" min="3" max="3"/>
    <col width="8.5" customWidth="1" style="77" min="4" max="4"/>
    <col width="10.2" customWidth="1" style="77" min="5" max="5"/>
    <col width="9.789999999999999" customWidth="1" style="77" min="6" max="6"/>
    <col width="10.3" customWidth="1" style="77" min="7" max="7"/>
    <col width="13.2" customWidth="1" style="77" min="8" max="8"/>
    <col width="13.5" customWidth="1" style="77" min="9" max="9"/>
    <col width="12.7" customWidth="1" style="77" min="10" max="10"/>
    <col width="10.51" customWidth="1" style="77" min="11" max="11"/>
    <col width="9.51" customWidth="1" style="77" min="12" max="12"/>
    <col width="6.51" customWidth="1" style="77" min="13" max="13"/>
    <col width="10.51" customWidth="1" style="77" min="14" max="14"/>
    <col width="16.3" customWidth="1" style="77" min="15" max="15"/>
    <col width="6.3" customWidth="1" style="77" min="16" max="16"/>
    <col width="4.7" customWidth="1" style="77" min="17" max="18"/>
    <col width="4.79" customWidth="1" style="77" min="19" max="19"/>
    <col width="4.7" customWidth="1" style="77" min="20" max="20"/>
    <col width="9.699999999999999" customWidth="1" style="77" min="21" max="21"/>
    <col width="5" customWidth="1" style="77" min="22" max="23"/>
    <col width="5.2" customWidth="1" style="77" min="24" max="25"/>
    <col width="5" customWidth="1" style="77" min="26" max="27"/>
    <col width="6" customWidth="1" style="77" min="28" max="28"/>
    <col width="12.5" customWidth="1" style="77" min="29" max="29"/>
    <col width="10.3" customWidth="1" style="77" min="30" max="30"/>
    <col width="9.789999999999999" customWidth="1" style="77" min="31" max="31"/>
    <col width="4.79" customWidth="1" style="77" min="32" max="32"/>
    <col width="7.79" customWidth="1" style="77" min="33" max="33"/>
    <col width="10.51" customWidth="1" style="77" min="34" max="34"/>
    <col width="7.3" customWidth="1" style="77" min="35" max="35"/>
    <col width="7.5" customWidth="1" style="77" min="36" max="36"/>
    <col width="9.699999999999999" customWidth="1" style="77" min="37" max="37"/>
    <col width="11.2" customWidth="1" style="77" min="38" max="38"/>
    <col width="9.199999999999999" customWidth="1" style="77" min="39" max="16384"/>
  </cols>
  <sheetData>
    <row r="1" ht="11.95" customFormat="1" customHeight="1" s="129">
      <c r="A1" s="130" t="inlineStr">
        <is>
          <t>DIVISION</t>
        </is>
      </c>
      <c r="B1" s="130" t="inlineStr">
        <is>
          <t>CAT-2</t>
        </is>
      </c>
      <c r="C1" s="130" t="inlineStr">
        <is>
          <t>VENDOR NAME</t>
        </is>
      </c>
      <c r="D1" s="130" t="inlineStr">
        <is>
          <t>VENDOR ID</t>
        </is>
      </c>
      <c r="E1" s="130" t="inlineStr">
        <is>
          <t>VENDOR CITY</t>
        </is>
      </c>
      <c r="F1" s="130" t="inlineStr">
        <is>
          <t>ORDER DATE</t>
        </is>
      </c>
      <c r="G1" s="131" t="inlineStr">
        <is>
          <t>SCHEDULE DT</t>
        </is>
      </c>
      <c r="H1" s="131" t="inlineStr">
        <is>
          <t>SCHEDULE MNTH</t>
        </is>
      </c>
      <c r="I1" s="130" t="inlineStr">
        <is>
          <t>ORDER NO.</t>
        </is>
      </c>
      <c r="J1" s="130" t="inlineStr">
        <is>
          <t>ORDER REMARKS</t>
        </is>
      </c>
      <c r="K1" s="130" t="inlineStr">
        <is>
          <t>PREPARED BY</t>
        </is>
      </c>
      <c r="L1" s="130" t="inlineStr">
        <is>
          <t>ATTRIBUTE1</t>
        </is>
      </c>
      <c r="M1" s="130" t="inlineStr">
        <is>
          <t>SECTION</t>
        </is>
      </c>
      <c r="N1" s="130" t="inlineStr">
        <is>
          <t>DEPARTMENT</t>
        </is>
      </c>
      <c r="O1" s="130" t="inlineStr">
        <is>
          <t>ARTCLE NAME</t>
        </is>
      </c>
      <c r="P1" s="130" t="inlineStr">
        <is>
          <t>CAT-1</t>
        </is>
      </c>
      <c r="Q1" s="130" t="inlineStr">
        <is>
          <t>CAT-3</t>
        </is>
      </c>
      <c r="R1" s="130" t="inlineStr">
        <is>
          <t>CAT-4</t>
        </is>
      </c>
      <c r="S1" s="130" t="inlineStr">
        <is>
          <t>CAT-5</t>
        </is>
      </c>
      <c r="T1" s="130" t="inlineStr">
        <is>
          <t>CAT-6</t>
        </is>
      </c>
      <c r="U1" s="130" t="inlineStr">
        <is>
          <t>DESC1</t>
        </is>
      </c>
      <c r="V1" s="130" t="inlineStr">
        <is>
          <t>DESC2</t>
        </is>
      </c>
      <c r="W1" s="130" t="inlineStr">
        <is>
          <t>DESC3</t>
        </is>
      </c>
      <c r="X1" s="130" t="inlineStr">
        <is>
          <t>DESC4</t>
        </is>
      </c>
      <c r="Y1" s="130" t="inlineStr">
        <is>
          <t>OUTER</t>
        </is>
      </c>
      <c r="Z1" s="130" t="inlineStr">
        <is>
          <t>DESC5</t>
        </is>
      </c>
      <c r="AA1" s="130" t="inlineStr">
        <is>
          <t>DESC6</t>
        </is>
      </c>
      <c r="AB1" s="130" t="inlineStr">
        <is>
          <t>SEASON</t>
        </is>
      </c>
      <c r="AC1" s="130" t="inlineStr">
        <is>
          <t>STANDARD RATE</t>
        </is>
      </c>
      <c r="AD1" s="130" t="inlineStr">
        <is>
          <t>LAST IN RATE</t>
        </is>
      </c>
      <c r="AE1" s="130" t="inlineStr">
        <is>
          <t>ORDER RATE</t>
        </is>
      </c>
      <c r="AF1" s="130" t="inlineStr">
        <is>
          <t>MRP</t>
        </is>
      </c>
      <c r="AG1" s="130" t="inlineStr">
        <is>
          <t>HSN CODE</t>
        </is>
      </c>
      <c r="AH1" s="130" t="inlineStr">
        <is>
          <t>REF_BARCODE</t>
        </is>
      </c>
      <c r="AI1" s="130" t="inlineStr">
        <is>
          <t>BARCODE</t>
        </is>
      </c>
      <c r="AJ1" s="130" t="inlineStr">
        <is>
          <t>ORDER_Q</t>
        </is>
      </c>
      <c r="AK1" s="130" t="inlineStr">
        <is>
          <t>RECEIVED_Q</t>
        </is>
      </c>
      <c r="AL1" s="130" t="inlineStr">
        <is>
          <t>CANCELLED_Q</t>
        </is>
      </c>
      <c r="AM1" s="130" t="inlineStr">
        <is>
          <t>PENDING_Q</t>
        </is>
      </c>
    </row>
    <row r="2" ht="11.95" customHeight="1" s="79"/>
    <row r="3" ht="11.95" customHeight="1" s="79"/>
    <row r="4" ht="11.95" customHeight="1" s="79"/>
    <row r="5" ht="11.95" customHeight="1" s="79"/>
    <row r="6" ht="11.95" customHeight="1" s="79"/>
    <row r="7" ht="11.95" customHeight="1" s="79"/>
    <row r="8" ht="11.95" customHeight="1" s="79"/>
    <row r="9" ht="11.95" customHeight="1" s="79"/>
    <row r="10" ht="11.95" customHeight="1" s="79"/>
    <row r="11" ht="11.95" customHeight="1" s="79"/>
    <row r="12" ht="11.95" customHeight="1" s="79"/>
    <row r="13" ht="11.95" customHeight="1" s="79"/>
    <row r="14" ht="11.95" customHeight="1" s="79"/>
    <row r="15" ht="11.95" customHeight="1" s="79"/>
    <row r="16" ht="11.95" customHeight="1" s="79"/>
    <row r="17" ht="11.95" customHeight="1" s="79"/>
    <row r="18" ht="11.95" customHeight="1" s="79"/>
    <row r="19" ht="11.95" customHeight="1" s="79"/>
    <row r="20" ht="11.95" customHeight="1" s="79"/>
    <row r="21" ht="11.95" customHeight="1" s="79"/>
    <row r="22" ht="11.95" customHeight="1" s="79"/>
    <row r="23" ht="11.95" customHeight="1" s="79"/>
    <row r="24" ht="11.95" customHeight="1" s="79"/>
    <row r="25" ht="11.95" customHeight="1" s="79"/>
    <row r="26" ht="11.95" customHeight="1" s="79"/>
    <row r="27" ht="11.95" customHeight="1" s="79"/>
    <row r="28" ht="11.95" customHeight="1" s="79"/>
    <row r="29" ht="11.95" customHeight="1" s="79"/>
    <row r="30" ht="11.95" customHeight="1" s="79"/>
    <row r="31" ht="11.95" customHeight="1" s="79"/>
    <row r="32" ht="11.95" customHeight="1" s="79"/>
    <row r="33" ht="11.95" customHeight="1" s="79"/>
    <row r="34" ht="11.95" customHeight="1" s="79"/>
    <row r="35" ht="11.95" customHeight="1" s="79"/>
    <row r="36" ht="11.95" customHeight="1" s="79"/>
    <row r="37" ht="11.95" customHeight="1" s="79"/>
    <row r="38" ht="11.95" customHeight="1" s="79"/>
    <row r="39" ht="11.95" customHeight="1" s="79"/>
    <row r="40" ht="11.95" customHeight="1" s="79"/>
    <row r="41" ht="11.95" customHeight="1" s="79"/>
    <row r="42" ht="11.95" customHeight="1" s="79"/>
    <row r="43" ht="11.95" customHeight="1" s="79"/>
    <row r="44" ht="11.95" customHeight="1" s="79"/>
    <row r="45" ht="11.95" customHeight="1" s="79"/>
    <row r="46" ht="11.95" customHeight="1" s="79"/>
    <row r="47" ht="11.95" customHeight="1" s="79"/>
    <row r="48" ht="11.95" customHeight="1" s="79"/>
    <row r="49" ht="11.95" customHeight="1" s="79"/>
    <row r="50" ht="11.95" customHeight="1" s="79"/>
    <row r="51" ht="11.95" customHeight="1" s="79"/>
    <row r="52" ht="11.95" customHeight="1" s="79"/>
    <row r="53" ht="11.95" customHeight="1" s="79"/>
    <row r="54" ht="11.95" customHeight="1" s="79"/>
    <row r="55" ht="11.95" customHeight="1" s="79"/>
    <row r="56" ht="11.95" customHeight="1" s="79"/>
    <row r="57" ht="11.95" customHeight="1" s="79"/>
    <row r="58" ht="11.95" customHeight="1" s="79"/>
    <row r="59" ht="11.95" customHeight="1" s="79"/>
    <row r="60" ht="11.95" customHeight="1" s="79"/>
    <row r="61" ht="11.95" customHeight="1" s="79"/>
    <row r="62" ht="11.95" customHeight="1" s="79"/>
    <row r="63" ht="11.95" customHeight="1" s="79"/>
    <row r="64" ht="11.95" customHeight="1" s="79"/>
    <row r="65" ht="11.95" customHeight="1" s="79"/>
    <row r="66" ht="11.95" customHeight="1" s="79"/>
    <row r="67" ht="11.95" customHeight="1" s="79"/>
    <row r="68" ht="11.95" customHeight="1" s="79"/>
    <row r="69" ht="11.95" customHeight="1" s="79"/>
    <row r="70" ht="11.95" customHeight="1" s="79"/>
    <row r="71" ht="11.95" customHeight="1" s="79"/>
    <row r="72" ht="11.95" customHeight="1" s="79"/>
    <row r="73" ht="11.95" customHeight="1" s="79"/>
    <row r="74" ht="11.95" customHeight="1" s="79"/>
    <row r="75" ht="11.95" customHeight="1" s="79"/>
    <row r="76" ht="11.95" customHeight="1" s="79"/>
    <row r="77" ht="11.95" customHeight="1" s="79"/>
    <row r="78" ht="11.95" customHeight="1" s="79"/>
    <row r="79" ht="11.95" customHeight="1" s="79"/>
    <row r="80" ht="11.95" customHeight="1" s="79"/>
    <row r="81" ht="11.95" customHeight="1" s="79"/>
    <row r="82" ht="11.95" customHeight="1" s="79"/>
    <row r="83" ht="11.95" customHeight="1" s="79"/>
    <row r="84" ht="11.95" customHeight="1" s="79"/>
    <row r="85" ht="11.95" customHeight="1" s="79"/>
    <row r="86" ht="11.95" customHeight="1" s="79"/>
    <row r="87" ht="11.95" customHeight="1" s="79"/>
    <row r="88" ht="11.95" customHeight="1" s="79"/>
    <row r="89" ht="11.95" customHeight="1" s="79"/>
    <row r="90" ht="11.95" customHeight="1" s="79"/>
    <row r="91" ht="11.95" customHeight="1" s="79"/>
    <row r="92" ht="11.95" customHeight="1" s="79"/>
    <row r="93" ht="11.95" customHeight="1" s="79"/>
    <row r="94" ht="11.95" customHeight="1" s="79"/>
    <row r="95" ht="11.95" customHeight="1" s="79"/>
    <row r="96" ht="11.95" customHeight="1" s="79"/>
    <row r="97" ht="11.95" customHeight="1" s="79"/>
    <row r="98" ht="11.95" customHeight="1" s="79"/>
    <row r="99" ht="11.95" customHeight="1" s="79"/>
    <row r="100" ht="11.95" customHeight="1" s="79"/>
    <row r="101" ht="11.95" customHeight="1" s="79"/>
    <row r="102" ht="11.95" customHeight="1" s="79"/>
    <row r="103" ht="11.95" customHeight="1" s="79"/>
    <row r="104" ht="11.95" customHeight="1" s="79"/>
    <row r="105" ht="11.95" customHeight="1" s="79"/>
    <row r="106" ht="11.95" customHeight="1" s="79"/>
    <row r="107" ht="11.95" customHeight="1" s="79"/>
    <row r="108" ht="11.95" customHeight="1" s="79"/>
    <row r="109" ht="11.95" customHeight="1" s="79"/>
    <row r="110" ht="11.95" customHeight="1" s="79"/>
    <row r="111" ht="11.95" customHeight="1" s="79"/>
    <row r="112" ht="11.95" customHeight="1" s="79"/>
    <row r="113" ht="11.95" customHeight="1" s="79"/>
    <row r="114" ht="11.95" customHeight="1" s="79"/>
    <row r="115" ht="11.95" customHeight="1" s="79"/>
    <row r="116" ht="11.95" customHeight="1" s="79"/>
    <row r="117" ht="11.95" customHeight="1" s="79"/>
    <row r="118" ht="11.95" customHeight="1" s="79"/>
    <row r="119" ht="11.95" customHeight="1" s="79"/>
    <row r="120" ht="11.95" customHeight="1" s="79"/>
    <row r="121" ht="11.95" customHeight="1" s="79"/>
    <row r="122" ht="11.95" customHeight="1" s="79"/>
    <row r="123" ht="11.95" customHeight="1" s="79"/>
    <row r="124" ht="11.95" customHeight="1" s="79"/>
    <row r="125" ht="11.95" customHeight="1" s="79"/>
    <row r="126" ht="11.95" customHeight="1" s="79"/>
    <row r="127" ht="11.95" customHeight="1" s="79"/>
    <row r="128" ht="11.95" customHeight="1" s="79"/>
    <row r="129" ht="11.95" customHeight="1" s="79"/>
    <row r="130" ht="11.95" customHeight="1" s="79"/>
    <row r="131" ht="11.95" customHeight="1" s="79"/>
    <row r="132" ht="11.95" customHeight="1" s="79"/>
    <row r="133" ht="11.95" customHeight="1" s="79"/>
    <row r="134" ht="11.95" customHeight="1" s="79"/>
    <row r="135" ht="11.95" customHeight="1" s="79"/>
    <row r="136" ht="11.95" customHeight="1" s="79"/>
    <row r="137" ht="11.95" customHeight="1" s="79"/>
    <row r="138" ht="11.95" customHeight="1" s="79"/>
    <row r="139" ht="11.95" customHeight="1" s="79"/>
    <row r="140" ht="11.95" customHeight="1" s="79"/>
    <row r="141" ht="11.95" customHeight="1" s="79"/>
    <row r="142" ht="11.95" customHeight="1" s="79"/>
    <row r="143" ht="11.95" customHeight="1" s="79"/>
    <row r="144" ht="11.95" customHeight="1" s="79"/>
    <row r="145" ht="11.95" customHeight="1" s="79"/>
    <row r="146" ht="11.95" customHeight="1" s="79"/>
    <row r="147" ht="11.95" customHeight="1" s="79"/>
    <row r="148" ht="11.95" customHeight="1" s="79"/>
    <row r="149" ht="11.95" customHeight="1" s="79"/>
    <row r="150" ht="11.95" customHeight="1" s="79"/>
    <row r="151" ht="11.95" customHeight="1" s="79"/>
    <row r="152" ht="11.95" customHeight="1" s="79"/>
    <row r="153" ht="11.95" customHeight="1" s="79"/>
    <row r="154" ht="11.95" customHeight="1" s="79"/>
    <row r="155" ht="11.95" customHeight="1" s="79"/>
    <row r="156" ht="11.95" customHeight="1" s="79"/>
    <row r="157" ht="11.95" customHeight="1" s="79"/>
    <row r="158" ht="11.95" customHeight="1" s="79"/>
    <row r="159" ht="11.95" customHeight="1" s="79"/>
    <row r="160" ht="11.95" customHeight="1" s="79"/>
    <row r="161" ht="11.95" customHeight="1" s="79"/>
    <row r="162" ht="11.95" customHeight="1" s="79"/>
    <row r="163" ht="11.95" customHeight="1" s="79"/>
    <row r="164" ht="11.95" customHeight="1" s="79"/>
    <row r="165" ht="11.95" customHeight="1" s="79"/>
    <row r="166" ht="11.95" customHeight="1" s="79"/>
    <row r="167" ht="11.95" customHeight="1" s="79"/>
    <row r="168" ht="11.95" customHeight="1" s="79"/>
    <row r="169" ht="11.95" customHeight="1" s="79"/>
    <row r="170" ht="11.95" customHeight="1" s="79"/>
    <row r="171" ht="11.95" customHeight="1" s="79"/>
    <row r="172" ht="11.95" customHeight="1" s="79"/>
    <row r="173" ht="11.95" customHeight="1" s="79"/>
    <row r="174" ht="11.95" customHeight="1" s="79"/>
    <row r="175" ht="11.95" customHeight="1" s="79"/>
    <row r="176" ht="11.95" customHeight="1" s="79"/>
    <row r="177" ht="11.95" customHeight="1" s="79"/>
    <row r="178" ht="11.95" customHeight="1" s="79"/>
    <row r="179" ht="11.95" customHeight="1" s="79"/>
    <row r="180" ht="11.95" customHeight="1" s="79"/>
    <row r="181" ht="11.95" customHeight="1" s="79"/>
    <row r="182" ht="11.95" customHeight="1" s="79"/>
    <row r="183" ht="11.95" customHeight="1" s="79"/>
    <row r="184" ht="11.95" customHeight="1" s="79"/>
    <row r="185" ht="11.95" customHeight="1" s="79"/>
    <row r="186" ht="11.95" customHeight="1" s="79"/>
    <row r="187" ht="11.95" customHeight="1" s="79"/>
    <row r="188" ht="11.95" customHeight="1" s="79"/>
    <row r="189" ht="11.95" customHeight="1" s="79"/>
    <row r="190" ht="11.95" customHeight="1" s="79"/>
    <row r="191" ht="11.95" customHeight="1" s="79"/>
    <row r="192" ht="11.95" customHeight="1" s="79"/>
    <row r="193" ht="11.95" customHeight="1" s="79"/>
    <row r="194" ht="11.95" customHeight="1" s="79"/>
    <row r="195" ht="11.95" customHeight="1" s="79"/>
    <row r="196" ht="11.95" customHeight="1" s="79"/>
    <row r="197" ht="11.95" customHeight="1" s="79"/>
    <row r="198" ht="11.95" customHeight="1" s="79"/>
    <row r="199" ht="11.95" customHeight="1" s="79"/>
    <row r="200" ht="11.95" customHeight="1" s="79"/>
    <row r="201" ht="11.95" customHeight="1" s="79"/>
    <row r="202" ht="11.95" customHeight="1" s="79"/>
    <row r="203" ht="11.95" customHeight="1" s="79"/>
    <row r="204" ht="11.95" customHeight="1" s="79"/>
    <row r="205" ht="11.95" customHeight="1" s="79"/>
    <row r="206" ht="11.95" customHeight="1" s="79"/>
    <row r="207" ht="11.95" customHeight="1" s="79"/>
    <row r="208" ht="11.95" customHeight="1" s="79"/>
    <row r="209" ht="11.95" customHeight="1" s="79"/>
    <row r="210" ht="11.95" customHeight="1" s="79"/>
    <row r="211" ht="11.95" customHeight="1" s="79"/>
    <row r="212" ht="11.95" customHeight="1" s="79"/>
    <row r="213" ht="11.95" customHeight="1" s="79"/>
    <row r="214" ht="11.95" customHeight="1" s="79"/>
    <row r="215" ht="11.95" customHeight="1" s="79"/>
    <row r="216" ht="11.95" customHeight="1" s="79"/>
    <row r="217" ht="11.95" customHeight="1" s="79"/>
    <row r="218" ht="11.95" customHeight="1" s="79"/>
    <row r="219" ht="11.95" customHeight="1" s="79"/>
    <row r="220" ht="11.95" customHeight="1" s="79"/>
    <row r="221" ht="11.95" customHeight="1" s="79"/>
    <row r="222" ht="11.95" customHeight="1" s="79"/>
    <row r="223" ht="11.95" customHeight="1" s="79"/>
    <row r="224" ht="11.95" customHeight="1" s="79"/>
    <row r="225" ht="11.95" customHeight="1" s="79"/>
    <row r="226" ht="11.95" customHeight="1" s="79"/>
    <row r="227" ht="11.95" customHeight="1" s="79"/>
    <row r="228" ht="11.95" customHeight="1" s="79"/>
    <row r="229" ht="11.95" customHeight="1" s="79"/>
    <row r="230" ht="11.95" customHeight="1" s="79"/>
    <row r="231" ht="11.95" customHeight="1" s="79"/>
    <row r="232" ht="11.95" customHeight="1" s="79"/>
    <row r="233" ht="11.95" customHeight="1" s="79"/>
    <row r="234" ht="11.95" customHeight="1" s="79"/>
    <row r="235" ht="11.95" customHeight="1" s="79"/>
    <row r="236" ht="11.95" customHeight="1" s="79"/>
    <row r="237" ht="11.95" customHeight="1" s="79"/>
    <row r="238" ht="11.95" customHeight="1" s="79"/>
    <row r="239" ht="11.95" customHeight="1" s="79"/>
    <row r="240" ht="11.95" customHeight="1" s="79"/>
    <row r="241" ht="11.95" customHeight="1" s="79"/>
    <row r="242" ht="11.95" customHeight="1" s="79"/>
    <row r="243" ht="11.95" customHeight="1" s="79"/>
    <row r="244" ht="11.95" customHeight="1" s="79"/>
    <row r="245" ht="11.95" customHeight="1" s="79"/>
    <row r="246" ht="11.95" customHeight="1" s="79"/>
    <row r="247" ht="11.95" customHeight="1" s="79"/>
    <row r="248" ht="11.95" customHeight="1" s="79"/>
    <row r="249" ht="11.95" customHeight="1" s="79"/>
    <row r="250" ht="11.95" customHeight="1" s="79"/>
    <row r="251" ht="11.95" customHeight="1" s="79"/>
    <row r="252" ht="11.95" customHeight="1" s="79"/>
    <row r="253" ht="11.95" customHeight="1" s="79"/>
    <row r="254" ht="11.95" customHeight="1" s="79"/>
    <row r="255" ht="11.95" customHeight="1" s="79"/>
    <row r="256" ht="11.95" customHeight="1" s="79"/>
    <row r="257" ht="11.95" customHeight="1" s="79"/>
    <row r="258" ht="11.95" customHeight="1" s="79"/>
    <row r="259" ht="11.95" customHeight="1" s="79"/>
    <row r="260" ht="11.95" customHeight="1" s="79"/>
    <row r="261" ht="11.95" customHeight="1" s="79"/>
    <row r="262" ht="11.95" customHeight="1" s="79"/>
    <row r="263" ht="11.95" customHeight="1" s="79"/>
    <row r="264" ht="11.95" customHeight="1" s="79"/>
    <row r="265" ht="11.95" customHeight="1" s="79"/>
    <row r="266" ht="11.95" customHeight="1" s="79"/>
    <row r="267" ht="11.95" customHeight="1" s="79"/>
    <row r="268" ht="11.95" customHeight="1" s="79"/>
    <row r="269" ht="11.95" customHeight="1" s="79"/>
    <row r="270" ht="11.95" customHeight="1" s="79"/>
    <row r="271" ht="11.95" customHeight="1" s="79"/>
    <row r="272" ht="11.95" customHeight="1" s="79"/>
    <row r="273" ht="11.95" customHeight="1" s="79"/>
    <row r="274" ht="11.95" customHeight="1" s="79"/>
    <row r="275" ht="11.95" customHeight="1" s="79"/>
    <row r="276" ht="11.95" customHeight="1" s="79"/>
    <row r="277" ht="11.95" customHeight="1" s="79"/>
    <row r="278" ht="11.95" customHeight="1" s="79"/>
    <row r="279" ht="11.95" customHeight="1" s="79"/>
    <row r="280" ht="11.95" customHeight="1" s="79"/>
    <row r="281" ht="11.95" customHeight="1" s="79"/>
    <row r="282" ht="11.95" customHeight="1" s="79"/>
    <row r="283" ht="11.95" customHeight="1" s="79"/>
    <row r="284" ht="11.95" customHeight="1" s="79"/>
    <row r="285" ht="11.95" customHeight="1" s="79"/>
    <row r="286" ht="11.95" customHeight="1" s="79"/>
    <row r="287" ht="11.95" customHeight="1" s="79"/>
    <row r="288" ht="11.95" customHeight="1" s="79"/>
    <row r="289" ht="11.95" customHeight="1" s="79"/>
    <row r="290" ht="11.95" customHeight="1" s="79"/>
    <row r="291" ht="11.95" customHeight="1" s="79"/>
    <row r="292" ht="11.95" customHeight="1" s="79"/>
    <row r="293" ht="11.95" customHeight="1" s="79"/>
    <row r="294" ht="11.95" customHeight="1" s="79"/>
    <row r="295" ht="11.95" customHeight="1" s="79"/>
    <row r="296" ht="11.95" customHeight="1" s="79"/>
    <row r="297" ht="11.95" customHeight="1" s="79"/>
    <row r="298" ht="11.95" customHeight="1" s="79"/>
    <row r="299" ht="11.95" customHeight="1" s="79"/>
    <row r="300" ht="11.95" customHeight="1" s="79"/>
    <row r="301" ht="11.95" customHeight="1" s="79"/>
    <row r="302" ht="11.95" customHeight="1" s="79"/>
    <row r="303" ht="11.95" customHeight="1" s="79"/>
    <row r="304" ht="11.95" customHeight="1" s="79"/>
    <row r="305" ht="11.95" customHeight="1" s="79"/>
    <row r="306" ht="11.95" customHeight="1" s="79"/>
    <row r="307" ht="11.95" customHeight="1" s="79"/>
    <row r="308" ht="11.95" customHeight="1" s="79"/>
    <row r="309" ht="11.95" customHeight="1" s="79"/>
    <row r="310" ht="11.95" customHeight="1" s="79"/>
    <row r="311" ht="11.95" customHeight="1" s="79"/>
    <row r="312" ht="11.95" customHeight="1" s="79"/>
    <row r="313" ht="11.95" customHeight="1" s="79"/>
    <row r="314" ht="11.95" customHeight="1" s="79"/>
    <row r="315" ht="11.95" customHeight="1" s="79"/>
    <row r="316" ht="11.95" customHeight="1" s="79"/>
    <row r="317" ht="11.95" customHeight="1" s="79"/>
    <row r="318" ht="11.95" customHeight="1" s="79"/>
    <row r="319" ht="11.95" customHeight="1" s="79"/>
    <row r="320" ht="11.95" customHeight="1" s="79"/>
    <row r="321" ht="11.95" customHeight="1" s="79"/>
    <row r="322" ht="11.95" customHeight="1" s="79"/>
    <row r="323" ht="11.95" customHeight="1" s="79"/>
    <row r="324" ht="11.95" customHeight="1" s="79"/>
    <row r="325" ht="11.95" customHeight="1" s="79"/>
    <row r="326" ht="11.95" customHeight="1" s="79"/>
    <row r="327" ht="11.95" customHeight="1" s="79"/>
    <row r="328" ht="11.95" customHeight="1" s="79"/>
    <row r="329" ht="11.95" customHeight="1" s="79"/>
    <row r="330" ht="11.95" customHeight="1" s="79"/>
    <row r="331" ht="11.95" customHeight="1" s="79"/>
    <row r="332" ht="11.95" customHeight="1" s="79"/>
    <row r="333" ht="11.95" customHeight="1" s="79"/>
    <row r="334" ht="11.95" customHeight="1" s="79"/>
    <row r="335" ht="11.95" customHeight="1" s="79"/>
    <row r="336" ht="11.95" customHeight="1" s="79"/>
    <row r="337" ht="11.95" customHeight="1" s="79"/>
    <row r="338" ht="11.95" customHeight="1" s="79"/>
    <row r="339" ht="11.95" customHeight="1" s="79"/>
    <row r="340" ht="11.95" customHeight="1" s="79"/>
    <row r="341" ht="11.95" customHeight="1" s="79"/>
    <row r="342" ht="11.95" customHeight="1" s="79"/>
    <row r="343" ht="11.95" customHeight="1" s="79"/>
    <row r="344" ht="11.95" customHeight="1" s="79"/>
    <row r="345" ht="11.95" customHeight="1" s="79"/>
    <row r="346" ht="11.95" customHeight="1" s="79"/>
    <row r="347" ht="11.95" customHeight="1" s="79"/>
    <row r="348" ht="11.95" customHeight="1" s="79"/>
    <row r="349" ht="11.95" customHeight="1" s="79"/>
    <row r="350" ht="11.95" customHeight="1" s="79"/>
    <row r="351" ht="11.95" customHeight="1" s="79"/>
    <row r="352" ht="11.95" customHeight="1" s="79"/>
    <row r="353" ht="11.95" customHeight="1" s="79"/>
    <row r="354" ht="11.95" customHeight="1" s="79"/>
    <row r="355" ht="11.95" customHeight="1" s="79"/>
    <row r="356" ht="11.95" customHeight="1" s="79"/>
    <row r="357" ht="11.95" customHeight="1" s="79"/>
    <row r="358" ht="11.95" customHeight="1" s="79"/>
    <row r="359" ht="11.95" customHeight="1" s="79"/>
    <row r="360" ht="11.95" customHeight="1" s="79"/>
    <row r="361" ht="11.95" customHeight="1" s="79"/>
    <row r="362" ht="11.95" customHeight="1" s="79"/>
    <row r="363" ht="11.95" customHeight="1" s="79"/>
    <row r="364" ht="11.95" customHeight="1" s="79"/>
    <row r="365" ht="11.95" customHeight="1" s="79"/>
    <row r="366" ht="11.95" customHeight="1" s="79"/>
    <row r="367" ht="11.95" customHeight="1" s="79"/>
    <row r="368" ht="11.95" customHeight="1" s="79"/>
    <row r="369" ht="11.95" customHeight="1" s="79"/>
    <row r="370" ht="11.95" customHeight="1" s="79"/>
    <row r="371" ht="11.95" customHeight="1" s="79"/>
    <row r="372" ht="11.95" customHeight="1" s="79"/>
    <row r="373" ht="11.95" customHeight="1" s="79"/>
    <row r="374" ht="11.95" customHeight="1" s="79"/>
    <row r="375" ht="11.95" customHeight="1" s="79"/>
    <row r="376" ht="11.95" customHeight="1" s="79"/>
    <row r="377" ht="11.95" customHeight="1" s="79"/>
    <row r="378" ht="11.95" customHeight="1" s="79"/>
    <row r="379" ht="11.95" customHeight="1" s="79"/>
    <row r="380" ht="11.95" customHeight="1" s="79"/>
    <row r="381" ht="11.95" customHeight="1" s="79"/>
    <row r="382" ht="11.95" customHeight="1" s="79"/>
    <row r="383" ht="11.95" customHeight="1" s="79"/>
    <row r="384" ht="11.95" customHeight="1" s="79"/>
    <row r="385" ht="11.95" customHeight="1" s="79"/>
    <row r="386" ht="11.95" customHeight="1" s="79"/>
    <row r="387" ht="11.95" customHeight="1" s="79"/>
    <row r="388" ht="11.95" customHeight="1" s="79"/>
    <row r="389" ht="11.95" customHeight="1" s="79"/>
    <row r="390" ht="11.95" customHeight="1" s="79"/>
    <row r="391" ht="11.95" customHeight="1" s="79"/>
    <row r="392" ht="11.95" customHeight="1" s="79"/>
    <row r="393" ht="11.95" customHeight="1" s="79"/>
    <row r="394" ht="11.95" customHeight="1" s="79"/>
    <row r="395" ht="11.95" customHeight="1" s="79"/>
    <row r="396" ht="11.95" customHeight="1" s="79"/>
    <row r="397" ht="11.95" customHeight="1" s="79"/>
    <row r="398" ht="11.95" customHeight="1" s="79"/>
    <row r="399" ht="11.95" customHeight="1" s="79"/>
    <row r="400" ht="11.95" customHeight="1" s="79"/>
    <row r="401" ht="11.95" customHeight="1" s="79"/>
    <row r="402" ht="11.95" customHeight="1" s="79"/>
    <row r="403" ht="11.95" customHeight="1" s="79"/>
    <row r="404" ht="11.95" customHeight="1" s="79"/>
    <row r="405" ht="11.95" customHeight="1" s="79"/>
    <row r="406" ht="11.95" customHeight="1" s="79"/>
    <row r="407" ht="11.95" customHeight="1" s="79"/>
    <row r="408" ht="11.95" customHeight="1" s="79"/>
    <row r="409" ht="11.95" customHeight="1" s="79"/>
    <row r="410" ht="11.95" customHeight="1" s="79"/>
    <row r="411" ht="11.95" customHeight="1" s="79"/>
    <row r="412" ht="11.95" customHeight="1" s="79"/>
    <row r="413" ht="11.95" customHeight="1" s="79"/>
    <row r="414" ht="11.95" customHeight="1" s="79"/>
    <row r="415" ht="11.95" customHeight="1" s="79"/>
    <row r="416" ht="11.95" customHeight="1" s="79"/>
    <row r="417" ht="11.95" customHeight="1" s="79"/>
    <row r="418" ht="11.95" customHeight="1" s="79"/>
    <row r="419" ht="11.95" customHeight="1" s="79"/>
    <row r="420" ht="11.95" customHeight="1" s="79"/>
    <row r="421" ht="11.95" customHeight="1" s="79"/>
    <row r="422" ht="11.95" customHeight="1" s="79"/>
    <row r="423" ht="11.95" customHeight="1" s="79"/>
    <row r="424" ht="11.95" customHeight="1" s="79"/>
    <row r="425" ht="11.95" customHeight="1" s="79"/>
    <row r="426" ht="11.95" customHeight="1" s="79"/>
    <row r="427" ht="11.95" customHeight="1" s="79"/>
    <row r="428" ht="11.95" customHeight="1" s="79"/>
    <row r="429" ht="11.95" customHeight="1" s="79"/>
    <row r="430" ht="11.95" customHeight="1" s="79"/>
    <row r="431" ht="11.95" customHeight="1" s="79"/>
    <row r="432" ht="11.95" customHeight="1" s="79"/>
    <row r="433" ht="11.95" customHeight="1" s="79"/>
    <row r="434" ht="11.95" customHeight="1" s="79"/>
    <row r="435" ht="11.95" customHeight="1" s="79"/>
    <row r="436" ht="11.95" customHeight="1" s="79"/>
    <row r="437" ht="11.95" customHeight="1" s="79"/>
    <row r="438" ht="11.95" customHeight="1" s="79"/>
    <row r="439" ht="11.95" customHeight="1" s="79"/>
    <row r="440" ht="11.95" customHeight="1" s="79"/>
    <row r="441" ht="11.95" customHeight="1" s="79"/>
    <row r="442" ht="11.95" customHeight="1" s="79"/>
    <row r="443" ht="11.95" customHeight="1" s="79"/>
    <row r="444" ht="11.95" customHeight="1" s="79"/>
    <row r="445" ht="11.95" customHeight="1" s="79"/>
    <row r="446" ht="11.95" customHeight="1" s="79"/>
    <row r="447" ht="11.95" customHeight="1" s="79"/>
    <row r="448" ht="11.95" customHeight="1" s="79"/>
    <row r="449" ht="11.95" customHeight="1" s="79"/>
    <row r="450" ht="11.95" customHeight="1" s="79"/>
    <row r="451" ht="11.95" customHeight="1" s="79"/>
    <row r="452" ht="11.95" customHeight="1" s="79"/>
    <row r="453" ht="11.95" customHeight="1" s="79"/>
    <row r="454" ht="11.95" customHeight="1" s="79"/>
    <row r="455" ht="11.95" customHeight="1" s="79"/>
    <row r="456" ht="11.95" customHeight="1" s="79"/>
    <row r="457" ht="11.95" customHeight="1" s="79"/>
    <row r="458" ht="11.95" customHeight="1" s="79"/>
    <row r="459" ht="11.95" customHeight="1" s="79"/>
    <row r="460" ht="11.95" customHeight="1" s="79"/>
    <row r="461" ht="11.95" customHeight="1" s="79"/>
    <row r="462" ht="11.95" customHeight="1" s="79"/>
    <row r="463" ht="11.95" customHeight="1" s="79"/>
    <row r="464" ht="11.95" customHeight="1" s="79"/>
    <row r="465" ht="11.95" customHeight="1" s="79"/>
    <row r="466" ht="11.95" customHeight="1" s="79"/>
    <row r="467" ht="11.95" customHeight="1" s="79"/>
    <row r="468" ht="11.95" customHeight="1" s="79"/>
    <row r="469" ht="11.95" customHeight="1" s="79"/>
    <row r="470" ht="11.95" customHeight="1" s="79"/>
    <row r="471" ht="11.95" customHeight="1" s="79"/>
    <row r="472" ht="11.95" customHeight="1" s="79"/>
    <row r="473" ht="11.95" customHeight="1" s="79"/>
    <row r="474" ht="11.95" customHeight="1" s="79"/>
    <row r="475" ht="11.95" customHeight="1" s="79"/>
    <row r="476" ht="11.95" customHeight="1" s="79"/>
    <row r="477" ht="11.95" customHeight="1" s="79"/>
    <row r="478" ht="11.95" customHeight="1" s="79"/>
    <row r="479" ht="11.95" customHeight="1" s="79"/>
    <row r="480" ht="11.95" customHeight="1" s="79"/>
    <row r="481" ht="11.95" customHeight="1" s="79"/>
    <row r="482" ht="11.95" customHeight="1" s="79"/>
    <row r="483" ht="11.95" customHeight="1" s="79"/>
    <row r="484" ht="11.95" customHeight="1" s="79"/>
    <row r="485" ht="11.95" customHeight="1" s="79"/>
    <row r="486" ht="11.95" customHeight="1" s="79"/>
    <row r="487" ht="11.95" customHeight="1" s="79"/>
    <row r="488" ht="11.95" customHeight="1" s="79"/>
    <row r="489" ht="11.95" customHeight="1" s="79"/>
    <row r="490" ht="11.95" customHeight="1" s="79"/>
    <row r="491" ht="11.95" customHeight="1" s="79"/>
    <row r="492" ht="11.95" customHeight="1" s="79"/>
    <row r="493" ht="11.95" customHeight="1" s="79"/>
    <row r="494" ht="11.95" customHeight="1" s="79"/>
    <row r="495" ht="11.95" customHeight="1" s="79"/>
    <row r="496" ht="11.95" customHeight="1" s="79"/>
    <row r="497" ht="11.95" customHeight="1" s="79"/>
    <row r="498" ht="11.95" customHeight="1" s="79"/>
    <row r="499" ht="11.95" customHeight="1" s="79"/>
    <row r="500" ht="11.95" customHeight="1" s="79"/>
    <row r="501" ht="11.95" customHeight="1" s="79"/>
    <row r="502" ht="11.95" customHeight="1" s="79"/>
    <row r="503" ht="11.95" customHeight="1" s="79"/>
    <row r="504" ht="11.95" customHeight="1" s="79"/>
    <row r="505" ht="11.95" customHeight="1" s="79"/>
    <row r="506" ht="11.95" customHeight="1" s="79"/>
    <row r="507" ht="11.95" customHeight="1" s="79"/>
    <row r="508" ht="11.95" customHeight="1" s="79"/>
    <row r="509" ht="11.95" customHeight="1" s="79"/>
    <row r="510" ht="11.95" customHeight="1" s="79"/>
    <row r="511" ht="11.95" customHeight="1" s="79"/>
    <row r="512" ht="11.95" customHeight="1" s="79"/>
    <row r="513" ht="11.95" customHeight="1" s="79"/>
    <row r="514" ht="11.95" customHeight="1" s="79"/>
    <row r="515" ht="11.95" customHeight="1" s="79"/>
    <row r="516" ht="11.95" customHeight="1" s="79"/>
    <row r="517" ht="11.95" customHeight="1" s="79"/>
    <row r="518" ht="11.95" customHeight="1" s="79"/>
    <row r="519" ht="11.95" customHeight="1" s="79"/>
    <row r="520" ht="11.95" customHeight="1" s="79"/>
    <row r="521" ht="11.95" customHeight="1" s="79"/>
    <row r="522" ht="11.95" customHeight="1" s="79"/>
    <row r="523" ht="11.95" customHeight="1" s="79"/>
    <row r="524" ht="11.95" customHeight="1" s="79"/>
    <row r="525" ht="11.95" customHeight="1" s="79"/>
    <row r="526" ht="11.95" customHeight="1" s="79"/>
    <row r="527" ht="11.95" customHeight="1" s="79"/>
    <row r="528" ht="11.95" customHeight="1" s="79"/>
    <row r="529" ht="11.95" customHeight="1" s="79"/>
    <row r="530" ht="11.95" customHeight="1" s="79"/>
    <row r="531" ht="11.95" customHeight="1" s="79"/>
    <row r="532" ht="11.95" customHeight="1" s="79"/>
    <row r="533" ht="11.95" customHeight="1" s="79"/>
    <row r="534" ht="11.95" customHeight="1" s="79"/>
    <row r="535" ht="11.95" customHeight="1" s="79"/>
    <row r="536" ht="11.95" customHeight="1" s="79"/>
    <row r="537" ht="11.95" customHeight="1" s="79"/>
    <row r="538" ht="11.95" customHeight="1" s="79"/>
    <row r="539" ht="11.95" customHeight="1" s="79"/>
    <row r="540" ht="11.95" customHeight="1" s="79"/>
    <row r="541" ht="11.95" customHeight="1" s="79"/>
    <row r="542" ht="11.95" customHeight="1" s="79"/>
    <row r="543" ht="11.95" customHeight="1" s="79"/>
    <row r="544" ht="11.95" customHeight="1" s="79"/>
    <row r="545" ht="11.95" customHeight="1" s="79"/>
    <row r="546" ht="11.95" customHeight="1" s="79"/>
    <row r="547" ht="11.95" customHeight="1" s="79"/>
    <row r="548" ht="11.95" customHeight="1" s="79"/>
    <row r="549" ht="11.95" customHeight="1" s="79"/>
    <row r="550" ht="11.95" customHeight="1" s="79"/>
    <row r="551" ht="11.95" customHeight="1" s="79"/>
    <row r="552" ht="11.95" customHeight="1" s="79"/>
    <row r="553" ht="11.95" customHeight="1" s="79"/>
    <row r="554" ht="11.95" customHeight="1" s="79"/>
    <row r="555" ht="11.95" customHeight="1" s="79"/>
    <row r="556" ht="11.95" customHeight="1" s="79"/>
    <row r="557" ht="11.95" customHeight="1" s="79"/>
    <row r="558" ht="11.95" customHeight="1" s="79"/>
    <row r="559" ht="11.95" customHeight="1" s="79"/>
    <row r="560" ht="11.95" customHeight="1" s="79"/>
    <row r="561" ht="11.95" customHeight="1" s="79"/>
    <row r="562" ht="11.95" customHeight="1" s="79"/>
    <row r="563" ht="11.95" customHeight="1" s="79"/>
    <row r="564" ht="11.95" customHeight="1" s="79"/>
    <row r="565" ht="11.95" customHeight="1" s="79"/>
    <row r="566" ht="11.95" customHeight="1" s="79"/>
    <row r="567" ht="11.95" customHeight="1" s="79"/>
    <row r="568" ht="11.95" customHeight="1" s="79"/>
    <row r="569" ht="11.95" customHeight="1" s="79"/>
    <row r="570" ht="11.95" customHeight="1" s="79"/>
    <row r="571" ht="11.95" customHeight="1" s="79"/>
    <row r="572" ht="11.95" customHeight="1" s="79"/>
    <row r="573" ht="11.95" customHeight="1" s="79"/>
    <row r="574" ht="11.95" customHeight="1" s="79"/>
    <row r="575" ht="11.95" customHeight="1" s="79"/>
    <row r="576" ht="11.95" customHeight="1" s="79"/>
    <row r="577" ht="11.95" customHeight="1" s="79"/>
    <row r="578" ht="11.95" customHeight="1" s="79"/>
    <row r="579" ht="11.95" customHeight="1" s="79"/>
    <row r="580" ht="11.95" customHeight="1" s="79"/>
    <row r="581" ht="11.95" customHeight="1" s="79"/>
    <row r="582" ht="11.95" customHeight="1" s="79"/>
    <row r="583" ht="11.95" customHeight="1" s="79"/>
    <row r="584" ht="11.95" customHeight="1" s="79"/>
    <row r="585" ht="11.95" customHeight="1" s="79"/>
    <row r="586" ht="11.95" customHeight="1" s="79"/>
    <row r="587" ht="11.95" customHeight="1" s="79"/>
    <row r="588" ht="11.95" customHeight="1" s="79"/>
    <row r="589" ht="11.95" customHeight="1" s="79"/>
    <row r="590" ht="11.95" customHeight="1" s="79"/>
    <row r="591" ht="11.95" customHeight="1" s="79"/>
    <row r="592" ht="11.95" customHeight="1" s="79"/>
    <row r="593" ht="11.95" customHeight="1" s="79"/>
    <row r="594" ht="11.95" customHeight="1" s="79"/>
    <row r="595" ht="11.95" customHeight="1" s="79"/>
    <row r="596" ht="11.95" customHeight="1" s="79"/>
    <row r="597" ht="11.95" customHeight="1" s="79"/>
    <row r="598" ht="11.95" customHeight="1" s="79"/>
    <row r="599" ht="11.95" customHeight="1" s="79"/>
    <row r="600" ht="11.95" customHeight="1" s="79"/>
    <row r="601" ht="11.95" customHeight="1" s="79"/>
    <row r="602" ht="11.95" customHeight="1" s="79"/>
    <row r="603" ht="11.95" customHeight="1" s="79"/>
    <row r="604" ht="11.95" customHeight="1" s="79"/>
    <row r="605" ht="11.95" customHeight="1" s="79"/>
    <row r="606" ht="11.95" customHeight="1" s="79"/>
    <row r="607" ht="11.95" customHeight="1" s="79"/>
    <row r="608" ht="11.95" customHeight="1" s="79"/>
    <row r="609" ht="11.95" customHeight="1" s="79"/>
    <row r="610" ht="11.95" customHeight="1" s="79"/>
    <row r="611" ht="11.95" customHeight="1" s="79"/>
    <row r="612" ht="11.95" customHeight="1" s="79"/>
    <row r="613" ht="11.95" customHeight="1" s="79"/>
    <row r="614" ht="11.95" customHeight="1" s="79"/>
    <row r="615" ht="11.95" customHeight="1" s="79"/>
    <row r="616" ht="11.95" customHeight="1" s="79"/>
    <row r="617" ht="11.95" customHeight="1" s="79"/>
    <row r="618" ht="11.95" customHeight="1" s="79"/>
    <row r="619" ht="11.95" customHeight="1" s="79"/>
    <row r="620" ht="11.95" customHeight="1" s="79"/>
    <row r="621" ht="11.95" customHeight="1" s="79"/>
    <row r="622" ht="11.95" customHeight="1" s="79"/>
    <row r="623" ht="11.95" customHeight="1" s="79"/>
    <row r="624" ht="11.95" customHeight="1" s="79"/>
    <row r="625" ht="11.95" customHeight="1" s="79"/>
    <row r="626" ht="11.95" customHeight="1" s="79"/>
    <row r="627" ht="11.95" customHeight="1" s="79"/>
    <row r="628" ht="11.95" customHeight="1" s="79"/>
    <row r="629" ht="11.95" customHeight="1" s="79"/>
    <row r="630" ht="11.95" customHeight="1" s="79"/>
    <row r="631" ht="11.95" customHeight="1" s="79"/>
    <row r="632" ht="11.95" customHeight="1" s="79"/>
    <row r="633" ht="11.95" customHeight="1" s="79"/>
    <row r="634" ht="11.95" customHeight="1" s="79"/>
    <row r="635" ht="11.95" customHeight="1" s="79"/>
    <row r="636" ht="11.95" customHeight="1" s="79"/>
    <row r="637" ht="11.95" customHeight="1" s="79"/>
    <row r="638" ht="11.95" customHeight="1" s="79"/>
    <row r="639" ht="11.95" customHeight="1" s="79"/>
    <row r="640" ht="11.95" customHeight="1" s="79"/>
    <row r="641" ht="11.95" customHeight="1" s="79"/>
    <row r="642" ht="11.95" customHeight="1" s="79"/>
    <row r="643" ht="11.95" customHeight="1" s="79"/>
    <row r="644" ht="11.95" customHeight="1" s="79"/>
    <row r="645" ht="11.95" customHeight="1" s="79"/>
    <row r="646" ht="11.95" customHeight="1" s="79"/>
    <row r="647" ht="11.95" customHeight="1" s="79"/>
    <row r="648" ht="11.95" customHeight="1" s="79"/>
    <row r="649" ht="11.95" customHeight="1" s="79"/>
    <row r="650" ht="11.95" customHeight="1" s="79"/>
    <row r="651" ht="11.95" customHeight="1" s="79"/>
    <row r="652" ht="11.95" customHeight="1" s="79"/>
    <row r="653" ht="11.95" customHeight="1" s="79"/>
    <row r="654" ht="11.95" customHeight="1" s="79"/>
    <row r="655" ht="11.95" customHeight="1" s="79"/>
    <row r="656" ht="11.95" customHeight="1" s="79"/>
    <row r="657" ht="11.95" customHeight="1" s="79"/>
    <row r="658" ht="11.95" customHeight="1" s="79"/>
    <row r="659" ht="11.95" customHeight="1" s="79"/>
    <row r="660" ht="11.95" customHeight="1" s="79"/>
    <row r="661" ht="11.95" customHeight="1" s="79"/>
    <row r="662" ht="11.95" customHeight="1" s="79"/>
    <row r="663" ht="11.95" customHeight="1" s="79"/>
    <row r="664" ht="11.95" customHeight="1" s="79"/>
    <row r="665" ht="11.95" customHeight="1" s="79"/>
    <row r="666" ht="11.95" customHeight="1" s="79"/>
    <row r="667" ht="11.95" customHeight="1" s="79"/>
    <row r="668" ht="11.95" customHeight="1" s="79"/>
    <row r="669" ht="11.95" customHeight="1" s="79"/>
    <row r="670" ht="11.95" customHeight="1" s="79"/>
    <row r="671" ht="11.95" customHeight="1" s="79"/>
    <row r="672" ht="11.95" customHeight="1" s="79"/>
    <row r="673" ht="11.95" customHeight="1" s="79"/>
    <row r="674" ht="11.95" customHeight="1" s="79"/>
    <row r="675" ht="11.95" customHeight="1" s="79"/>
    <row r="676" ht="11.95" customHeight="1" s="79"/>
    <row r="677" ht="11.95" customHeight="1" s="79"/>
    <row r="678" ht="11.95" customHeight="1" s="79"/>
    <row r="679" ht="11.95" customHeight="1" s="79"/>
    <row r="680" ht="11.95" customHeight="1" s="79"/>
    <row r="681" ht="11.95" customHeight="1" s="79"/>
    <row r="682" ht="11.95" customHeight="1" s="79"/>
    <row r="683" ht="11.95" customHeight="1" s="79"/>
    <row r="684" ht="11.95" customHeight="1" s="79"/>
    <row r="685" ht="11.95" customHeight="1" s="79"/>
    <row r="686" ht="11.95" customHeight="1" s="79"/>
    <row r="687" ht="11.95" customHeight="1" s="79"/>
    <row r="688" ht="11.95" customHeight="1" s="79"/>
    <row r="689" ht="11.95" customHeight="1" s="79"/>
    <row r="690" ht="11.95" customHeight="1" s="79"/>
    <row r="691" ht="11.95" customHeight="1" s="79"/>
    <row r="692" ht="11.95" customHeight="1" s="79"/>
    <row r="693" ht="11.95" customHeight="1" s="79"/>
    <row r="694" ht="11.95" customHeight="1" s="79"/>
    <row r="695" ht="11.95" customHeight="1" s="79"/>
    <row r="696" ht="11.95" customHeight="1" s="79"/>
    <row r="697" ht="11.95" customHeight="1" s="79"/>
    <row r="698" ht="11.95" customHeight="1" s="79"/>
    <row r="699" ht="11.95" customHeight="1" s="79"/>
    <row r="700" ht="11.95" customHeight="1" s="79"/>
    <row r="701" ht="11.95" customHeight="1" s="79"/>
    <row r="702" ht="11.95" customHeight="1" s="79"/>
    <row r="703" ht="11.95" customHeight="1" s="79"/>
    <row r="704" ht="11.95" customHeight="1" s="79"/>
    <row r="705" ht="11.95" customHeight="1" s="79"/>
    <row r="706" ht="11.95" customHeight="1" s="79"/>
    <row r="707" ht="11.95" customHeight="1" s="79"/>
    <row r="708" ht="11.95" customHeight="1" s="79"/>
    <row r="709" ht="11.95" customHeight="1" s="79"/>
    <row r="710" ht="11.95" customHeight="1" s="79"/>
    <row r="711" ht="11.95" customHeight="1" s="79"/>
    <row r="712" ht="11.95" customHeight="1" s="79"/>
    <row r="713" ht="11.95" customHeight="1" s="79"/>
    <row r="714" ht="11.95" customHeight="1" s="79"/>
    <row r="715" ht="11.95" customHeight="1" s="79"/>
    <row r="716" ht="11.95" customHeight="1" s="79"/>
    <row r="717" ht="11.95" customHeight="1" s="79"/>
    <row r="718" ht="11.95" customHeight="1" s="79"/>
    <row r="719" ht="11.95" customHeight="1" s="79"/>
    <row r="720" ht="11.95" customHeight="1" s="79"/>
    <row r="721" ht="11.95" customHeight="1" s="79"/>
    <row r="722" ht="11.95" customHeight="1" s="79"/>
    <row r="723" ht="11.95" customHeight="1" s="79"/>
    <row r="724" ht="11.95" customHeight="1" s="79"/>
    <row r="725" ht="11.95" customHeight="1" s="79"/>
    <row r="726" ht="11.95" customHeight="1" s="79"/>
    <row r="727" ht="11.95" customHeight="1" s="79"/>
    <row r="728" ht="11.95" customHeight="1" s="79"/>
    <row r="729" ht="11.95" customHeight="1" s="79"/>
    <row r="730" ht="11.95" customHeight="1" s="79"/>
    <row r="731" ht="11.95" customHeight="1" s="79"/>
    <row r="732" ht="11.95" customHeight="1" s="79"/>
    <row r="733" ht="11.95" customHeight="1" s="79"/>
    <row r="734" ht="11.95" customHeight="1" s="79"/>
    <row r="735" ht="11.95" customHeight="1" s="79"/>
    <row r="736" ht="11.95" customHeight="1" s="79"/>
    <row r="737" ht="11.95" customHeight="1" s="79"/>
    <row r="738" ht="11.95" customHeight="1" s="79"/>
    <row r="739" ht="11.95" customHeight="1" s="79"/>
    <row r="740" ht="11.95" customHeight="1" s="79"/>
    <row r="741" ht="11.95" customHeight="1" s="79"/>
    <row r="742" ht="11.95" customHeight="1" s="79"/>
    <row r="743" ht="11.95" customHeight="1" s="79"/>
    <row r="744" ht="11.95" customHeight="1" s="79"/>
    <row r="745" ht="11.95" customHeight="1" s="79"/>
    <row r="746" ht="11.95" customHeight="1" s="79"/>
    <row r="747" ht="11.95" customHeight="1" s="79"/>
    <row r="748" ht="11.95" customHeight="1" s="79"/>
    <row r="749" ht="11.95" customHeight="1" s="79"/>
    <row r="750" ht="11.95" customHeight="1" s="79"/>
    <row r="751" ht="11.95" customHeight="1" s="79"/>
    <row r="752" ht="11.95" customHeight="1" s="79"/>
    <row r="753" ht="11.95" customHeight="1" s="79"/>
    <row r="754" ht="11.95" customHeight="1" s="79"/>
    <row r="755" ht="11.95" customHeight="1" s="79"/>
    <row r="756" ht="11.95" customHeight="1" s="79"/>
    <row r="757" ht="11.95" customHeight="1" s="79"/>
    <row r="758" ht="11.95" customHeight="1" s="79"/>
    <row r="759" ht="11.95" customHeight="1" s="79"/>
    <row r="760" ht="11.95" customHeight="1" s="79"/>
    <row r="761" ht="11.95" customHeight="1" s="79"/>
    <row r="762" ht="11.95" customHeight="1" s="79"/>
    <row r="763" ht="11.95" customHeight="1" s="79"/>
    <row r="764" ht="11.95" customHeight="1" s="79"/>
    <row r="765" ht="11.95" customHeight="1" s="79"/>
    <row r="766" ht="11.95" customHeight="1" s="79"/>
    <row r="767" ht="11.95" customHeight="1" s="79"/>
    <row r="768" ht="11.95" customHeight="1" s="79"/>
    <row r="769" ht="11.95" customHeight="1" s="79"/>
    <row r="770" ht="11.95" customHeight="1" s="79"/>
    <row r="771" ht="11.95" customHeight="1" s="79"/>
    <row r="772" ht="11.95" customHeight="1" s="79"/>
    <row r="773" ht="11.95" customHeight="1" s="79"/>
    <row r="774" ht="11.95" customHeight="1" s="79"/>
    <row r="775" ht="11.95" customHeight="1" s="79"/>
    <row r="776" ht="11.95" customHeight="1" s="79"/>
    <row r="777" ht="11.95" customHeight="1" s="79"/>
    <row r="778" ht="11.95" customHeight="1" s="79"/>
    <row r="779" ht="11.95" customHeight="1" s="79"/>
    <row r="780" ht="11.95" customHeight="1" s="79"/>
    <row r="781" ht="11.95" customHeight="1" s="79"/>
    <row r="782" ht="11.95" customHeight="1" s="79"/>
    <row r="783" ht="11.95" customHeight="1" s="79"/>
    <row r="784" ht="11.95" customHeight="1" s="79"/>
    <row r="785" ht="11.95" customHeight="1" s="79"/>
    <row r="786" ht="11.95" customHeight="1" s="79"/>
    <row r="787" ht="11.95" customHeight="1" s="79"/>
    <row r="788" ht="11.95" customHeight="1" s="79"/>
    <row r="789" ht="11.95" customHeight="1" s="79"/>
    <row r="790" ht="11.95" customHeight="1" s="79"/>
    <row r="791" ht="11.95" customHeight="1" s="79"/>
    <row r="792" ht="11.95" customHeight="1" s="79"/>
    <row r="793" ht="11.95" customHeight="1" s="79"/>
    <row r="794" ht="11.95" customHeight="1" s="79"/>
    <row r="795" ht="11.95" customHeight="1" s="79"/>
    <row r="796" ht="11.95" customHeight="1" s="79"/>
    <row r="797" ht="11.95" customHeight="1" s="79"/>
    <row r="798" ht="11.95" customHeight="1" s="79"/>
    <row r="799" ht="11.95" customHeight="1" s="79"/>
    <row r="800" ht="11.95" customHeight="1" s="79"/>
    <row r="801" ht="11.95" customHeight="1" s="79"/>
    <row r="802" ht="11.95" customHeight="1" s="79"/>
    <row r="803" ht="11.95" customHeight="1" s="79"/>
    <row r="804" ht="11.95" customHeight="1" s="79"/>
    <row r="805" ht="11.95" customHeight="1" s="79"/>
    <row r="806" ht="11.95" customHeight="1" s="79"/>
    <row r="807" ht="11.95" customHeight="1" s="79"/>
    <row r="808" ht="11.95" customHeight="1" s="79"/>
    <row r="809" ht="11.95" customHeight="1" s="79"/>
    <row r="810" ht="11.95" customHeight="1" s="79"/>
    <row r="811" ht="11.95" customHeight="1" s="79"/>
    <row r="812" ht="11.95" customHeight="1" s="79"/>
    <row r="813" ht="11.95" customHeight="1" s="79"/>
    <row r="814" ht="11.95" customHeight="1" s="79"/>
    <row r="815" ht="11.95" customHeight="1" s="79"/>
    <row r="816" ht="11.95" customHeight="1" s="79"/>
    <row r="817" ht="11.95" customHeight="1" s="79"/>
    <row r="818" ht="11.95" customHeight="1" s="79"/>
    <row r="819" ht="11.95" customHeight="1" s="79"/>
    <row r="820" ht="11.95" customHeight="1" s="79"/>
    <row r="821" ht="11.95" customHeight="1" s="79"/>
    <row r="822" ht="11.95" customHeight="1" s="79"/>
    <row r="823" ht="11.95" customHeight="1" s="79"/>
    <row r="824" ht="11.95" customHeight="1" s="79"/>
    <row r="825" ht="11.95" customHeight="1" s="79"/>
    <row r="826" ht="11.95" customHeight="1" s="79"/>
    <row r="827" ht="11.95" customHeight="1" s="79"/>
    <row r="828" ht="11.95" customHeight="1" s="79"/>
    <row r="829" ht="11.95" customHeight="1" s="79"/>
    <row r="830" ht="11.95" customHeight="1" s="79"/>
    <row r="831" ht="11.95" customHeight="1" s="79"/>
    <row r="832" ht="11.95" customHeight="1" s="79"/>
    <row r="833" ht="11.95" customHeight="1" s="79"/>
    <row r="834" ht="11.95" customHeight="1" s="79"/>
    <row r="835" ht="11.95" customHeight="1" s="79"/>
    <row r="836" ht="11.95" customHeight="1" s="79"/>
    <row r="837" ht="11.95" customHeight="1" s="79"/>
    <row r="838" ht="11.95" customHeight="1" s="79"/>
    <row r="839" ht="11.95" customHeight="1" s="79"/>
    <row r="840" ht="11.95" customHeight="1" s="79"/>
    <row r="841" ht="11.95" customHeight="1" s="79"/>
    <row r="842" ht="11.95" customHeight="1" s="79"/>
    <row r="843" ht="11.95" customHeight="1" s="79"/>
    <row r="844" ht="11.95" customHeight="1" s="79"/>
    <row r="845" ht="11.95" customHeight="1" s="79"/>
    <row r="846" ht="11.95" customHeight="1" s="79"/>
    <row r="847" ht="11.95" customHeight="1" s="79"/>
    <row r="848" ht="11.95" customHeight="1" s="79"/>
    <row r="849" ht="11.95" customHeight="1" s="79"/>
    <row r="850" ht="11.95" customHeight="1" s="79"/>
    <row r="851" ht="11.95" customHeight="1" s="79"/>
    <row r="852" ht="11.95" customHeight="1" s="79"/>
    <row r="853" ht="11.95" customHeight="1" s="79"/>
    <row r="854" ht="11.95" customHeight="1" s="79"/>
    <row r="855" ht="11.95" customHeight="1" s="79"/>
    <row r="856" ht="11.95" customHeight="1" s="79"/>
    <row r="857" ht="11.95" customHeight="1" s="79"/>
    <row r="858" ht="11.95" customHeight="1" s="79"/>
    <row r="859" ht="11.95" customHeight="1" s="79"/>
    <row r="860" ht="11.95" customHeight="1" s="79"/>
    <row r="861" ht="11.95" customHeight="1" s="79"/>
    <row r="862" ht="11.95" customHeight="1" s="79"/>
    <row r="863" ht="11.95" customHeight="1" s="79"/>
    <row r="864" ht="11.95" customHeight="1" s="79"/>
    <row r="865" ht="11.95" customHeight="1" s="79"/>
    <row r="866" ht="11.95" customHeight="1" s="79"/>
    <row r="867" ht="11.95" customHeight="1" s="79"/>
    <row r="868" ht="11.95" customHeight="1" s="79"/>
    <row r="869" ht="11.95" customHeight="1" s="79"/>
    <row r="870" ht="11.95" customHeight="1" s="79"/>
    <row r="871" ht="11.95" customHeight="1" s="79"/>
    <row r="872" ht="11.95" customHeight="1" s="79"/>
    <row r="873" ht="11.95" customHeight="1" s="79"/>
    <row r="874" ht="11.95" customHeight="1" s="79"/>
    <row r="875" ht="11.95" customHeight="1" s="79"/>
    <row r="876" ht="11.95" customHeight="1" s="79"/>
    <row r="877" ht="11.95" customHeight="1" s="79"/>
    <row r="878" ht="11.95" customHeight="1" s="79"/>
    <row r="879" ht="11.95" customHeight="1" s="79"/>
    <row r="880" ht="11.95" customHeight="1" s="79"/>
    <row r="881" ht="11.95" customHeight="1" s="79"/>
    <row r="882" ht="11.95" customHeight="1" s="79"/>
    <row r="883" ht="11.95" customHeight="1" s="79"/>
    <row r="884" ht="11.95" customHeight="1" s="79"/>
    <row r="885" ht="11.95" customHeight="1" s="79"/>
    <row r="886" ht="11.95" customHeight="1" s="79"/>
    <row r="887" ht="11.95" customHeight="1" s="79"/>
    <row r="888" ht="11.95" customHeight="1" s="79"/>
    <row r="889" ht="11.95" customHeight="1" s="79"/>
    <row r="890" ht="11.95" customHeight="1" s="79"/>
    <row r="891" ht="11.95" customHeight="1" s="79"/>
    <row r="892" ht="11.95" customHeight="1" s="79"/>
    <row r="893" ht="11.95" customHeight="1" s="79"/>
    <row r="894" ht="11.95" customHeight="1" s="79"/>
    <row r="895" ht="11.95" customHeight="1" s="79"/>
    <row r="896" ht="11.95" customHeight="1" s="79"/>
    <row r="897" ht="11.95" customHeight="1" s="79"/>
    <row r="898" ht="11.95" customHeight="1" s="79"/>
    <row r="899" ht="11.95" customHeight="1" s="79"/>
    <row r="900" ht="11.95" customHeight="1" s="79"/>
    <row r="901" ht="11.95" customHeight="1" s="79"/>
    <row r="902" ht="11.95" customHeight="1" s="79"/>
    <row r="903" ht="11.95" customHeight="1" s="79"/>
    <row r="904" ht="11.95" customHeight="1" s="79"/>
    <row r="905" ht="11.95" customHeight="1" s="79"/>
    <row r="906" ht="11.95" customHeight="1" s="79"/>
    <row r="907" ht="11.95" customHeight="1" s="79"/>
    <row r="908" ht="11.95" customHeight="1" s="79"/>
    <row r="909" ht="11.95" customHeight="1" s="79"/>
    <row r="910" ht="11.95" customHeight="1" s="79"/>
    <row r="911" ht="11.95" customHeight="1" s="79"/>
    <row r="912" ht="11.95" customHeight="1" s="79"/>
    <row r="913" ht="11.95" customHeight="1" s="79"/>
    <row r="914" ht="11.95" customHeight="1" s="79"/>
    <row r="915" ht="11.95" customHeight="1" s="79"/>
    <row r="916" ht="11.95" customHeight="1" s="79"/>
    <row r="917" ht="11.95" customHeight="1" s="79"/>
    <row r="918" ht="11.95" customHeight="1" s="79"/>
    <row r="919" ht="11.95" customHeight="1" s="79"/>
    <row r="920" ht="11.95" customHeight="1" s="79"/>
    <row r="921" ht="11.95" customHeight="1" s="79"/>
    <row r="922" ht="11.95" customHeight="1" s="79"/>
    <row r="923" ht="11.95" customHeight="1" s="79"/>
    <row r="924" ht="11.95" customHeight="1" s="79"/>
    <row r="925" ht="11.95" customHeight="1" s="79"/>
    <row r="926" ht="11.95" customHeight="1" s="79"/>
    <row r="927" ht="11.95" customHeight="1" s="79"/>
    <row r="928" ht="11.95" customHeight="1" s="79"/>
    <row r="929" ht="11.95" customHeight="1" s="79"/>
    <row r="930" ht="11.95" customHeight="1" s="79"/>
    <row r="931" ht="11.95" customHeight="1" s="79"/>
    <row r="932" ht="11.95" customHeight="1" s="79"/>
    <row r="933" ht="11.95" customHeight="1" s="79"/>
    <row r="934" ht="11.95" customHeight="1" s="79"/>
    <row r="935" ht="11.95" customHeight="1" s="79"/>
    <row r="936" ht="11.95" customHeight="1" s="79"/>
    <row r="937" ht="11.95" customHeight="1" s="79"/>
    <row r="938" ht="11.95" customHeight="1" s="79"/>
    <row r="939" ht="11.95" customHeight="1" s="79"/>
    <row r="940" ht="11.95" customHeight="1" s="79"/>
    <row r="941" ht="11.95" customHeight="1" s="79"/>
    <row r="942" ht="11.95" customHeight="1" s="79"/>
    <row r="943" ht="11.95" customHeight="1" s="79"/>
    <row r="944" ht="11.95" customHeight="1" s="79"/>
    <row r="945" ht="11.95" customHeight="1" s="79"/>
    <row r="946" ht="11.95" customHeight="1" s="79"/>
    <row r="947" ht="11.95" customHeight="1" s="79"/>
    <row r="948" ht="11.95" customHeight="1" s="79"/>
    <row r="949" ht="11.95" customHeight="1" s="79"/>
    <row r="950" ht="11.95" customHeight="1" s="79"/>
    <row r="951" ht="11.95" customHeight="1" s="79"/>
    <row r="952" ht="11.95" customHeight="1" s="79"/>
    <row r="953" ht="11.95" customHeight="1" s="79"/>
    <row r="954" ht="11.95" customHeight="1" s="79"/>
    <row r="955" ht="11.95" customHeight="1" s="79"/>
    <row r="956" ht="11.95" customHeight="1" s="79"/>
    <row r="957" ht="11.95" customHeight="1" s="79"/>
    <row r="958" ht="11.95" customHeight="1" s="79"/>
    <row r="959" ht="11.95" customHeight="1" s="79"/>
    <row r="960" ht="11.95" customHeight="1" s="79"/>
    <row r="961" ht="11.95" customHeight="1" s="79"/>
    <row r="962" ht="11.95" customHeight="1" s="79"/>
    <row r="963" ht="11.95" customHeight="1" s="79"/>
    <row r="964" ht="11.95" customHeight="1" s="79"/>
    <row r="965" ht="11.95" customHeight="1" s="79"/>
    <row r="966" ht="11.95" customHeight="1" s="79"/>
    <row r="967" ht="11.95" customHeight="1" s="79"/>
    <row r="968" ht="11.95" customHeight="1" s="79"/>
    <row r="969" ht="11.95" customHeight="1" s="79"/>
    <row r="970" ht="11.95" customHeight="1" s="79"/>
    <row r="971" ht="11.95" customHeight="1" s="79"/>
    <row r="972" ht="11.95" customHeight="1" s="79"/>
    <row r="973" ht="11.95" customHeight="1" s="79"/>
    <row r="974" ht="11.95" customHeight="1" s="79"/>
    <row r="975" ht="11.95" customHeight="1" s="79"/>
    <row r="976" ht="11.95" customHeight="1" s="79"/>
    <row r="977" ht="11.95" customHeight="1" s="79"/>
    <row r="978" ht="11.95" customHeight="1" s="79"/>
    <row r="979" ht="11.95" customHeight="1" s="79"/>
    <row r="980" ht="11.95" customHeight="1" s="79"/>
    <row r="981" ht="11.95" customHeight="1" s="79"/>
    <row r="982" ht="11.95" customHeight="1" s="79"/>
    <row r="983" ht="11.95" customHeight="1" s="79"/>
    <row r="984" ht="11.95" customHeight="1" s="79"/>
    <row r="985" ht="11.95" customHeight="1" s="79"/>
    <row r="986" ht="11.95" customHeight="1" s="79"/>
    <row r="987" ht="11.95" customHeight="1" s="79"/>
    <row r="988" ht="11.95" customHeight="1" s="79"/>
    <row r="989" ht="11.95" customHeight="1" s="79"/>
    <row r="990" ht="11.95" customHeight="1" s="79"/>
    <row r="991" ht="11.95" customHeight="1" s="79"/>
    <row r="992" ht="11.95" customHeight="1" s="79"/>
    <row r="993" ht="11.95" customHeight="1" s="79"/>
    <row r="994" ht="11.95" customHeight="1" s="79"/>
    <row r="995" ht="11.95" customHeight="1" s="79"/>
    <row r="996" ht="11.95" customHeight="1" s="79"/>
    <row r="997" ht="11.95" customHeight="1" s="79"/>
    <row r="998" ht="11.95" customHeight="1" s="79"/>
    <row r="999" ht="11.95" customHeight="1" s="79"/>
    <row r="1000" ht="11.95" customHeight="1" s="79"/>
    <row r="1001" ht="11.95" customHeight="1" s="79"/>
    <row r="1002" ht="11.95" customHeight="1" s="79"/>
    <row r="1003" ht="11.95" customHeight="1" s="79"/>
    <row r="1004" ht="11.95" customHeight="1" s="79"/>
    <row r="1005" ht="11.95" customHeight="1" s="79"/>
    <row r="1006" ht="11.95" customHeight="1" s="79"/>
    <row r="1007" ht="11.95" customHeight="1" s="79"/>
    <row r="1008" ht="11.95" customHeight="1" s="79"/>
    <row r="1009" ht="11.95" customHeight="1" s="79"/>
    <row r="1010" ht="11.95" customHeight="1" s="79"/>
    <row r="1011" ht="11.95" customHeight="1" s="79"/>
    <row r="1012" ht="11.95" customHeight="1" s="79"/>
    <row r="1013" ht="11.95" customHeight="1" s="79"/>
    <row r="1014" ht="11.95" customHeight="1" s="79"/>
    <row r="1015" ht="11.95" customHeight="1" s="79"/>
    <row r="1016" ht="11.95" customHeight="1" s="79"/>
    <row r="1017" ht="11.95" customHeight="1" s="79"/>
    <row r="1018" ht="11.95" customHeight="1" s="79"/>
    <row r="1019" ht="11.95" customHeight="1" s="79"/>
    <row r="1020" ht="11.95" customHeight="1" s="79"/>
    <row r="1021" ht="11.95" customHeight="1" s="79"/>
    <row r="1022" ht="11.95" customHeight="1" s="79"/>
    <row r="1023" ht="11.95" customHeight="1" s="79"/>
    <row r="1024" ht="11.95" customHeight="1" s="79"/>
    <row r="1025" ht="11.95" customHeight="1" s="79"/>
    <row r="1026" ht="11.95" customHeight="1" s="79"/>
    <row r="1027" ht="11.95" customHeight="1" s="79"/>
    <row r="1028" ht="11.95" customHeight="1" s="79"/>
    <row r="1029" ht="11.95" customHeight="1" s="79"/>
    <row r="1030" ht="11.95" customHeight="1" s="79"/>
    <row r="1031" ht="11.95" customHeight="1" s="79"/>
    <row r="1032" ht="11.95" customHeight="1" s="79"/>
    <row r="1033" ht="11.95" customHeight="1" s="79"/>
    <row r="1034" ht="11.95" customHeight="1" s="79"/>
    <row r="1035" ht="11.95" customHeight="1" s="79"/>
    <row r="1036" ht="11.95" customHeight="1" s="79"/>
    <row r="1037" ht="11.95" customHeight="1" s="79"/>
    <row r="1038" ht="11.95" customHeight="1" s="79"/>
    <row r="1039" ht="11.95" customHeight="1" s="79"/>
    <row r="1040" ht="11.95" customHeight="1" s="79"/>
    <row r="1041" ht="11.95" customHeight="1" s="79"/>
    <row r="1042" ht="11.95" customHeight="1" s="79"/>
    <row r="1043" ht="11.95" customHeight="1" s="79"/>
    <row r="1044" ht="11.95" customHeight="1" s="79"/>
    <row r="1045" ht="11.95" customHeight="1" s="79"/>
    <row r="1046" ht="11.95" customHeight="1" s="79"/>
    <row r="1047" ht="11.95" customHeight="1" s="79"/>
    <row r="1048" ht="11.95" customHeight="1" s="79"/>
    <row r="1049" ht="11.95" customHeight="1" s="79"/>
    <row r="1050" ht="11.95" customHeight="1" s="79"/>
    <row r="1051" ht="11.95" customHeight="1" s="79"/>
    <row r="1052" ht="11.95" customHeight="1" s="79"/>
    <row r="1053" ht="11.95" customHeight="1" s="79"/>
    <row r="1054" ht="11.95" customHeight="1" s="79"/>
    <row r="1055" ht="11.95" customHeight="1" s="79"/>
    <row r="1056" ht="11.95" customHeight="1" s="79"/>
    <row r="1057" ht="11.95" customHeight="1" s="79"/>
    <row r="1058" ht="11.95" customHeight="1" s="79"/>
    <row r="1059" ht="11.95" customHeight="1" s="79"/>
    <row r="1060" ht="11.95" customHeight="1" s="79"/>
    <row r="1061" ht="11.95" customHeight="1" s="79"/>
    <row r="1062" ht="11.95" customHeight="1" s="79"/>
    <row r="1063" ht="11.95" customHeight="1" s="79"/>
    <row r="1064" ht="11.95" customHeight="1" s="79"/>
    <row r="1065" ht="11.95" customHeight="1" s="79"/>
    <row r="1066" ht="11.95" customHeight="1" s="79"/>
    <row r="1067" ht="11.95" customHeight="1" s="79"/>
    <row r="1068" ht="11.95" customHeight="1" s="79"/>
    <row r="1069" ht="11.95" customHeight="1" s="79"/>
    <row r="1070" ht="11.95" customHeight="1" s="79"/>
    <row r="1071" ht="11.95" customHeight="1" s="79"/>
    <row r="1072" ht="11.95" customHeight="1" s="79"/>
    <row r="1073" ht="11.95" customHeight="1" s="79"/>
    <row r="1074" ht="11.95" customHeight="1" s="79"/>
    <row r="1075" ht="11.95" customHeight="1" s="79"/>
    <row r="1076" ht="11.95" customHeight="1" s="79"/>
    <row r="1077" ht="11.95" customHeight="1" s="79"/>
    <row r="1078" ht="11.95" customHeight="1" s="79"/>
    <row r="1079" ht="11.95" customHeight="1" s="79"/>
    <row r="1080" ht="11.95" customHeight="1" s="79"/>
    <row r="1081" ht="11.95" customHeight="1" s="79"/>
    <row r="1082" ht="11.95" customHeight="1" s="79"/>
    <row r="1083" ht="11.95" customHeight="1" s="79"/>
    <row r="1084" ht="11.95" customHeight="1" s="79"/>
    <row r="1085" ht="11.95" customHeight="1" s="79"/>
    <row r="1086" ht="11.95" customHeight="1" s="79"/>
    <row r="1087" ht="11.95" customHeight="1" s="79"/>
    <row r="1088" ht="11.95" customHeight="1" s="79"/>
    <row r="1089" ht="11.95" customHeight="1" s="79"/>
    <row r="1090" ht="11.95" customHeight="1" s="79"/>
    <row r="1091" ht="11.95" customHeight="1" s="79"/>
    <row r="1092" ht="11.95" customHeight="1" s="79"/>
    <row r="1093" ht="11.95" customHeight="1" s="79"/>
    <row r="1094" ht="11.95" customHeight="1" s="79"/>
    <row r="1095" ht="11.95" customHeight="1" s="79"/>
    <row r="1096" ht="11.95" customHeight="1" s="79"/>
    <row r="1097" ht="11.95" customHeight="1" s="79"/>
    <row r="1098" ht="11.95" customHeight="1" s="79"/>
    <row r="1099" ht="11.95" customHeight="1" s="79"/>
    <row r="1100" ht="11.95" customHeight="1" s="79"/>
    <row r="1101" ht="11.95" customHeight="1" s="79"/>
    <row r="1102" ht="11.95" customHeight="1" s="79"/>
    <row r="1103" ht="11.95" customHeight="1" s="79"/>
    <row r="1104" ht="11.95" customHeight="1" s="79"/>
    <row r="1105" ht="11.95" customHeight="1" s="79"/>
    <row r="1106" ht="11.95" customHeight="1" s="79"/>
    <row r="1107" ht="11.95" customHeight="1" s="79"/>
    <row r="1108" ht="11.95" customHeight="1" s="79"/>
    <row r="1109" ht="11.95" customHeight="1" s="79"/>
    <row r="1110" ht="11.95" customHeight="1" s="79"/>
    <row r="1111" ht="11.95" customHeight="1" s="79"/>
    <row r="1112" ht="11.95" customHeight="1" s="79"/>
    <row r="1113" ht="11.95" customHeight="1" s="79"/>
    <row r="1114" ht="11.95" customHeight="1" s="79"/>
    <row r="1115" ht="11.95" customHeight="1" s="79"/>
    <row r="1116" ht="11.95" customHeight="1" s="79"/>
    <row r="1117" ht="11.95" customHeight="1" s="79"/>
    <row r="1118" ht="11.95" customHeight="1" s="79"/>
    <row r="1119" ht="11.95" customHeight="1" s="79"/>
    <row r="1120" ht="11.95" customHeight="1" s="79"/>
    <row r="1121" ht="11.95" customHeight="1" s="79"/>
    <row r="1122" ht="11.95" customHeight="1" s="79"/>
    <row r="1123" ht="11.95" customHeight="1" s="79"/>
    <row r="1124" ht="11.95" customHeight="1" s="79"/>
    <row r="1125" ht="11.95" customHeight="1" s="79"/>
    <row r="1126" ht="11.95" customHeight="1" s="79"/>
    <row r="1127" ht="11.95" customHeight="1" s="79"/>
    <row r="1128" ht="11.95" customHeight="1" s="79"/>
    <row r="1129" ht="11.95" customHeight="1" s="79"/>
    <row r="1130" ht="11.95" customHeight="1" s="79"/>
    <row r="1131" ht="11.95" customHeight="1" s="79"/>
    <row r="1132" ht="11.95" customHeight="1" s="79"/>
    <row r="1133" ht="11.95" customHeight="1" s="79"/>
    <row r="1134" ht="11.95" customHeight="1" s="79"/>
    <row r="1135" ht="11.95" customHeight="1" s="79"/>
    <row r="1136" ht="11.95" customHeight="1" s="79"/>
    <row r="1137" ht="11.95" customHeight="1" s="79"/>
    <row r="1138" ht="11.95" customHeight="1" s="79"/>
    <row r="1139" ht="11.95" customHeight="1" s="79"/>
    <row r="1140" ht="11.95" customHeight="1" s="79"/>
    <row r="1141" ht="11.95" customHeight="1" s="79"/>
    <row r="1142" ht="11.95" customHeight="1" s="79"/>
    <row r="1143" ht="11.95" customHeight="1" s="79"/>
    <row r="1144" ht="11.95" customHeight="1" s="79"/>
    <row r="1145" ht="11.95" customHeight="1" s="79"/>
    <row r="1146" ht="11.95" customHeight="1" s="79"/>
    <row r="1147" ht="11.95" customHeight="1" s="79"/>
    <row r="1148" ht="11.95" customHeight="1" s="79"/>
    <row r="1149" ht="11.95" customHeight="1" s="79"/>
    <row r="1150" ht="11.95" customHeight="1" s="79"/>
    <row r="1151" ht="11.95" customHeight="1" s="79"/>
    <row r="1152" ht="11.95" customHeight="1" s="79"/>
    <row r="1153" ht="11.95" customHeight="1" s="79"/>
    <row r="1154" ht="11.95" customHeight="1" s="79"/>
    <row r="1155" ht="11.95" customHeight="1" s="79"/>
    <row r="1156" ht="11.95" customHeight="1" s="79"/>
    <row r="1157" ht="11.95" customHeight="1" s="79"/>
    <row r="1158" ht="11.95" customHeight="1" s="79"/>
    <row r="1159" ht="11.95" customHeight="1" s="79"/>
    <row r="1160" ht="11.95" customHeight="1" s="79"/>
    <row r="1161" ht="11.95" customHeight="1" s="79"/>
    <row r="1162" ht="11.95" customHeight="1" s="79"/>
    <row r="1163" ht="11.95" customHeight="1" s="79"/>
    <row r="1164" ht="11.95" customHeight="1" s="79"/>
    <row r="1165" ht="11.95" customHeight="1" s="79"/>
    <row r="1166" ht="11.95" customHeight="1" s="79"/>
    <row r="1167" ht="11.95" customHeight="1" s="79"/>
    <row r="1168" ht="11.95" customHeight="1" s="79"/>
    <row r="1169" ht="11.95" customHeight="1" s="79"/>
    <row r="1170" ht="11.95" customHeight="1" s="79"/>
    <row r="1171" ht="11.95" customHeight="1" s="79"/>
    <row r="1172" ht="11.95" customHeight="1" s="79"/>
    <row r="1173" ht="11.95" customHeight="1" s="79"/>
    <row r="1174" ht="11.95" customHeight="1" s="79"/>
    <row r="1175" ht="11.95" customHeight="1" s="79"/>
    <row r="1176" ht="11.95" customHeight="1" s="79"/>
    <row r="1177" ht="11.95" customHeight="1" s="79"/>
    <row r="1178" ht="11.95" customHeight="1" s="79"/>
    <row r="1179" ht="11.95" customHeight="1" s="79"/>
    <row r="1180" ht="11.95" customHeight="1" s="79"/>
    <row r="1181" ht="11.95" customHeight="1" s="79"/>
    <row r="1182" ht="11.95" customHeight="1" s="79"/>
    <row r="1183" ht="11.95" customHeight="1" s="79"/>
    <row r="1184" ht="11.95" customHeight="1" s="79"/>
    <row r="1185" ht="11.95" customHeight="1" s="79"/>
    <row r="1186" ht="11.95" customHeight="1" s="79"/>
    <row r="1187" ht="11.95" customHeight="1" s="79"/>
    <row r="1188" ht="11.95" customHeight="1" s="79"/>
    <row r="1189" ht="11.95" customHeight="1" s="79"/>
    <row r="1190" ht="11.95" customHeight="1" s="79"/>
    <row r="1191" ht="11.95" customHeight="1" s="79"/>
    <row r="1192" ht="11.95" customHeight="1" s="79"/>
    <row r="1193" ht="11.95" customHeight="1" s="79"/>
    <row r="1194" ht="11.95" customHeight="1" s="79"/>
    <row r="1195" ht="11.95" customHeight="1" s="79"/>
    <row r="1196" ht="11.95" customHeight="1" s="79"/>
    <row r="1197" ht="11.95" customHeight="1" s="79"/>
    <row r="1198" ht="11.95" customHeight="1" s="79"/>
    <row r="1199" ht="11.95" customHeight="1" s="79"/>
    <row r="1200" ht="11.95" customHeight="1" s="79"/>
    <row r="1201" ht="11.95" customHeight="1" s="79"/>
    <row r="1202" ht="11.95" customHeight="1" s="79"/>
    <row r="1203" ht="11.95" customHeight="1" s="79"/>
    <row r="1204" ht="11.95" customHeight="1" s="79"/>
    <row r="1205" ht="11.95" customHeight="1" s="79"/>
    <row r="1206" ht="11.95" customHeight="1" s="79"/>
    <row r="1207" ht="11.95" customHeight="1" s="79"/>
    <row r="1208" ht="11.95" customHeight="1" s="79"/>
    <row r="1209" ht="11.95" customHeight="1" s="79"/>
    <row r="1210" ht="11.95" customHeight="1" s="79"/>
    <row r="1211" ht="11.95" customHeight="1" s="79"/>
    <row r="1212" ht="11.95" customHeight="1" s="79"/>
    <row r="1213" ht="11.95" customHeight="1" s="79"/>
    <row r="1214" ht="11.95" customHeight="1" s="79"/>
    <row r="1215" ht="11.95" customHeight="1" s="79"/>
    <row r="1216" ht="11.95" customHeight="1" s="79"/>
    <row r="1217" ht="11.95" customHeight="1" s="79"/>
    <row r="1218" ht="11.95" customHeight="1" s="79"/>
    <row r="1219" ht="11.95" customHeight="1" s="79"/>
    <row r="1220" ht="11.95" customHeight="1" s="79"/>
    <row r="1221" ht="11.95" customHeight="1" s="79"/>
    <row r="1222" ht="11.95" customHeight="1" s="79"/>
    <row r="1223" ht="11.95" customHeight="1" s="79"/>
    <row r="1224" ht="11.95" customHeight="1" s="79"/>
    <row r="1225" ht="11.95" customHeight="1" s="79"/>
    <row r="1226" ht="11.95" customHeight="1" s="79"/>
    <row r="1227" ht="11.95" customHeight="1" s="79"/>
    <row r="1228" ht="11.95" customHeight="1" s="79"/>
    <row r="1229" ht="11.95" customHeight="1" s="79"/>
    <row r="1230" ht="11.95" customHeight="1" s="79"/>
    <row r="1231" ht="11.95" customHeight="1" s="79"/>
    <row r="1232" ht="11.95" customHeight="1" s="79"/>
    <row r="1233" ht="11.95" customHeight="1" s="79"/>
    <row r="1234" ht="11.95" customHeight="1" s="79"/>
    <row r="1235" ht="11.95" customHeight="1" s="79"/>
    <row r="1236" ht="11.95" customHeight="1" s="79"/>
    <row r="1237" ht="11.95" customHeight="1" s="79"/>
    <row r="1238" ht="11.95" customHeight="1" s="79"/>
    <row r="1239" ht="11.95" customHeight="1" s="79"/>
    <row r="1240" ht="11.95" customHeight="1" s="79"/>
    <row r="1241" ht="11.95" customHeight="1" s="79"/>
    <row r="1242" ht="11.95" customHeight="1" s="79"/>
    <row r="1243" ht="11.95" customHeight="1" s="79"/>
    <row r="1244" ht="11.95" customHeight="1" s="79"/>
    <row r="1245" ht="11.95" customHeight="1" s="79"/>
    <row r="1246" ht="11.95" customHeight="1" s="79"/>
    <row r="1247" ht="11.95" customHeight="1" s="79"/>
    <row r="1248" ht="11.95" customHeight="1" s="79"/>
    <row r="1249" ht="11.95" customHeight="1" s="79"/>
    <row r="1250" ht="11.95" customHeight="1" s="79"/>
    <row r="1251" ht="11.95" customHeight="1" s="79"/>
    <row r="1252" ht="11.95" customHeight="1" s="79"/>
    <row r="1253" ht="11.95" customHeight="1" s="79"/>
    <row r="1254" ht="11.95" customHeight="1" s="79"/>
    <row r="1255" ht="11.95" customHeight="1" s="79"/>
    <row r="1256" ht="11.95" customHeight="1" s="79"/>
    <row r="1257" ht="11.95" customHeight="1" s="79"/>
    <row r="1258" ht="11.95" customHeight="1" s="79"/>
    <row r="1259" ht="11.95" customHeight="1" s="79"/>
    <row r="1260" ht="11.95" customHeight="1" s="79"/>
    <row r="1261" ht="11.95" customHeight="1" s="79"/>
    <row r="1262" ht="11.95" customHeight="1" s="79"/>
    <row r="1263" ht="11.95" customHeight="1" s="79"/>
    <row r="1264" ht="11.95" customHeight="1" s="79"/>
    <row r="1265" ht="11.95" customHeight="1" s="79"/>
    <row r="1266" ht="11.95" customHeight="1" s="79"/>
    <row r="1267" ht="11.95" customHeight="1" s="79"/>
    <row r="1268" ht="11.95" customHeight="1" s="79"/>
    <row r="1269" ht="11.95" customHeight="1" s="79"/>
    <row r="1270" ht="11.95" customHeight="1" s="79"/>
    <row r="1271" ht="11.95" customHeight="1" s="79"/>
    <row r="1272" ht="11.95" customHeight="1" s="79"/>
    <row r="1273" ht="11.95" customHeight="1" s="79"/>
    <row r="1274" ht="11.95" customHeight="1" s="79"/>
    <row r="1275" ht="11.95" customHeight="1" s="79"/>
    <row r="1276" ht="11.95" customHeight="1" s="79"/>
    <row r="1277" ht="11.95" customHeight="1" s="79"/>
    <row r="1278" ht="11.95" customHeight="1" s="79"/>
    <row r="1279" ht="11.95" customHeight="1" s="79"/>
    <row r="1280" ht="11.95" customHeight="1" s="79"/>
    <row r="1281" ht="11.95" customHeight="1" s="79"/>
    <row r="1282" ht="11.95" customHeight="1" s="79"/>
    <row r="1283" ht="11.95" customHeight="1" s="79"/>
    <row r="1284" ht="11.95" customHeight="1" s="79"/>
    <row r="1285" ht="11.95" customHeight="1" s="79"/>
    <row r="1286" ht="11.95" customHeight="1" s="79"/>
    <row r="1287" ht="11.95" customHeight="1" s="79"/>
    <row r="1288" ht="11.95" customHeight="1" s="79"/>
    <row r="1289" ht="11.95" customHeight="1" s="79"/>
    <row r="1290" ht="11.95" customHeight="1" s="79"/>
    <row r="1291" ht="11.95" customHeight="1" s="79"/>
    <row r="1292" ht="11.95" customHeight="1" s="79"/>
    <row r="1293" ht="11.95" customHeight="1" s="79"/>
    <row r="1294" ht="11.95" customHeight="1" s="79"/>
    <row r="1295" ht="11.95" customHeight="1" s="79"/>
    <row r="1296" ht="11.95" customHeight="1" s="79"/>
    <row r="1297" ht="11.95" customHeight="1" s="79"/>
    <row r="1298" ht="11.95" customHeight="1" s="79"/>
    <row r="1299" ht="11.95" customHeight="1" s="79"/>
    <row r="1300" ht="11.95" customHeight="1" s="79"/>
    <row r="1301" ht="11.95" customHeight="1" s="79"/>
    <row r="1302" ht="11.95" customHeight="1" s="79"/>
    <row r="1303" ht="11.95" customHeight="1" s="79"/>
    <row r="1304" ht="11.95" customHeight="1" s="79"/>
    <row r="1305" ht="11.95" customHeight="1" s="79"/>
    <row r="1306" ht="11.95" customHeight="1" s="79"/>
    <row r="1307" ht="11.95" customHeight="1" s="79"/>
    <row r="1308" ht="11.95" customHeight="1" s="79"/>
    <row r="1309" ht="11.95" customHeight="1" s="79"/>
    <row r="1310" ht="11.95" customHeight="1" s="79"/>
    <row r="1311" ht="11.95" customHeight="1" s="79"/>
    <row r="1312" ht="11.95" customHeight="1" s="79"/>
    <row r="1313" ht="11.95" customHeight="1" s="79"/>
    <row r="1314" ht="11.95" customHeight="1" s="79"/>
    <row r="1315" ht="11.95" customHeight="1" s="79"/>
    <row r="1316" ht="11.95" customHeight="1" s="79"/>
    <row r="1317" ht="11.95" customHeight="1" s="79"/>
    <row r="1318" ht="11.95" customHeight="1" s="79"/>
    <row r="1319" ht="11.95" customHeight="1" s="79"/>
    <row r="1320" ht="11.95" customHeight="1" s="79"/>
    <row r="1321" ht="11.95" customHeight="1" s="79"/>
    <row r="1322" ht="11.95" customHeight="1" s="79"/>
    <row r="1323" ht="11.95" customHeight="1" s="79"/>
    <row r="1324" ht="11.95" customHeight="1" s="79"/>
    <row r="1325" ht="11.95" customHeight="1" s="79"/>
    <row r="1326" ht="11.95" customHeight="1" s="79"/>
    <row r="1327" ht="11.95" customHeight="1" s="79"/>
    <row r="1328" ht="11.95" customHeight="1" s="79"/>
    <row r="1329" ht="11.95" customHeight="1" s="79"/>
    <row r="1330" ht="11.95" customHeight="1" s="79"/>
    <row r="1331" ht="11.95" customHeight="1" s="79"/>
    <row r="1332" ht="11.95" customHeight="1" s="79"/>
    <row r="1333" ht="11.95" customHeight="1" s="79"/>
    <row r="1334" ht="11.95" customHeight="1" s="79"/>
    <row r="1335" ht="11.95" customHeight="1" s="79"/>
    <row r="1336" ht="11.95" customHeight="1" s="79"/>
    <row r="1337" ht="11.95" customHeight="1" s="79"/>
    <row r="1338" ht="11.95" customHeight="1" s="79"/>
    <row r="1339" ht="11.95" customHeight="1" s="79"/>
    <row r="1340" ht="11.95" customHeight="1" s="79"/>
    <row r="1341" ht="11.95" customHeight="1" s="79"/>
    <row r="1342" ht="11.95" customHeight="1" s="79"/>
    <row r="1343" ht="11.95" customHeight="1" s="79"/>
    <row r="1344" ht="11.95" customHeight="1" s="79"/>
    <row r="1345" ht="11.95" customHeight="1" s="79"/>
    <row r="1346" ht="11.95" customHeight="1" s="79"/>
    <row r="1347" ht="11.95" customHeight="1" s="79"/>
    <row r="1348" ht="11.95" customHeight="1" s="79"/>
    <row r="1349" ht="11.95" customHeight="1" s="79"/>
    <row r="1350" ht="11.95" customHeight="1" s="79"/>
    <row r="1351" ht="11.95" customHeight="1" s="79"/>
    <row r="1352" ht="11.95" customHeight="1" s="79"/>
    <row r="1353" ht="11.95" customHeight="1" s="79"/>
    <row r="1354" ht="11.95" customHeight="1" s="79"/>
    <row r="1355" ht="11.95" customHeight="1" s="79"/>
    <row r="1356" ht="11.95" customHeight="1" s="79"/>
    <row r="1357" ht="11.95" customHeight="1" s="79"/>
    <row r="1358" ht="11.95" customHeight="1" s="79"/>
    <row r="1359" ht="11.95" customHeight="1" s="79"/>
    <row r="1360" ht="11.95" customHeight="1" s="79"/>
    <row r="1361" ht="11.95" customHeight="1" s="79"/>
    <row r="1362" ht="11.95" customHeight="1" s="79"/>
    <row r="1363" ht="11.95" customHeight="1" s="79"/>
    <row r="1364" ht="11.95" customHeight="1" s="79"/>
    <row r="1365" ht="11.95" customHeight="1" s="79"/>
    <row r="1366" ht="11.95" customHeight="1" s="79"/>
    <row r="1367" ht="11.95" customHeight="1" s="79"/>
    <row r="1368" ht="11.95" customHeight="1" s="79"/>
    <row r="1369" ht="11.95" customHeight="1" s="79"/>
    <row r="1370" ht="11.95" customHeight="1" s="79"/>
    <row r="1371" ht="11.95" customHeight="1" s="79"/>
    <row r="1372" ht="11.95" customHeight="1" s="79"/>
    <row r="1373" ht="11.95" customHeight="1" s="79"/>
    <row r="1374" ht="11.95" customHeight="1" s="79"/>
    <row r="1375" ht="11.95" customHeight="1" s="79"/>
    <row r="1376" ht="11.95" customHeight="1" s="79"/>
    <row r="1377" ht="11.95" customHeight="1" s="79"/>
    <row r="1378" ht="11.95" customHeight="1" s="79"/>
    <row r="1379" ht="11.95" customHeight="1" s="79"/>
    <row r="1380" ht="11.95" customHeight="1" s="79"/>
    <row r="1381" ht="11.95" customHeight="1" s="79"/>
    <row r="1382" ht="11.95" customHeight="1" s="79"/>
    <row r="1383" ht="11.95" customHeight="1" s="79"/>
    <row r="1384" ht="11.95" customHeight="1" s="79"/>
    <row r="1385" ht="11.95" customHeight="1" s="79"/>
    <row r="1386" ht="11.95" customHeight="1" s="79"/>
    <row r="1387" ht="11.95" customHeight="1" s="79"/>
    <row r="1388" ht="11.95" customHeight="1" s="79"/>
    <row r="1389" ht="11.95" customHeight="1" s="79"/>
    <row r="1390" ht="11.95" customHeight="1" s="79"/>
    <row r="1391" ht="11.95" customHeight="1" s="79"/>
    <row r="1392" ht="11.95" customHeight="1" s="79"/>
    <row r="1393" ht="11.95" customHeight="1" s="79"/>
    <row r="1394" ht="11.95" customHeight="1" s="79"/>
    <row r="1395" ht="11.95" customHeight="1" s="79"/>
    <row r="1396" ht="11.95" customHeight="1" s="79"/>
    <row r="1397" ht="11.95" customHeight="1" s="79"/>
    <row r="1398" ht="11.95" customHeight="1" s="79"/>
    <row r="1399" ht="11.95" customHeight="1" s="79"/>
    <row r="1400" ht="11.95" customHeight="1" s="79"/>
    <row r="1401" ht="11.95" customHeight="1" s="79"/>
    <row r="1402" ht="11.95" customHeight="1" s="79"/>
    <row r="1403" ht="11.95" customHeight="1" s="79"/>
    <row r="1404" ht="11.95" customHeight="1" s="79"/>
    <row r="1405" ht="11.95" customHeight="1" s="79"/>
    <row r="1406" ht="11.95" customHeight="1" s="79"/>
    <row r="1407" ht="11.95" customHeight="1" s="79"/>
    <row r="1408" ht="11.95" customHeight="1" s="79"/>
    <row r="1409" ht="11.95" customHeight="1" s="79"/>
    <row r="1410" ht="11.95" customHeight="1" s="79"/>
    <row r="1411" ht="11.95" customHeight="1" s="79"/>
    <row r="1412" ht="11.95" customHeight="1" s="79"/>
    <row r="1413" ht="11.95" customHeight="1" s="79"/>
    <row r="1414" ht="11.95" customHeight="1" s="79"/>
    <row r="1415" ht="11.95" customHeight="1" s="79"/>
    <row r="1416" ht="11.95" customHeight="1" s="79"/>
    <row r="1417" ht="11.95" customHeight="1" s="79"/>
    <row r="1418" ht="11.95" customHeight="1" s="79"/>
    <row r="1419" ht="11.95" customHeight="1" s="79"/>
    <row r="1420" ht="11.95" customHeight="1" s="79"/>
    <row r="1421" ht="11.95" customHeight="1" s="79"/>
    <row r="1422" ht="11.95" customHeight="1" s="79"/>
    <row r="1423" ht="11.95" customHeight="1" s="79"/>
    <row r="1424" ht="11.95" customHeight="1" s="79"/>
    <row r="1425" ht="11.95" customHeight="1" s="79"/>
    <row r="1426" ht="11.95" customHeight="1" s="79"/>
    <row r="1427" ht="11.95" customHeight="1" s="79"/>
    <row r="1428" ht="11.95" customHeight="1" s="79"/>
    <row r="1429" ht="11.95" customHeight="1" s="79"/>
    <row r="1430" ht="11.95" customHeight="1" s="79"/>
    <row r="1431" ht="11.95" customHeight="1" s="79"/>
    <row r="1432" ht="11.95" customHeight="1" s="79"/>
    <row r="1433" ht="11.95" customHeight="1" s="79"/>
    <row r="1434" ht="11.95" customHeight="1" s="79"/>
    <row r="1435" ht="11.95" customHeight="1" s="79"/>
    <row r="1436" ht="11.95" customHeight="1" s="79"/>
    <row r="1437" ht="11.95" customHeight="1" s="79"/>
    <row r="1438" ht="11.95" customHeight="1" s="79"/>
    <row r="1439" ht="11.95" customHeight="1" s="79"/>
    <row r="1440" ht="11.95" customHeight="1" s="79"/>
    <row r="1441" ht="11.95" customHeight="1" s="79"/>
    <row r="1442" ht="11.95" customHeight="1" s="79"/>
    <row r="1443" ht="11.95" customHeight="1" s="79"/>
    <row r="1444" ht="11.95" customHeight="1" s="79"/>
    <row r="1445" ht="11.95" customHeight="1" s="79"/>
    <row r="1446" ht="11.95" customHeight="1" s="79"/>
    <row r="1447" ht="11.95" customHeight="1" s="79"/>
    <row r="1448" ht="11.95" customHeight="1" s="79"/>
    <row r="1449" ht="11.95" customHeight="1" s="79"/>
    <row r="1450" ht="11.95" customHeight="1" s="79"/>
    <row r="1451" ht="11.95" customHeight="1" s="79"/>
    <row r="1452" ht="11.95" customHeight="1" s="79"/>
    <row r="1453" ht="11.95" customHeight="1" s="79"/>
    <row r="1454" ht="11.95" customHeight="1" s="79"/>
    <row r="1455" ht="11.95" customHeight="1" s="79"/>
    <row r="1456" ht="11.95" customHeight="1" s="79"/>
    <row r="1457" ht="11.95" customHeight="1" s="79"/>
    <row r="1458" ht="11.95" customHeight="1" s="79"/>
    <row r="1459" ht="11.95" customHeight="1" s="79"/>
    <row r="1460" ht="11.95" customHeight="1" s="79"/>
    <row r="1461" ht="11.95" customHeight="1" s="79"/>
    <row r="1462" ht="11.95" customHeight="1" s="79"/>
    <row r="1463" ht="11.95" customHeight="1" s="79"/>
    <row r="1464" ht="11.95" customHeight="1" s="79"/>
    <row r="1465" ht="11.95" customHeight="1" s="79"/>
    <row r="1466" ht="11.95" customHeight="1" s="79"/>
    <row r="1467" ht="11.95" customHeight="1" s="79"/>
    <row r="1468" ht="11.95" customHeight="1" s="79"/>
    <row r="1469" ht="11.95" customHeight="1" s="79"/>
    <row r="1470" ht="11.95" customHeight="1" s="79"/>
    <row r="1471" ht="11.95" customHeight="1" s="79"/>
    <row r="1472" ht="11.95" customHeight="1" s="79"/>
    <row r="1473" ht="11.95" customHeight="1" s="79"/>
    <row r="1474" ht="11.95" customHeight="1" s="79"/>
    <row r="1475" ht="11.95" customHeight="1" s="79"/>
    <row r="1476" ht="11.95" customHeight="1" s="79"/>
    <row r="1477" ht="11.95" customHeight="1" s="79"/>
    <row r="1478" ht="11.95" customHeight="1" s="79"/>
    <row r="1479" ht="11.95" customHeight="1" s="79"/>
    <row r="1480" ht="11.95" customHeight="1" s="79"/>
    <row r="1481" ht="11.95" customHeight="1" s="79"/>
    <row r="1482" ht="11.95" customHeight="1" s="79"/>
    <row r="1483" ht="11.95" customHeight="1" s="79"/>
    <row r="1484" ht="11.95" customHeight="1" s="79"/>
    <row r="1485" ht="11.95" customHeight="1" s="79"/>
    <row r="1486" ht="11.95" customHeight="1" s="79"/>
    <row r="1487" ht="11.95" customHeight="1" s="79"/>
    <row r="1488" ht="11.95" customHeight="1" s="79"/>
    <row r="1489" ht="11.95" customHeight="1" s="79"/>
    <row r="1490" ht="11.95" customHeight="1" s="79"/>
    <row r="1491" ht="11.95" customHeight="1" s="79"/>
    <row r="1492" ht="11.95" customHeight="1" s="79"/>
    <row r="1493" ht="11.95" customHeight="1" s="79"/>
    <row r="1494" ht="11.95" customHeight="1" s="79"/>
    <row r="1495" ht="11.95" customHeight="1" s="79"/>
    <row r="1496" ht="11.95" customHeight="1" s="79"/>
    <row r="1497" ht="11.95" customHeight="1" s="79"/>
    <row r="1498" ht="11.95" customHeight="1" s="79"/>
    <row r="1499" ht="11.95" customHeight="1" s="79"/>
    <row r="1500" ht="11.95" customHeight="1" s="79"/>
    <row r="1501" ht="11.95" customHeight="1" s="79"/>
    <row r="1502" ht="11.95" customHeight="1" s="79"/>
    <row r="1503" ht="11.95" customHeight="1" s="79"/>
    <row r="1504" ht="11.95" customHeight="1" s="79"/>
    <row r="1505" ht="11.95" customHeight="1" s="79"/>
    <row r="1506" ht="11.95" customHeight="1" s="79"/>
    <row r="1507" ht="11.95" customHeight="1" s="79"/>
    <row r="1508" ht="11.95" customHeight="1" s="79"/>
    <row r="1509" ht="11.95" customHeight="1" s="79"/>
    <row r="1510" ht="11.95" customHeight="1" s="79"/>
    <row r="1511" ht="11.95" customHeight="1" s="79"/>
    <row r="1512" ht="11.95" customHeight="1" s="79"/>
    <row r="1513" ht="11.95" customHeight="1" s="79"/>
    <row r="1514" ht="11.95" customHeight="1" s="79"/>
    <row r="1515" ht="11.95" customHeight="1" s="79"/>
    <row r="1516" ht="11.95" customHeight="1" s="79"/>
    <row r="1517" ht="11.95" customHeight="1" s="79"/>
    <row r="1518" ht="11.95" customHeight="1" s="79"/>
    <row r="1519" ht="11.95" customHeight="1" s="79"/>
    <row r="1520" ht="11.95" customHeight="1" s="79"/>
    <row r="1521" ht="11.95" customHeight="1" s="79"/>
    <row r="1522" ht="11.95" customHeight="1" s="79"/>
    <row r="1523" ht="11.95" customHeight="1" s="79"/>
    <row r="1524" ht="11.95" customHeight="1" s="79"/>
    <row r="1525" ht="11.95" customHeight="1" s="79"/>
    <row r="1526" ht="11.95" customHeight="1" s="79"/>
    <row r="1527" ht="11.95" customHeight="1" s="79"/>
    <row r="1528" ht="11.95" customHeight="1" s="79"/>
    <row r="1529" ht="11.95" customHeight="1" s="79"/>
    <row r="1530" ht="11.95" customHeight="1" s="79"/>
    <row r="1531" ht="11.95" customHeight="1" s="79"/>
    <row r="1532" ht="11.95" customHeight="1" s="79"/>
    <row r="1533" ht="11.95" customHeight="1" s="79"/>
    <row r="1534" ht="11.95" customHeight="1" s="79"/>
    <row r="1535" ht="11.95" customHeight="1" s="79"/>
    <row r="1536" ht="11.95" customHeight="1" s="79"/>
    <row r="1537" ht="11.95" customHeight="1" s="79"/>
    <row r="1538" ht="11.95" customHeight="1" s="79"/>
    <row r="1539" ht="11.95" customHeight="1" s="79"/>
    <row r="1540" ht="11.95" customHeight="1" s="79"/>
    <row r="1541" ht="11.95" customHeight="1" s="79"/>
    <row r="1542" ht="11.95" customHeight="1" s="79"/>
    <row r="1543" ht="11.95" customHeight="1" s="79"/>
    <row r="1544" ht="11.95" customHeight="1" s="79"/>
    <row r="1545" ht="11.95" customHeight="1" s="79"/>
    <row r="1546" ht="11.95" customHeight="1" s="79"/>
    <row r="1547" ht="11.95" customHeight="1" s="79"/>
    <row r="1548" ht="11.95" customHeight="1" s="79"/>
    <row r="1549" ht="11.95" customHeight="1" s="79"/>
    <row r="1550" ht="11.95" customHeight="1" s="79"/>
    <row r="1551" ht="11.95" customHeight="1" s="79"/>
    <row r="1552" ht="11.95" customHeight="1" s="79"/>
    <row r="1553" ht="11.95" customHeight="1" s="79"/>
    <row r="1554" ht="11.95" customHeight="1" s="79"/>
    <row r="1555" ht="11.95" customHeight="1" s="79"/>
    <row r="1556" ht="11.95" customHeight="1" s="79"/>
    <row r="1557" ht="11.95" customHeight="1" s="79"/>
    <row r="1558" ht="11.95" customHeight="1" s="79"/>
    <row r="1559" ht="11.95" customHeight="1" s="79"/>
    <row r="1560" ht="11.95" customHeight="1" s="79"/>
    <row r="1561" ht="11.95" customHeight="1" s="79"/>
    <row r="1562" ht="11.95" customHeight="1" s="79"/>
    <row r="1563" ht="11.95" customHeight="1" s="79"/>
    <row r="1564" ht="11.95" customHeight="1" s="79"/>
    <row r="1565" ht="11.95" customHeight="1" s="79"/>
    <row r="1566" ht="11.95" customHeight="1" s="79"/>
    <row r="1567" ht="11.95" customHeight="1" s="79"/>
    <row r="1568" ht="11.95" customHeight="1" s="79"/>
    <row r="1569" ht="11.95" customHeight="1" s="79"/>
    <row r="1570" ht="11.95" customHeight="1" s="79"/>
    <row r="1571" ht="11.95" customHeight="1" s="79"/>
    <row r="1572" ht="11.95" customHeight="1" s="79"/>
    <row r="1573" ht="11.95" customHeight="1" s="79"/>
    <row r="1574" ht="11.95" customHeight="1" s="79"/>
    <row r="1575" ht="11.95" customHeight="1" s="79"/>
    <row r="1576" ht="11.95" customHeight="1" s="79"/>
    <row r="1577" ht="11.95" customHeight="1" s="79"/>
    <row r="1578" ht="11.95" customHeight="1" s="79"/>
    <row r="1579" ht="11.95" customHeight="1" s="79"/>
    <row r="1580" ht="11.95" customHeight="1" s="79"/>
    <row r="1581" ht="11.95" customHeight="1" s="79"/>
    <row r="1582" ht="11.95" customHeight="1" s="79"/>
    <row r="1583" ht="11.95" customHeight="1" s="79"/>
    <row r="1584" ht="11.95" customHeight="1" s="79"/>
    <row r="1585" ht="11.95" customHeight="1" s="79"/>
    <row r="1586" ht="11.95" customHeight="1" s="79"/>
    <row r="1587" ht="11.95" customHeight="1" s="79"/>
    <row r="1588" ht="11.95" customHeight="1" s="79"/>
    <row r="1589" ht="11.95" customHeight="1" s="79"/>
    <row r="1590" ht="11.95" customHeight="1" s="79"/>
    <row r="1591" ht="11.95" customHeight="1" s="79"/>
    <row r="1592" ht="11.95" customHeight="1" s="79"/>
    <row r="1593" ht="11.95" customHeight="1" s="79"/>
    <row r="1594" ht="11.95" customHeight="1" s="79"/>
    <row r="1595" ht="11.95" customHeight="1" s="79"/>
    <row r="1596" ht="11.95" customHeight="1" s="79"/>
    <row r="1597" ht="11.95" customHeight="1" s="79"/>
    <row r="1598" ht="11.95" customHeight="1" s="79"/>
    <row r="1599" ht="11.95" customHeight="1" s="79"/>
    <row r="1600" ht="11.95" customHeight="1" s="79"/>
    <row r="1601" ht="11.95" customHeight="1" s="79"/>
    <row r="1602" ht="11.95" customHeight="1" s="79"/>
    <row r="1603" ht="11.95" customHeight="1" s="79"/>
    <row r="1604" ht="11.95" customHeight="1" s="79"/>
    <row r="1605" ht="11.95" customHeight="1" s="79"/>
    <row r="1606" ht="11.95" customHeight="1" s="79"/>
    <row r="1607" ht="11.95" customHeight="1" s="79"/>
    <row r="1608" ht="11.95" customHeight="1" s="79"/>
    <row r="1609" ht="11.95" customHeight="1" s="79"/>
    <row r="1610" ht="11.95" customHeight="1" s="79"/>
    <row r="1611" ht="11.95" customHeight="1" s="79"/>
    <row r="1612" ht="11.95" customHeight="1" s="79"/>
    <row r="1613" ht="11.95" customHeight="1" s="79"/>
    <row r="1614" ht="11.95" customHeight="1" s="79"/>
    <row r="1615" ht="11.95" customHeight="1" s="79"/>
    <row r="1616" ht="11.95" customHeight="1" s="79"/>
    <row r="1617" ht="11.95" customHeight="1" s="79"/>
    <row r="1618" ht="11.95" customHeight="1" s="79"/>
    <row r="1619" ht="11.95" customHeight="1" s="79"/>
    <row r="1620" ht="11.95" customHeight="1" s="79"/>
    <row r="1621" ht="11.95" customHeight="1" s="79"/>
    <row r="1622" ht="11.95" customHeight="1" s="79"/>
    <row r="1623" ht="11.95" customHeight="1" s="79"/>
    <row r="1624" ht="11.95" customHeight="1" s="79"/>
    <row r="1625" ht="11.95" customHeight="1" s="79"/>
    <row r="1626" ht="11.95" customHeight="1" s="79"/>
    <row r="1627" ht="11.95" customHeight="1" s="79"/>
    <row r="1628" ht="11.95" customHeight="1" s="79"/>
    <row r="1629" ht="11.95" customHeight="1" s="79"/>
    <row r="1630" ht="11.95" customHeight="1" s="79"/>
    <row r="1631" ht="11.95" customHeight="1" s="79"/>
    <row r="1632" ht="11.95" customHeight="1" s="79"/>
    <row r="1633" ht="11.95" customHeight="1" s="79"/>
    <row r="1634" ht="11.95" customHeight="1" s="79"/>
    <row r="1635" ht="11.95" customHeight="1" s="79"/>
    <row r="1636" ht="11.95" customHeight="1" s="79"/>
    <row r="1637" ht="11.95" customHeight="1" s="79"/>
    <row r="1638" ht="11.95" customHeight="1" s="79"/>
    <row r="1639" ht="11.95" customHeight="1" s="79"/>
    <row r="1640" ht="11.95" customHeight="1" s="79"/>
    <row r="1641" ht="11.95" customHeight="1" s="79"/>
    <row r="1642" ht="11.95" customHeight="1" s="79"/>
    <row r="1643" ht="11.95" customHeight="1" s="79"/>
    <row r="1644" ht="11.95" customHeight="1" s="79"/>
    <row r="1645" ht="11.95" customHeight="1" s="79"/>
    <row r="1646" ht="11.95" customHeight="1" s="79"/>
    <row r="1647" ht="11.95" customHeight="1" s="79"/>
    <row r="1648" ht="11.95" customHeight="1" s="79"/>
    <row r="1649" ht="11.95" customHeight="1" s="79"/>
    <row r="1650" ht="11.95" customHeight="1" s="79"/>
    <row r="1651" ht="11.95" customHeight="1" s="79"/>
    <row r="1652" ht="11.95" customHeight="1" s="79"/>
    <row r="1653" ht="11.95" customHeight="1" s="79"/>
    <row r="1654" ht="11.95" customHeight="1" s="79"/>
    <row r="1655" ht="11.95" customHeight="1" s="79"/>
    <row r="1656" ht="11.95" customHeight="1" s="79"/>
    <row r="1657" ht="11.95" customHeight="1" s="79"/>
    <row r="1658" ht="11.95" customHeight="1" s="79"/>
    <row r="1659" ht="11.95" customHeight="1" s="79"/>
    <row r="1660" ht="11.95" customHeight="1" s="79"/>
    <row r="1661" ht="11.95" customHeight="1" s="79"/>
    <row r="1662" ht="11.95" customHeight="1" s="79"/>
    <row r="1663" ht="11.95" customHeight="1" s="79"/>
    <row r="1664" ht="11.95" customHeight="1" s="79"/>
    <row r="1665" ht="11.95" customHeight="1" s="79"/>
    <row r="1666" ht="11.95" customHeight="1" s="79"/>
    <row r="1667" ht="11.95" customHeight="1" s="79"/>
    <row r="1668" ht="11.95" customHeight="1" s="79"/>
    <row r="1669" ht="11.95" customHeight="1" s="79"/>
    <row r="1670" ht="11.95" customHeight="1" s="79"/>
    <row r="1671" ht="11.95" customHeight="1" s="79"/>
    <row r="1672" ht="11.95" customHeight="1" s="79"/>
    <row r="1673" ht="11.95" customHeight="1" s="79"/>
    <row r="1674" ht="11.95" customHeight="1" s="79"/>
    <row r="1675" ht="11.95" customHeight="1" s="79"/>
    <row r="1676" ht="11.95" customHeight="1" s="79"/>
    <row r="1677" ht="11.95" customHeight="1" s="79"/>
    <row r="1678" ht="11.95" customHeight="1" s="79"/>
    <row r="1679" ht="11.95" customHeight="1" s="79"/>
    <row r="1680" ht="11.95" customHeight="1" s="79"/>
    <row r="1681" ht="11.95" customHeight="1" s="79"/>
    <row r="1682" ht="11.95" customHeight="1" s="79"/>
    <row r="1683" ht="11.95" customHeight="1" s="79"/>
    <row r="1684" ht="11.95" customHeight="1" s="79"/>
    <row r="1685" ht="11.95" customHeight="1" s="79"/>
    <row r="1686" ht="11.95" customHeight="1" s="79"/>
    <row r="1687" ht="11.95" customHeight="1" s="79"/>
    <row r="1688" ht="11.95" customHeight="1" s="79"/>
    <row r="1689" ht="11.95" customHeight="1" s="79"/>
    <row r="1690" ht="11.95" customHeight="1" s="79"/>
    <row r="1691" ht="11.95" customHeight="1" s="79"/>
    <row r="1692" ht="11.95" customHeight="1" s="79"/>
    <row r="1693" ht="11.95" customHeight="1" s="79"/>
    <row r="1694" ht="11.95" customHeight="1" s="79"/>
    <row r="1695" ht="11.95" customHeight="1" s="79"/>
    <row r="1696" ht="11.95" customHeight="1" s="79"/>
    <row r="1697" ht="11.95" customHeight="1" s="79"/>
    <row r="1698" ht="11.95" customHeight="1" s="79"/>
    <row r="1699" ht="11.95" customHeight="1" s="79"/>
    <row r="1700" ht="11.95" customHeight="1" s="79"/>
    <row r="1701" ht="11.95" customHeight="1" s="79"/>
    <row r="1702" ht="11.95" customHeight="1" s="79"/>
    <row r="1703" ht="11.95" customHeight="1" s="79"/>
    <row r="1704" ht="11.95" customHeight="1" s="79"/>
    <row r="1705" ht="11.95" customHeight="1" s="79"/>
    <row r="1706" ht="11.95" customHeight="1" s="79"/>
    <row r="1707" ht="11.95" customHeight="1" s="79"/>
    <row r="1708" ht="11.95" customHeight="1" s="79"/>
    <row r="1709" ht="11.95" customHeight="1" s="79"/>
    <row r="1710" ht="11.95" customHeight="1" s="79"/>
    <row r="1711" ht="11.95" customHeight="1" s="79"/>
    <row r="1712" ht="11.95" customHeight="1" s="79"/>
    <row r="1713" ht="11.95" customHeight="1" s="79"/>
    <row r="1714" ht="11.95" customHeight="1" s="79"/>
    <row r="1715" ht="11.95" customHeight="1" s="79"/>
    <row r="1716" ht="11.95" customHeight="1" s="79"/>
    <row r="1717" ht="11.95" customHeight="1" s="79"/>
    <row r="1718" ht="11.95" customHeight="1" s="79"/>
    <row r="1719" ht="11.95" customHeight="1" s="79"/>
    <row r="1720" ht="11.95" customHeight="1" s="79"/>
    <row r="1721" ht="11.95" customHeight="1" s="79"/>
    <row r="1722" ht="11.95" customHeight="1" s="79"/>
    <row r="1723" ht="11.95" customHeight="1" s="79"/>
    <row r="1724" ht="11.95" customHeight="1" s="79"/>
    <row r="1725" ht="11.95" customHeight="1" s="79"/>
    <row r="1726" ht="11.95" customHeight="1" s="79"/>
    <row r="1727" ht="11.95" customHeight="1" s="79"/>
    <row r="1728" ht="11.95" customHeight="1" s="79"/>
    <row r="1729" ht="11.95" customHeight="1" s="79"/>
    <row r="1730" ht="11.95" customHeight="1" s="79"/>
    <row r="1731" ht="11.95" customHeight="1" s="79"/>
    <row r="1732" ht="11.95" customHeight="1" s="79"/>
    <row r="1733" ht="11.95" customHeight="1" s="79"/>
    <row r="1734" ht="11.95" customHeight="1" s="79"/>
    <row r="1735" ht="11.95" customHeight="1" s="79"/>
    <row r="1736" ht="11.95" customHeight="1" s="79"/>
    <row r="1737" ht="11.95" customHeight="1" s="79"/>
    <row r="1738" ht="11.95" customHeight="1" s="79"/>
    <row r="1739" ht="11.95" customHeight="1" s="79"/>
    <row r="1740" ht="11.95" customHeight="1" s="79"/>
    <row r="1741" ht="11.95" customHeight="1" s="79"/>
    <row r="1742" ht="11.95" customHeight="1" s="79"/>
    <row r="1743" ht="11.95" customHeight="1" s="79"/>
    <row r="1744" ht="11.95" customHeight="1" s="79"/>
    <row r="1745" ht="11.95" customHeight="1" s="79"/>
    <row r="1746" ht="11.95" customHeight="1" s="79"/>
    <row r="1747" ht="11.95" customHeight="1" s="79"/>
    <row r="1748" ht="11.95" customHeight="1" s="79"/>
    <row r="1749" ht="11.95" customHeight="1" s="79"/>
    <row r="1750" ht="11.95" customHeight="1" s="79"/>
    <row r="1751" ht="11.95" customHeight="1" s="79"/>
    <row r="1752" ht="11.95" customHeight="1" s="79"/>
    <row r="1753" ht="11.95" customHeight="1" s="79"/>
    <row r="1754" ht="11.95" customHeight="1" s="79"/>
    <row r="1755" ht="11.95" customHeight="1" s="79"/>
    <row r="1756" ht="11.95" customHeight="1" s="79"/>
    <row r="1757" ht="11.95" customHeight="1" s="79"/>
    <row r="1758" ht="11.95" customHeight="1" s="79"/>
    <row r="1759" ht="11.95" customHeight="1" s="79"/>
    <row r="1760" ht="11.95" customHeight="1" s="79"/>
    <row r="1761" ht="11.95" customHeight="1" s="79"/>
    <row r="1762" ht="11.95" customHeight="1" s="79"/>
    <row r="1763" ht="11.95" customHeight="1" s="79"/>
    <row r="1764" ht="11.95" customHeight="1" s="79"/>
    <row r="1765" ht="11.95" customHeight="1" s="79"/>
    <row r="1766" ht="11.95" customHeight="1" s="79"/>
    <row r="1767" ht="11.95" customHeight="1" s="79"/>
    <row r="1768" ht="11.95" customHeight="1" s="79"/>
    <row r="1769" ht="11.95" customHeight="1" s="79"/>
    <row r="1770" ht="11.95" customHeight="1" s="79"/>
    <row r="1771" ht="11.95" customHeight="1" s="79"/>
    <row r="1772" ht="11.95" customHeight="1" s="79"/>
    <row r="1773" ht="11.95" customHeight="1" s="79"/>
    <row r="1774" ht="11.95" customHeight="1" s="79"/>
    <row r="1775" ht="11.95" customHeight="1" s="79"/>
    <row r="1776" ht="11.95" customHeight="1" s="79"/>
    <row r="1777" ht="11.95" customHeight="1" s="79"/>
    <row r="1778" ht="11.95" customHeight="1" s="79"/>
    <row r="1779" ht="11.95" customHeight="1" s="79"/>
    <row r="1780" ht="11.95" customHeight="1" s="79"/>
    <row r="1781" ht="11.95" customHeight="1" s="79"/>
    <row r="1782" ht="11.95" customHeight="1" s="79"/>
    <row r="1783" ht="11.95" customHeight="1" s="79"/>
    <row r="1784" ht="11.95" customHeight="1" s="79"/>
    <row r="1785" ht="11.95" customHeight="1" s="79"/>
    <row r="1786" ht="11.95" customHeight="1" s="79"/>
    <row r="1787" ht="11.95" customHeight="1" s="79"/>
    <row r="1788" ht="11.95" customHeight="1" s="79"/>
    <row r="1789" ht="11.95" customHeight="1" s="79"/>
    <row r="1790" ht="11.95" customHeight="1" s="79"/>
    <row r="1791" ht="11.95" customHeight="1" s="79"/>
    <row r="1792" ht="11.95" customHeight="1" s="79"/>
    <row r="1793" ht="11.95" customHeight="1" s="79"/>
    <row r="1794" ht="11.95" customHeight="1" s="79"/>
    <row r="1795" ht="11.95" customHeight="1" s="79"/>
    <row r="1796" ht="11.95" customHeight="1" s="79"/>
    <row r="1797" ht="11.95" customHeight="1" s="79"/>
    <row r="1798" ht="11.95" customHeight="1" s="79"/>
    <row r="1799" ht="11.95" customHeight="1" s="79"/>
    <row r="1800" ht="11.95" customHeight="1" s="79"/>
    <row r="1801" ht="11.95" customHeight="1" s="79"/>
    <row r="1802" ht="11.95" customHeight="1" s="79"/>
    <row r="1803" ht="11.95" customHeight="1" s="79"/>
    <row r="1804" ht="11.95" customHeight="1" s="79"/>
    <row r="1805" ht="11.95" customHeight="1" s="79"/>
    <row r="1806" ht="11.95" customHeight="1" s="79"/>
    <row r="1807" ht="11.95" customHeight="1" s="79"/>
    <row r="1808" ht="11.95" customHeight="1" s="79"/>
    <row r="1809" ht="11.95" customHeight="1" s="79"/>
    <row r="1810" ht="11.95" customHeight="1" s="79"/>
    <row r="1811" ht="11.95" customHeight="1" s="79"/>
    <row r="1812" ht="11.95" customHeight="1" s="79"/>
    <row r="1813" ht="11.95" customHeight="1" s="79"/>
    <row r="1814" ht="11.95" customHeight="1" s="79"/>
    <row r="1815" ht="11.95" customHeight="1" s="79"/>
    <row r="1816" ht="11.95" customHeight="1" s="79"/>
    <row r="1817" ht="11.95" customHeight="1" s="79"/>
    <row r="1818" ht="11.95" customHeight="1" s="79"/>
    <row r="1819" ht="11.95" customHeight="1" s="79"/>
    <row r="1820" ht="11.95" customHeight="1" s="79"/>
    <row r="1821" ht="11.95" customHeight="1" s="79"/>
    <row r="1822" ht="11.95" customHeight="1" s="79"/>
    <row r="1823" ht="11.95" customHeight="1" s="79"/>
    <row r="1824" ht="11.95" customHeight="1" s="79"/>
    <row r="1825" ht="11.95" customHeight="1" s="79"/>
    <row r="1826" ht="11.95" customHeight="1" s="79"/>
    <row r="1827" ht="11.95" customHeight="1" s="79"/>
    <row r="1828" ht="11.95" customHeight="1" s="79"/>
    <row r="1829" ht="11.95" customHeight="1" s="79"/>
    <row r="1830" ht="11.95" customHeight="1" s="79"/>
    <row r="1831" ht="11.95" customHeight="1" s="79"/>
    <row r="1832" ht="11.95" customHeight="1" s="79"/>
    <row r="1833" ht="11.95" customHeight="1" s="79"/>
    <row r="1834" ht="11.95" customHeight="1" s="79"/>
    <row r="1835" ht="11.95" customHeight="1" s="79"/>
    <row r="1836" ht="11.95" customHeight="1" s="79"/>
    <row r="1837" ht="11.95" customHeight="1" s="79"/>
    <row r="1838" ht="11.95" customHeight="1" s="79"/>
    <row r="1839" ht="11.95" customHeight="1" s="79"/>
    <row r="1840" ht="11.95" customHeight="1" s="79"/>
    <row r="1841" ht="11.95" customHeight="1" s="79"/>
    <row r="1842" ht="11.95" customHeight="1" s="79"/>
    <row r="1843" ht="11.95" customHeight="1" s="79"/>
    <row r="1844" ht="11.95" customHeight="1" s="79"/>
    <row r="1845" ht="11.95" customHeight="1" s="79"/>
    <row r="1846" ht="11.95" customHeight="1" s="79"/>
    <row r="1847" ht="11.95" customHeight="1" s="79"/>
    <row r="1848" ht="11.95" customHeight="1" s="79"/>
    <row r="1849" ht="11.95" customHeight="1" s="79"/>
    <row r="1850" ht="11.95" customHeight="1" s="79"/>
    <row r="1851" ht="11.95" customHeight="1" s="79"/>
    <row r="1852" ht="11.95" customHeight="1" s="79"/>
    <row r="1853" ht="11.95" customHeight="1" s="79"/>
    <row r="1854" ht="11.95" customHeight="1" s="79"/>
    <row r="1855" ht="11.95" customHeight="1" s="79"/>
    <row r="1856" ht="11.95" customHeight="1" s="79"/>
    <row r="1857" ht="11.95" customHeight="1" s="79"/>
    <row r="1858" ht="11.95" customHeight="1" s="79"/>
    <row r="1859" ht="11.95" customHeight="1" s="79"/>
    <row r="1860" ht="11.95" customHeight="1" s="79"/>
    <row r="1861" ht="11.95" customHeight="1" s="79"/>
    <row r="1862" ht="11.95" customHeight="1" s="79"/>
    <row r="1863" ht="11.95" customHeight="1" s="79"/>
    <row r="1864" ht="11.95" customHeight="1" s="79"/>
    <row r="1865" ht="11.95" customHeight="1" s="79"/>
    <row r="1866" ht="11.95" customHeight="1" s="79"/>
    <row r="1867" ht="11.95" customHeight="1" s="79"/>
    <row r="1868" ht="11.95" customHeight="1" s="79"/>
    <row r="1869" ht="11.95" customHeight="1" s="79"/>
    <row r="1870" ht="11.95" customHeight="1" s="79"/>
    <row r="1871" ht="11.95" customHeight="1" s="79"/>
    <row r="1872" ht="11.95" customHeight="1" s="79"/>
    <row r="1873" ht="11.95" customHeight="1" s="79"/>
    <row r="1874" ht="11.95" customHeight="1" s="79"/>
    <row r="1875" ht="11.95" customHeight="1" s="79"/>
    <row r="1876" ht="11.95" customHeight="1" s="79"/>
    <row r="1877" ht="11.95" customHeight="1" s="79"/>
    <row r="1878" ht="11.95" customHeight="1" s="79"/>
    <row r="1879" ht="11.95" customHeight="1" s="79"/>
    <row r="1880" ht="11.95" customHeight="1" s="79"/>
    <row r="1881" ht="11.95" customHeight="1" s="79"/>
    <row r="1882" ht="11.95" customHeight="1" s="79"/>
    <row r="1883" ht="11.95" customHeight="1" s="79"/>
    <row r="1884" ht="11.95" customHeight="1" s="79"/>
    <row r="1885" ht="11.95" customHeight="1" s="79"/>
    <row r="1886" ht="11.95" customHeight="1" s="79"/>
    <row r="1887" ht="11.95" customHeight="1" s="79"/>
    <row r="1888" ht="11.95" customHeight="1" s="79"/>
    <row r="1889" ht="11.95" customHeight="1" s="79"/>
    <row r="1890" ht="11.95" customHeight="1" s="79"/>
    <row r="1891" ht="11.95" customHeight="1" s="79"/>
    <row r="1892" ht="11.95" customHeight="1" s="79"/>
    <row r="1893" ht="11.95" customHeight="1" s="79"/>
    <row r="1894" ht="11.95" customHeight="1" s="79"/>
    <row r="1895" ht="11.95" customHeight="1" s="79"/>
    <row r="1896" ht="11.95" customHeight="1" s="79"/>
    <row r="1897" ht="11.95" customHeight="1" s="79"/>
    <row r="1898" ht="11.95" customHeight="1" s="79"/>
    <row r="1899" ht="11.95" customHeight="1" s="79"/>
    <row r="1900" ht="11.95" customHeight="1" s="79"/>
    <row r="1901" ht="11.95" customHeight="1" s="79"/>
    <row r="1902" ht="11.95" customHeight="1" s="79"/>
    <row r="1903" ht="11.95" customHeight="1" s="79"/>
    <row r="1904" ht="11.95" customHeight="1" s="79"/>
    <row r="1905" ht="11.95" customHeight="1" s="79"/>
    <row r="1906" ht="11.95" customHeight="1" s="79"/>
    <row r="1907" ht="11.95" customHeight="1" s="79"/>
    <row r="1908" ht="11.95" customHeight="1" s="79"/>
    <row r="1909" ht="11.95" customHeight="1" s="79"/>
    <row r="1910" ht="11.95" customHeight="1" s="79"/>
    <row r="1911" ht="11.95" customHeight="1" s="79"/>
    <row r="1912" ht="11.95" customHeight="1" s="79"/>
    <row r="1913" ht="11.95" customHeight="1" s="79"/>
    <row r="1914" ht="11.95" customHeight="1" s="79"/>
    <row r="1915" ht="11.95" customHeight="1" s="79"/>
    <row r="1916" ht="11.95" customHeight="1" s="79"/>
    <row r="1917" ht="11.95" customHeight="1" s="79"/>
    <row r="1918" ht="11.95" customHeight="1" s="79"/>
    <row r="1919" ht="11.95" customHeight="1" s="79"/>
    <row r="1920" ht="11.95" customHeight="1" s="79"/>
    <row r="1921" ht="11.95" customHeight="1" s="79"/>
    <row r="1922" ht="11.95" customHeight="1" s="79"/>
    <row r="1923" ht="11.95" customHeight="1" s="79"/>
    <row r="1924" ht="11.95" customHeight="1" s="79"/>
    <row r="1925" ht="11.95" customHeight="1" s="79"/>
    <row r="1926" ht="11.95" customHeight="1" s="79"/>
    <row r="1927" ht="11.95" customHeight="1" s="79"/>
    <row r="1928" ht="11.95" customHeight="1" s="79"/>
    <row r="1929" ht="11.95" customHeight="1" s="79"/>
    <row r="1930" ht="11.95" customHeight="1" s="79"/>
    <row r="1931" ht="11.95" customHeight="1" s="79"/>
    <row r="1932" ht="11.95" customHeight="1" s="79"/>
    <row r="1933" ht="11.95" customHeight="1" s="79"/>
    <row r="1934" ht="11.95" customHeight="1" s="79"/>
    <row r="1935" ht="11.95" customHeight="1" s="79"/>
    <row r="1936" ht="11.95" customHeight="1" s="79"/>
    <row r="1937" ht="11.95" customHeight="1" s="79"/>
    <row r="1938" ht="11.95" customHeight="1" s="79"/>
    <row r="1939" ht="11.95" customHeight="1" s="79"/>
    <row r="1940" ht="11.95" customHeight="1" s="79"/>
    <row r="1941" ht="11.95" customHeight="1" s="79"/>
    <row r="1942" ht="11.95" customHeight="1" s="79"/>
    <row r="1943" ht="11.95" customHeight="1" s="79"/>
    <row r="1944" ht="11.95" customHeight="1" s="79"/>
    <row r="1945" ht="11.95" customHeight="1" s="79"/>
    <row r="1946" ht="11.95" customHeight="1" s="79"/>
    <row r="1947" ht="11.95" customHeight="1" s="79"/>
    <row r="1948" ht="11.95" customHeight="1" s="79"/>
    <row r="1949" ht="11.95" customHeight="1" s="79"/>
    <row r="1950" ht="11.95" customHeight="1" s="79"/>
    <row r="1951" ht="11.95" customHeight="1" s="79"/>
    <row r="1952" ht="11.95" customHeight="1" s="79"/>
    <row r="1953" ht="11.95" customHeight="1" s="79"/>
    <row r="1954" ht="11.95" customHeight="1" s="79"/>
    <row r="1955" ht="11.95" customHeight="1" s="79"/>
    <row r="1956" ht="11.95" customHeight="1" s="79"/>
    <row r="1957" ht="11.95" customHeight="1" s="79"/>
    <row r="1958" ht="11.95" customHeight="1" s="79"/>
    <row r="1959" ht="11.95" customHeight="1" s="79"/>
    <row r="1960" ht="11.95" customHeight="1" s="79"/>
    <row r="1961" ht="11.95" customHeight="1" s="79"/>
    <row r="1962" ht="11.95" customHeight="1" s="79"/>
    <row r="1963" ht="11.95" customHeight="1" s="79"/>
    <row r="1964" ht="11.95" customHeight="1" s="79"/>
    <row r="1965" ht="11.95" customHeight="1" s="79"/>
    <row r="1966" ht="11.95" customHeight="1" s="79"/>
    <row r="1967" ht="11.95" customHeight="1" s="79"/>
    <row r="1968" ht="11.95" customHeight="1" s="79"/>
    <row r="1969" ht="11.95" customHeight="1" s="79"/>
    <row r="1970" ht="11.95" customHeight="1" s="79"/>
    <row r="1971" ht="11.95" customHeight="1" s="79"/>
    <row r="1972" ht="11.95" customHeight="1" s="79"/>
    <row r="1973" ht="11.95" customHeight="1" s="79"/>
    <row r="1974" ht="11.95" customHeight="1" s="79"/>
    <row r="1975" ht="11.95" customHeight="1" s="79"/>
    <row r="1976" ht="11.95" customHeight="1" s="79"/>
    <row r="1977" ht="11.95" customHeight="1" s="79"/>
    <row r="1978" ht="11.95" customHeight="1" s="79"/>
    <row r="1979" ht="11.95" customHeight="1" s="79"/>
    <row r="1980" ht="11.95" customHeight="1" s="79"/>
    <row r="1981" ht="11.95" customHeight="1" s="79"/>
    <row r="1982" ht="11.95" customHeight="1" s="79"/>
    <row r="1983" ht="11.95" customHeight="1" s="79"/>
    <row r="1984" ht="11.95" customHeight="1" s="79"/>
    <row r="1985" ht="11.95" customHeight="1" s="79"/>
    <row r="1986" ht="11.95" customHeight="1" s="79"/>
    <row r="1987" ht="11.95" customHeight="1" s="79"/>
    <row r="1988" ht="11.95" customHeight="1" s="79"/>
    <row r="1989" ht="11.95" customHeight="1" s="79"/>
    <row r="1990" ht="11.95" customHeight="1" s="79"/>
    <row r="1991" ht="11.95" customHeight="1" s="79"/>
    <row r="1992" ht="11.95" customHeight="1" s="79"/>
    <row r="1993" ht="11.95" customHeight="1" s="79"/>
    <row r="1994" ht="11.95" customHeight="1" s="79"/>
    <row r="1995" ht="11.95" customHeight="1" s="79"/>
    <row r="1996" ht="11.95" customHeight="1" s="79"/>
    <row r="1997" ht="11.95" customHeight="1" s="79"/>
    <row r="1998" ht="11.95" customHeight="1" s="79"/>
    <row r="1999" ht="11.95" customHeight="1" s="79"/>
    <row r="2000" ht="11.95" customHeight="1" s="79"/>
    <row r="2001" ht="11.95" customHeight="1" s="79"/>
    <row r="2002" ht="11.95" customHeight="1" s="79"/>
    <row r="2003" ht="11.95" customHeight="1" s="79"/>
    <row r="2004" ht="11.95" customHeight="1" s="79"/>
    <row r="2005" ht="11.95" customHeight="1" s="79"/>
    <row r="2006" ht="11.95" customHeight="1" s="79"/>
    <row r="2007" ht="11.95" customHeight="1" s="79"/>
    <row r="2008" ht="11.95" customHeight="1" s="79"/>
    <row r="2009" ht="11.95" customHeight="1" s="79"/>
    <row r="2010" ht="11.95" customHeight="1" s="79"/>
    <row r="2011" ht="11.95" customHeight="1" s="79"/>
    <row r="2012" ht="11.95" customHeight="1" s="79"/>
    <row r="2013" ht="11.95" customHeight="1" s="79"/>
    <row r="2014" ht="11.95" customHeight="1" s="79"/>
    <row r="2015" ht="11.95" customHeight="1" s="79"/>
    <row r="2016" ht="11.95" customHeight="1" s="79"/>
    <row r="2017" ht="11.95" customHeight="1" s="79"/>
    <row r="2018" ht="11.95" customHeight="1" s="79"/>
    <row r="2019" ht="11.95" customHeight="1" s="79"/>
    <row r="2020" ht="11.95" customHeight="1" s="79"/>
    <row r="2021" ht="11.95" customHeight="1" s="79"/>
    <row r="2022" ht="11.95" customHeight="1" s="79"/>
    <row r="2023" ht="11.95" customHeight="1" s="79"/>
    <row r="2024" ht="11.95" customHeight="1" s="79"/>
    <row r="2025" ht="11.95" customHeight="1" s="79"/>
    <row r="2026" ht="11.95" customHeight="1" s="79"/>
    <row r="2027" ht="11.95" customHeight="1" s="79"/>
    <row r="2028" ht="11.95" customHeight="1" s="79"/>
    <row r="2029" ht="11.95" customHeight="1" s="79"/>
    <row r="2030" ht="11.95" customHeight="1" s="79"/>
    <row r="2031" ht="11.95" customHeight="1" s="79"/>
    <row r="2032" ht="11.95" customHeight="1" s="79"/>
    <row r="2033" ht="11.95" customHeight="1" s="79"/>
    <row r="2034" ht="11.95" customHeight="1" s="79"/>
    <row r="2035" ht="11.95" customHeight="1" s="79"/>
    <row r="2036" ht="11.95" customHeight="1" s="79"/>
    <row r="2037" ht="11.95" customHeight="1" s="79"/>
    <row r="2038" ht="11.95" customHeight="1" s="79"/>
    <row r="2039" ht="11.95" customHeight="1" s="79"/>
    <row r="2040" ht="11.95" customHeight="1" s="79"/>
    <row r="2041" ht="11.95" customHeight="1" s="79"/>
    <row r="2042" ht="11.95" customHeight="1" s="79"/>
    <row r="2043" ht="11.95" customHeight="1" s="79"/>
    <row r="2044" ht="11.95" customHeight="1" s="79"/>
    <row r="2045" ht="11.95" customHeight="1" s="79"/>
    <row r="2046" ht="11.95" customHeight="1" s="79"/>
    <row r="2047" ht="11.95" customHeight="1" s="79"/>
    <row r="2048" ht="11.95" customHeight="1" s="79"/>
    <row r="2049" ht="11.95" customHeight="1" s="79"/>
    <row r="2050" ht="11.95" customHeight="1" s="79"/>
    <row r="2051" ht="11.95" customHeight="1" s="79"/>
    <row r="2052" ht="11.95" customHeight="1" s="79"/>
    <row r="2053" ht="11.95" customHeight="1" s="79"/>
    <row r="2054" ht="11.95" customHeight="1" s="79"/>
    <row r="2055" ht="11.95" customHeight="1" s="79"/>
    <row r="2056" ht="11.95" customHeight="1" s="79"/>
    <row r="2057" ht="11.95" customHeight="1" s="79"/>
    <row r="2058" ht="11.95" customHeight="1" s="79"/>
    <row r="2059" ht="11.95" customHeight="1" s="79"/>
    <row r="2060" ht="11.95" customHeight="1" s="79"/>
    <row r="2061" ht="11.95" customHeight="1" s="79"/>
    <row r="2062" ht="11.95" customHeight="1" s="79"/>
    <row r="2063" ht="11.95" customHeight="1" s="79"/>
    <row r="2064" ht="11.95" customHeight="1" s="79"/>
    <row r="2065" ht="11.95" customHeight="1" s="79"/>
    <row r="2066" ht="11.95" customHeight="1" s="79"/>
    <row r="2067" ht="11.95" customHeight="1" s="79"/>
    <row r="2068" ht="11.95" customHeight="1" s="79"/>
    <row r="2069" ht="11.95" customHeight="1" s="79"/>
    <row r="2070" ht="11.95" customHeight="1" s="79"/>
    <row r="2071" ht="11.95" customHeight="1" s="79"/>
    <row r="2072" ht="11.95" customHeight="1" s="79"/>
    <row r="2073" ht="11.95" customHeight="1" s="79"/>
    <row r="2074" ht="11.95" customHeight="1" s="79"/>
    <row r="2075" ht="11.95" customHeight="1" s="79"/>
    <row r="2076" ht="11.95" customHeight="1" s="79"/>
    <row r="2077" ht="11.95" customHeight="1" s="79"/>
    <row r="2078" ht="11.95" customHeight="1" s="79"/>
    <row r="2079" ht="11.95" customHeight="1" s="79"/>
    <row r="2080" ht="11.95" customHeight="1" s="79"/>
    <row r="2081" ht="11.95" customHeight="1" s="79"/>
    <row r="2082" ht="11.95" customHeight="1" s="79"/>
    <row r="2083" ht="11.95" customHeight="1" s="79"/>
    <row r="2084" ht="11.95" customHeight="1" s="79"/>
    <row r="2085" ht="11.95" customHeight="1" s="79"/>
    <row r="2086" ht="11.95" customHeight="1" s="79"/>
    <row r="2087" ht="11.95" customHeight="1" s="79"/>
    <row r="2088" ht="11.95" customHeight="1" s="79"/>
    <row r="2089" ht="11.95" customHeight="1" s="79"/>
    <row r="2090" ht="11.95" customHeight="1" s="79"/>
    <row r="2091" ht="11.95" customHeight="1" s="79"/>
    <row r="2092" ht="11.95" customHeight="1" s="79"/>
    <row r="2093" ht="11.95" customHeight="1" s="79"/>
    <row r="2094" ht="11.95" customHeight="1" s="79"/>
    <row r="2095" ht="11.95" customHeight="1" s="79"/>
    <row r="2096" ht="11.95" customHeight="1" s="79"/>
    <row r="2097" ht="11.95" customHeight="1" s="79"/>
    <row r="2098" ht="11.95" customHeight="1" s="79"/>
    <row r="2099" ht="11.95" customHeight="1" s="79"/>
    <row r="2100" ht="11.95" customHeight="1" s="79"/>
    <row r="2101" ht="11.95" customHeight="1" s="79"/>
    <row r="2102" ht="11.95" customHeight="1" s="79"/>
    <row r="2103" ht="11.95" customHeight="1" s="79"/>
    <row r="2104" ht="11.95" customHeight="1" s="79"/>
    <row r="2105" ht="11.95" customHeight="1" s="79"/>
    <row r="2106" ht="11.95" customHeight="1" s="79"/>
    <row r="2107" ht="11.95" customHeight="1" s="79"/>
    <row r="2108" ht="11.95" customHeight="1" s="79"/>
    <row r="2109" ht="11.95" customHeight="1" s="79"/>
    <row r="2110" ht="11.95" customHeight="1" s="79"/>
    <row r="2111" ht="11.95" customHeight="1" s="79"/>
    <row r="2112" ht="11.95" customHeight="1" s="79"/>
    <row r="2113" ht="11.95" customHeight="1" s="79"/>
    <row r="2114" ht="11.95" customHeight="1" s="79"/>
    <row r="2115" ht="11.95" customHeight="1" s="79"/>
    <row r="2116" ht="11.95" customHeight="1" s="79"/>
    <row r="2117" ht="11.95" customHeight="1" s="79"/>
    <row r="2118" ht="11.95" customHeight="1" s="79"/>
    <row r="2119" ht="11.95" customHeight="1" s="79"/>
    <row r="2120" ht="11.95" customHeight="1" s="79"/>
    <row r="2121" ht="11.95" customHeight="1" s="79"/>
    <row r="2122" ht="11.95" customHeight="1" s="79"/>
    <row r="2123" ht="11.95" customHeight="1" s="79"/>
    <row r="2124" ht="11.95" customHeight="1" s="79"/>
    <row r="2125" ht="11.95" customHeight="1" s="79"/>
    <row r="2126" ht="11.95" customHeight="1" s="79"/>
    <row r="2127" ht="11.95" customHeight="1" s="79"/>
    <row r="2128" ht="11.95" customHeight="1" s="79"/>
    <row r="2129" ht="11.95" customHeight="1" s="79"/>
    <row r="2130" ht="11.95" customHeight="1" s="79"/>
    <row r="2131" ht="11.95" customHeight="1" s="79"/>
    <row r="2132" ht="11.95" customHeight="1" s="79"/>
    <row r="2133" ht="11.95" customHeight="1" s="79"/>
    <row r="2134" ht="11.95" customHeight="1" s="79"/>
    <row r="2135" ht="11.95" customHeight="1" s="79"/>
    <row r="2136" ht="11.95" customHeight="1" s="79"/>
    <row r="2137" ht="11.95" customHeight="1" s="79"/>
    <row r="2138" ht="11.95" customHeight="1" s="79"/>
    <row r="2139" ht="11.95" customHeight="1" s="79"/>
    <row r="2140" ht="11.95" customHeight="1" s="79"/>
    <row r="2141" ht="11.95" customHeight="1" s="79"/>
    <row r="2142" ht="11.95" customHeight="1" s="79"/>
    <row r="2143" ht="11.95" customHeight="1" s="79"/>
    <row r="2144" ht="11.95" customHeight="1" s="79"/>
    <row r="2145" ht="11.95" customHeight="1" s="79"/>
    <row r="2146" ht="11.95" customHeight="1" s="79"/>
    <row r="2147" ht="11.95" customHeight="1" s="79"/>
    <row r="2148" ht="11.95" customHeight="1" s="79"/>
    <row r="2149" ht="11.95" customHeight="1" s="79"/>
    <row r="2150" ht="11.95" customHeight="1" s="79"/>
    <row r="2151" ht="11.95" customHeight="1" s="79"/>
    <row r="2152" ht="11.95" customHeight="1" s="79"/>
    <row r="2153" ht="11.95" customHeight="1" s="79"/>
    <row r="2154" ht="11.95" customHeight="1" s="79"/>
    <row r="2155" ht="11.95" customHeight="1" s="79"/>
    <row r="2156" ht="11.95" customHeight="1" s="79"/>
    <row r="2157" ht="11.95" customHeight="1" s="79"/>
    <row r="2158" ht="11.95" customHeight="1" s="79"/>
    <row r="2159" ht="11.95" customHeight="1" s="79"/>
    <row r="2160" ht="11.95" customHeight="1" s="79"/>
    <row r="2161" ht="11.95" customHeight="1" s="79"/>
    <row r="2162" ht="11.95" customHeight="1" s="79"/>
    <row r="2163" ht="11.95" customHeight="1" s="79"/>
    <row r="2164" ht="11.95" customHeight="1" s="79"/>
    <row r="2165" ht="11.95" customHeight="1" s="79"/>
    <row r="2166" ht="11.95" customHeight="1" s="79"/>
    <row r="2167" ht="11.95" customHeight="1" s="79"/>
    <row r="2168" ht="11.95" customHeight="1" s="79"/>
    <row r="2169" ht="11.95" customHeight="1" s="79"/>
    <row r="2170" ht="11.95" customHeight="1" s="79"/>
    <row r="2171" ht="11.95" customHeight="1" s="79"/>
    <row r="2172" ht="11.95" customHeight="1" s="79"/>
    <row r="2173" ht="11.95" customHeight="1" s="79"/>
    <row r="2174" ht="11.95" customHeight="1" s="79"/>
    <row r="2175" ht="11.95" customHeight="1" s="79"/>
    <row r="2176" ht="11.95" customHeight="1" s="79"/>
    <row r="2177" ht="11.95" customHeight="1" s="79"/>
    <row r="2178" ht="11.95" customHeight="1" s="79"/>
    <row r="2179" ht="11.95" customHeight="1" s="79"/>
    <row r="2180" ht="11.95" customHeight="1" s="79"/>
    <row r="2181" ht="11.95" customHeight="1" s="79"/>
    <row r="2182" ht="11.95" customHeight="1" s="79"/>
    <row r="2183" ht="11.95" customHeight="1" s="79"/>
    <row r="2184" ht="11.95" customHeight="1" s="79"/>
    <row r="2185" ht="11.95" customHeight="1" s="79"/>
    <row r="2186" ht="11.95" customHeight="1" s="79"/>
    <row r="2187" ht="11.95" customHeight="1" s="79"/>
    <row r="2188" ht="11.95" customHeight="1" s="79"/>
    <row r="2189" ht="11.95" customHeight="1" s="79"/>
    <row r="2190" ht="11.95" customHeight="1" s="79"/>
    <row r="2191" ht="11.95" customHeight="1" s="79"/>
    <row r="2192" ht="11.95" customHeight="1" s="79"/>
    <row r="2193" ht="11.95" customHeight="1" s="79"/>
    <row r="2194" ht="11.95" customHeight="1" s="79"/>
    <row r="2195" ht="11.95" customHeight="1" s="79"/>
    <row r="2196" ht="11.95" customHeight="1" s="79"/>
    <row r="2197" ht="11.95" customHeight="1" s="79"/>
    <row r="2198" ht="11.95" customHeight="1" s="79"/>
    <row r="2199" ht="11.95" customHeight="1" s="79"/>
    <row r="2200" ht="11.95" customHeight="1" s="79"/>
    <row r="2201" ht="11.95" customHeight="1" s="79"/>
    <row r="2202" ht="11.95" customHeight="1" s="79"/>
    <row r="2203" ht="11.95" customHeight="1" s="79"/>
    <row r="2204" ht="11.95" customHeight="1" s="79"/>
    <row r="2205" ht="11.95" customHeight="1" s="79"/>
    <row r="2206" ht="11.95" customHeight="1" s="79"/>
    <row r="2207" ht="11.95" customHeight="1" s="79"/>
    <row r="2208" ht="11.95" customHeight="1" s="79"/>
    <row r="2209" ht="11.95" customHeight="1" s="79"/>
    <row r="2210" ht="11.95" customHeight="1" s="79"/>
    <row r="2211" ht="11.95" customHeight="1" s="79"/>
    <row r="2212" ht="11.95" customHeight="1" s="79"/>
    <row r="2213" ht="11.95" customHeight="1" s="79"/>
    <row r="2214" ht="11.95" customHeight="1" s="79"/>
    <row r="2215" ht="11.95" customHeight="1" s="79"/>
    <row r="2216" ht="11.95" customHeight="1" s="79"/>
    <row r="2217" ht="11.95" customHeight="1" s="79"/>
    <row r="2218" ht="11.95" customHeight="1" s="79"/>
    <row r="2219" ht="11.95" customHeight="1" s="79"/>
    <row r="2220" ht="11.95" customHeight="1" s="79"/>
    <row r="2221" ht="11.95" customHeight="1" s="79"/>
    <row r="2222" ht="11.95" customHeight="1" s="79"/>
    <row r="2223" ht="11.95" customHeight="1" s="79"/>
    <row r="2224" ht="11.95" customHeight="1" s="79"/>
    <row r="2225" ht="11.95" customHeight="1" s="79"/>
    <row r="2226" ht="11.95" customHeight="1" s="79"/>
    <row r="2227" ht="11.95" customHeight="1" s="79"/>
    <row r="2228" ht="11.95" customHeight="1" s="79"/>
    <row r="2229" ht="11.95" customHeight="1" s="79"/>
    <row r="2230" ht="11.95" customHeight="1" s="79"/>
    <row r="2231" ht="11.95" customHeight="1" s="79"/>
    <row r="2232" ht="11.95" customHeight="1" s="79"/>
    <row r="2233" ht="11.95" customHeight="1" s="79"/>
    <row r="2234" ht="11.95" customHeight="1" s="79"/>
    <row r="2235" ht="11.95" customHeight="1" s="79"/>
    <row r="2236" ht="11.95" customHeight="1" s="79"/>
    <row r="2237" ht="11.95" customHeight="1" s="79"/>
    <row r="2238" ht="11.95" customHeight="1" s="79"/>
    <row r="2239" ht="11.95" customHeight="1" s="79"/>
    <row r="2240" ht="11.95" customHeight="1" s="79"/>
    <row r="2241" ht="11.95" customHeight="1" s="79"/>
    <row r="2242" ht="11.95" customHeight="1" s="79"/>
    <row r="2243" ht="11.95" customHeight="1" s="79"/>
    <row r="2244" ht="11.95" customHeight="1" s="79"/>
    <row r="2245" ht="11.95" customHeight="1" s="79"/>
    <row r="2246" ht="11.95" customHeight="1" s="79"/>
    <row r="2247" ht="11.95" customHeight="1" s="79"/>
    <row r="2248" ht="11.95" customHeight="1" s="79"/>
    <row r="2249" ht="11.95" customHeight="1" s="79"/>
    <row r="2250" ht="11.95" customHeight="1" s="79"/>
    <row r="2251" ht="11.95" customHeight="1" s="79"/>
    <row r="2252" ht="11.95" customHeight="1" s="79"/>
    <row r="2253" ht="11.95" customHeight="1" s="79"/>
    <row r="2254" ht="11.95" customHeight="1" s="79"/>
    <row r="2255" ht="11.95" customHeight="1" s="79"/>
    <row r="2256" ht="11.95" customHeight="1" s="79"/>
    <row r="2257" ht="11.95" customHeight="1" s="79"/>
    <row r="2258" ht="11.95" customHeight="1" s="79"/>
    <row r="2259" ht="11.95" customHeight="1" s="79"/>
    <row r="2260" ht="11.95" customHeight="1" s="79"/>
    <row r="2261" ht="11.95" customHeight="1" s="79"/>
    <row r="2262" ht="11.95" customHeight="1" s="79"/>
    <row r="2263" ht="11.95" customHeight="1" s="79"/>
    <row r="2264" ht="11.95" customHeight="1" s="79"/>
    <row r="2265" ht="11.95" customHeight="1" s="79"/>
    <row r="2266" ht="11.95" customHeight="1" s="79"/>
    <row r="2267" ht="11.95" customHeight="1" s="79"/>
    <row r="2268" ht="11.95" customHeight="1" s="79"/>
    <row r="2269" ht="11.95" customHeight="1" s="79"/>
    <row r="2270" ht="11.95" customHeight="1" s="79"/>
    <row r="2271" ht="11.95" customHeight="1" s="79"/>
    <row r="2272" ht="11.95" customHeight="1" s="79"/>
    <row r="2273" ht="11.95" customHeight="1" s="79"/>
    <row r="2274" ht="11.95" customHeight="1" s="79"/>
    <row r="2275" ht="11.95" customHeight="1" s="79"/>
    <row r="2276" ht="11.95" customHeight="1" s="79"/>
    <row r="2277" ht="11.95" customHeight="1" s="79"/>
    <row r="2278" ht="11.95" customHeight="1" s="79"/>
    <row r="2279" ht="11.95" customHeight="1" s="79"/>
    <row r="2280" ht="11.95" customHeight="1" s="79"/>
    <row r="2281" ht="11.95" customHeight="1" s="79"/>
    <row r="2282" ht="11.95" customHeight="1" s="79"/>
    <row r="2283" ht="11.95" customHeight="1" s="79"/>
    <row r="2284" ht="11.95" customHeight="1" s="79"/>
    <row r="2285" ht="11.95" customHeight="1" s="79"/>
    <row r="2286" ht="11.95" customHeight="1" s="79"/>
    <row r="2287" ht="11.95" customHeight="1" s="79"/>
    <row r="2288" ht="11.95" customHeight="1" s="79"/>
    <row r="2289" ht="11.95" customHeight="1" s="79"/>
    <row r="2290" ht="11.95" customHeight="1" s="79"/>
    <row r="2291" ht="11.95" customHeight="1" s="79"/>
    <row r="2292" ht="11.95" customHeight="1" s="79"/>
    <row r="2293" ht="11.95" customHeight="1" s="79"/>
    <row r="2294" ht="11.95" customHeight="1" s="79"/>
    <row r="2295" ht="11.95" customHeight="1" s="79"/>
    <row r="2296" ht="11.95" customHeight="1" s="79"/>
    <row r="2297" ht="11.95" customHeight="1" s="79"/>
    <row r="2298" ht="11.95" customHeight="1" s="79"/>
    <row r="2299" ht="11.95" customHeight="1" s="79"/>
    <row r="2300" ht="11.95" customHeight="1" s="79"/>
    <row r="2301" ht="11.95" customHeight="1" s="79"/>
    <row r="2302" ht="11.95" customHeight="1" s="79"/>
    <row r="2303" ht="11.95" customHeight="1" s="79"/>
    <row r="2304" ht="11.95" customHeight="1" s="79"/>
    <row r="2305" ht="11.95" customHeight="1" s="79"/>
    <row r="2306" ht="11.95" customHeight="1" s="79"/>
    <row r="2307" ht="11.95" customHeight="1" s="79"/>
    <row r="2308" ht="11.95" customHeight="1" s="79"/>
    <row r="2309" ht="11.95" customHeight="1" s="79"/>
    <row r="2310" ht="11.95" customHeight="1" s="79"/>
    <row r="2311" ht="11.95" customHeight="1" s="79"/>
    <row r="2312" ht="11.95" customHeight="1" s="79"/>
    <row r="2313" ht="11.95" customHeight="1" s="79"/>
    <row r="2314" ht="11.95" customHeight="1" s="79"/>
    <row r="2315" ht="11.95" customHeight="1" s="79"/>
    <row r="2316" ht="11.95" customHeight="1" s="79"/>
    <row r="2317" ht="11.95" customHeight="1" s="79"/>
    <row r="2318" ht="11.95" customHeight="1" s="79"/>
    <row r="2319" ht="11.95" customHeight="1" s="79"/>
    <row r="2320" ht="11.95" customHeight="1" s="79"/>
    <row r="2321" ht="11.95" customHeight="1" s="79"/>
    <row r="2322" ht="11.95" customHeight="1" s="79"/>
    <row r="2323" ht="11.95" customHeight="1" s="79"/>
    <row r="2324" ht="11.95" customHeight="1" s="79"/>
    <row r="2325" ht="11.95" customHeight="1" s="79"/>
    <row r="2326" ht="11.95" customHeight="1" s="79"/>
    <row r="2327" ht="11.95" customHeight="1" s="79"/>
    <row r="2328" ht="11.95" customHeight="1" s="79"/>
    <row r="2329" ht="11.95" customHeight="1" s="79"/>
    <row r="2330" ht="11.95" customHeight="1" s="79"/>
    <row r="2331" ht="11.95" customHeight="1" s="79"/>
    <row r="2332" ht="11.95" customHeight="1" s="79"/>
    <row r="2333" ht="11.95" customHeight="1" s="79"/>
    <row r="2334" ht="11.95" customHeight="1" s="79"/>
    <row r="2335" ht="11.95" customHeight="1" s="79"/>
    <row r="2336" ht="11.95" customHeight="1" s="79"/>
    <row r="2337" ht="11.95" customHeight="1" s="79"/>
    <row r="2338" ht="11.95" customHeight="1" s="79"/>
    <row r="2339" ht="11.95" customHeight="1" s="79"/>
    <row r="2340" ht="11.95" customHeight="1" s="79"/>
    <row r="2341" ht="11.95" customHeight="1" s="79"/>
    <row r="2342" ht="11.95" customHeight="1" s="79"/>
    <row r="2343" ht="11.95" customHeight="1" s="79"/>
    <row r="2344" ht="11.95" customHeight="1" s="79"/>
    <row r="2345" ht="11.95" customHeight="1" s="79"/>
    <row r="2346" ht="11.95" customHeight="1" s="79"/>
    <row r="2347" ht="11.95" customHeight="1" s="79"/>
    <row r="2348" ht="11.95" customHeight="1" s="79"/>
    <row r="2349" ht="11.95" customHeight="1" s="79"/>
    <row r="2350" ht="11.95" customHeight="1" s="79"/>
    <row r="2351" ht="11.95" customHeight="1" s="79"/>
    <row r="2352" ht="11.95" customHeight="1" s="79"/>
    <row r="2353" ht="11.95" customHeight="1" s="79"/>
    <row r="2354" ht="11.95" customHeight="1" s="79"/>
    <row r="2355" ht="11.95" customHeight="1" s="79"/>
    <row r="2356" ht="11.95" customHeight="1" s="79"/>
    <row r="2357" ht="11.95" customHeight="1" s="79"/>
    <row r="2358" ht="11.95" customHeight="1" s="79"/>
    <row r="2359" ht="11.95" customHeight="1" s="79"/>
    <row r="2360" ht="11.95" customHeight="1" s="79"/>
    <row r="2361" ht="11.95" customHeight="1" s="79"/>
    <row r="2362" ht="11.95" customHeight="1" s="79"/>
    <row r="2363" ht="11.95" customHeight="1" s="79"/>
    <row r="2364" ht="11.95" customHeight="1" s="79"/>
    <row r="2365" ht="11.95" customHeight="1" s="79"/>
    <row r="2366" ht="11.95" customHeight="1" s="79"/>
    <row r="2367" ht="11.95" customHeight="1" s="79"/>
    <row r="2368" ht="11.95" customHeight="1" s="79"/>
    <row r="2369" ht="11.95" customHeight="1" s="79"/>
    <row r="2370" ht="11.95" customHeight="1" s="79"/>
    <row r="2371" ht="11.95" customHeight="1" s="79"/>
    <row r="2372" ht="11.95" customHeight="1" s="79"/>
    <row r="2373" ht="11.95" customHeight="1" s="79"/>
    <row r="2374" ht="11.95" customHeight="1" s="79"/>
    <row r="2375" ht="11.95" customHeight="1" s="79"/>
    <row r="2376" ht="11.95" customHeight="1" s="79"/>
    <row r="2377" ht="11.95" customHeight="1" s="79"/>
    <row r="2378" ht="11.95" customHeight="1" s="79"/>
    <row r="2379" ht="11.95" customHeight="1" s="79"/>
    <row r="2380" ht="11.95" customHeight="1" s="79"/>
    <row r="2381" ht="11.95" customHeight="1" s="79"/>
    <row r="2382" ht="11.95" customHeight="1" s="79"/>
    <row r="2383" ht="11.95" customHeight="1" s="79"/>
    <row r="2384" ht="11.95" customHeight="1" s="79"/>
    <row r="2385" ht="11.95" customHeight="1" s="79"/>
    <row r="2386" ht="11.95" customHeight="1" s="79"/>
    <row r="2387" ht="11.95" customHeight="1" s="79"/>
    <row r="2388" ht="11.95" customHeight="1" s="79"/>
    <row r="2389" ht="11.95" customHeight="1" s="79"/>
    <row r="2390" ht="11.95" customHeight="1" s="79"/>
    <row r="2391" ht="11.95" customHeight="1" s="79"/>
    <row r="2392" ht="11.95" customHeight="1" s="79"/>
    <row r="2393" ht="11.95" customHeight="1" s="79"/>
    <row r="2394" ht="11.95" customHeight="1" s="79"/>
    <row r="2395" ht="11.95" customHeight="1" s="79"/>
    <row r="2396" ht="11.95" customHeight="1" s="79"/>
    <row r="2397" ht="11.95" customHeight="1" s="79"/>
    <row r="2398" ht="11.95" customHeight="1" s="79"/>
    <row r="2399" ht="11.95" customHeight="1" s="79"/>
    <row r="2400" ht="11.95" customHeight="1" s="79"/>
    <row r="2401" ht="11.95" customHeight="1" s="79"/>
    <row r="2402" ht="11.95" customHeight="1" s="79"/>
    <row r="2403" ht="11.95" customHeight="1" s="79"/>
    <row r="2404" ht="11.95" customHeight="1" s="79"/>
    <row r="2405" ht="11.95" customHeight="1" s="79"/>
    <row r="2406" ht="11.95" customHeight="1" s="79"/>
    <row r="2407" ht="11.95" customHeight="1" s="79"/>
    <row r="2408" ht="11.95" customHeight="1" s="79"/>
    <row r="2409" ht="11.95" customHeight="1" s="79"/>
    <row r="2410" ht="11.95" customHeight="1" s="79"/>
    <row r="2411" ht="11.95" customHeight="1" s="79"/>
    <row r="2412" ht="11.95" customHeight="1" s="79"/>
    <row r="2413" ht="11.95" customHeight="1" s="79"/>
    <row r="2414" ht="11.95" customHeight="1" s="79"/>
    <row r="2415" ht="11.95" customHeight="1" s="79"/>
    <row r="2416" ht="11.95" customHeight="1" s="79"/>
    <row r="2417" ht="11.95" customHeight="1" s="79"/>
    <row r="2418" ht="11.95" customHeight="1" s="79"/>
    <row r="2419" ht="11.95" customHeight="1" s="79"/>
    <row r="2420" ht="11.95" customHeight="1" s="79"/>
    <row r="2421" ht="11.95" customHeight="1" s="79"/>
    <row r="2422" ht="11.95" customHeight="1" s="79"/>
    <row r="2423" ht="11.95" customHeight="1" s="79"/>
    <row r="2424" ht="11.95" customHeight="1" s="79"/>
    <row r="2425" ht="11.95" customHeight="1" s="79"/>
    <row r="2426" ht="11.95" customHeight="1" s="79"/>
    <row r="2427" ht="11.95" customHeight="1" s="79"/>
    <row r="2428" ht="11.95" customHeight="1" s="79"/>
    <row r="2429" ht="11.95" customHeight="1" s="79"/>
    <row r="2430" ht="11.95" customHeight="1" s="79"/>
    <row r="2431" ht="11.95" customHeight="1" s="79"/>
    <row r="2432" ht="11.95" customHeight="1" s="79"/>
    <row r="2433" ht="11.95" customHeight="1" s="79"/>
    <row r="2434" ht="11.95" customHeight="1" s="79"/>
    <row r="2435" ht="11.95" customHeight="1" s="79"/>
    <row r="2436" ht="11.95" customHeight="1" s="79"/>
    <row r="2437" ht="11.95" customHeight="1" s="79"/>
    <row r="2438" ht="11.95" customHeight="1" s="79"/>
    <row r="2439" ht="11.95" customHeight="1" s="79"/>
    <row r="2440" ht="11.95" customHeight="1" s="79"/>
    <row r="2441" ht="11.95" customHeight="1" s="79"/>
    <row r="2442" ht="11.95" customHeight="1" s="79"/>
    <row r="2443" ht="11.95" customHeight="1" s="79"/>
    <row r="2444" ht="11.95" customHeight="1" s="79"/>
    <row r="2445" ht="11.95" customHeight="1" s="79"/>
    <row r="2446" ht="11.95" customHeight="1" s="79"/>
    <row r="2447" ht="11.95" customHeight="1" s="79"/>
    <row r="2448" ht="11.95" customHeight="1" s="79"/>
    <row r="2449" ht="11.95" customHeight="1" s="79"/>
    <row r="2450" ht="11.95" customHeight="1" s="79"/>
    <row r="2451" ht="11.95" customHeight="1" s="79"/>
    <row r="2452" ht="11.95" customHeight="1" s="79"/>
    <row r="2453" ht="11.95" customHeight="1" s="79"/>
    <row r="2454" ht="11.95" customHeight="1" s="79"/>
    <row r="2455" ht="11.95" customHeight="1" s="79"/>
    <row r="2456" ht="11.95" customHeight="1" s="79"/>
    <row r="2457" ht="11.95" customHeight="1" s="79"/>
    <row r="2458" ht="11.95" customHeight="1" s="79"/>
    <row r="2459" ht="11.95" customHeight="1" s="79"/>
    <row r="2460" ht="11.95" customHeight="1" s="79"/>
    <row r="2461" ht="11.95" customHeight="1" s="79"/>
    <row r="2462" ht="11.95" customHeight="1" s="79"/>
    <row r="2463" ht="11.95" customHeight="1" s="79"/>
    <row r="2464" ht="11.95" customHeight="1" s="79"/>
    <row r="2465" ht="11.95" customHeight="1" s="79"/>
    <row r="2466" ht="11.95" customHeight="1" s="79"/>
    <row r="2467" ht="11.95" customHeight="1" s="79"/>
    <row r="2468" ht="11.95" customHeight="1" s="79"/>
    <row r="2469" ht="11.95" customHeight="1" s="79"/>
    <row r="2470" ht="11.95" customHeight="1" s="79"/>
    <row r="2471" ht="11.95" customHeight="1" s="79"/>
    <row r="2472" ht="11.95" customHeight="1" s="79"/>
    <row r="2473" ht="11.95" customHeight="1" s="79"/>
    <row r="2474" ht="11.95" customHeight="1" s="79"/>
    <row r="2475" ht="11.95" customHeight="1" s="79"/>
    <row r="2476" ht="11.95" customHeight="1" s="79"/>
    <row r="2477" ht="11.95" customHeight="1" s="79"/>
    <row r="2478" ht="11.95" customHeight="1" s="79"/>
    <row r="2479" ht="11.95" customHeight="1" s="79"/>
    <row r="2480" ht="11.95" customHeight="1" s="79"/>
    <row r="2481" ht="11.95" customHeight="1" s="79"/>
    <row r="2482" ht="11.95" customHeight="1" s="79"/>
    <row r="2483" ht="11.95" customHeight="1" s="79"/>
    <row r="2484" ht="11.95" customHeight="1" s="79"/>
    <row r="2485" ht="11.95" customHeight="1" s="79"/>
    <row r="2486" ht="11.95" customHeight="1" s="79"/>
    <row r="2487" ht="11.95" customHeight="1" s="79"/>
    <row r="2488" ht="11.95" customHeight="1" s="79"/>
    <row r="2489" ht="11.95" customHeight="1" s="79"/>
    <row r="2490" ht="11.95" customHeight="1" s="79"/>
    <row r="2491" ht="11.95" customHeight="1" s="79"/>
    <row r="2492" ht="11.95" customHeight="1" s="79"/>
    <row r="2493" ht="11.95" customHeight="1" s="79"/>
    <row r="2494" ht="11.95" customHeight="1" s="79"/>
    <row r="2495" ht="11.95" customHeight="1" s="79"/>
    <row r="2496" ht="11.95" customHeight="1" s="79"/>
    <row r="2497" ht="11.95" customHeight="1" s="79"/>
    <row r="2498" ht="11.95" customHeight="1" s="79"/>
    <row r="2499" ht="11.95" customHeight="1" s="79"/>
    <row r="2500" ht="11.95" customHeight="1" s="79"/>
    <row r="2501" ht="11.95" customHeight="1" s="79"/>
    <row r="2502" ht="11.95" customHeight="1" s="79"/>
    <row r="2503" ht="11.95" customHeight="1" s="79"/>
    <row r="2504" ht="11.95" customHeight="1" s="79"/>
    <row r="2505" ht="11.95" customHeight="1" s="79"/>
    <row r="2506" ht="11.95" customHeight="1" s="79"/>
    <row r="2507" ht="11.95" customHeight="1" s="79"/>
    <row r="2508" ht="11.95" customHeight="1" s="79"/>
    <row r="2509" ht="11.95" customHeight="1" s="79"/>
    <row r="2510" ht="11.95" customHeight="1" s="79"/>
    <row r="2511" ht="11.95" customHeight="1" s="79"/>
    <row r="2512" ht="11.95" customHeight="1" s="79"/>
    <row r="2513" ht="11.95" customHeight="1" s="79"/>
    <row r="2514" ht="11.95" customHeight="1" s="79"/>
    <row r="2515" ht="11.95" customHeight="1" s="79"/>
    <row r="2516" ht="11.95" customHeight="1" s="79"/>
    <row r="2517" ht="11.95" customHeight="1" s="79"/>
    <row r="2518" ht="11.95" customHeight="1" s="79"/>
    <row r="2519" ht="11.95" customHeight="1" s="79"/>
    <row r="2520" ht="11.95" customHeight="1" s="79"/>
    <row r="2521" ht="11.95" customHeight="1" s="79"/>
    <row r="2522" ht="11.95" customHeight="1" s="79"/>
    <row r="2523" ht="11.95" customHeight="1" s="79"/>
    <row r="2524" ht="11.95" customHeight="1" s="79"/>
    <row r="2525" ht="11.95" customHeight="1" s="79"/>
    <row r="2526" ht="11.95" customHeight="1" s="79"/>
    <row r="2527" ht="11.95" customHeight="1" s="79"/>
    <row r="2528" ht="11.95" customHeight="1" s="79"/>
    <row r="2529" ht="11.95" customHeight="1" s="79"/>
    <row r="2530" ht="11.95" customHeight="1" s="79"/>
    <row r="2531" ht="11.95" customHeight="1" s="79"/>
    <row r="2532" ht="11.95" customHeight="1" s="79"/>
    <row r="2533" ht="11.95" customHeight="1" s="79"/>
    <row r="2534" ht="11.95" customHeight="1" s="79"/>
    <row r="2535" ht="11.95" customHeight="1" s="79"/>
    <row r="2536" ht="11.95" customHeight="1" s="79"/>
    <row r="2537" ht="11.95" customHeight="1" s="79"/>
    <row r="2538" ht="11.95" customHeight="1" s="79"/>
    <row r="2539" ht="11.95" customHeight="1" s="79"/>
    <row r="2540" ht="11.95" customHeight="1" s="79"/>
    <row r="2541" ht="11.95" customHeight="1" s="79"/>
    <row r="2542" ht="11.95" customHeight="1" s="79"/>
    <row r="2543" ht="11.95" customHeight="1" s="79"/>
    <row r="2544" ht="11.95" customHeight="1" s="79"/>
    <row r="2545" ht="11.95" customHeight="1" s="79"/>
    <row r="2546" ht="11.95" customHeight="1" s="79"/>
    <row r="2547" ht="11.95" customHeight="1" s="79"/>
    <row r="2548" ht="11.95" customHeight="1" s="79"/>
    <row r="2549" ht="11.95" customHeight="1" s="79"/>
    <row r="2550" ht="11.95" customHeight="1" s="79"/>
    <row r="2551" ht="11.95" customHeight="1" s="79"/>
    <row r="2552" ht="11.95" customHeight="1" s="79"/>
    <row r="2553" ht="11.95" customHeight="1" s="79"/>
    <row r="2554" ht="11.95" customHeight="1" s="79"/>
    <row r="2555" ht="11.95" customHeight="1" s="79"/>
    <row r="2556" ht="11.95" customHeight="1" s="79"/>
    <row r="2557" ht="11.95" customHeight="1" s="79"/>
    <row r="2558" ht="11.95" customHeight="1" s="79"/>
    <row r="2559" ht="11.95" customHeight="1" s="79"/>
    <row r="2560" ht="11.95" customHeight="1" s="79"/>
    <row r="2561" ht="11.95" customHeight="1" s="79"/>
    <row r="2562" ht="11.95" customHeight="1" s="79"/>
    <row r="2563" ht="11.95" customHeight="1" s="79"/>
    <row r="2564" ht="11.95" customHeight="1" s="79"/>
    <row r="2565" ht="11.95" customHeight="1" s="79"/>
    <row r="2566" ht="11.95" customHeight="1" s="79"/>
    <row r="2567" ht="11.95" customHeight="1" s="79"/>
    <row r="2568" ht="11.95" customHeight="1" s="79"/>
    <row r="2569" ht="11.95" customHeight="1" s="79"/>
    <row r="2570" ht="11.95" customHeight="1" s="79"/>
    <row r="2571" ht="11.95" customHeight="1" s="79"/>
    <row r="2572" ht="11.95" customHeight="1" s="79"/>
    <row r="2573" ht="11.95" customHeight="1" s="79"/>
    <row r="2574" ht="11.95" customHeight="1" s="79"/>
    <row r="2575" ht="11.95" customHeight="1" s="79"/>
    <row r="2576" ht="11.95" customHeight="1" s="79"/>
    <row r="2577" ht="11.95" customHeight="1" s="79"/>
    <row r="2578" ht="11.95" customHeight="1" s="79"/>
    <row r="2579" ht="11.95" customHeight="1" s="79"/>
    <row r="2580" ht="11.95" customHeight="1" s="79"/>
    <row r="2581" ht="11.95" customHeight="1" s="79"/>
    <row r="2582" ht="11.95" customHeight="1" s="79"/>
    <row r="2583" ht="11.95" customHeight="1" s="79"/>
    <row r="2584" ht="11.95" customHeight="1" s="79"/>
    <row r="2585" ht="11.95" customHeight="1" s="79"/>
    <row r="2586" ht="11.95" customHeight="1" s="79"/>
    <row r="2587" ht="11.95" customHeight="1" s="79"/>
    <row r="2588" ht="11.95" customHeight="1" s="79"/>
    <row r="2589" ht="11.95" customHeight="1" s="79"/>
    <row r="2590" ht="11.95" customHeight="1" s="79"/>
    <row r="2591" ht="11.95" customHeight="1" s="79"/>
    <row r="2592" ht="11.95" customHeight="1" s="79"/>
    <row r="2593" ht="11.95" customHeight="1" s="79"/>
    <row r="2594" ht="11.95" customHeight="1" s="79"/>
    <row r="2595" ht="11.95" customHeight="1" s="79"/>
    <row r="2596" ht="11.95" customHeight="1" s="79"/>
    <row r="2597" ht="11.95" customHeight="1" s="79"/>
    <row r="2598" ht="11.95" customHeight="1" s="79"/>
    <row r="2599" ht="11.95" customHeight="1" s="79"/>
    <row r="2600" ht="11.95" customHeight="1" s="79"/>
    <row r="2601" ht="11.95" customHeight="1" s="79"/>
    <row r="2602" ht="11.95" customHeight="1" s="79"/>
    <row r="2603" ht="11.95" customHeight="1" s="79"/>
    <row r="2604" ht="11.95" customHeight="1" s="79"/>
    <row r="2605" ht="11.95" customHeight="1" s="79"/>
    <row r="2606" ht="11.95" customHeight="1" s="79"/>
    <row r="2607" ht="11.95" customHeight="1" s="79"/>
    <row r="2608" ht="11.95" customHeight="1" s="79"/>
    <row r="2609" ht="11.95" customHeight="1" s="79"/>
    <row r="2610" ht="11.95" customHeight="1" s="79"/>
    <row r="2611" ht="11.95" customHeight="1" s="79"/>
    <row r="2612" ht="11.95" customHeight="1" s="79"/>
    <row r="2613" ht="11.95" customHeight="1" s="79"/>
    <row r="2614" ht="11.95" customHeight="1" s="79"/>
    <row r="2615" ht="11.95" customHeight="1" s="79"/>
    <row r="2616" ht="11.95" customHeight="1" s="79"/>
    <row r="2617" ht="11.95" customHeight="1" s="79"/>
    <row r="2618" ht="11.95" customHeight="1" s="79"/>
    <row r="2619" ht="11.95" customHeight="1" s="79"/>
    <row r="2620" ht="11.95" customHeight="1" s="79"/>
    <row r="2621" ht="11.95" customHeight="1" s="79"/>
    <row r="2622" ht="11.95" customHeight="1" s="79"/>
    <row r="2623" ht="11.95" customHeight="1" s="79"/>
    <row r="2624" ht="11.95" customHeight="1" s="79"/>
    <row r="2625" ht="11.95" customHeight="1" s="79"/>
    <row r="2626" ht="11.95" customHeight="1" s="79"/>
    <row r="2627" ht="11.95" customHeight="1" s="79"/>
    <row r="2628" ht="11.95" customHeight="1" s="79"/>
    <row r="2629" ht="11.95" customHeight="1" s="79"/>
    <row r="2630" ht="11.95" customHeight="1" s="79"/>
    <row r="2631" ht="11.95" customHeight="1" s="79"/>
    <row r="2632" ht="11.95" customHeight="1" s="79"/>
    <row r="2633" ht="11.95" customHeight="1" s="79"/>
    <row r="2634" ht="11.95" customHeight="1" s="79"/>
    <row r="2635" ht="11.95" customHeight="1" s="79"/>
    <row r="2636" ht="11.95" customHeight="1" s="79"/>
    <row r="2637" ht="11.95" customHeight="1" s="79"/>
    <row r="2638" ht="11.95" customHeight="1" s="79"/>
    <row r="2639" ht="11.95" customHeight="1" s="79"/>
    <row r="2640" ht="11.95" customHeight="1" s="79"/>
    <row r="2641" ht="11.95" customHeight="1" s="79"/>
    <row r="2642" ht="11.95" customHeight="1" s="79"/>
    <row r="2643" ht="11.95" customHeight="1" s="79"/>
    <row r="2644" ht="11.95" customHeight="1" s="79"/>
    <row r="2645" ht="11.95" customHeight="1" s="79"/>
    <row r="2646" ht="11.95" customHeight="1" s="79"/>
    <row r="2647" ht="11.95" customHeight="1" s="79"/>
    <row r="2648" ht="11.95" customHeight="1" s="79"/>
    <row r="2649" ht="11.95" customHeight="1" s="79"/>
    <row r="2650" ht="11.95" customHeight="1" s="79"/>
    <row r="2651" ht="11.95" customHeight="1" s="79"/>
    <row r="2652" ht="11.95" customHeight="1" s="79"/>
    <row r="2653" ht="11.95" customHeight="1" s="79"/>
    <row r="2654" ht="11.95" customHeight="1" s="79"/>
    <row r="2655" ht="11.95" customHeight="1" s="79"/>
    <row r="2656" ht="11.95" customHeight="1" s="79"/>
    <row r="2657" ht="11.95" customHeight="1" s="79"/>
    <row r="2658" ht="11.95" customHeight="1" s="79"/>
    <row r="2659" ht="11.95" customHeight="1" s="79"/>
    <row r="2660" ht="11.95" customHeight="1" s="79"/>
    <row r="2661" ht="11.95" customHeight="1" s="79"/>
    <row r="2662" ht="11.95" customHeight="1" s="79"/>
    <row r="2663" ht="11.95" customHeight="1" s="79"/>
    <row r="2664" ht="11.95" customHeight="1" s="79"/>
    <row r="2665" ht="11.95" customHeight="1" s="79"/>
    <row r="2666" ht="11.95" customHeight="1" s="79"/>
    <row r="2667" ht="11.95" customHeight="1" s="79"/>
    <row r="2668" ht="11.95" customHeight="1" s="79"/>
    <row r="2669" ht="11.95" customHeight="1" s="79"/>
    <row r="2670" ht="11.95" customHeight="1" s="79"/>
    <row r="2671" ht="11.95" customHeight="1" s="79"/>
    <row r="2672" ht="11.95" customHeight="1" s="79"/>
    <row r="2673" ht="11.95" customHeight="1" s="79"/>
    <row r="2674" ht="11.95" customHeight="1" s="79"/>
    <row r="2675" ht="11.95" customHeight="1" s="79"/>
    <row r="2676" ht="11.95" customHeight="1" s="79"/>
    <row r="2677" ht="11.95" customHeight="1" s="79"/>
    <row r="2678" ht="11.95" customHeight="1" s="79"/>
    <row r="2679" ht="11.95" customHeight="1" s="79"/>
    <row r="2680" ht="11.95" customHeight="1" s="79"/>
    <row r="2681" ht="11.95" customHeight="1" s="79"/>
    <row r="2682" ht="11.95" customHeight="1" s="79"/>
    <row r="2683" ht="11.95" customHeight="1" s="79"/>
    <row r="2684" ht="11.95" customHeight="1" s="79"/>
    <row r="2685" ht="11.95" customHeight="1" s="79"/>
    <row r="2686" ht="11.95" customHeight="1" s="79"/>
    <row r="2687" ht="11.95" customHeight="1" s="79"/>
    <row r="2688" ht="11.95" customHeight="1" s="79"/>
    <row r="2689" ht="11.95" customHeight="1" s="79"/>
    <row r="2690" ht="11.95" customHeight="1" s="79"/>
    <row r="2691" ht="11.95" customHeight="1" s="79"/>
    <row r="2692" ht="11.95" customHeight="1" s="79"/>
    <row r="2693" ht="11.95" customHeight="1" s="79"/>
    <row r="2694" ht="11.95" customHeight="1" s="79"/>
    <row r="2695" ht="11.95" customHeight="1" s="79"/>
    <row r="2696" ht="11.95" customHeight="1" s="79"/>
    <row r="2697" ht="11.95" customHeight="1" s="79"/>
    <row r="2698" ht="11.95" customHeight="1" s="79"/>
    <row r="2699" ht="11.95" customHeight="1" s="79"/>
    <row r="2700" ht="11.95" customHeight="1" s="79"/>
    <row r="2701" ht="11.95" customHeight="1" s="79"/>
    <row r="2702" ht="11.95" customHeight="1" s="79"/>
    <row r="2703" ht="11.95" customHeight="1" s="79"/>
    <row r="2704" ht="11.95" customHeight="1" s="79"/>
    <row r="2705" ht="11.95" customHeight="1" s="79"/>
    <row r="2706" ht="11.95" customHeight="1" s="79"/>
    <row r="2707" ht="11.95" customHeight="1" s="79"/>
    <row r="2708" ht="11.95" customHeight="1" s="79"/>
    <row r="2709" ht="11.95" customHeight="1" s="79"/>
    <row r="2710" ht="11.95" customHeight="1" s="79"/>
    <row r="2711" ht="11.95" customHeight="1" s="79"/>
    <row r="2712" ht="11.95" customHeight="1" s="79"/>
    <row r="2713" ht="11.95" customHeight="1" s="79"/>
    <row r="2714" ht="11.95" customHeight="1" s="79"/>
    <row r="2715" ht="11.95" customHeight="1" s="79"/>
    <row r="2716" ht="11.95" customHeight="1" s="79"/>
    <row r="2717" ht="11.95" customHeight="1" s="79"/>
    <row r="2718" ht="11.95" customHeight="1" s="79"/>
    <row r="2719" ht="11.95" customHeight="1" s="79"/>
    <row r="2720" ht="11.95" customHeight="1" s="79"/>
    <row r="2721" ht="11.95" customHeight="1" s="79"/>
    <row r="2722" ht="11.95" customHeight="1" s="79"/>
    <row r="2723" ht="11.95" customHeight="1" s="79"/>
    <row r="2724" ht="11.95" customHeight="1" s="79"/>
    <row r="2725" ht="11.95" customHeight="1" s="79"/>
    <row r="2726" ht="11.95" customHeight="1" s="79"/>
    <row r="2727" ht="11.95" customHeight="1" s="79"/>
    <row r="2728" ht="11.95" customHeight="1" s="79"/>
    <row r="2729" ht="11.95" customHeight="1" s="79"/>
    <row r="2730" ht="11.95" customHeight="1" s="79"/>
    <row r="2731" ht="11.95" customHeight="1" s="79"/>
    <row r="2732" ht="11.95" customHeight="1" s="79"/>
    <row r="2733" ht="11.95" customHeight="1" s="79"/>
    <row r="2734" ht="11.95" customHeight="1" s="79"/>
    <row r="2735" ht="11.95" customHeight="1" s="79"/>
    <row r="2736" ht="11.95" customHeight="1" s="79"/>
    <row r="2737" ht="11.95" customHeight="1" s="79"/>
    <row r="2738" ht="11.95" customHeight="1" s="79"/>
    <row r="2739" ht="11.95" customHeight="1" s="79"/>
    <row r="2740" ht="11.95" customHeight="1" s="79"/>
    <row r="2741" ht="11.95" customHeight="1" s="79"/>
    <row r="2742" ht="11.95" customHeight="1" s="79"/>
    <row r="2743" ht="11.95" customHeight="1" s="79"/>
    <row r="2744" ht="11.95" customHeight="1" s="79"/>
    <row r="2745" ht="11.95" customHeight="1" s="79"/>
    <row r="2746" ht="11.95" customHeight="1" s="79"/>
    <row r="2747" ht="11.95" customHeight="1" s="79"/>
    <row r="2748" ht="11.95" customHeight="1" s="79"/>
    <row r="2749" ht="11.95" customHeight="1" s="79"/>
    <row r="2750" ht="11.95" customHeight="1" s="79"/>
    <row r="2751" ht="11.95" customHeight="1" s="79"/>
    <row r="2752" ht="11.95" customHeight="1" s="79"/>
    <row r="2753" ht="11.95" customHeight="1" s="79"/>
    <row r="2754" ht="11.95" customHeight="1" s="79"/>
    <row r="2755" ht="11.95" customHeight="1" s="79"/>
    <row r="2756" ht="11.95" customHeight="1" s="79"/>
    <row r="2757" ht="11.95" customHeight="1" s="79"/>
    <row r="2758" ht="11.95" customHeight="1" s="79"/>
    <row r="2759" ht="11.95" customHeight="1" s="79"/>
    <row r="2760" ht="11.95" customHeight="1" s="79"/>
    <row r="2761" ht="11.95" customHeight="1" s="79"/>
    <row r="2762" ht="11.95" customHeight="1" s="79"/>
    <row r="2763" ht="11.95" customHeight="1" s="79"/>
    <row r="2764" ht="11.95" customHeight="1" s="79"/>
    <row r="2765" ht="11.95" customHeight="1" s="79"/>
    <row r="2766" ht="11.95" customHeight="1" s="79"/>
    <row r="2767" ht="11.95" customHeight="1" s="79"/>
    <row r="2768" ht="11.95" customHeight="1" s="79"/>
    <row r="2769" ht="11.95" customHeight="1" s="79"/>
    <row r="2770" ht="11.95" customHeight="1" s="79"/>
    <row r="2771" ht="11.95" customHeight="1" s="79"/>
    <row r="2772" ht="11.95" customHeight="1" s="79"/>
    <row r="2773" ht="11.95" customHeight="1" s="79"/>
    <row r="2774" ht="11.95" customHeight="1" s="79"/>
    <row r="2775" ht="11.95" customHeight="1" s="79"/>
    <row r="2776" ht="11.95" customHeight="1" s="79"/>
    <row r="2777" ht="11.95" customHeight="1" s="79"/>
    <row r="2778" ht="11.95" customHeight="1" s="79"/>
    <row r="2779" ht="11.95" customHeight="1" s="79"/>
    <row r="2780" ht="11.95" customHeight="1" s="79"/>
    <row r="2781" ht="11.95" customHeight="1" s="79"/>
    <row r="2782" ht="11.95" customHeight="1" s="79"/>
    <row r="2783" ht="11.95" customHeight="1" s="79"/>
    <row r="2784" ht="11.95" customHeight="1" s="79"/>
    <row r="2785" ht="11.95" customHeight="1" s="79"/>
    <row r="2786" ht="11.95" customHeight="1" s="79"/>
    <row r="2787" ht="11.95" customHeight="1" s="79"/>
    <row r="2788" ht="11.95" customHeight="1" s="79"/>
    <row r="2789" ht="11.95" customHeight="1" s="79"/>
    <row r="2790" ht="11.95" customHeight="1" s="79"/>
    <row r="2791" ht="11.95" customHeight="1" s="79"/>
    <row r="2792" ht="11.95" customHeight="1" s="79"/>
    <row r="2793" ht="11.95" customHeight="1" s="79"/>
    <row r="2794" ht="11.95" customHeight="1" s="79"/>
    <row r="2795" ht="11.95" customHeight="1" s="79"/>
    <row r="2796" ht="11.95" customHeight="1" s="79"/>
    <row r="2797" ht="11.95" customHeight="1" s="79"/>
    <row r="2798" ht="11.95" customHeight="1" s="79"/>
    <row r="2799" ht="11.95" customHeight="1" s="79"/>
    <row r="2800" ht="11.95" customHeight="1" s="79"/>
    <row r="2801" ht="11.95" customHeight="1" s="79"/>
    <row r="2802" ht="11.95" customHeight="1" s="79"/>
    <row r="2803" ht="11.95" customHeight="1" s="79"/>
    <row r="2804" ht="11.95" customHeight="1" s="79"/>
    <row r="2805" ht="11.95" customHeight="1" s="79"/>
    <row r="2806" ht="11.95" customHeight="1" s="79"/>
    <row r="2807" ht="11.95" customHeight="1" s="79"/>
    <row r="2808" ht="11.95" customHeight="1" s="79"/>
    <row r="2809" ht="11.95" customHeight="1" s="79"/>
    <row r="2810" ht="11.95" customHeight="1" s="79"/>
    <row r="2811" ht="11.95" customHeight="1" s="79"/>
    <row r="2812" ht="11.95" customHeight="1" s="79"/>
    <row r="2813" ht="11.95" customHeight="1" s="79"/>
    <row r="2814" ht="11.95" customHeight="1" s="79"/>
    <row r="2815" ht="11.95" customHeight="1" s="79"/>
    <row r="2816" ht="11.95" customHeight="1" s="79"/>
    <row r="2817" ht="11.95" customHeight="1" s="79"/>
    <row r="2818" ht="11.95" customHeight="1" s="79"/>
    <row r="2819" ht="11.95" customHeight="1" s="79"/>
    <row r="2820" ht="11.95" customHeight="1" s="79"/>
    <row r="2821" ht="11.95" customHeight="1" s="79"/>
    <row r="2822" ht="11.95" customHeight="1" s="79"/>
    <row r="2823" ht="11.95" customHeight="1" s="79"/>
    <row r="2824" ht="11.95" customHeight="1" s="79"/>
    <row r="2825" ht="11.95" customHeight="1" s="79"/>
    <row r="2826" ht="11.95" customHeight="1" s="79"/>
    <row r="2827" ht="11.95" customHeight="1" s="79"/>
    <row r="2828" ht="11.95" customHeight="1" s="79"/>
    <row r="2829" ht="11.95" customHeight="1" s="79"/>
    <row r="2830" ht="11.95" customHeight="1" s="79"/>
    <row r="2831" ht="11.95" customHeight="1" s="79"/>
    <row r="2832" ht="11.95" customHeight="1" s="79"/>
    <row r="2833" ht="11.95" customHeight="1" s="79"/>
    <row r="2834" ht="11.95" customHeight="1" s="79"/>
    <row r="2835" ht="11.95" customHeight="1" s="79"/>
    <row r="2836" ht="11.95" customHeight="1" s="79"/>
    <row r="2837" ht="11.95" customHeight="1" s="79"/>
    <row r="2838" ht="11.95" customHeight="1" s="79"/>
    <row r="2839" ht="11.95" customHeight="1" s="79"/>
    <row r="2840" ht="11.95" customHeight="1" s="79"/>
    <row r="2841" ht="11.95" customHeight="1" s="79"/>
    <row r="2842" ht="11.95" customHeight="1" s="79"/>
    <row r="2843" ht="11.95" customHeight="1" s="79"/>
    <row r="2844" ht="11.95" customHeight="1" s="79"/>
    <row r="2845" ht="11.95" customHeight="1" s="79"/>
    <row r="2846" ht="11.95" customHeight="1" s="79"/>
    <row r="2847" ht="11.95" customHeight="1" s="79"/>
    <row r="2848" ht="11.95" customHeight="1" s="79"/>
    <row r="2849" ht="11.95" customHeight="1" s="79"/>
    <row r="2850" ht="11.95" customHeight="1" s="79"/>
    <row r="2851" ht="11.95" customHeight="1" s="79"/>
    <row r="2852" ht="11.95" customHeight="1" s="79"/>
    <row r="2853" ht="11.95" customHeight="1" s="79"/>
    <row r="2854" ht="11.95" customHeight="1" s="79"/>
    <row r="2855" ht="11.95" customHeight="1" s="79"/>
    <row r="2856" ht="11.95" customHeight="1" s="79"/>
    <row r="2857" ht="11.95" customHeight="1" s="79"/>
    <row r="2858" ht="11.95" customHeight="1" s="79"/>
    <row r="2859" ht="11.95" customHeight="1" s="79"/>
    <row r="2860" ht="11.95" customHeight="1" s="79"/>
    <row r="2861" ht="11.95" customHeight="1" s="79"/>
    <row r="2862" ht="11.95" customHeight="1" s="79"/>
    <row r="2863" ht="11.95" customHeight="1" s="79"/>
    <row r="2864" ht="11.95" customHeight="1" s="79"/>
    <row r="2865" ht="11.95" customHeight="1" s="79"/>
    <row r="2866" ht="11.95" customHeight="1" s="79"/>
    <row r="2867" ht="11.95" customHeight="1" s="79"/>
    <row r="2868" ht="11.95" customHeight="1" s="79"/>
    <row r="2869" ht="11.95" customHeight="1" s="79"/>
    <row r="2870" ht="11.95" customHeight="1" s="79"/>
    <row r="2871" ht="11.95" customHeight="1" s="79"/>
    <row r="2872" ht="11.95" customHeight="1" s="79"/>
    <row r="2873" ht="11.95" customHeight="1" s="79"/>
    <row r="2874" ht="11.95" customHeight="1" s="79"/>
    <row r="2875" ht="11.95" customHeight="1" s="79"/>
    <row r="2876" ht="11.95" customHeight="1" s="79"/>
    <row r="2877" ht="11.95" customHeight="1" s="79"/>
    <row r="2878" ht="11.95" customHeight="1" s="79"/>
    <row r="2879" ht="11.95" customHeight="1" s="79"/>
    <row r="2880" ht="11.95" customHeight="1" s="79"/>
    <row r="2881" ht="11.95" customHeight="1" s="79"/>
    <row r="2882" ht="11.95" customHeight="1" s="79"/>
    <row r="2883" ht="11.95" customHeight="1" s="79"/>
    <row r="2884" ht="11.95" customHeight="1" s="79"/>
    <row r="2885" ht="11.95" customHeight="1" s="79"/>
    <row r="2886" ht="11.95" customHeight="1" s="79"/>
    <row r="2887" ht="11.95" customHeight="1" s="79"/>
    <row r="2888" ht="11.95" customHeight="1" s="79"/>
    <row r="2889" ht="11.95" customHeight="1" s="79"/>
    <row r="2890" ht="11.95" customHeight="1" s="79"/>
    <row r="2891" ht="11.95" customHeight="1" s="79"/>
    <row r="2892" ht="11.95" customHeight="1" s="79"/>
    <row r="2893" ht="11.95" customHeight="1" s="79"/>
    <row r="2894" ht="11.95" customHeight="1" s="79"/>
    <row r="2895" ht="11.95" customHeight="1" s="79"/>
    <row r="2896" ht="11.95" customHeight="1" s="79"/>
    <row r="2897" ht="11.95" customHeight="1" s="79"/>
    <row r="2898" ht="11.95" customHeight="1" s="79"/>
    <row r="2899" ht="11.95" customHeight="1" s="79"/>
    <row r="2900" ht="11.95" customHeight="1" s="79"/>
    <row r="2901" ht="11.95" customHeight="1" s="79"/>
    <row r="2902" ht="11.95" customHeight="1" s="79"/>
    <row r="2903" ht="11.95" customHeight="1" s="79"/>
    <row r="2904" ht="11.95" customHeight="1" s="79"/>
    <row r="2905" ht="11.95" customHeight="1" s="79"/>
    <row r="2906" ht="11.95" customHeight="1" s="79"/>
    <row r="2907" ht="11.95" customHeight="1" s="79"/>
    <row r="2908" ht="11.95" customHeight="1" s="79"/>
    <row r="2909" ht="11.95" customHeight="1" s="79"/>
    <row r="2910" ht="11.95" customHeight="1" s="79"/>
    <row r="2911" ht="11.95" customHeight="1" s="79"/>
    <row r="2912" ht="11.95" customHeight="1" s="79"/>
    <row r="2913" ht="11.95" customHeight="1" s="79"/>
    <row r="2914" ht="11.95" customHeight="1" s="79"/>
    <row r="2915" ht="11.95" customHeight="1" s="79"/>
    <row r="2916" ht="11.95" customHeight="1" s="79"/>
    <row r="2917" ht="11.95" customHeight="1" s="79"/>
    <row r="2918" ht="11.95" customHeight="1" s="79"/>
    <row r="2919" ht="11.95" customHeight="1" s="79"/>
    <row r="2920" ht="11.95" customHeight="1" s="79"/>
    <row r="2921" ht="11.95" customHeight="1" s="79"/>
    <row r="2922" ht="11.95" customHeight="1" s="79"/>
    <row r="2923" ht="11.95" customHeight="1" s="79"/>
    <row r="2924" ht="11.95" customHeight="1" s="79"/>
    <row r="2925" ht="11.95" customHeight="1" s="79"/>
    <row r="2926" ht="11.95" customHeight="1" s="79"/>
    <row r="2927" ht="11.95" customHeight="1" s="79"/>
    <row r="2928" ht="11.95" customHeight="1" s="79"/>
    <row r="2929" ht="11.95" customHeight="1" s="79"/>
    <row r="2930" ht="11.95" customHeight="1" s="79"/>
    <row r="2931" ht="11.95" customHeight="1" s="79"/>
    <row r="2932" ht="11.95" customHeight="1" s="79"/>
    <row r="2933" ht="11.95" customHeight="1" s="79"/>
    <row r="2934" ht="11.95" customHeight="1" s="79"/>
    <row r="2935" ht="11.95" customHeight="1" s="79"/>
    <row r="2936" ht="11.95" customHeight="1" s="79"/>
    <row r="2937" ht="11.95" customHeight="1" s="79"/>
    <row r="2938" ht="11.95" customHeight="1" s="79"/>
    <row r="2939" ht="11.95" customHeight="1" s="79"/>
    <row r="2940" ht="11.95" customHeight="1" s="79"/>
    <row r="2941" ht="11.95" customHeight="1" s="79"/>
    <row r="2942" ht="11.95" customHeight="1" s="79"/>
    <row r="2943" ht="11.95" customHeight="1" s="79"/>
    <row r="2944" ht="11.95" customHeight="1" s="79"/>
    <row r="2945" ht="11.95" customHeight="1" s="79"/>
    <row r="2946" ht="11.95" customHeight="1" s="79"/>
    <row r="2947" ht="11.95" customHeight="1" s="79"/>
    <row r="2948" ht="11.95" customHeight="1" s="79"/>
    <row r="2949" ht="11.95" customHeight="1" s="79"/>
    <row r="2950" ht="11.95" customHeight="1" s="79"/>
    <row r="2951" ht="11.95" customHeight="1" s="79"/>
    <row r="2952" ht="11.95" customHeight="1" s="79"/>
    <row r="2953" ht="11.95" customHeight="1" s="79"/>
    <row r="2954" ht="11.95" customHeight="1" s="79"/>
    <row r="2955" ht="11.95" customHeight="1" s="79"/>
    <row r="2956" ht="11.95" customHeight="1" s="79"/>
    <row r="2957" ht="11.95" customHeight="1" s="79"/>
    <row r="2958" ht="11.95" customHeight="1" s="79"/>
    <row r="2959" ht="11.95" customHeight="1" s="79"/>
    <row r="2960" ht="11.95" customHeight="1" s="79"/>
    <row r="2961" ht="11.95" customHeight="1" s="79"/>
    <row r="2962" ht="11.95" customHeight="1" s="79"/>
    <row r="2963" ht="11.95" customHeight="1" s="79"/>
    <row r="2964" ht="11.95" customHeight="1" s="79"/>
    <row r="2965" ht="11.95" customHeight="1" s="79"/>
    <row r="2966" ht="11.95" customHeight="1" s="79"/>
    <row r="2967" ht="11.95" customHeight="1" s="79"/>
    <row r="2968" ht="11.95" customHeight="1" s="79"/>
    <row r="2969" ht="11.95" customHeight="1" s="79"/>
    <row r="2970" ht="11.95" customHeight="1" s="79"/>
    <row r="2971" ht="11.95" customHeight="1" s="79"/>
    <row r="2972" ht="11.95" customHeight="1" s="79"/>
    <row r="2973" ht="11.95" customHeight="1" s="79"/>
    <row r="2974" ht="11.95" customHeight="1" s="79"/>
    <row r="2975" ht="11.95" customHeight="1" s="79"/>
    <row r="2976" ht="11.95" customHeight="1" s="79"/>
    <row r="2977" ht="11.95" customHeight="1" s="79"/>
    <row r="2978" ht="11.95" customHeight="1" s="79"/>
    <row r="2979" ht="11.95" customHeight="1" s="79"/>
    <row r="2980" ht="11.95" customHeight="1" s="79"/>
    <row r="2981" ht="11.95" customHeight="1" s="79"/>
    <row r="2982" ht="11.95" customHeight="1" s="79"/>
    <row r="2983" ht="11.95" customHeight="1" s="79"/>
    <row r="2984" ht="11.95" customHeight="1" s="79"/>
    <row r="2985" ht="11.95" customHeight="1" s="79"/>
    <row r="2986" ht="11.95" customHeight="1" s="79"/>
    <row r="2987" ht="11.95" customHeight="1" s="79"/>
    <row r="2988" ht="11.95" customHeight="1" s="79"/>
    <row r="2989" ht="11.95" customHeight="1" s="79"/>
    <row r="2990" ht="11.95" customHeight="1" s="79"/>
    <row r="2991" ht="11.95" customHeight="1" s="79"/>
    <row r="2992" ht="11.95" customHeight="1" s="79"/>
    <row r="2993" ht="11.95" customHeight="1" s="79"/>
    <row r="2994" ht="11.95" customHeight="1" s="79"/>
    <row r="2995" ht="11.95" customHeight="1" s="79"/>
    <row r="2996" ht="11.95" customHeight="1" s="79"/>
    <row r="2997" ht="11.95" customHeight="1" s="79"/>
    <row r="2998" ht="11.95" customHeight="1" s="79"/>
    <row r="2999" ht="11.95" customHeight="1" s="79"/>
    <row r="3000" ht="11.95" customHeight="1" s="79"/>
    <row r="3001" ht="11.95" customHeight="1" s="79"/>
    <row r="3002" ht="11.95" customHeight="1" s="79"/>
    <row r="3003" ht="11.95" customHeight="1" s="79"/>
    <row r="3004" ht="11.95" customHeight="1" s="79"/>
    <row r="3005" ht="11.95" customHeight="1" s="79"/>
    <row r="3006" ht="11.95" customHeight="1" s="79"/>
    <row r="3007" ht="11.95" customHeight="1" s="79"/>
    <row r="3008" ht="11.95" customHeight="1" s="79"/>
    <row r="3009" ht="11.95" customHeight="1" s="79"/>
    <row r="3010" ht="11.95" customHeight="1" s="79"/>
    <row r="3011" ht="11.95" customHeight="1" s="79"/>
    <row r="3012" ht="11.95" customHeight="1" s="79"/>
    <row r="3013" ht="11.95" customHeight="1" s="79"/>
    <row r="3014" ht="11.95" customHeight="1" s="79"/>
    <row r="3015" ht="11.95" customHeight="1" s="79"/>
    <row r="3016" ht="11.95" customHeight="1" s="79"/>
    <row r="3017" ht="11.95" customHeight="1" s="79"/>
    <row r="3018" ht="11.95" customHeight="1" s="79"/>
    <row r="3019" ht="11.95" customHeight="1" s="79"/>
    <row r="3020" ht="11.95" customHeight="1" s="79"/>
    <row r="3021" ht="11.95" customHeight="1" s="79"/>
    <row r="3022" ht="11.95" customHeight="1" s="79"/>
    <row r="3023" ht="11.95" customHeight="1" s="79"/>
    <row r="3024" ht="11.95" customHeight="1" s="79"/>
    <row r="3025" ht="11.95" customHeight="1" s="79"/>
    <row r="3026" ht="11.95" customHeight="1" s="79"/>
    <row r="3027" ht="11.95" customHeight="1" s="79"/>
    <row r="3028" ht="11.95" customHeight="1" s="79"/>
    <row r="3029" ht="11.95" customHeight="1" s="79"/>
    <row r="3030" ht="11.95" customHeight="1" s="79"/>
    <row r="3031" ht="11.95" customHeight="1" s="79"/>
    <row r="3032" ht="11.95" customHeight="1" s="79"/>
    <row r="3033" ht="11.95" customHeight="1" s="79"/>
    <row r="3034" ht="11.95" customHeight="1" s="79"/>
    <row r="3035" ht="11.95" customHeight="1" s="79"/>
    <row r="3036" ht="11.95" customHeight="1" s="79"/>
    <row r="3037" ht="11.95" customHeight="1" s="79"/>
    <row r="3038" ht="11.95" customHeight="1" s="79"/>
    <row r="3039" ht="11.95" customHeight="1" s="79"/>
    <row r="3040" ht="11.95" customHeight="1" s="79"/>
    <row r="3041" ht="11.95" customHeight="1" s="79"/>
    <row r="3042" ht="11.95" customHeight="1" s="79"/>
    <row r="3043" ht="11.95" customHeight="1" s="79"/>
    <row r="3044" ht="11.95" customHeight="1" s="79"/>
    <row r="3045" ht="11.95" customHeight="1" s="79"/>
    <row r="3046" ht="11.95" customHeight="1" s="79"/>
    <row r="3047" ht="11.95" customHeight="1" s="79"/>
    <row r="3048" ht="11.95" customHeight="1" s="79"/>
    <row r="3049" ht="11.95" customHeight="1" s="79"/>
    <row r="3050" ht="11.95" customHeight="1" s="79"/>
    <row r="3051" ht="11.95" customHeight="1" s="79"/>
    <row r="3052" ht="11.95" customHeight="1" s="79"/>
    <row r="3053" ht="11.95" customHeight="1" s="79"/>
    <row r="3054" ht="11.95" customHeight="1" s="79"/>
    <row r="3055" ht="11.95" customHeight="1" s="79"/>
    <row r="3056" ht="11.95" customHeight="1" s="79"/>
    <row r="3057" ht="11.95" customHeight="1" s="79"/>
    <row r="3058" ht="11.95" customHeight="1" s="79"/>
    <row r="3059" ht="11.95" customHeight="1" s="79"/>
    <row r="3060" ht="11.95" customHeight="1" s="79"/>
    <row r="3061" ht="11.95" customHeight="1" s="79"/>
    <row r="3062" ht="11.95" customHeight="1" s="79"/>
    <row r="3063" ht="11.95" customHeight="1" s="79"/>
    <row r="3064" ht="11.95" customHeight="1" s="79"/>
    <row r="3065" ht="11.95" customHeight="1" s="79"/>
    <row r="3066" ht="11.95" customHeight="1" s="79"/>
    <row r="3067" ht="11.95" customHeight="1" s="79"/>
    <row r="3068" ht="11.95" customHeight="1" s="79"/>
    <row r="3069" ht="11.95" customHeight="1" s="79"/>
    <row r="3070" ht="11.95" customHeight="1" s="79"/>
    <row r="3071" ht="11.95" customHeight="1" s="79"/>
    <row r="3072" ht="11.95" customHeight="1" s="79"/>
    <row r="3073" ht="11.95" customHeight="1" s="79"/>
    <row r="3074" ht="11.95" customHeight="1" s="79"/>
    <row r="3075" ht="11.95" customHeight="1" s="79"/>
    <row r="3076" ht="11.95" customHeight="1" s="79"/>
    <row r="3077" ht="11.95" customHeight="1" s="79"/>
    <row r="3078" ht="11.95" customHeight="1" s="79"/>
    <row r="3079" ht="11.95" customHeight="1" s="79"/>
    <row r="3080" ht="11.95" customHeight="1" s="79"/>
    <row r="3081" ht="11.95" customHeight="1" s="79"/>
    <row r="3082" ht="11.95" customHeight="1" s="79"/>
    <row r="3083" ht="11.95" customHeight="1" s="79"/>
    <row r="3084" ht="11.95" customHeight="1" s="79"/>
    <row r="3085" ht="11.95" customHeight="1" s="79"/>
    <row r="3086" ht="11.95" customHeight="1" s="79"/>
    <row r="3087" ht="11.95" customHeight="1" s="79"/>
    <row r="3088" ht="11.95" customHeight="1" s="79"/>
    <row r="3089" ht="11.95" customHeight="1" s="79"/>
    <row r="3090" ht="11.95" customHeight="1" s="79"/>
    <row r="3091" ht="11.95" customHeight="1" s="79"/>
    <row r="3092" ht="11.95" customHeight="1" s="79"/>
    <row r="3093" ht="11.95" customHeight="1" s="79"/>
    <row r="3094" ht="11.95" customHeight="1" s="79"/>
    <row r="3095" ht="11.95" customHeight="1" s="79"/>
    <row r="3096" ht="11.95" customHeight="1" s="79"/>
    <row r="3097" ht="11.95" customHeight="1" s="79"/>
    <row r="3098" ht="11.95" customHeight="1" s="79"/>
    <row r="3099" ht="11.95" customHeight="1" s="79"/>
    <row r="3100" ht="11.95" customHeight="1" s="79"/>
    <row r="3101" ht="11.95" customHeight="1" s="79"/>
    <row r="3102" ht="11.95" customHeight="1" s="79"/>
    <row r="3103" ht="11.95" customHeight="1" s="79"/>
    <row r="3104" ht="11.95" customHeight="1" s="79"/>
    <row r="3105" ht="11.95" customHeight="1" s="79"/>
    <row r="3106" ht="11.95" customHeight="1" s="79"/>
    <row r="3107" ht="11.95" customHeight="1" s="79"/>
    <row r="3108" ht="11.95" customHeight="1" s="79"/>
    <row r="3109" ht="11.95" customHeight="1" s="79"/>
    <row r="3110" ht="11.95" customHeight="1" s="79"/>
    <row r="3111" ht="11.95" customHeight="1" s="79"/>
    <row r="3112" ht="11.95" customHeight="1" s="79"/>
    <row r="3113" ht="11.95" customHeight="1" s="79"/>
    <row r="3114" ht="11.95" customHeight="1" s="79"/>
    <row r="3115" ht="11.95" customHeight="1" s="79"/>
    <row r="3116" ht="11.95" customHeight="1" s="79"/>
    <row r="3117" ht="11.95" customHeight="1" s="79"/>
    <row r="3118" ht="11.95" customHeight="1" s="79"/>
    <row r="3119" ht="11.95" customHeight="1" s="79"/>
    <row r="3120" ht="11.95" customHeight="1" s="79"/>
    <row r="3121" ht="11.95" customHeight="1" s="79"/>
    <row r="3122" ht="11.95" customHeight="1" s="79"/>
    <row r="3123" ht="11.95" customHeight="1" s="79"/>
    <row r="3124" ht="11.95" customHeight="1" s="79"/>
    <row r="3125" ht="11.95" customHeight="1" s="79"/>
    <row r="3126" ht="11.95" customHeight="1" s="79"/>
    <row r="3127" ht="11.95" customHeight="1" s="79"/>
    <row r="3128" ht="11.95" customHeight="1" s="79"/>
    <row r="3129" ht="11.95" customHeight="1" s="79"/>
    <row r="3130" ht="11.95" customHeight="1" s="79"/>
    <row r="3131" ht="11.95" customHeight="1" s="79"/>
    <row r="3132" ht="11.95" customHeight="1" s="79"/>
    <row r="3133" ht="11.95" customHeight="1" s="79"/>
    <row r="3134" ht="11.95" customHeight="1" s="79"/>
    <row r="3135" ht="11.95" customHeight="1" s="79"/>
    <row r="3136" ht="11.95" customHeight="1" s="79"/>
    <row r="3137" ht="11.95" customHeight="1" s="79"/>
    <row r="3138" ht="11.95" customHeight="1" s="79"/>
    <row r="3139" ht="11.95" customHeight="1" s="79"/>
    <row r="3140" ht="11.95" customHeight="1" s="79"/>
    <row r="3141" ht="11.95" customHeight="1" s="79"/>
    <row r="3142" ht="11.95" customHeight="1" s="79"/>
    <row r="3143" ht="11.95" customHeight="1" s="79"/>
    <row r="3144" ht="11.95" customHeight="1" s="79"/>
    <row r="3145" ht="11.95" customHeight="1" s="79"/>
    <row r="3146" ht="11.95" customHeight="1" s="79"/>
    <row r="3147" ht="11.95" customHeight="1" s="79"/>
    <row r="3148" ht="11.95" customHeight="1" s="79"/>
    <row r="3149" ht="11.95" customHeight="1" s="79"/>
    <row r="3150" ht="11.95" customHeight="1" s="79"/>
    <row r="3151" ht="11.95" customHeight="1" s="79"/>
    <row r="3152" ht="11.95" customHeight="1" s="79"/>
    <row r="3153" ht="11.95" customHeight="1" s="79"/>
    <row r="3154" ht="11.95" customHeight="1" s="79"/>
    <row r="3155" ht="11.95" customHeight="1" s="79"/>
    <row r="3156" ht="11.95" customHeight="1" s="79"/>
    <row r="3157" ht="11.95" customHeight="1" s="79"/>
    <row r="3158" ht="11.95" customHeight="1" s="79"/>
    <row r="3159" ht="11.95" customHeight="1" s="79"/>
    <row r="3160" ht="11.95" customHeight="1" s="79"/>
    <row r="3161" ht="11.95" customHeight="1" s="79"/>
    <row r="3162" ht="11.95" customHeight="1" s="79"/>
    <row r="3163" ht="11.95" customHeight="1" s="79"/>
    <row r="3164" ht="11.95" customHeight="1" s="79"/>
    <row r="3165" ht="11.95" customHeight="1" s="79"/>
    <row r="3166" ht="11.95" customHeight="1" s="79"/>
    <row r="3167" ht="11.95" customHeight="1" s="79"/>
    <row r="3168" ht="11.95" customHeight="1" s="79"/>
    <row r="3169" ht="11.95" customHeight="1" s="79"/>
    <row r="3170" ht="11.95" customHeight="1" s="79"/>
    <row r="3171" ht="11.95" customHeight="1" s="79"/>
    <row r="3172" ht="11.95" customHeight="1" s="79"/>
    <row r="3173" ht="11.95" customHeight="1" s="79"/>
    <row r="3174" ht="11.95" customHeight="1" s="79"/>
    <row r="3175" ht="11.95" customHeight="1" s="79"/>
    <row r="3176" ht="11.95" customHeight="1" s="79"/>
    <row r="3177" ht="11.95" customHeight="1" s="79"/>
    <row r="3178" ht="11.95" customHeight="1" s="79"/>
    <row r="3179" ht="11.95" customHeight="1" s="79"/>
    <row r="3180" ht="11.95" customHeight="1" s="79"/>
    <row r="3181" ht="11.95" customHeight="1" s="79"/>
    <row r="3182" ht="11.95" customHeight="1" s="79"/>
    <row r="3183" ht="11.95" customHeight="1" s="79"/>
    <row r="3184" ht="11.95" customHeight="1" s="79"/>
    <row r="3185" ht="11.95" customHeight="1" s="79"/>
    <row r="3186" ht="11.95" customHeight="1" s="79"/>
    <row r="3187" ht="11.95" customHeight="1" s="79"/>
    <row r="3188" ht="11.95" customHeight="1" s="79"/>
    <row r="3189" ht="11.95" customHeight="1" s="79"/>
    <row r="3190" ht="11.95" customHeight="1" s="79"/>
    <row r="3191" ht="11.95" customHeight="1" s="79"/>
    <row r="3192" ht="11.95" customHeight="1" s="79"/>
    <row r="3193" ht="11.95" customHeight="1" s="79"/>
    <row r="3194" ht="11.95" customHeight="1" s="79"/>
    <row r="3195" ht="11.95" customHeight="1" s="79"/>
    <row r="3196" ht="11.95" customHeight="1" s="79"/>
    <row r="3197" ht="11.95" customHeight="1" s="79"/>
    <row r="3198" ht="11.95" customHeight="1" s="79"/>
    <row r="3199" ht="11.95" customHeight="1" s="79"/>
    <row r="3200" ht="11.95" customHeight="1" s="79"/>
    <row r="3201" ht="11.95" customHeight="1" s="79"/>
    <row r="3202" ht="11.95" customHeight="1" s="79"/>
    <row r="3203" ht="11.95" customHeight="1" s="79"/>
    <row r="3204" ht="11.95" customHeight="1" s="79"/>
    <row r="3205" ht="11.95" customHeight="1" s="79"/>
    <row r="3206" ht="11.95" customHeight="1" s="79"/>
    <row r="3207" ht="11.95" customHeight="1" s="79"/>
    <row r="3208" ht="11.95" customHeight="1" s="79"/>
    <row r="3209" ht="11.95" customHeight="1" s="79"/>
    <row r="3210" ht="11.95" customHeight="1" s="79"/>
    <row r="3211" ht="11.95" customHeight="1" s="79"/>
    <row r="3212" ht="11.95" customHeight="1" s="79"/>
    <row r="3213" ht="11.95" customHeight="1" s="79"/>
    <row r="3214" ht="11.95" customHeight="1" s="79"/>
    <row r="3215" ht="11.95" customHeight="1" s="79"/>
    <row r="3216" ht="11.95" customHeight="1" s="79"/>
    <row r="3217" ht="11.95" customHeight="1" s="79"/>
    <row r="3218" ht="11.95" customHeight="1" s="79"/>
    <row r="3219" ht="11.95" customHeight="1" s="79"/>
    <row r="3220" ht="11.95" customHeight="1" s="79"/>
    <row r="3221" ht="11.95" customHeight="1" s="79"/>
    <row r="3222" ht="11.95" customHeight="1" s="79"/>
    <row r="3223" ht="11.95" customHeight="1" s="79"/>
    <row r="3224" ht="11.95" customHeight="1" s="79"/>
    <row r="3225" ht="11.95" customHeight="1" s="79"/>
    <row r="3226" ht="11.95" customHeight="1" s="79"/>
    <row r="3227" ht="11.95" customHeight="1" s="79"/>
    <row r="3228" ht="11.95" customHeight="1" s="79"/>
    <row r="3229" ht="11.95" customHeight="1" s="79"/>
    <row r="3230" ht="11.95" customHeight="1" s="79"/>
    <row r="3231" ht="11.95" customHeight="1" s="79"/>
    <row r="3232" ht="11.95" customHeight="1" s="79"/>
    <row r="3233" ht="11.95" customHeight="1" s="79"/>
    <row r="3234" ht="11.95" customHeight="1" s="79"/>
    <row r="3235" ht="11.95" customHeight="1" s="79"/>
    <row r="3236" ht="11.95" customHeight="1" s="79"/>
    <row r="3237" ht="11.95" customHeight="1" s="79"/>
    <row r="3238" ht="11.95" customHeight="1" s="79"/>
    <row r="3239" ht="11.95" customHeight="1" s="79"/>
    <row r="3240" ht="11.95" customHeight="1" s="79"/>
    <row r="3241" ht="11.95" customHeight="1" s="79"/>
    <row r="3242" ht="11.95" customHeight="1" s="79"/>
    <row r="3243" ht="11.95" customHeight="1" s="79"/>
    <row r="3244" ht="11.95" customHeight="1" s="79"/>
    <row r="3245" ht="11.95" customHeight="1" s="79"/>
    <row r="3246" ht="11.95" customHeight="1" s="79"/>
    <row r="3247" ht="11.95" customHeight="1" s="79"/>
    <row r="3248" ht="11.95" customHeight="1" s="79"/>
    <row r="3249" ht="11.95" customHeight="1" s="79"/>
    <row r="3250" ht="11.95" customHeight="1" s="79"/>
    <row r="3251" ht="11.95" customHeight="1" s="79"/>
    <row r="3252" ht="11.95" customHeight="1" s="79"/>
    <row r="3253" ht="11.95" customHeight="1" s="79"/>
    <row r="3254" ht="11.95" customHeight="1" s="79"/>
    <row r="3255" ht="11.95" customHeight="1" s="79"/>
    <row r="3256" ht="11.95" customHeight="1" s="79"/>
    <row r="3257" ht="11.95" customHeight="1" s="79"/>
    <row r="3258" ht="11.95" customHeight="1" s="79"/>
    <row r="3259" ht="11.95" customHeight="1" s="79"/>
    <row r="3260" ht="11.95" customHeight="1" s="79"/>
    <row r="3261" ht="11.95" customHeight="1" s="79"/>
    <row r="3262" ht="11.95" customHeight="1" s="79"/>
    <row r="3263" ht="11.95" customHeight="1" s="79"/>
    <row r="3264" ht="11.95" customHeight="1" s="79"/>
    <row r="3265" ht="11.95" customHeight="1" s="79"/>
    <row r="3266" ht="11.95" customHeight="1" s="79"/>
    <row r="3267" ht="11.95" customHeight="1" s="79"/>
    <row r="3268" ht="11.95" customHeight="1" s="79"/>
    <row r="3269" ht="11.95" customHeight="1" s="79"/>
    <row r="3270" ht="11.95" customHeight="1" s="79"/>
    <row r="3271" ht="11.95" customHeight="1" s="79"/>
    <row r="3272" ht="11.95" customHeight="1" s="79"/>
    <row r="3273" ht="11.95" customHeight="1" s="79"/>
    <row r="3274" ht="11.95" customHeight="1" s="79"/>
    <row r="3275" ht="11.95" customHeight="1" s="79"/>
    <row r="3276" ht="11.95" customHeight="1" s="79"/>
    <row r="3277" ht="11.95" customHeight="1" s="79"/>
    <row r="3278" ht="11.95" customHeight="1" s="79"/>
    <row r="3279" ht="11.95" customHeight="1" s="79"/>
    <row r="3280" ht="11.95" customHeight="1" s="79"/>
    <row r="3281" ht="11.95" customHeight="1" s="79"/>
    <row r="3282" ht="11.95" customHeight="1" s="79"/>
    <row r="3283" ht="11.95" customHeight="1" s="79"/>
    <row r="3284" ht="11.95" customHeight="1" s="79"/>
    <row r="3285" ht="11.95" customHeight="1" s="79"/>
    <row r="3286" ht="11.95" customHeight="1" s="79"/>
    <row r="3287" ht="11.95" customHeight="1" s="79"/>
    <row r="3288" ht="11.95" customHeight="1" s="79"/>
    <row r="3289" ht="11.95" customHeight="1" s="79"/>
    <row r="3290" ht="11.95" customHeight="1" s="79"/>
    <row r="3291" ht="11.95" customHeight="1" s="79"/>
    <row r="3292" ht="11.95" customHeight="1" s="79"/>
    <row r="3293" ht="11.95" customHeight="1" s="79"/>
    <row r="3294" ht="11.95" customHeight="1" s="79"/>
    <row r="3295" ht="11.95" customHeight="1" s="79"/>
    <row r="3296" ht="11.95" customHeight="1" s="79"/>
    <row r="3297" ht="11.95" customHeight="1" s="79"/>
    <row r="3298" ht="11.95" customHeight="1" s="79"/>
    <row r="3299" ht="11.95" customHeight="1" s="79"/>
    <row r="3300" ht="11.95" customHeight="1" s="79"/>
    <row r="3301" ht="11.95" customHeight="1" s="79"/>
    <row r="3302" ht="11.95" customHeight="1" s="79"/>
    <row r="3303" ht="11.95" customHeight="1" s="79"/>
    <row r="3304" ht="11.95" customHeight="1" s="79"/>
    <row r="3305" ht="11.95" customHeight="1" s="79"/>
    <row r="3306" ht="11.95" customHeight="1" s="79"/>
    <row r="3307" ht="11.95" customHeight="1" s="79"/>
    <row r="3308" ht="11.95" customHeight="1" s="79"/>
    <row r="3309" ht="11.95" customHeight="1" s="79"/>
    <row r="3310" ht="11.95" customHeight="1" s="79"/>
    <row r="3311" ht="11.95" customHeight="1" s="79"/>
    <row r="3312" ht="11.95" customHeight="1" s="79"/>
    <row r="3313" ht="11.95" customHeight="1" s="79"/>
    <row r="3314" ht="11.95" customHeight="1" s="79"/>
    <row r="3315" ht="11.95" customHeight="1" s="79"/>
    <row r="3316" ht="11.95" customHeight="1" s="79"/>
    <row r="3317" ht="11.95" customHeight="1" s="79"/>
    <row r="3318" ht="11.95" customHeight="1" s="79"/>
    <row r="3319" ht="11.95" customHeight="1" s="79"/>
    <row r="3320" ht="11.95" customHeight="1" s="79"/>
    <row r="3321" ht="11.95" customHeight="1" s="79"/>
    <row r="3322" ht="11.95" customHeight="1" s="79"/>
    <row r="3323" ht="11.95" customHeight="1" s="79"/>
    <row r="3324" ht="11.95" customHeight="1" s="79"/>
    <row r="3325" ht="11.95" customHeight="1" s="79"/>
    <row r="3326" ht="11.95" customHeight="1" s="79"/>
    <row r="3327" ht="11.95" customHeight="1" s="79"/>
    <row r="3328" ht="11.95" customHeight="1" s="79"/>
    <row r="3329" ht="11.95" customHeight="1" s="79"/>
    <row r="3330" ht="11.95" customHeight="1" s="79"/>
    <row r="3331" ht="11.95" customHeight="1" s="79"/>
    <row r="3332" ht="11.95" customHeight="1" s="79"/>
    <row r="3333" ht="11.95" customHeight="1" s="79"/>
    <row r="3334" ht="11.95" customHeight="1" s="79"/>
    <row r="3335" ht="11.95" customHeight="1" s="79"/>
    <row r="3336" ht="11.95" customHeight="1" s="79"/>
    <row r="3337" ht="11.95" customHeight="1" s="79"/>
    <row r="3338" ht="11.95" customHeight="1" s="79"/>
    <row r="3339" ht="11.95" customHeight="1" s="79"/>
    <row r="3340" ht="11.95" customHeight="1" s="79"/>
    <row r="3341" ht="11.95" customHeight="1" s="79"/>
    <row r="3342" ht="11.95" customHeight="1" s="79"/>
    <row r="3343" ht="11.95" customHeight="1" s="79"/>
    <row r="3344" ht="11.95" customHeight="1" s="79"/>
    <row r="3345" ht="11.95" customHeight="1" s="79"/>
    <row r="3346" ht="11.95" customHeight="1" s="79"/>
    <row r="3347" ht="11.95" customHeight="1" s="79"/>
    <row r="3348" ht="11.95" customHeight="1" s="79"/>
    <row r="3349" ht="11.95" customHeight="1" s="79"/>
    <row r="3350" ht="11.95" customHeight="1" s="79"/>
    <row r="3351" ht="11.95" customHeight="1" s="79"/>
    <row r="3352" ht="11.95" customHeight="1" s="79"/>
    <row r="3353" ht="11.95" customHeight="1" s="79"/>
    <row r="3354" ht="11.95" customHeight="1" s="79"/>
    <row r="3355" ht="11.95" customHeight="1" s="79"/>
    <row r="3356" ht="11.95" customHeight="1" s="79"/>
    <row r="3357" ht="11.95" customHeight="1" s="79"/>
    <row r="3358" ht="11.95" customHeight="1" s="79"/>
    <row r="3359" ht="11.95" customHeight="1" s="79"/>
    <row r="3360" ht="11.95" customHeight="1" s="79"/>
    <row r="3361" ht="11.95" customHeight="1" s="79"/>
    <row r="3362" ht="11.95" customHeight="1" s="79"/>
    <row r="3363" ht="11.95" customHeight="1" s="79"/>
    <row r="3364" ht="11.95" customHeight="1" s="79"/>
    <row r="3365" ht="11.95" customHeight="1" s="79"/>
    <row r="3366" ht="11.95" customHeight="1" s="79"/>
    <row r="3367" ht="11.95" customHeight="1" s="79"/>
    <row r="3368" ht="11.95" customHeight="1" s="79"/>
    <row r="3369" ht="11.95" customHeight="1" s="79"/>
    <row r="3370" ht="11.95" customHeight="1" s="79"/>
    <row r="3371" ht="11.95" customHeight="1" s="79"/>
    <row r="3372" ht="11.95" customHeight="1" s="79"/>
    <row r="3373" ht="11.95" customHeight="1" s="79"/>
    <row r="3374" ht="11.95" customHeight="1" s="79"/>
    <row r="3375" ht="11.95" customHeight="1" s="79"/>
    <row r="3376" ht="11.95" customHeight="1" s="79"/>
    <row r="3377" ht="11.95" customHeight="1" s="79"/>
    <row r="3378" ht="11.95" customHeight="1" s="79"/>
    <row r="3379" ht="11.95" customHeight="1" s="79"/>
    <row r="3380" ht="11.95" customHeight="1" s="79"/>
    <row r="3381" ht="11.95" customHeight="1" s="79"/>
    <row r="3382" ht="11.95" customHeight="1" s="79"/>
    <row r="3383" ht="11.95" customHeight="1" s="79"/>
    <row r="3384" ht="11.95" customHeight="1" s="79"/>
    <row r="3385" ht="11.95" customHeight="1" s="79"/>
    <row r="3386" ht="11.95" customHeight="1" s="79"/>
    <row r="3387" ht="11.95" customHeight="1" s="79"/>
    <row r="3388" ht="11.95" customHeight="1" s="79"/>
    <row r="3389" ht="11.95" customHeight="1" s="79"/>
    <row r="3390" ht="11.95" customHeight="1" s="79"/>
    <row r="3391" ht="11.95" customHeight="1" s="79"/>
    <row r="3392" ht="11.95" customHeight="1" s="79"/>
    <row r="3393" ht="11.95" customHeight="1" s="79"/>
    <row r="3394" ht="11.95" customHeight="1" s="79"/>
    <row r="3395" ht="11.95" customHeight="1" s="79"/>
    <row r="3396" ht="11.95" customHeight="1" s="79"/>
    <row r="3397" ht="11.95" customHeight="1" s="79"/>
    <row r="3398" ht="11.95" customHeight="1" s="79"/>
    <row r="3399" ht="11.95" customHeight="1" s="79"/>
    <row r="3400" ht="11.95" customHeight="1" s="79"/>
    <row r="3401" ht="11.95" customHeight="1" s="79"/>
    <row r="3402" ht="11.95" customHeight="1" s="79"/>
    <row r="3403" ht="11.95" customHeight="1" s="79"/>
    <row r="3404" ht="11.95" customHeight="1" s="79"/>
    <row r="3405" ht="11.95" customHeight="1" s="79"/>
    <row r="3406" ht="11.95" customHeight="1" s="79"/>
    <row r="3407" ht="11.95" customHeight="1" s="79"/>
    <row r="3408" ht="11.95" customHeight="1" s="79"/>
    <row r="3409" ht="11.95" customHeight="1" s="79"/>
    <row r="3410" ht="11.95" customHeight="1" s="79"/>
    <row r="3411" ht="11.95" customHeight="1" s="79"/>
    <row r="3412" ht="11.95" customHeight="1" s="79"/>
    <row r="3413" ht="11.95" customHeight="1" s="79"/>
    <row r="3414" ht="11.95" customHeight="1" s="79"/>
    <row r="3415" ht="11.95" customHeight="1" s="79"/>
    <row r="3416" ht="11.95" customHeight="1" s="79"/>
    <row r="3417" ht="11.95" customHeight="1" s="79"/>
    <row r="3418" ht="11.95" customHeight="1" s="79"/>
    <row r="3419" ht="11.95" customHeight="1" s="79"/>
    <row r="3420" ht="11.95" customHeight="1" s="79"/>
    <row r="3421" ht="11.95" customHeight="1" s="79"/>
    <row r="3422" ht="11.95" customHeight="1" s="79"/>
    <row r="3423" ht="11.95" customHeight="1" s="79"/>
    <row r="3424" ht="11.95" customHeight="1" s="79"/>
    <row r="3425" ht="11.95" customHeight="1" s="79"/>
    <row r="3426" ht="11.95" customHeight="1" s="79"/>
    <row r="3427" ht="11.95" customHeight="1" s="79"/>
    <row r="3428" ht="11.95" customHeight="1" s="79"/>
    <row r="3429" ht="11.95" customHeight="1" s="79"/>
    <row r="3430" ht="11.95" customHeight="1" s="79"/>
    <row r="3431" ht="11.95" customHeight="1" s="79"/>
    <row r="3432" ht="11.95" customHeight="1" s="79"/>
    <row r="3433" ht="11.95" customHeight="1" s="79"/>
    <row r="3434" ht="11.95" customHeight="1" s="79"/>
    <row r="3435" ht="11.95" customHeight="1" s="79"/>
    <row r="3436" ht="11.95" customHeight="1" s="79"/>
    <row r="3437" ht="11.95" customHeight="1" s="79"/>
    <row r="3438" ht="11.95" customHeight="1" s="79"/>
    <row r="3439" ht="11.95" customHeight="1" s="79"/>
    <row r="3440" ht="11.95" customHeight="1" s="79"/>
    <row r="3441" ht="11.95" customHeight="1" s="79"/>
    <row r="3442" ht="11.95" customHeight="1" s="79"/>
    <row r="3443" ht="11.95" customHeight="1" s="79"/>
    <row r="3444" ht="11.95" customHeight="1" s="79"/>
    <row r="3445" ht="11.95" customHeight="1" s="79"/>
    <row r="3446" ht="11.95" customHeight="1" s="79"/>
    <row r="3447" ht="11.95" customHeight="1" s="79"/>
    <row r="3448" ht="11.95" customHeight="1" s="79"/>
    <row r="3449" ht="11.95" customHeight="1" s="79"/>
    <row r="3450" ht="11.95" customHeight="1" s="79"/>
    <row r="3451" ht="11.95" customHeight="1" s="79"/>
    <row r="3452" ht="11.95" customHeight="1" s="79"/>
    <row r="3453" ht="11.95" customHeight="1" s="79"/>
    <row r="3454" ht="11.95" customHeight="1" s="79"/>
    <row r="3455" ht="11.95" customHeight="1" s="79"/>
    <row r="3456" ht="11.95" customHeight="1" s="79"/>
    <row r="3457" ht="11.95" customHeight="1" s="79"/>
    <row r="3458" ht="11.95" customHeight="1" s="79"/>
    <row r="3459" ht="11.95" customHeight="1" s="79"/>
    <row r="3460" ht="11.95" customHeight="1" s="79"/>
    <row r="3461" ht="11.95" customHeight="1" s="79"/>
    <row r="3462" ht="11.95" customHeight="1" s="79"/>
    <row r="3463" ht="11.95" customHeight="1" s="79"/>
    <row r="3464" ht="11.95" customHeight="1" s="79"/>
    <row r="3465" ht="11.95" customHeight="1" s="79"/>
    <row r="3466" ht="11.95" customHeight="1" s="79"/>
    <row r="3467" ht="11.95" customHeight="1" s="79"/>
    <row r="3468" ht="11.95" customHeight="1" s="79"/>
    <row r="3469" ht="11.95" customHeight="1" s="79"/>
    <row r="3470" ht="11.95" customHeight="1" s="79"/>
    <row r="3471" ht="11.95" customHeight="1" s="79"/>
    <row r="3472" ht="11.95" customHeight="1" s="79"/>
    <row r="3473" ht="11.95" customHeight="1" s="79"/>
    <row r="3474" ht="11.95" customHeight="1" s="79"/>
    <row r="3475" ht="11.95" customHeight="1" s="79"/>
    <row r="3476" ht="11.95" customHeight="1" s="79"/>
    <row r="3477" ht="11.95" customHeight="1" s="79"/>
    <row r="3478" ht="11.95" customHeight="1" s="79"/>
    <row r="3479" ht="11.95" customHeight="1" s="79"/>
    <row r="3480" ht="11.95" customHeight="1" s="79"/>
    <row r="3481" ht="11.95" customHeight="1" s="79"/>
    <row r="3482" ht="11.95" customHeight="1" s="79"/>
    <row r="3483" ht="11.95" customHeight="1" s="79"/>
    <row r="3484" ht="11.95" customHeight="1" s="79"/>
    <row r="3485" ht="11.95" customHeight="1" s="79"/>
    <row r="3486" ht="11.95" customHeight="1" s="79"/>
    <row r="3487" ht="11.95" customHeight="1" s="79"/>
    <row r="3488" ht="11.95" customHeight="1" s="79"/>
    <row r="3489" ht="11.95" customHeight="1" s="79"/>
    <row r="3490" ht="11.95" customHeight="1" s="79"/>
    <row r="3491" ht="11.95" customHeight="1" s="79"/>
    <row r="3492" ht="11.95" customHeight="1" s="79"/>
    <row r="3493" ht="11.95" customHeight="1" s="79"/>
    <row r="3494" ht="11.95" customHeight="1" s="79"/>
    <row r="3495" ht="11.95" customHeight="1" s="79"/>
    <row r="3496" ht="11.95" customHeight="1" s="79"/>
    <row r="3497" ht="11.95" customHeight="1" s="79"/>
    <row r="3498" ht="11.95" customHeight="1" s="79"/>
    <row r="3499" ht="11.95" customHeight="1" s="79"/>
    <row r="3500" ht="11.95" customHeight="1" s="79"/>
    <row r="3501" ht="11.95" customHeight="1" s="79"/>
    <row r="3502" ht="11.95" customHeight="1" s="79"/>
    <row r="3503" ht="11.95" customHeight="1" s="79"/>
    <row r="3504" ht="11.95" customHeight="1" s="79"/>
    <row r="3505" ht="11.95" customHeight="1" s="79"/>
    <row r="3506" ht="11.95" customHeight="1" s="79"/>
    <row r="3507" ht="11.95" customHeight="1" s="79"/>
    <row r="3508" ht="11.95" customHeight="1" s="79"/>
    <row r="3509" ht="11.95" customHeight="1" s="79"/>
    <row r="3510" ht="11.95" customHeight="1" s="79"/>
    <row r="3511" ht="11.95" customHeight="1" s="79"/>
    <row r="3512" ht="11.95" customHeight="1" s="79"/>
    <row r="3513" ht="11.95" customHeight="1" s="79"/>
    <row r="3514" ht="11.95" customHeight="1" s="79"/>
    <row r="3515" ht="11.95" customHeight="1" s="79"/>
    <row r="3516" ht="11.95" customHeight="1" s="79"/>
    <row r="3517" ht="11.95" customHeight="1" s="79"/>
    <row r="3518" ht="11.95" customHeight="1" s="79"/>
    <row r="3519" ht="11.95" customHeight="1" s="79"/>
    <row r="3520" ht="11.95" customHeight="1" s="79"/>
    <row r="3521" ht="11.95" customHeight="1" s="79"/>
    <row r="3522" ht="11.95" customHeight="1" s="79"/>
    <row r="3523" ht="11.95" customHeight="1" s="79"/>
    <row r="3524" ht="11.95" customHeight="1" s="79"/>
    <row r="3525" ht="11.95" customHeight="1" s="79"/>
    <row r="3526" ht="11.95" customHeight="1" s="79"/>
    <row r="3527" ht="11.95" customHeight="1" s="79"/>
    <row r="3528" ht="11.95" customHeight="1" s="79"/>
    <row r="3529" ht="11.95" customHeight="1" s="79"/>
    <row r="3530" ht="11.95" customHeight="1" s="79"/>
    <row r="3531" ht="11.95" customHeight="1" s="79"/>
    <row r="3532" ht="11.95" customHeight="1" s="79"/>
    <row r="3533" ht="11.95" customHeight="1" s="79"/>
    <row r="3534" ht="11.95" customHeight="1" s="79"/>
    <row r="3535" ht="11.95" customHeight="1" s="79"/>
    <row r="3536" ht="11.95" customHeight="1" s="79"/>
    <row r="3537" ht="11.95" customHeight="1" s="79"/>
    <row r="3538" ht="11.95" customHeight="1" s="79"/>
    <row r="3539" ht="11.95" customHeight="1" s="79"/>
    <row r="3540" ht="11.95" customHeight="1" s="79"/>
    <row r="3541" ht="11.95" customHeight="1" s="79"/>
    <row r="3542" ht="11.95" customHeight="1" s="79"/>
    <row r="3543" ht="11.95" customHeight="1" s="79"/>
    <row r="3544" ht="11.95" customHeight="1" s="79"/>
    <row r="3545" ht="11.95" customHeight="1" s="79"/>
    <row r="3546" ht="11.95" customHeight="1" s="79"/>
    <row r="3547" ht="11.95" customHeight="1" s="79"/>
    <row r="3548" ht="11.95" customHeight="1" s="79"/>
    <row r="3549" ht="11.95" customHeight="1" s="79"/>
    <row r="3550" ht="11.95" customHeight="1" s="79"/>
    <row r="3551" ht="11.95" customHeight="1" s="79"/>
    <row r="3552" ht="11.95" customHeight="1" s="79"/>
    <row r="3553" ht="11.95" customHeight="1" s="79"/>
    <row r="3554" ht="11.95" customHeight="1" s="79"/>
    <row r="3555" ht="11.95" customHeight="1" s="79"/>
    <row r="3556" ht="11.95" customHeight="1" s="79"/>
    <row r="3557" ht="11.95" customHeight="1" s="79"/>
    <row r="3558" ht="11.95" customHeight="1" s="79"/>
    <row r="3559" ht="11.95" customHeight="1" s="79"/>
    <row r="3560" ht="11.95" customHeight="1" s="79"/>
    <row r="3561" ht="11.95" customHeight="1" s="79"/>
    <row r="3562" ht="11.95" customHeight="1" s="79"/>
    <row r="3563" ht="11.95" customHeight="1" s="79"/>
    <row r="3564" ht="11.95" customHeight="1" s="79"/>
    <row r="3565" ht="11.95" customHeight="1" s="79"/>
    <row r="3566" ht="11.95" customHeight="1" s="79"/>
    <row r="3567" ht="11.95" customHeight="1" s="79"/>
    <row r="3568" ht="11.95" customHeight="1" s="79"/>
    <row r="3569" ht="11.95" customHeight="1" s="79"/>
    <row r="3570" ht="11.95" customHeight="1" s="79"/>
    <row r="3571" ht="11.95" customHeight="1" s="79"/>
    <row r="3572" ht="11.95" customHeight="1" s="79"/>
    <row r="3573" ht="11.95" customHeight="1" s="79"/>
    <row r="3574" ht="11.95" customHeight="1" s="79"/>
    <row r="3575" ht="11.95" customHeight="1" s="79"/>
    <row r="3576" ht="11.95" customHeight="1" s="79"/>
    <row r="3577" ht="11.95" customHeight="1" s="79"/>
    <row r="3578" ht="11.95" customHeight="1" s="79"/>
    <row r="3579" ht="11.95" customHeight="1" s="79"/>
    <row r="3580" ht="11.95" customHeight="1" s="79"/>
    <row r="3581" ht="11.95" customHeight="1" s="79"/>
    <row r="3582" ht="11.95" customHeight="1" s="79"/>
    <row r="3583" ht="11.95" customHeight="1" s="79"/>
    <row r="3584" ht="11.95" customHeight="1" s="79"/>
    <row r="3585" ht="11.95" customHeight="1" s="79"/>
    <row r="3586" ht="11.95" customHeight="1" s="79"/>
    <row r="3587" ht="11.95" customHeight="1" s="79"/>
    <row r="3588" ht="11.95" customHeight="1" s="79"/>
    <row r="3589" ht="11.95" customHeight="1" s="79"/>
    <row r="3590" ht="11.95" customHeight="1" s="79"/>
    <row r="3591" ht="11.95" customHeight="1" s="79"/>
    <row r="3592" ht="11.95" customHeight="1" s="79"/>
    <row r="3593" ht="11.95" customHeight="1" s="79"/>
    <row r="3594" ht="11.95" customHeight="1" s="79"/>
    <row r="3595" ht="11.95" customHeight="1" s="79"/>
    <row r="3596" ht="11.95" customHeight="1" s="79"/>
    <row r="3597" ht="11.95" customHeight="1" s="79"/>
    <row r="3598" ht="11.95" customHeight="1" s="79"/>
    <row r="3599" ht="11.95" customHeight="1" s="79"/>
    <row r="3600" ht="11.95" customHeight="1" s="79"/>
    <row r="3601" ht="11.95" customHeight="1" s="79"/>
    <row r="3602" ht="11.95" customHeight="1" s="79"/>
    <row r="3603" ht="11.95" customHeight="1" s="79"/>
    <row r="3604" ht="11.95" customHeight="1" s="79"/>
    <row r="3605" ht="11.95" customHeight="1" s="79"/>
    <row r="3606" ht="11.95" customHeight="1" s="79"/>
    <row r="3607" ht="11.95" customHeight="1" s="79"/>
    <row r="3608" ht="11.95" customHeight="1" s="79"/>
    <row r="3609" ht="11.95" customHeight="1" s="79"/>
    <row r="3610" ht="11.95" customHeight="1" s="79"/>
    <row r="3611" ht="11.95" customHeight="1" s="79"/>
    <row r="3612" ht="11.95" customHeight="1" s="79"/>
    <row r="3613" ht="11.95" customHeight="1" s="79"/>
    <row r="3614" ht="11.95" customHeight="1" s="79"/>
    <row r="3615" ht="11.95" customHeight="1" s="79"/>
    <row r="3616" ht="11.95" customHeight="1" s="79"/>
    <row r="3617" ht="11.95" customHeight="1" s="79"/>
    <row r="3618" ht="11.95" customHeight="1" s="79"/>
    <row r="3619" ht="11.95" customHeight="1" s="79"/>
    <row r="3620" ht="11.95" customHeight="1" s="79"/>
    <row r="3621" ht="11.95" customHeight="1" s="79"/>
    <row r="3622" ht="11.95" customHeight="1" s="79"/>
    <row r="3623" ht="11.95" customHeight="1" s="79"/>
    <row r="3624" ht="11.95" customHeight="1" s="79"/>
    <row r="3625" ht="11.95" customHeight="1" s="79"/>
    <row r="3626" ht="11.95" customHeight="1" s="79"/>
    <row r="3627" ht="11.95" customHeight="1" s="79"/>
    <row r="3628" ht="11.95" customHeight="1" s="79"/>
    <row r="3629" ht="11.95" customHeight="1" s="79"/>
    <row r="3630" ht="11.95" customHeight="1" s="79"/>
    <row r="3631" ht="11.95" customHeight="1" s="79"/>
    <row r="3632" ht="11.95" customHeight="1" s="79"/>
    <row r="3633" ht="11.95" customHeight="1" s="79"/>
    <row r="3634" ht="11.95" customHeight="1" s="79"/>
    <row r="3635" ht="11.95" customHeight="1" s="79"/>
    <row r="3636" ht="11.95" customHeight="1" s="79"/>
    <row r="3637" ht="11.95" customHeight="1" s="79"/>
    <row r="3638" ht="11.95" customHeight="1" s="79"/>
    <row r="3639" ht="11.95" customHeight="1" s="79"/>
    <row r="3640" ht="11.95" customHeight="1" s="79"/>
    <row r="3641" ht="11.95" customHeight="1" s="79"/>
    <row r="3642" ht="11.95" customHeight="1" s="79"/>
    <row r="3643" ht="11.95" customHeight="1" s="79"/>
    <row r="3644" ht="11.95" customHeight="1" s="79"/>
    <row r="3645" ht="11.95" customHeight="1" s="79"/>
    <row r="3646" ht="11.95" customHeight="1" s="79"/>
    <row r="3647" ht="11.95" customHeight="1" s="79"/>
    <row r="3648" ht="11.95" customHeight="1" s="79"/>
    <row r="3649" ht="11.95" customHeight="1" s="79"/>
    <row r="3650" ht="11.95" customHeight="1" s="79"/>
    <row r="3651" ht="11.95" customHeight="1" s="79"/>
    <row r="3652" ht="11.95" customHeight="1" s="79"/>
    <row r="3653" ht="11.95" customHeight="1" s="79"/>
    <row r="3654" ht="11.95" customHeight="1" s="79"/>
    <row r="3655" ht="11.95" customHeight="1" s="79"/>
    <row r="3656" ht="11.95" customHeight="1" s="79"/>
    <row r="3657" ht="11.95" customHeight="1" s="79"/>
    <row r="3658" ht="11.95" customHeight="1" s="79"/>
    <row r="3659" ht="11.95" customHeight="1" s="79"/>
    <row r="3660" ht="11.95" customHeight="1" s="79"/>
    <row r="3661" ht="11.95" customHeight="1" s="79"/>
    <row r="3662" ht="11.95" customHeight="1" s="79"/>
    <row r="3663" ht="11.95" customHeight="1" s="79"/>
    <row r="3664" ht="11.95" customHeight="1" s="79"/>
    <row r="3665" ht="11.95" customHeight="1" s="79"/>
    <row r="3666" ht="11.95" customHeight="1" s="79"/>
    <row r="3667" ht="11.95" customHeight="1" s="79"/>
    <row r="3668" ht="11.95" customHeight="1" s="79"/>
    <row r="3669" ht="11.95" customHeight="1" s="79"/>
    <row r="3670" ht="11.95" customHeight="1" s="79"/>
    <row r="3671" ht="11.95" customHeight="1" s="79"/>
    <row r="3672" ht="11.95" customHeight="1" s="79"/>
    <row r="3673" ht="11.95" customHeight="1" s="79"/>
    <row r="3674" ht="11.95" customHeight="1" s="79"/>
    <row r="3675" ht="11.95" customHeight="1" s="79"/>
    <row r="3676" ht="11.95" customHeight="1" s="79"/>
    <row r="3677" ht="11.95" customHeight="1" s="79"/>
    <row r="3678" ht="11.95" customHeight="1" s="79"/>
    <row r="3679" ht="11.95" customHeight="1" s="79"/>
    <row r="3680" ht="11.95" customHeight="1" s="79"/>
    <row r="3681" ht="11.95" customHeight="1" s="79"/>
    <row r="3682" ht="11.95" customHeight="1" s="79"/>
    <row r="3683" ht="11.95" customHeight="1" s="79"/>
    <row r="3684" ht="11.95" customHeight="1" s="79"/>
    <row r="3685" ht="11.95" customHeight="1" s="79"/>
    <row r="3686" ht="11.95" customHeight="1" s="79"/>
    <row r="3687" ht="11.95" customHeight="1" s="79"/>
    <row r="3688" ht="11.95" customHeight="1" s="79"/>
    <row r="3689" ht="11.95" customHeight="1" s="79"/>
    <row r="3690" ht="11.95" customHeight="1" s="79"/>
    <row r="3691" ht="11.95" customHeight="1" s="79"/>
    <row r="3692" ht="11.95" customHeight="1" s="79"/>
    <row r="3693" ht="11.95" customHeight="1" s="79"/>
    <row r="3694" ht="11.95" customHeight="1" s="79"/>
    <row r="3695" ht="11.95" customHeight="1" s="79"/>
    <row r="3696" ht="11.95" customHeight="1" s="79"/>
    <row r="3697" ht="11.95" customHeight="1" s="79"/>
    <row r="3698" ht="11.95" customHeight="1" s="79"/>
    <row r="3699" ht="11.95" customHeight="1" s="79"/>
    <row r="3700" ht="11.95" customHeight="1" s="79"/>
    <row r="3701" ht="11.95" customHeight="1" s="79"/>
    <row r="3702" ht="11.95" customHeight="1" s="79"/>
    <row r="3703" ht="11.95" customHeight="1" s="79"/>
    <row r="3704" ht="11.95" customHeight="1" s="79"/>
    <row r="3705" ht="11.95" customHeight="1" s="79"/>
    <row r="3706" ht="11.95" customHeight="1" s="79"/>
    <row r="3707" ht="11.95" customHeight="1" s="79"/>
    <row r="3708" ht="11.95" customHeight="1" s="79"/>
    <row r="3709" ht="11.95" customHeight="1" s="79"/>
    <row r="3710" ht="11.95" customHeight="1" s="79"/>
    <row r="3711" ht="11.95" customHeight="1" s="79"/>
    <row r="3712" ht="11.95" customHeight="1" s="79"/>
    <row r="3713" ht="11.95" customHeight="1" s="79"/>
    <row r="3714" ht="11.95" customHeight="1" s="79"/>
    <row r="3715" ht="11.95" customHeight="1" s="79"/>
    <row r="3716" ht="11.95" customHeight="1" s="79"/>
    <row r="3717" ht="11.95" customHeight="1" s="79"/>
    <row r="3718" ht="11.95" customHeight="1" s="79"/>
    <row r="3719" ht="11.95" customHeight="1" s="79"/>
    <row r="3720" ht="11.95" customHeight="1" s="79"/>
    <row r="3721" ht="11.95" customHeight="1" s="79"/>
    <row r="3722" ht="11.95" customHeight="1" s="79"/>
    <row r="3723" ht="11.95" customHeight="1" s="79"/>
    <row r="3724" ht="11.95" customHeight="1" s="79"/>
    <row r="3725" ht="11.95" customHeight="1" s="79"/>
    <row r="3726" ht="11.95" customHeight="1" s="79"/>
    <row r="3727" ht="11.95" customHeight="1" s="79"/>
    <row r="3728" ht="11.95" customHeight="1" s="79"/>
    <row r="3729" ht="11.95" customHeight="1" s="79"/>
    <row r="3730" ht="11.95" customHeight="1" s="79"/>
    <row r="3731" ht="11.95" customHeight="1" s="79"/>
    <row r="3732" ht="11.95" customHeight="1" s="79"/>
    <row r="3733" ht="11.95" customHeight="1" s="79"/>
    <row r="3734" ht="11.95" customHeight="1" s="79"/>
    <row r="3735" ht="11.95" customHeight="1" s="79"/>
    <row r="3736" ht="11.95" customHeight="1" s="79"/>
    <row r="3737" ht="11.95" customHeight="1" s="79"/>
    <row r="3738" ht="11.95" customHeight="1" s="79"/>
    <row r="3739" ht="11.95" customHeight="1" s="79"/>
    <row r="3740" ht="11.95" customHeight="1" s="79"/>
    <row r="3741" ht="11.95" customHeight="1" s="79"/>
    <row r="3742" ht="11.95" customHeight="1" s="79"/>
    <row r="3743" ht="11.95" customHeight="1" s="79"/>
    <row r="3744" ht="11.95" customHeight="1" s="79"/>
    <row r="3745" ht="11.95" customHeight="1" s="79"/>
    <row r="3746" ht="11.95" customHeight="1" s="79"/>
    <row r="3747" ht="11.95" customHeight="1" s="79"/>
    <row r="3748" ht="11.95" customHeight="1" s="79"/>
    <row r="3749" ht="11.95" customHeight="1" s="79"/>
    <row r="3750" ht="11.95" customHeight="1" s="79"/>
    <row r="3751" ht="11.95" customHeight="1" s="79"/>
    <row r="3752" ht="11.95" customHeight="1" s="79"/>
    <row r="3753" ht="11.95" customHeight="1" s="79"/>
    <row r="3754" ht="11.95" customHeight="1" s="79"/>
    <row r="3755" ht="11.95" customHeight="1" s="79"/>
    <row r="3756" ht="11.95" customHeight="1" s="79"/>
    <row r="3757" ht="11.95" customHeight="1" s="79"/>
    <row r="3758" ht="11.95" customHeight="1" s="79"/>
    <row r="3759" ht="11.95" customHeight="1" s="79"/>
    <row r="3760" ht="11.95" customHeight="1" s="79"/>
    <row r="3761" ht="11.95" customHeight="1" s="79"/>
    <row r="3762" ht="11.95" customHeight="1" s="79"/>
    <row r="3763" ht="11.95" customHeight="1" s="79"/>
    <row r="3764" ht="11.95" customHeight="1" s="79"/>
    <row r="3765" ht="11.95" customHeight="1" s="79"/>
    <row r="3766" ht="11.95" customHeight="1" s="79"/>
    <row r="3767" ht="11.95" customHeight="1" s="79"/>
    <row r="3768" ht="11.95" customHeight="1" s="79"/>
    <row r="3769" ht="11.95" customHeight="1" s="79"/>
    <row r="3770" ht="11.95" customHeight="1" s="79"/>
    <row r="3771" ht="11.95" customHeight="1" s="79"/>
    <row r="3772" ht="11.95" customHeight="1" s="79"/>
    <row r="3773" ht="11.95" customHeight="1" s="79"/>
    <row r="3774" ht="11.95" customHeight="1" s="79"/>
    <row r="3775" ht="11.95" customHeight="1" s="79"/>
    <row r="3776" ht="11.95" customHeight="1" s="79"/>
    <row r="3777" ht="11.95" customHeight="1" s="79"/>
    <row r="3778" ht="11.95" customHeight="1" s="79"/>
    <row r="3779" ht="11.95" customHeight="1" s="79"/>
    <row r="3780" ht="11.95" customHeight="1" s="79"/>
    <row r="3781" ht="11.95" customHeight="1" s="79"/>
    <row r="3782" ht="11.95" customHeight="1" s="79"/>
    <row r="3783" ht="11.95" customHeight="1" s="79"/>
    <row r="3784" ht="11.95" customHeight="1" s="79"/>
    <row r="3785" ht="11.95" customHeight="1" s="79"/>
    <row r="3786" ht="11.95" customHeight="1" s="79"/>
    <row r="3787" ht="11.95" customHeight="1" s="79"/>
    <row r="3788" ht="11.95" customHeight="1" s="79"/>
    <row r="3789" ht="11.95" customHeight="1" s="79"/>
    <row r="3790" ht="11.95" customHeight="1" s="79"/>
    <row r="3791" ht="11.95" customHeight="1" s="79"/>
    <row r="3792" ht="11.95" customHeight="1" s="79"/>
    <row r="3793" ht="11.95" customHeight="1" s="79"/>
    <row r="3794" ht="11.95" customHeight="1" s="79"/>
    <row r="3795" ht="11.95" customHeight="1" s="79"/>
    <row r="3796" ht="11.95" customHeight="1" s="79"/>
    <row r="3797" ht="11.95" customHeight="1" s="79"/>
    <row r="3798" ht="11.95" customHeight="1" s="79"/>
    <row r="3799" ht="11.95" customHeight="1" s="79"/>
    <row r="3800" ht="11.95" customHeight="1" s="79"/>
    <row r="3801" ht="11.95" customHeight="1" s="79"/>
    <row r="3802" ht="11.95" customHeight="1" s="79"/>
    <row r="3803" ht="11.95" customHeight="1" s="79"/>
    <row r="3804" ht="11.95" customHeight="1" s="79"/>
    <row r="3805" ht="11.95" customHeight="1" s="79"/>
    <row r="3806" ht="11.95" customHeight="1" s="79"/>
    <row r="3807" ht="11.95" customHeight="1" s="79"/>
    <row r="3808" ht="11.95" customHeight="1" s="79"/>
    <row r="3809" ht="11.95" customHeight="1" s="79"/>
    <row r="3810" ht="11.95" customHeight="1" s="79"/>
    <row r="3811" ht="11.95" customHeight="1" s="79"/>
    <row r="3812" ht="11.95" customHeight="1" s="79"/>
    <row r="3813" ht="11.95" customHeight="1" s="79"/>
    <row r="3814" ht="11.95" customHeight="1" s="79"/>
    <row r="3815" ht="11.95" customHeight="1" s="79"/>
    <row r="3816" ht="11.95" customHeight="1" s="79"/>
    <row r="3817" ht="11.95" customHeight="1" s="79"/>
    <row r="3818" ht="11.95" customHeight="1" s="79"/>
    <row r="3819" ht="11.95" customHeight="1" s="79"/>
    <row r="3820" ht="11.95" customHeight="1" s="79"/>
    <row r="3821" ht="11.95" customHeight="1" s="79"/>
    <row r="3822" ht="11.95" customHeight="1" s="79"/>
    <row r="3823" ht="11.95" customHeight="1" s="79"/>
    <row r="3824" ht="11.95" customHeight="1" s="79"/>
    <row r="3825" ht="11.95" customHeight="1" s="79"/>
    <row r="3826" ht="11.95" customHeight="1" s="79"/>
    <row r="3827" ht="11.95" customHeight="1" s="79"/>
    <row r="3828" ht="11.95" customHeight="1" s="79"/>
    <row r="3829" ht="11.95" customHeight="1" s="79"/>
    <row r="3830" ht="11.95" customHeight="1" s="79"/>
    <row r="3831" ht="11.95" customHeight="1" s="79"/>
    <row r="3832" ht="11.95" customHeight="1" s="79"/>
    <row r="3833" ht="11.95" customHeight="1" s="79"/>
    <row r="3834" ht="11.95" customHeight="1" s="79"/>
    <row r="3835" ht="11.95" customHeight="1" s="79"/>
    <row r="3836" ht="11.95" customHeight="1" s="79"/>
    <row r="3837" ht="11.95" customHeight="1" s="79"/>
    <row r="3838" ht="11.95" customHeight="1" s="79"/>
    <row r="3839" ht="11.95" customHeight="1" s="79"/>
    <row r="3840" ht="11.95" customHeight="1" s="79"/>
    <row r="3841" ht="11.95" customHeight="1" s="79"/>
    <row r="3842" ht="11.95" customHeight="1" s="79"/>
    <row r="3843" ht="11.95" customHeight="1" s="79"/>
    <row r="3844" ht="11.95" customHeight="1" s="79"/>
    <row r="3845" ht="11.95" customHeight="1" s="79"/>
    <row r="3846" ht="11.95" customHeight="1" s="79"/>
    <row r="3847" ht="11.95" customHeight="1" s="79"/>
    <row r="3848" ht="11.95" customHeight="1" s="79"/>
    <row r="3849" ht="11.95" customHeight="1" s="79"/>
    <row r="3850" ht="11.95" customHeight="1" s="79"/>
    <row r="3851" ht="11.95" customHeight="1" s="79"/>
    <row r="3852" ht="11.95" customHeight="1" s="79"/>
    <row r="3853" ht="11.95" customHeight="1" s="79"/>
    <row r="3854" ht="11.95" customHeight="1" s="79"/>
    <row r="3855" ht="11.95" customHeight="1" s="79"/>
    <row r="3856" ht="11.95" customHeight="1" s="79"/>
    <row r="3857" ht="11.95" customHeight="1" s="79"/>
    <row r="3858" ht="11.95" customHeight="1" s="79"/>
    <row r="3859" ht="11.95" customHeight="1" s="79"/>
    <row r="3860" ht="11.95" customHeight="1" s="79"/>
    <row r="3861" ht="11.95" customHeight="1" s="79"/>
    <row r="3862" ht="11.95" customHeight="1" s="79"/>
    <row r="3863" ht="11.95" customHeight="1" s="79"/>
    <row r="3864" ht="11.95" customHeight="1" s="79"/>
    <row r="3865" ht="11.95" customHeight="1" s="79"/>
    <row r="3866" ht="11.95" customHeight="1" s="79"/>
    <row r="3867" ht="11.95" customHeight="1" s="79"/>
    <row r="3868" ht="11.95" customHeight="1" s="79"/>
    <row r="3869" ht="11.95" customHeight="1" s="79"/>
    <row r="3870" ht="11.95" customHeight="1" s="79"/>
    <row r="3871" ht="11.95" customHeight="1" s="79"/>
    <row r="3872" ht="11.95" customHeight="1" s="79"/>
    <row r="3873" ht="11.95" customHeight="1" s="79"/>
    <row r="3874" ht="11.95" customHeight="1" s="79"/>
    <row r="3875" ht="11.95" customHeight="1" s="79"/>
    <row r="3876" ht="11.95" customHeight="1" s="79"/>
    <row r="3877" ht="11.95" customHeight="1" s="79"/>
    <row r="3878" ht="11.95" customHeight="1" s="79"/>
    <row r="3879" ht="11.95" customHeight="1" s="79"/>
    <row r="3880" ht="11.95" customHeight="1" s="79"/>
    <row r="3881" ht="11.95" customHeight="1" s="79"/>
    <row r="3882" ht="11.95" customHeight="1" s="79"/>
    <row r="3883" ht="11.95" customHeight="1" s="79"/>
    <row r="3884" ht="11.95" customHeight="1" s="79"/>
    <row r="3885" ht="11.95" customHeight="1" s="79"/>
    <row r="3886" ht="11.95" customHeight="1" s="79"/>
    <row r="3887" ht="11.95" customHeight="1" s="79"/>
    <row r="3888" ht="11.95" customHeight="1" s="79"/>
    <row r="3889" ht="11.95" customHeight="1" s="79"/>
    <row r="3890" ht="11.95" customHeight="1" s="79"/>
    <row r="3891" ht="11.95" customHeight="1" s="79"/>
    <row r="3892" ht="11.95" customHeight="1" s="79"/>
    <row r="3893" ht="11.95" customHeight="1" s="79"/>
    <row r="3894" ht="11.95" customHeight="1" s="79"/>
    <row r="3895" ht="11.95" customHeight="1" s="79"/>
    <row r="3896" ht="11.95" customHeight="1" s="79"/>
    <row r="3897" ht="11.95" customHeight="1" s="79"/>
    <row r="3898" ht="11.95" customHeight="1" s="79"/>
    <row r="3899" ht="11.95" customHeight="1" s="79"/>
    <row r="3900" ht="11.95" customHeight="1" s="79"/>
    <row r="3901" ht="11.95" customHeight="1" s="79"/>
    <row r="3902" ht="11.95" customHeight="1" s="79"/>
    <row r="3903" ht="11.95" customHeight="1" s="79"/>
    <row r="3904" ht="11.95" customHeight="1" s="79"/>
    <row r="3905" ht="11.95" customHeight="1" s="79"/>
    <row r="3906" ht="11.95" customHeight="1" s="79"/>
    <row r="3907" ht="11.95" customHeight="1" s="79"/>
    <row r="3908" ht="11.95" customHeight="1" s="79"/>
    <row r="3909" ht="11.95" customHeight="1" s="79"/>
    <row r="3910" ht="11.95" customHeight="1" s="79"/>
    <row r="3911" ht="11.95" customHeight="1" s="79"/>
    <row r="3912" ht="11.95" customHeight="1" s="79"/>
    <row r="3913" ht="11.95" customHeight="1" s="79"/>
    <row r="3914" ht="11.95" customHeight="1" s="79"/>
    <row r="3915" ht="11.95" customHeight="1" s="79"/>
    <row r="3916" ht="11.95" customHeight="1" s="79"/>
    <row r="3917" ht="11.95" customHeight="1" s="79"/>
    <row r="3918" ht="11.95" customHeight="1" s="79"/>
    <row r="3919" ht="11.95" customHeight="1" s="79"/>
    <row r="3920" ht="11.95" customHeight="1" s="79"/>
    <row r="3921" ht="11.95" customHeight="1" s="79"/>
    <row r="3922" ht="11.95" customHeight="1" s="79"/>
    <row r="3923" ht="11.95" customHeight="1" s="79"/>
    <row r="3924" ht="11.95" customHeight="1" s="79"/>
    <row r="3925" ht="11.95" customHeight="1" s="79"/>
    <row r="3926" ht="11.95" customHeight="1" s="79"/>
    <row r="3927" ht="11.95" customHeight="1" s="79"/>
    <row r="3928" ht="11.95" customHeight="1" s="79"/>
    <row r="3929" ht="11.95" customHeight="1" s="79"/>
    <row r="3930" ht="11.95" customHeight="1" s="79"/>
    <row r="3931" ht="11.95" customHeight="1" s="79"/>
    <row r="3932" ht="11.95" customHeight="1" s="79"/>
    <row r="3933" ht="11.95" customHeight="1" s="79"/>
    <row r="3934" ht="11.95" customHeight="1" s="79"/>
    <row r="3935" ht="11.95" customHeight="1" s="79"/>
    <row r="3936" ht="11.95" customHeight="1" s="79"/>
    <row r="3937" ht="11.95" customHeight="1" s="79"/>
    <row r="3938" ht="11.95" customHeight="1" s="79"/>
    <row r="3939" ht="11.95" customHeight="1" s="79"/>
    <row r="3940" ht="11.95" customHeight="1" s="79"/>
    <row r="3941" ht="11.95" customHeight="1" s="79"/>
    <row r="3942" ht="11.95" customHeight="1" s="79"/>
    <row r="3943" ht="11.95" customHeight="1" s="79"/>
    <row r="3944" ht="11.95" customHeight="1" s="79"/>
    <row r="3945" ht="11.95" customHeight="1" s="79"/>
    <row r="3946" ht="11.95" customHeight="1" s="79"/>
    <row r="3947" ht="11.95" customHeight="1" s="79"/>
    <row r="3948" ht="11.95" customHeight="1" s="79"/>
    <row r="3949" ht="11.95" customHeight="1" s="79"/>
    <row r="3950" ht="11.95" customHeight="1" s="79"/>
    <row r="3951" ht="11.95" customHeight="1" s="79"/>
    <row r="3952" ht="11.95" customHeight="1" s="79"/>
    <row r="3953" ht="11.95" customHeight="1" s="79"/>
    <row r="3954" ht="11.95" customHeight="1" s="79"/>
    <row r="3955" ht="11.95" customHeight="1" s="79"/>
    <row r="3956" ht="11.95" customHeight="1" s="79"/>
    <row r="3957" ht="11.95" customHeight="1" s="79"/>
    <row r="3958" ht="11.95" customHeight="1" s="79"/>
    <row r="3959" ht="11.95" customHeight="1" s="79"/>
    <row r="3960" ht="11.95" customHeight="1" s="79"/>
    <row r="3961" ht="11.95" customHeight="1" s="79"/>
    <row r="3962" ht="11.95" customHeight="1" s="79"/>
    <row r="3963" ht="11.95" customHeight="1" s="79"/>
    <row r="3964" ht="11.95" customHeight="1" s="79"/>
    <row r="3965" ht="11.95" customHeight="1" s="79"/>
    <row r="3966" ht="11.95" customHeight="1" s="79"/>
    <row r="3967" ht="11.95" customHeight="1" s="79"/>
    <row r="3968" ht="11.95" customHeight="1" s="79"/>
    <row r="3969" ht="11.95" customHeight="1" s="79"/>
    <row r="3970" ht="11.95" customHeight="1" s="79"/>
    <row r="3971" ht="11.95" customHeight="1" s="79"/>
    <row r="3972" ht="11.95" customHeight="1" s="79"/>
    <row r="3973" ht="11.95" customHeight="1" s="79"/>
    <row r="3974" ht="11.95" customHeight="1" s="79"/>
    <row r="3975" ht="11.95" customHeight="1" s="79"/>
    <row r="3976" ht="11.95" customHeight="1" s="79"/>
    <row r="3977" ht="11.95" customHeight="1" s="79"/>
    <row r="3978" ht="11.95" customHeight="1" s="79"/>
    <row r="3979" ht="11.95" customHeight="1" s="79"/>
    <row r="3980" ht="11.95" customHeight="1" s="79"/>
    <row r="3981" ht="11.95" customHeight="1" s="79"/>
    <row r="3982" ht="11.95" customHeight="1" s="79"/>
    <row r="3983" ht="11.95" customHeight="1" s="79"/>
    <row r="3984" ht="11.95" customHeight="1" s="79"/>
    <row r="3985" ht="11.95" customHeight="1" s="79"/>
    <row r="3986" ht="11.95" customHeight="1" s="79"/>
    <row r="3987" ht="11.95" customHeight="1" s="79"/>
    <row r="3988" ht="11.95" customHeight="1" s="79"/>
    <row r="3989" ht="11.95" customHeight="1" s="79"/>
    <row r="3990" ht="11.95" customHeight="1" s="79"/>
    <row r="3991" ht="11.95" customHeight="1" s="79"/>
    <row r="3992" ht="11.95" customHeight="1" s="79"/>
    <row r="3993" ht="11.95" customHeight="1" s="79"/>
    <row r="3994" ht="11.95" customHeight="1" s="79"/>
    <row r="3995" ht="11.95" customHeight="1" s="79"/>
    <row r="3996" ht="11.95" customHeight="1" s="79"/>
    <row r="3997" ht="11.95" customHeight="1" s="79"/>
    <row r="3998" ht="11.95" customHeight="1" s="79"/>
    <row r="3999" ht="11.95" customHeight="1" s="79"/>
    <row r="4000" ht="11.95" customHeight="1" s="79"/>
    <row r="4001" ht="11.95" customHeight="1" s="79"/>
    <row r="4002" ht="11.95" customHeight="1" s="79"/>
    <row r="4003" ht="11.95" customHeight="1" s="79"/>
    <row r="4004" ht="11.95" customHeight="1" s="79"/>
    <row r="4005" ht="11.95" customHeight="1" s="79"/>
    <row r="4006" ht="11.95" customHeight="1" s="79"/>
    <row r="4007" ht="11.95" customHeight="1" s="79"/>
    <row r="4008" ht="11.95" customHeight="1" s="79"/>
    <row r="4009" ht="11.95" customHeight="1" s="79"/>
    <row r="4010" ht="11.95" customHeight="1" s="79"/>
    <row r="4011" ht="11.95" customHeight="1" s="79"/>
    <row r="4012" ht="11.95" customHeight="1" s="79"/>
    <row r="4013" ht="11.95" customHeight="1" s="79"/>
    <row r="4014" ht="11.95" customHeight="1" s="79"/>
    <row r="4015" ht="11.95" customHeight="1" s="79"/>
    <row r="4016" ht="11.95" customHeight="1" s="79"/>
    <row r="4017" ht="11.95" customHeight="1" s="79"/>
    <row r="4018" ht="11.95" customHeight="1" s="79"/>
    <row r="4019" ht="11.95" customHeight="1" s="79"/>
    <row r="4020" ht="11.95" customHeight="1" s="79"/>
    <row r="4021" ht="11.95" customHeight="1" s="79"/>
    <row r="4022" ht="11.95" customHeight="1" s="79"/>
    <row r="4023" ht="11.95" customHeight="1" s="79"/>
    <row r="4024" ht="11.95" customHeight="1" s="79"/>
    <row r="4025" ht="11.95" customHeight="1" s="79"/>
    <row r="4026" ht="11.95" customHeight="1" s="79"/>
    <row r="4027" ht="11.95" customHeight="1" s="79"/>
    <row r="4028" ht="11.95" customHeight="1" s="79"/>
    <row r="4029" ht="11.95" customHeight="1" s="79"/>
    <row r="4030" ht="11.95" customHeight="1" s="79"/>
    <row r="4031" ht="11.95" customHeight="1" s="79"/>
    <row r="4032" ht="11.95" customHeight="1" s="79"/>
    <row r="4033" ht="11.95" customHeight="1" s="79"/>
    <row r="4034" ht="11.95" customHeight="1" s="79"/>
    <row r="4035" ht="11.95" customHeight="1" s="79"/>
    <row r="4036" ht="11.95" customHeight="1" s="79"/>
    <row r="4037" ht="11.95" customHeight="1" s="79"/>
    <row r="4038" ht="11.95" customHeight="1" s="79"/>
    <row r="4039" ht="11.95" customHeight="1" s="79"/>
    <row r="4040" ht="11.95" customHeight="1" s="79"/>
    <row r="4041" ht="11.95" customHeight="1" s="79"/>
    <row r="4042" ht="11.95" customHeight="1" s="79"/>
    <row r="4043" ht="11.95" customHeight="1" s="79"/>
    <row r="4044" ht="11.95" customHeight="1" s="79"/>
    <row r="4045" ht="11.95" customHeight="1" s="79"/>
    <row r="4046" ht="11.95" customHeight="1" s="79"/>
    <row r="4047" ht="11.95" customHeight="1" s="79"/>
    <row r="4048" ht="11.95" customHeight="1" s="79"/>
    <row r="4049" ht="11.95" customHeight="1" s="79"/>
    <row r="4050" ht="11.95" customHeight="1" s="79"/>
    <row r="4051" ht="11.95" customHeight="1" s="79"/>
    <row r="4052" ht="11.95" customHeight="1" s="79"/>
    <row r="4053" ht="11.95" customHeight="1" s="79"/>
    <row r="4054" ht="11.95" customHeight="1" s="79"/>
    <row r="4055" ht="11.95" customHeight="1" s="79"/>
    <row r="4056" ht="11.95" customHeight="1" s="79"/>
    <row r="4057" ht="11.95" customHeight="1" s="79"/>
    <row r="4058" ht="11.95" customHeight="1" s="79"/>
    <row r="4059" ht="11.95" customHeight="1" s="79"/>
    <row r="4060" ht="11.95" customHeight="1" s="79"/>
    <row r="4061" ht="11.95" customHeight="1" s="79"/>
    <row r="4062" ht="11.95" customHeight="1" s="79"/>
    <row r="4063" ht="11.95" customHeight="1" s="79"/>
    <row r="4064" ht="11.95" customHeight="1" s="79"/>
    <row r="4065" ht="11.95" customHeight="1" s="79"/>
    <row r="4066" ht="11.95" customHeight="1" s="79"/>
    <row r="4067" ht="11.95" customHeight="1" s="79"/>
    <row r="4068" ht="11.95" customHeight="1" s="79"/>
    <row r="4069" ht="11.95" customHeight="1" s="79"/>
    <row r="4070" ht="11.95" customHeight="1" s="79"/>
    <row r="4071" ht="11.95" customHeight="1" s="79"/>
    <row r="4072" ht="11.95" customHeight="1" s="79"/>
    <row r="4073" ht="11.95" customHeight="1" s="79"/>
    <row r="4074" ht="11.95" customHeight="1" s="79"/>
    <row r="4075" ht="11.95" customHeight="1" s="79"/>
    <row r="4076" ht="11.95" customHeight="1" s="79"/>
    <row r="4077" ht="11.95" customHeight="1" s="79"/>
    <row r="4078" ht="11.95" customHeight="1" s="79"/>
    <row r="4079" ht="11.95" customHeight="1" s="79"/>
    <row r="4080" ht="11.95" customHeight="1" s="79"/>
    <row r="4081" ht="11.95" customHeight="1" s="79"/>
    <row r="4082" ht="11.95" customHeight="1" s="79"/>
    <row r="4083" ht="11.95" customHeight="1" s="79"/>
    <row r="4084" ht="11.95" customHeight="1" s="79"/>
    <row r="4085" ht="11.95" customHeight="1" s="79"/>
    <row r="4086" ht="11.95" customHeight="1" s="79"/>
    <row r="4087" ht="11.95" customHeight="1" s="79"/>
    <row r="4088" ht="11.95" customHeight="1" s="79"/>
    <row r="4089" ht="11.95" customHeight="1" s="79"/>
    <row r="4090" ht="11.95" customHeight="1" s="79"/>
    <row r="4091" ht="11.95" customHeight="1" s="79"/>
    <row r="4092" ht="11.95" customHeight="1" s="79"/>
    <row r="4093" ht="11.95" customHeight="1" s="79"/>
    <row r="4094" ht="11.95" customHeight="1" s="79"/>
    <row r="4095" ht="11.95" customHeight="1" s="79"/>
    <row r="4096" ht="11.95" customHeight="1" s="79"/>
    <row r="4097" ht="11.95" customHeight="1" s="79"/>
    <row r="4098" ht="11.95" customHeight="1" s="79"/>
    <row r="4099" ht="11.95" customHeight="1" s="79"/>
    <row r="4100" ht="11.95" customHeight="1" s="79"/>
    <row r="4101" ht="11.95" customHeight="1" s="79"/>
    <row r="4102" ht="11.95" customHeight="1" s="79"/>
    <row r="4103" ht="11.95" customHeight="1" s="79"/>
    <row r="4104" ht="11.95" customHeight="1" s="79"/>
    <row r="4105" ht="11.95" customHeight="1" s="79"/>
    <row r="4106" ht="11.95" customHeight="1" s="79"/>
    <row r="4107" ht="11.95" customHeight="1" s="79"/>
    <row r="4108" ht="11.95" customHeight="1" s="79"/>
    <row r="4109" ht="11.95" customHeight="1" s="79"/>
    <row r="4110" ht="11.95" customHeight="1" s="79"/>
    <row r="4111" ht="11.95" customHeight="1" s="79"/>
    <row r="4112" ht="11.95" customHeight="1" s="79"/>
    <row r="4113" ht="11.95" customHeight="1" s="79"/>
    <row r="4114" ht="11.95" customHeight="1" s="79"/>
    <row r="4115" ht="11.95" customHeight="1" s="79"/>
    <row r="4116" ht="11.95" customHeight="1" s="79"/>
    <row r="4117" ht="11.95" customHeight="1" s="79"/>
    <row r="4118" ht="11.95" customHeight="1" s="79"/>
    <row r="4119" ht="11.95" customHeight="1" s="79"/>
    <row r="4120" ht="11.95" customHeight="1" s="79"/>
    <row r="4121" ht="11.95" customHeight="1" s="79"/>
    <row r="4122" ht="11.95" customHeight="1" s="79"/>
    <row r="4123" ht="11.95" customHeight="1" s="79"/>
    <row r="4124" ht="11.95" customHeight="1" s="79"/>
    <row r="4125" ht="11.95" customHeight="1" s="79"/>
    <row r="4126" ht="11.95" customHeight="1" s="79"/>
    <row r="4127" ht="11.95" customHeight="1" s="79"/>
    <row r="4128" ht="11.95" customHeight="1" s="79"/>
    <row r="4129" ht="11.95" customHeight="1" s="79"/>
    <row r="4130" ht="11.95" customHeight="1" s="79"/>
    <row r="4131" ht="11.95" customHeight="1" s="79"/>
    <row r="4132" ht="11.95" customHeight="1" s="79"/>
    <row r="4133" ht="11.95" customHeight="1" s="79"/>
    <row r="4134" ht="11.95" customHeight="1" s="79"/>
    <row r="4135" ht="11.95" customHeight="1" s="79"/>
    <row r="4136" ht="11.95" customHeight="1" s="79"/>
    <row r="4137" ht="11.95" customHeight="1" s="79"/>
    <row r="4138" ht="11.95" customHeight="1" s="79"/>
    <row r="4139" ht="11.95" customHeight="1" s="79"/>
    <row r="4140" ht="11.95" customHeight="1" s="79"/>
    <row r="4141" ht="11.95" customHeight="1" s="79"/>
    <row r="4142" ht="11.95" customHeight="1" s="79"/>
    <row r="4143" ht="11.95" customHeight="1" s="79"/>
    <row r="4144" ht="11.95" customHeight="1" s="79"/>
    <row r="4145" ht="11.95" customHeight="1" s="79"/>
    <row r="4146" ht="11.95" customHeight="1" s="79"/>
    <row r="4147" ht="11.95" customHeight="1" s="79"/>
    <row r="4148" ht="11.95" customHeight="1" s="79"/>
    <row r="4149" ht="11.95" customHeight="1" s="79"/>
    <row r="4150" ht="11.95" customHeight="1" s="79"/>
    <row r="4151" ht="11.95" customHeight="1" s="79"/>
    <row r="4152" ht="11.95" customHeight="1" s="79"/>
    <row r="4153" ht="11.95" customHeight="1" s="79"/>
    <row r="4154" ht="11.95" customHeight="1" s="79"/>
    <row r="4155" ht="11.95" customHeight="1" s="79"/>
    <row r="4156" ht="11.95" customHeight="1" s="79"/>
    <row r="4157" ht="11.95" customHeight="1" s="79"/>
    <row r="4158" ht="11.95" customHeight="1" s="79"/>
    <row r="4159" ht="11.95" customHeight="1" s="79"/>
    <row r="4160" ht="11.95" customHeight="1" s="79"/>
    <row r="4161" ht="11.95" customHeight="1" s="79"/>
    <row r="4162" ht="11.95" customHeight="1" s="79"/>
    <row r="4163" ht="11.95" customHeight="1" s="79"/>
    <row r="4164" ht="11.95" customHeight="1" s="79"/>
    <row r="4165" ht="11.95" customHeight="1" s="79"/>
    <row r="4166" ht="11.95" customHeight="1" s="79"/>
    <row r="4167" ht="11.95" customHeight="1" s="79"/>
    <row r="4168" ht="11.95" customHeight="1" s="79"/>
    <row r="4169" ht="11.95" customHeight="1" s="79"/>
    <row r="4170" ht="11.95" customHeight="1" s="79"/>
    <row r="4171" ht="11.95" customHeight="1" s="79"/>
    <row r="4172" ht="11.95" customHeight="1" s="79"/>
    <row r="4173" ht="11.95" customHeight="1" s="79"/>
    <row r="4174" ht="11.95" customHeight="1" s="79"/>
    <row r="4175" ht="11.95" customHeight="1" s="79"/>
    <row r="4176" ht="11.95" customHeight="1" s="79"/>
    <row r="4177" ht="11.95" customHeight="1" s="79"/>
    <row r="4178" ht="11.95" customHeight="1" s="79"/>
    <row r="4179" ht="11.95" customHeight="1" s="79"/>
    <row r="4180" ht="11.95" customHeight="1" s="79"/>
    <row r="4181" ht="11.95" customHeight="1" s="79"/>
    <row r="4182" ht="11.95" customHeight="1" s="79"/>
    <row r="4183" ht="11.95" customHeight="1" s="79"/>
    <row r="4184" ht="11.95" customHeight="1" s="79"/>
    <row r="4185" ht="11.95" customHeight="1" s="79"/>
    <row r="4186" ht="11.95" customHeight="1" s="79"/>
    <row r="4187" ht="11.95" customHeight="1" s="79"/>
    <row r="4188" ht="11.95" customHeight="1" s="79"/>
    <row r="4189" ht="11.95" customHeight="1" s="79"/>
    <row r="4190" ht="11.95" customHeight="1" s="79"/>
    <row r="4191" ht="11.95" customHeight="1" s="79"/>
    <row r="4192" ht="11.95" customHeight="1" s="79"/>
    <row r="4193" ht="11.95" customHeight="1" s="79"/>
    <row r="4194" ht="11.95" customHeight="1" s="79"/>
    <row r="4195" ht="11.95" customHeight="1" s="79"/>
    <row r="4196" ht="11.95" customHeight="1" s="79"/>
    <row r="4197" ht="11.95" customHeight="1" s="79"/>
    <row r="4198" ht="11.95" customHeight="1" s="79"/>
    <row r="4199" ht="11.95" customHeight="1" s="79"/>
    <row r="4200" ht="11.95" customHeight="1" s="79"/>
    <row r="4201" ht="11.95" customHeight="1" s="79"/>
    <row r="4202" ht="11.95" customHeight="1" s="79"/>
    <row r="4203" ht="11.95" customHeight="1" s="79"/>
    <row r="4204" ht="11.95" customHeight="1" s="79"/>
    <row r="4205" ht="11.95" customHeight="1" s="79"/>
    <row r="4206" ht="11.95" customHeight="1" s="79"/>
    <row r="4207" ht="11.95" customHeight="1" s="79"/>
    <row r="4208" ht="11.95" customHeight="1" s="79"/>
    <row r="4209" ht="11.95" customHeight="1" s="79"/>
    <row r="4210" ht="11.95" customHeight="1" s="79"/>
    <row r="4211" ht="11.95" customHeight="1" s="79"/>
    <row r="4212" ht="11.95" customHeight="1" s="79"/>
    <row r="4213" ht="11.95" customHeight="1" s="79"/>
    <row r="4214" ht="11.95" customHeight="1" s="79"/>
    <row r="4215" ht="11.95" customHeight="1" s="79"/>
    <row r="4216" ht="11.95" customHeight="1" s="79"/>
    <row r="4217" ht="11.95" customHeight="1" s="79"/>
    <row r="4218" ht="11.95" customHeight="1" s="79"/>
    <row r="4219" ht="11.95" customHeight="1" s="79"/>
    <row r="4220" ht="11.95" customHeight="1" s="79"/>
    <row r="4221" ht="11.95" customHeight="1" s="79"/>
    <row r="4222" ht="11.95" customHeight="1" s="79"/>
    <row r="4223" ht="11.95" customHeight="1" s="79"/>
    <row r="4224" ht="11.95" customHeight="1" s="79"/>
    <row r="4225" ht="11.95" customHeight="1" s="79"/>
    <row r="4226" ht="11.95" customHeight="1" s="79"/>
    <row r="4227" ht="11.95" customHeight="1" s="79"/>
    <row r="4228" ht="11.95" customHeight="1" s="79"/>
    <row r="4229" ht="11.95" customHeight="1" s="79"/>
    <row r="4230" ht="11.95" customHeight="1" s="79"/>
    <row r="4231" ht="11.95" customHeight="1" s="79"/>
    <row r="4232" ht="11.95" customHeight="1" s="79"/>
    <row r="4233" ht="11.95" customHeight="1" s="79"/>
    <row r="4234" ht="11.95" customHeight="1" s="79"/>
    <row r="4235" ht="11.95" customHeight="1" s="79"/>
    <row r="4236" ht="11.95" customHeight="1" s="79"/>
    <row r="4237" ht="11.95" customHeight="1" s="79"/>
    <row r="4238" ht="11.95" customHeight="1" s="79"/>
    <row r="4239" ht="11.95" customHeight="1" s="79"/>
    <row r="4240" ht="11.95" customHeight="1" s="79"/>
    <row r="4241" ht="11.95" customHeight="1" s="79"/>
    <row r="4242" ht="11.95" customHeight="1" s="79"/>
    <row r="4243" ht="11.95" customHeight="1" s="79"/>
    <row r="4244" ht="11.95" customHeight="1" s="79"/>
    <row r="4245" ht="11.95" customHeight="1" s="79"/>
    <row r="4246" ht="11.95" customHeight="1" s="79"/>
    <row r="4247" ht="11.95" customHeight="1" s="79"/>
    <row r="4248" ht="11.95" customHeight="1" s="79"/>
    <row r="4249" ht="11.95" customHeight="1" s="79"/>
    <row r="4250" ht="11.95" customHeight="1" s="79"/>
    <row r="4251" ht="11.95" customHeight="1" s="79"/>
    <row r="4252" ht="11.95" customHeight="1" s="79"/>
    <row r="4253" ht="11.95" customHeight="1" s="79"/>
    <row r="4254" ht="11.95" customHeight="1" s="79"/>
    <row r="4255" ht="11.95" customHeight="1" s="79"/>
    <row r="4256" ht="11.95" customHeight="1" s="79"/>
    <row r="4257" ht="11.95" customHeight="1" s="79"/>
    <row r="4258" ht="11.95" customHeight="1" s="79"/>
    <row r="4259" ht="11.95" customHeight="1" s="79"/>
    <row r="4260" ht="11.95" customHeight="1" s="79"/>
    <row r="4261" ht="11.95" customHeight="1" s="79"/>
    <row r="4262" ht="11.95" customHeight="1" s="79"/>
    <row r="4263" ht="11.95" customHeight="1" s="79"/>
    <row r="4264" ht="11.95" customHeight="1" s="79"/>
    <row r="4265" ht="11.95" customHeight="1" s="79"/>
    <row r="4266" ht="11.95" customHeight="1" s="79"/>
    <row r="4267" ht="11.95" customHeight="1" s="79"/>
    <row r="4268" ht="11.95" customHeight="1" s="79"/>
    <row r="4269" ht="11.95" customHeight="1" s="79"/>
    <row r="4270" ht="11.95" customHeight="1" s="79"/>
    <row r="4271" ht="11.95" customHeight="1" s="79"/>
    <row r="4272" ht="11.95" customHeight="1" s="79"/>
    <row r="4273" ht="11.95" customHeight="1" s="79"/>
    <row r="4274" ht="11.95" customHeight="1" s="79"/>
    <row r="4275" ht="11.95" customHeight="1" s="79"/>
    <row r="4276" ht="11.95" customHeight="1" s="79"/>
    <row r="4277" ht="11.95" customHeight="1" s="79"/>
    <row r="4278" ht="11.95" customHeight="1" s="79"/>
    <row r="4279" ht="11.95" customHeight="1" s="79"/>
    <row r="4280" ht="11.95" customHeight="1" s="79"/>
    <row r="4281" ht="11.95" customHeight="1" s="79"/>
    <row r="4282" ht="11.95" customHeight="1" s="79"/>
    <row r="4283" ht="11.95" customHeight="1" s="79"/>
    <row r="4284" ht="11.95" customHeight="1" s="79"/>
    <row r="4285" ht="11.95" customHeight="1" s="79"/>
    <row r="4286" ht="11.95" customHeight="1" s="79"/>
    <row r="4287" ht="11.95" customHeight="1" s="79"/>
    <row r="4288" ht="11.95" customHeight="1" s="79"/>
    <row r="4289" ht="11.95" customHeight="1" s="79"/>
    <row r="4290" ht="11.95" customHeight="1" s="79"/>
    <row r="4291" ht="11.95" customHeight="1" s="79"/>
    <row r="4292" ht="11.95" customHeight="1" s="79"/>
    <row r="4293" ht="11.95" customHeight="1" s="79"/>
    <row r="4294" ht="11.95" customHeight="1" s="79"/>
    <row r="4295" ht="11.95" customHeight="1" s="79"/>
    <row r="4296" ht="11.95" customHeight="1" s="79"/>
    <row r="4297" ht="11.95" customHeight="1" s="79"/>
    <row r="4298" ht="11.95" customHeight="1" s="79"/>
    <row r="4299" ht="11.95" customHeight="1" s="79"/>
    <row r="4300" ht="11.95" customHeight="1" s="79"/>
    <row r="4301" ht="11.95" customHeight="1" s="79"/>
    <row r="4302" ht="11.95" customHeight="1" s="79"/>
    <row r="4303" ht="11.95" customHeight="1" s="79"/>
    <row r="4304" ht="11.95" customHeight="1" s="79"/>
    <row r="4305" ht="11.95" customHeight="1" s="79"/>
    <row r="4306" ht="11.95" customHeight="1" s="79"/>
    <row r="4307" ht="11.95" customHeight="1" s="79"/>
    <row r="4308" ht="11.95" customHeight="1" s="79"/>
    <row r="4309" ht="11.95" customHeight="1" s="79"/>
    <row r="4310" ht="11.95" customHeight="1" s="79"/>
    <row r="4311" ht="11.95" customHeight="1" s="79"/>
    <row r="4312" ht="11.95" customHeight="1" s="79"/>
    <row r="4313" ht="11.95" customHeight="1" s="79"/>
    <row r="4314" ht="11.95" customHeight="1" s="79"/>
    <row r="4315" ht="11.95" customHeight="1" s="79"/>
    <row r="4316" ht="11.95" customHeight="1" s="79"/>
    <row r="4317" ht="11.95" customHeight="1" s="79"/>
    <row r="4318" ht="11.95" customHeight="1" s="79"/>
    <row r="4319" ht="11.95" customHeight="1" s="79"/>
    <row r="4320" ht="11.95" customHeight="1" s="79"/>
    <row r="4321" ht="11.95" customHeight="1" s="79"/>
    <row r="4322" ht="11.95" customHeight="1" s="79"/>
    <row r="4323" ht="11.95" customHeight="1" s="79"/>
    <row r="4324" ht="11.95" customHeight="1" s="79"/>
    <row r="4325" ht="11.95" customHeight="1" s="79"/>
    <row r="4326" ht="11.95" customHeight="1" s="79"/>
    <row r="4327" ht="11.95" customHeight="1" s="79"/>
    <row r="4328" ht="11.95" customHeight="1" s="79"/>
    <row r="4329" ht="11.95" customHeight="1" s="79"/>
    <row r="4330" ht="11.95" customHeight="1" s="79"/>
    <row r="4331" ht="11.95" customHeight="1" s="79"/>
    <row r="4332" ht="11.95" customHeight="1" s="79"/>
    <row r="4333" ht="11.95" customHeight="1" s="79"/>
    <row r="4334" ht="11.95" customHeight="1" s="79"/>
    <row r="4335" ht="11.95" customHeight="1" s="79"/>
    <row r="4336" ht="11.95" customHeight="1" s="79"/>
    <row r="4337" ht="11.95" customHeight="1" s="79"/>
    <row r="4338" ht="11.95" customHeight="1" s="79"/>
    <row r="4339" ht="11.95" customHeight="1" s="79"/>
    <row r="4340" ht="11.95" customHeight="1" s="79"/>
    <row r="4341" ht="11.95" customHeight="1" s="79"/>
    <row r="4342" ht="11.95" customHeight="1" s="79"/>
    <row r="4343" ht="11.95" customHeight="1" s="79"/>
    <row r="4344" ht="11.95" customHeight="1" s="79"/>
    <row r="4345" ht="11.95" customHeight="1" s="79"/>
    <row r="4346" ht="11.95" customHeight="1" s="79"/>
    <row r="4347" ht="11.95" customHeight="1" s="79"/>
    <row r="4348" ht="11.95" customHeight="1" s="79"/>
    <row r="4349" ht="11.95" customHeight="1" s="79"/>
    <row r="4350" ht="11.95" customHeight="1" s="79"/>
    <row r="4351" ht="11.95" customHeight="1" s="79"/>
    <row r="4352" ht="11.95" customHeight="1" s="79"/>
    <row r="4353" ht="11.95" customHeight="1" s="79"/>
    <row r="4354" ht="11.95" customHeight="1" s="79"/>
    <row r="4355" ht="11.95" customHeight="1" s="79"/>
    <row r="4356" ht="11.95" customHeight="1" s="79"/>
    <row r="4357" ht="11.95" customHeight="1" s="79"/>
    <row r="4358" ht="11.95" customHeight="1" s="79"/>
    <row r="4359" ht="11.95" customHeight="1" s="79"/>
    <row r="4360" ht="11.95" customHeight="1" s="79"/>
    <row r="4361" ht="11.95" customHeight="1" s="79"/>
    <row r="4362" ht="11.95" customHeight="1" s="79"/>
    <row r="4363" ht="11.95" customHeight="1" s="79"/>
    <row r="4364" ht="11.95" customHeight="1" s="79"/>
    <row r="4365" ht="11.95" customHeight="1" s="79"/>
    <row r="4366" ht="11.95" customHeight="1" s="79"/>
    <row r="4367" ht="11.95" customHeight="1" s="79"/>
    <row r="4368" ht="11.95" customHeight="1" s="79"/>
    <row r="4369" ht="11.95" customHeight="1" s="79"/>
    <row r="4370" ht="11.95" customHeight="1" s="79"/>
    <row r="4371" ht="11.95" customHeight="1" s="79"/>
    <row r="4372" ht="11.95" customHeight="1" s="79"/>
    <row r="4373" ht="11.95" customHeight="1" s="79"/>
    <row r="4374" ht="11.95" customHeight="1" s="79"/>
    <row r="4375" ht="11.95" customHeight="1" s="79"/>
    <row r="4376" ht="11.95" customHeight="1" s="79"/>
    <row r="4377" ht="11.95" customHeight="1" s="7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B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19921875" defaultRowHeight="11.95" customHeight="1" zeroHeight="0" outlineLevelRow="0"/>
  <cols>
    <col width="7.2" customWidth="1" style="77" min="1" max="1"/>
    <col width="6.51" customWidth="1" style="77" min="2" max="2"/>
    <col width="10.51" customWidth="1" style="77" min="3" max="3"/>
    <col width="11" customWidth="1" style="77" min="4" max="4"/>
    <col width="9" customWidth="1" style="77" min="5" max="5"/>
    <col width="7.3" customWidth="1" style="77" min="6" max="6"/>
    <col width="6.51" customWidth="1" style="77" min="7" max="12"/>
    <col width="7.79" customWidth="1" style="77" min="13" max="13"/>
    <col width="5" customWidth="1" style="77" min="14" max="15"/>
    <col width="5.2" customWidth="1" style="77" min="16" max="16"/>
    <col width="5" customWidth="1" style="77" min="17" max="18"/>
    <col width="10.2" customWidth="1" style="77" min="19" max="19"/>
    <col width="9.699999999999999" customWidth="1" style="77" min="20" max="20"/>
    <col width="9.51" customWidth="1" style="77" min="21" max="21"/>
    <col width="19.79" customWidth="1" style="77" min="22" max="22"/>
    <col width="5.79" customWidth="1" style="77" min="23" max="23"/>
    <col width="7.2" customWidth="1" style="77" min="24" max="24"/>
    <col width="13.5" customWidth="1" style="77" min="25" max="25"/>
    <col width="7.79" customWidth="1" style="77" min="26" max="26"/>
    <col width="9.199999999999999" customWidth="1" style="77" min="27" max="16384"/>
  </cols>
  <sheetData>
    <row r="1" ht="11.95" customHeight="1" s="79">
      <c r="A1" s="132" t="inlineStr">
        <is>
          <t>DIVISION</t>
        </is>
      </c>
      <c r="B1" s="132" t="inlineStr">
        <is>
          <t>SECTION</t>
        </is>
      </c>
      <c r="C1" s="132" t="inlineStr">
        <is>
          <t>DEPARTMENT</t>
        </is>
      </c>
      <c r="D1" s="132" t="inlineStr">
        <is>
          <t>ARTICLE_NAME</t>
        </is>
      </c>
      <c r="E1" s="132" t="inlineStr">
        <is>
          <t>ATTRIBUTE1</t>
        </is>
      </c>
      <c r="F1" s="132" t="inlineStr">
        <is>
          <t>BARCODE</t>
        </is>
      </c>
      <c r="G1" s="132" t="inlineStr">
        <is>
          <t>CNAME1</t>
        </is>
      </c>
      <c r="H1" s="132" t="inlineStr">
        <is>
          <t>CNAME2</t>
        </is>
      </c>
      <c r="I1" s="132" t="inlineStr">
        <is>
          <t>CNAME3</t>
        </is>
      </c>
      <c r="J1" s="132" t="inlineStr">
        <is>
          <t>CNAME4</t>
        </is>
      </c>
      <c r="K1" s="132" t="inlineStr">
        <is>
          <t>CNAME5</t>
        </is>
      </c>
      <c r="L1" s="132" t="inlineStr">
        <is>
          <t>CNAME6</t>
        </is>
      </c>
      <c r="M1" s="132" t="inlineStr">
        <is>
          <t>DESC1</t>
        </is>
      </c>
      <c r="N1" s="132" t="inlineStr">
        <is>
          <t>DESC2</t>
        </is>
      </c>
      <c r="O1" s="132" t="inlineStr">
        <is>
          <t>DESC3</t>
        </is>
      </c>
      <c r="P1" s="132" t="inlineStr">
        <is>
          <t>DESC4</t>
        </is>
      </c>
      <c r="Q1" s="132" t="inlineStr">
        <is>
          <t>DESC5</t>
        </is>
      </c>
      <c r="R1" s="132" t="inlineStr">
        <is>
          <t>DESC6</t>
        </is>
      </c>
      <c r="S1" s="132" t="inlineStr">
        <is>
          <t>LAST IN RATE</t>
        </is>
      </c>
      <c r="T1" s="132" t="inlineStr">
        <is>
          <t>STANDARD RATE</t>
        </is>
      </c>
      <c r="U1" s="132" t="inlineStr">
        <is>
          <t>LISTED_MRP</t>
        </is>
      </c>
      <c r="V1" s="133" t="inlineStr">
        <is>
          <t>COMBO</t>
        </is>
      </c>
      <c r="W1" s="133" t="inlineStr">
        <is>
          <t xml:space="preserve">TNA_Q </t>
        </is>
      </c>
      <c r="X1" s="133" t="inlineStr">
        <is>
          <t>TNA_Q ®</t>
        </is>
      </c>
      <c r="Y1" s="133" t="inlineStr">
        <is>
          <t>PO NO.</t>
        </is>
      </c>
      <c r="Z1" s="134" t="inlineStr">
        <is>
          <t>REMARKS</t>
        </is>
      </c>
      <c r="AA1" s="86" t="n"/>
      <c r="AB1" s="86" t="n"/>
    </row>
    <row r="2" ht="11.95" customHeight="1" s="79"/>
    <row r="3" ht="11.95" customHeight="1" s="79"/>
    <row r="4" ht="11.95" customHeight="1" s="79"/>
    <row r="5" ht="11.95" customHeight="1" s="79"/>
    <row r="6" ht="11.95" customHeight="1" s="79"/>
    <row r="7" ht="11.95" customHeight="1" s="79"/>
    <row r="8" ht="11.95" customHeight="1" s="79"/>
    <row r="9" ht="11.95" customHeight="1" s="79"/>
    <row r="10" ht="11.95" customHeight="1" s="79"/>
    <row r="11" ht="11.95" customHeight="1" s="79"/>
    <row r="12" ht="11.95" customHeight="1" s="79"/>
    <row r="13" ht="11.95" customHeight="1" s="79"/>
    <row r="14" ht="11.95" customHeight="1" s="79"/>
    <row r="15" ht="11.95" customHeight="1" s="79"/>
    <row r="16" ht="11.95" customHeight="1" s="79"/>
    <row r="17" ht="11.95" customHeight="1" s="79"/>
    <row r="18" ht="11.95" customHeight="1" s="79"/>
    <row r="19" ht="11.95" customHeight="1" s="79"/>
    <row r="20" ht="11.95" customHeight="1" s="79"/>
    <row r="21" ht="11.95" customHeight="1" s="79"/>
    <row r="22" ht="11.95" customHeight="1" s="79"/>
    <row r="23" ht="11.95" customHeight="1" s="79"/>
    <row r="24" ht="11.95" customHeight="1" s="79"/>
    <row r="25" ht="11.95" customHeight="1" s="79"/>
    <row r="26" ht="11.95" customHeight="1" s="79"/>
    <row r="27" ht="11.95" customHeight="1" s="79"/>
    <row r="28" ht="11.95" customHeight="1" s="79"/>
    <row r="29" ht="11.95" customHeight="1" s="79"/>
    <row r="30" ht="11.95" customHeight="1" s="79"/>
    <row r="31" ht="11.95" customHeight="1" s="79"/>
    <row r="32" ht="11.95" customHeight="1" s="79"/>
    <row r="33" ht="11.95" customHeight="1" s="79"/>
    <row r="34" ht="11.95" customHeight="1" s="79"/>
    <row r="35" ht="11.95" customHeight="1" s="79"/>
    <row r="36" ht="11.95" customHeight="1" s="79"/>
    <row r="37" ht="11.95" customHeight="1" s="79"/>
    <row r="38" ht="11.95" customHeight="1" s="79"/>
    <row r="39" ht="11.95" customHeight="1" s="79"/>
    <row r="40" ht="11.95" customHeight="1" s="79"/>
    <row r="41" ht="11.95" customHeight="1" s="79"/>
    <row r="42" ht="11.95" customHeight="1" s="79"/>
    <row r="43" ht="11.95" customHeight="1" s="79"/>
    <row r="44" ht="11.95" customHeight="1" s="79"/>
    <row r="45" ht="11.95" customHeight="1" s="79"/>
    <row r="46" ht="11.95" customHeight="1" s="79"/>
    <row r="47" ht="11.95" customHeight="1" s="79"/>
    <row r="48" ht="11.95" customHeight="1" s="79"/>
    <row r="49" ht="11.95" customHeight="1" s="79"/>
    <row r="50" ht="11.95" customHeight="1" s="79"/>
    <row r="51" ht="11.95" customHeight="1" s="79"/>
    <row r="52" ht="11.95" customHeight="1" s="79"/>
    <row r="53" ht="11.95" customHeight="1" s="79"/>
    <row r="54" ht="11.95" customHeight="1" s="79"/>
    <row r="55" ht="11.95" customHeight="1" s="79"/>
    <row r="56" ht="11.95" customHeight="1" s="79"/>
    <row r="57" ht="11.95" customHeight="1" s="79"/>
    <row r="58" ht="11.95" customHeight="1" s="79"/>
    <row r="59" ht="11.95" customHeight="1" s="79"/>
    <row r="60" ht="11.95" customHeight="1" s="79"/>
    <row r="61" ht="11.95" customHeight="1" s="79"/>
    <row r="62" ht="11.95" customHeight="1" s="79"/>
    <row r="63" ht="11.95" customHeight="1" s="79"/>
    <row r="64" ht="11.95" customHeight="1" s="79"/>
    <row r="65" ht="11.95" customHeight="1" s="79"/>
    <row r="66" ht="11.95" customHeight="1" s="79"/>
    <row r="67" ht="11.95" customHeight="1" s="79"/>
    <row r="68" ht="11.95" customHeight="1" s="79"/>
    <row r="69" ht="11.95" customHeight="1" s="79"/>
    <row r="70" ht="11.95" customHeight="1" s="79"/>
    <row r="71" ht="11.95" customHeight="1" s="79"/>
    <row r="72" ht="11.95" customHeight="1" s="79"/>
    <row r="73" ht="11.95" customHeight="1" s="79"/>
    <row r="74" ht="11.95" customHeight="1" s="79"/>
    <row r="75" ht="11.95" customHeight="1" s="79"/>
    <row r="76" ht="11.95" customHeight="1" s="79"/>
    <row r="77" ht="11.95" customHeight="1" s="79"/>
    <row r="78" ht="11.95" customHeight="1" s="79"/>
    <row r="79" ht="11.95" customHeight="1" s="79"/>
    <row r="80" ht="11.95" customHeight="1" s="79"/>
    <row r="81" ht="11.95" customHeight="1" s="79"/>
    <row r="82" ht="11.95" customHeight="1" s="79"/>
    <row r="83" ht="11.95" customHeight="1" s="79"/>
    <row r="84" ht="11.95" customHeight="1" s="79"/>
    <row r="85" ht="11.95" customHeight="1" s="79"/>
    <row r="86" ht="11.95" customHeight="1" s="79"/>
    <row r="87" ht="11.95" customHeight="1" s="79"/>
    <row r="88" ht="11.95" customHeight="1" s="79"/>
    <row r="89" ht="11.95" customHeight="1" s="79"/>
    <row r="90" ht="11.95" customHeight="1" s="79"/>
    <row r="91" ht="11.95" customHeight="1" s="79"/>
    <row r="92" ht="11.95" customHeight="1" s="79"/>
    <row r="93" ht="11.95" customHeight="1" s="79"/>
    <row r="94" ht="11.95" customHeight="1" s="79"/>
    <row r="95" ht="11.95" customHeight="1" s="79"/>
    <row r="96" ht="11.95" customHeight="1" s="79"/>
    <row r="97" ht="11.95" customHeight="1" s="79"/>
    <row r="98" ht="11.95" customHeight="1" s="79"/>
    <row r="99" ht="11.95" customHeight="1" s="79"/>
    <row r="100" ht="11.95" customHeight="1" s="79"/>
    <row r="101" ht="11.95" customHeight="1" s="79"/>
    <row r="102" ht="11.95" customHeight="1" s="79"/>
    <row r="103" ht="11.95" customHeight="1" s="79"/>
    <row r="104" ht="11.95" customHeight="1" s="79"/>
    <row r="105" ht="11.95" customHeight="1" s="79"/>
    <row r="106" ht="11.95" customHeight="1" s="79"/>
    <row r="107" ht="11.95" customHeight="1" s="79"/>
    <row r="108" ht="11.95" customHeight="1" s="79"/>
    <row r="109" ht="11.95" customHeight="1" s="79"/>
    <row r="110" ht="11.95" customHeight="1" s="79"/>
    <row r="111" ht="11.95" customHeight="1" s="79"/>
    <row r="112" ht="11.95" customHeight="1" s="79"/>
    <row r="113" ht="11.95" customHeight="1" s="79"/>
    <row r="114" ht="11.95" customHeight="1" s="79"/>
    <row r="115" ht="11.95" customHeight="1" s="79"/>
    <row r="116" ht="11.95" customHeight="1" s="79"/>
    <row r="117" ht="11.95" customHeight="1" s="79"/>
    <row r="118" ht="11.95" customHeight="1" s="79"/>
    <row r="119" ht="11.95" customHeight="1" s="79"/>
    <row r="120" ht="11.95" customHeight="1" s="79"/>
    <row r="121" ht="11.95" customHeight="1" s="79"/>
    <row r="122" ht="11.95" customHeight="1" s="79"/>
    <row r="123" ht="11.95" customHeight="1" s="79"/>
    <row r="124" ht="11.95" customHeight="1" s="79"/>
    <row r="125" ht="11.95" customHeight="1" s="79"/>
    <row r="126" ht="11.95" customHeight="1" s="79"/>
    <row r="127" ht="11.95" customHeight="1" s="79"/>
    <row r="128" ht="11.95" customHeight="1" s="79"/>
    <row r="129" ht="11.95" customHeight="1" s="79"/>
    <row r="130" ht="11.95" customHeight="1" s="79"/>
    <row r="131" ht="11.95" customHeight="1" s="79"/>
    <row r="132" ht="11.95" customHeight="1" s="79"/>
    <row r="133" ht="11.95" customHeight="1" s="79"/>
    <row r="134" ht="11.95" customHeight="1" s="79"/>
    <row r="135" ht="11.95" customHeight="1" s="79"/>
    <row r="136" ht="11.95" customHeight="1" s="79"/>
    <row r="137" ht="11.95" customHeight="1" s="79"/>
    <row r="138" ht="11.95" customHeight="1" s="79"/>
    <row r="139" ht="11.95" customHeight="1" s="79"/>
    <row r="140" ht="11.95" customHeight="1" s="79"/>
    <row r="141" ht="11.95" customHeight="1" s="79"/>
    <row r="142" ht="11.95" customHeight="1" s="79"/>
    <row r="143" ht="11.95" customHeight="1" s="79"/>
    <row r="144" ht="11.95" customHeight="1" s="79"/>
    <row r="145" ht="11.95" customHeight="1" s="79"/>
    <row r="146" ht="11.95" customHeight="1" s="79"/>
    <row r="147" ht="11.95" customHeight="1" s="79"/>
    <row r="148" ht="11.95" customHeight="1" s="79"/>
    <row r="149" ht="11.95" customHeight="1" s="79"/>
    <row r="150" ht="11.95" customHeight="1" s="79"/>
    <row r="151" ht="11.95" customHeight="1" s="79"/>
    <row r="152" ht="11.95" customHeight="1" s="79"/>
    <row r="153" ht="11.95" customHeight="1" s="79"/>
    <row r="154" ht="11.95" customHeight="1" s="79"/>
    <row r="155" ht="11.95" customHeight="1" s="79"/>
    <row r="156" ht="11.95" customHeight="1" s="79"/>
    <row r="157" ht="11.95" customHeight="1" s="79"/>
    <row r="158" ht="11.95" customHeight="1" s="79"/>
    <row r="159" ht="11.95" customHeight="1" s="79"/>
    <row r="160" ht="11.95" customHeight="1" s="79"/>
    <row r="161" ht="11.95" customHeight="1" s="79"/>
    <row r="162" ht="11.95" customHeight="1" s="79"/>
    <row r="163" ht="11.95" customHeight="1" s="79"/>
    <row r="164" ht="11.95" customHeight="1" s="79"/>
    <row r="165" ht="11.95" customHeight="1" s="79"/>
    <row r="166" ht="11.95" customHeight="1" s="79"/>
    <row r="167" ht="11.95" customHeight="1" s="79"/>
    <row r="168" ht="11.95" customHeight="1" s="79"/>
    <row r="169" ht="11.95" customHeight="1" s="79"/>
    <row r="170" ht="11.95" customHeight="1" s="79"/>
    <row r="171" ht="11.95" customHeight="1" s="79"/>
    <row r="172" ht="11.95" customHeight="1" s="79"/>
    <row r="173" ht="11.95" customHeight="1" s="79"/>
    <row r="174" ht="11.95" customHeight="1" s="79"/>
    <row r="175" ht="11.95" customHeight="1" s="79"/>
    <row r="176" ht="11.95" customHeight="1" s="79"/>
    <row r="177" ht="11.95" customHeight="1" s="79"/>
    <row r="178" ht="11.95" customHeight="1" s="79"/>
    <row r="179" ht="11.95" customHeight="1" s="79"/>
    <row r="180" ht="11.95" customHeight="1" s="79"/>
    <row r="181" ht="11.95" customHeight="1" s="79"/>
    <row r="182" ht="11.95" customHeight="1" s="79"/>
    <row r="183" ht="11.95" customHeight="1" s="79"/>
    <row r="184" ht="11.95" customHeight="1" s="79"/>
    <row r="185" ht="11.95" customHeight="1" s="79"/>
    <row r="186" ht="11.95" customHeight="1" s="79"/>
    <row r="187" ht="11.95" customHeight="1" s="79"/>
    <row r="188" ht="11.95" customHeight="1" s="79"/>
    <row r="189" ht="11.95" customHeight="1" s="79"/>
    <row r="190" ht="11.95" customHeight="1" s="79"/>
    <row r="191" ht="11.95" customHeight="1" s="79"/>
    <row r="192" ht="11.95" customHeight="1" s="79"/>
    <row r="193" ht="11.95" customHeight="1" s="79"/>
    <row r="194" ht="11.95" customHeight="1" s="79"/>
    <row r="195" ht="11.95" customHeight="1" s="79"/>
    <row r="196" ht="11.95" customHeight="1" s="79"/>
    <row r="197" ht="11.95" customHeight="1" s="79"/>
    <row r="198" ht="11.95" customHeight="1" s="79"/>
    <row r="199" ht="11.95" customHeight="1" s="79"/>
    <row r="200" ht="11.95" customHeight="1" s="79"/>
    <row r="201" ht="11.95" customHeight="1" s="79"/>
    <row r="202" ht="11.95" customHeight="1" s="79"/>
    <row r="203" ht="11.95" customHeight="1" s="79"/>
    <row r="204" ht="11.95" customHeight="1" s="79"/>
    <row r="205" ht="11.95" customHeight="1" s="79"/>
    <row r="206" ht="11.95" customHeight="1" s="79"/>
    <row r="207" ht="11.95" customHeight="1" s="79"/>
    <row r="208" ht="11.95" customHeight="1" s="79"/>
    <row r="209" ht="11.95" customHeight="1" s="79"/>
    <row r="210" ht="11.95" customHeight="1" s="79"/>
    <row r="211" ht="11.95" customHeight="1" s="79"/>
    <row r="212" ht="11.95" customHeight="1" s="79"/>
    <row r="213" ht="11.95" customHeight="1" s="79"/>
    <row r="214" ht="11.95" customHeight="1" s="79"/>
    <row r="215" ht="11.95" customHeight="1" s="79"/>
    <row r="216" ht="11.95" customHeight="1" s="79"/>
    <row r="217" ht="11.95" customHeight="1" s="79"/>
    <row r="218" ht="11.95" customHeight="1" s="79"/>
    <row r="219" ht="11.95" customHeight="1" s="79"/>
    <row r="220" ht="11.95" customHeight="1" s="79"/>
    <row r="221" ht="11.95" customHeight="1" s="79"/>
    <row r="222" ht="11.95" customHeight="1" s="79"/>
    <row r="223" ht="11.95" customHeight="1" s="79"/>
    <row r="224" ht="11.95" customHeight="1" s="79"/>
    <row r="225" ht="11.95" customHeight="1" s="79"/>
    <row r="226" ht="11.95" customHeight="1" s="79"/>
    <row r="227" ht="11.95" customHeight="1" s="79"/>
    <row r="228" ht="11.95" customHeight="1" s="79"/>
    <row r="229" ht="11.95" customHeight="1" s="79"/>
    <row r="230" ht="11.95" customHeight="1" s="79"/>
    <row r="231" ht="11.95" customHeight="1" s="79"/>
    <row r="232" ht="11.95" customHeight="1" s="79"/>
    <row r="233" ht="11.95" customHeight="1" s="79"/>
    <row r="234" ht="11.95" customHeight="1" s="79"/>
    <row r="235" ht="11.95" customHeight="1" s="79"/>
    <row r="236" ht="11.95" customHeight="1" s="79"/>
    <row r="237" ht="11.95" customHeight="1" s="79"/>
    <row r="238" ht="11.95" customHeight="1" s="79"/>
    <row r="239" ht="11.95" customHeight="1" s="79"/>
    <row r="240" ht="11.95" customHeight="1" s="79"/>
    <row r="241" ht="11.95" customHeight="1" s="79"/>
    <row r="242" ht="11.95" customHeight="1" s="79"/>
    <row r="243" ht="11.95" customHeight="1" s="79"/>
    <row r="244" ht="11.95" customHeight="1" s="79"/>
    <row r="245" ht="11.95" customHeight="1" s="79"/>
    <row r="246" ht="11.95" customHeight="1" s="79"/>
    <row r="247" ht="11.95" customHeight="1" s="79"/>
    <row r="248" ht="11.95" customHeight="1" s="79"/>
    <row r="249" ht="11.95" customHeight="1" s="79"/>
    <row r="250" ht="11.95" customHeight="1" s="79"/>
    <row r="251" ht="11.95" customHeight="1" s="79"/>
    <row r="252" ht="11.95" customHeight="1" s="79"/>
    <row r="253" ht="11.95" customHeight="1" s="79"/>
    <row r="254" ht="11.95" customHeight="1" s="79"/>
    <row r="255" ht="11.95" customHeight="1" s="79"/>
    <row r="256" ht="11.95" customHeight="1" s="79"/>
    <row r="257" ht="11.95" customHeight="1" s="79"/>
    <row r="258" ht="11.95" customHeight="1" s="79"/>
    <row r="259" ht="11.95" customHeight="1" s="79"/>
    <row r="260" ht="11.95" customHeight="1" s="79"/>
    <row r="261" ht="11.95" customHeight="1" s="79"/>
    <row r="262" ht="11.95" customHeight="1" s="79"/>
    <row r="263" ht="11.95" customHeight="1" s="79"/>
    <row r="264" ht="11.95" customHeight="1" s="79"/>
    <row r="265" ht="11.95" customHeight="1" s="79"/>
    <row r="266" ht="11.95" customHeight="1" s="79"/>
    <row r="267" ht="11.95" customHeight="1" s="79"/>
    <row r="268" ht="11.95" customHeight="1" s="79"/>
    <row r="269" ht="11.95" customHeight="1" s="79"/>
    <row r="270" ht="11.95" customHeight="1" s="79"/>
    <row r="271" ht="11.95" customHeight="1" s="79"/>
    <row r="272" ht="11.95" customHeight="1" s="79"/>
    <row r="273" ht="11.95" customHeight="1" s="79"/>
    <row r="274" ht="11.95" customHeight="1" s="79"/>
    <row r="275" ht="11.95" customHeight="1" s="79"/>
    <row r="276" ht="11.95" customHeight="1" s="79"/>
    <row r="277" ht="11.95" customHeight="1" s="79"/>
    <row r="278" ht="11.95" customHeight="1" s="79"/>
    <row r="279" ht="11.95" customHeight="1" s="79"/>
    <row r="280" ht="11.95" customHeight="1" s="79"/>
    <row r="281" ht="11.95" customHeight="1" s="79"/>
    <row r="282" ht="11.95" customHeight="1" s="79"/>
    <row r="283" ht="11.95" customHeight="1" s="79"/>
    <row r="284" ht="11.95" customHeight="1" s="79"/>
    <row r="285" ht="11.95" customHeight="1" s="79"/>
    <row r="286" ht="11.95" customHeight="1" s="79"/>
    <row r="287" ht="11.95" customHeight="1" s="79"/>
    <row r="288" ht="11.95" customHeight="1" s="79"/>
    <row r="289" ht="11.95" customHeight="1" s="79"/>
    <row r="290" ht="11.95" customHeight="1" s="79"/>
    <row r="291" ht="11.95" customHeight="1" s="79"/>
    <row r="292" ht="11.95" customHeight="1" s="79"/>
    <row r="293" ht="11.95" customHeight="1" s="79"/>
    <row r="294" ht="11.95" customHeight="1" s="79"/>
    <row r="295" ht="11.95" customHeight="1" s="79"/>
    <row r="296" ht="11.95" customHeight="1" s="79"/>
    <row r="297" ht="11.95" customHeight="1" s="79"/>
    <row r="298" ht="11.95" customHeight="1" s="79"/>
    <row r="299" ht="11.95" customHeight="1" s="79"/>
    <row r="300" ht="11.95" customHeight="1" s="79"/>
    <row r="301" ht="11.95" customHeight="1" s="79"/>
    <row r="302" ht="11.95" customHeight="1" s="79"/>
    <row r="303" ht="11.95" customHeight="1" s="79"/>
    <row r="304" ht="11.95" customHeight="1" s="79"/>
    <row r="305" ht="11.95" customHeight="1" s="79"/>
    <row r="306" ht="11.95" customHeight="1" s="79"/>
    <row r="307" ht="11.95" customHeight="1" s="79"/>
    <row r="308" ht="11.95" customHeight="1" s="79"/>
    <row r="309" ht="11.95" customHeight="1" s="79"/>
    <row r="310" ht="11.95" customHeight="1" s="79"/>
    <row r="311" ht="11.95" customHeight="1" s="79"/>
    <row r="312" ht="11.95" customHeight="1" s="79"/>
    <row r="313" ht="11.95" customHeight="1" s="79"/>
    <row r="314" ht="11.95" customHeight="1" s="79"/>
    <row r="315" ht="11.95" customHeight="1" s="79"/>
    <row r="316" ht="11.95" customHeight="1" s="79"/>
    <row r="317" ht="11.95" customHeight="1" s="79"/>
    <row r="318" ht="11.95" customHeight="1" s="79"/>
    <row r="319" ht="11.95" customHeight="1" s="79"/>
    <row r="320" ht="11.95" customHeight="1" s="79"/>
    <row r="321" ht="11.95" customHeight="1" s="79"/>
    <row r="322" ht="11.95" customHeight="1" s="79"/>
    <row r="323" ht="11.95" customHeight="1" s="79"/>
    <row r="324" ht="11.95" customHeight="1" s="79"/>
    <row r="325" ht="11.95" customHeight="1" s="79"/>
    <row r="326" ht="11.95" customHeight="1" s="79"/>
    <row r="327" ht="11.95" customHeight="1" s="79"/>
    <row r="328" ht="11.95" customHeight="1" s="79"/>
    <row r="329" ht="11.95" customHeight="1" s="79"/>
    <row r="330" ht="11.95" customHeight="1" s="79"/>
    <row r="331" ht="11.95" customHeight="1" s="79"/>
    <row r="332" ht="11.95" customHeight="1" s="79"/>
    <row r="333" ht="11.95" customHeight="1" s="79"/>
    <row r="334" ht="11.95" customHeight="1" s="79"/>
    <row r="335" ht="11.95" customHeight="1" s="79"/>
    <row r="336" ht="11.95" customHeight="1" s="79"/>
    <row r="337" ht="11.95" customHeight="1" s="79"/>
    <row r="338" ht="11.95" customHeight="1" s="79"/>
    <row r="339" ht="11.95" customHeight="1" s="79"/>
    <row r="340" ht="11.95" customHeight="1" s="79"/>
    <row r="341" ht="11.95" customHeight="1" s="79"/>
    <row r="342" ht="11.95" customHeight="1" s="79"/>
    <row r="343" ht="11.95" customHeight="1" s="79"/>
    <row r="344" ht="11.95" customHeight="1" s="79"/>
    <row r="345" ht="11.95" customHeight="1" s="79"/>
    <row r="346" ht="11.95" customHeight="1" s="79"/>
    <row r="347" ht="11.95" customHeight="1" s="79"/>
    <row r="348" ht="11.95" customHeight="1" s="79"/>
    <row r="349" ht="11.95" customHeight="1" s="79"/>
    <row r="350" ht="11.95" customHeight="1" s="79"/>
    <row r="351" ht="11.95" customHeight="1" s="79"/>
    <row r="352" ht="11.95" customHeight="1" s="79"/>
    <row r="353" ht="11.95" customHeight="1" s="79"/>
    <row r="354" ht="11.95" customHeight="1" s="79"/>
    <row r="355" ht="11.95" customHeight="1" s="79"/>
    <row r="356" ht="11.95" customHeight="1" s="79"/>
    <row r="357" ht="11.95" customHeight="1" s="79"/>
    <row r="358" ht="11.95" customHeight="1" s="79"/>
    <row r="359" ht="11.95" customHeight="1" s="79"/>
    <row r="360" ht="11.95" customHeight="1" s="79"/>
    <row r="361" ht="11.95" customHeight="1" s="79"/>
    <row r="362" ht="11.95" customHeight="1" s="79"/>
    <row r="363" ht="11.95" customHeight="1" s="79"/>
    <row r="364" ht="11.95" customHeight="1" s="79"/>
    <row r="365" ht="11.95" customHeight="1" s="79"/>
    <row r="366" ht="11.95" customHeight="1" s="79"/>
    <row r="367" ht="11.95" customHeight="1" s="79"/>
    <row r="368" ht="11.95" customHeight="1" s="79"/>
    <row r="369" ht="11.95" customHeight="1" s="79"/>
    <row r="370" ht="11.95" customHeight="1" s="79"/>
    <row r="371" ht="11.95" customHeight="1" s="79"/>
    <row r="372" ht="11.95" customHeight="1" s="79"/>
    <row r="373" ht="11.95" customHeight="1" s="79"/>
    <row r="374" ht="11.95" customHeight="1" s="79"/>
    <row r="375" ht="11.95" customHeight="1" s="79"/>
    <row r="376" ht="11.95" customHeight="1" s="79"/>
    <row r="377" ht="11.95" customHeight="1" s="79"/>
    <row r="378" ht="11.95" customHeight="1" s="79"/>
    <row r="379" ht="11.95" customHeight="1" s="79"/>
    <row r="380" ht="11.95" customHeight="1" s="79"/>
    <row r="381" ht="11.95" customHeight="1" s="79"/>
    <row r="382" ht="11.95" customHeight="1" s="79"/>
    <row r="383" ht="11.95" customHeight="1" s="79"/>
    <row r="384" ht="11.95" customHeight="1" s="79"/>
    <row r="385" ht="11.95" customHeight="1" s="79"/>
    <row r="386" ht="11.95" customHeight="1" s="79"/>
    <row r="387" ht="11.95" customHeight="1" s="79"/>
    <row r="388" ht="11.95" customHeight="1" s="79"/>
    <row r="389" ht="11.95" customHeight="1" s="79"/>
    <row r="390" ht="11.95" customHeight="1" s="79"/>
    <row r="391" ht="11.95" customHeight="1" s="79"/>
    <row r="392" ht="11.95" customHeight="1" s="79"/>
    <row r="393" ht="11.95" customHeight="1" s="79"/>
    <row r="394" ht="11.95" customHeight="1" s="79"/>
    <row r="395" ht="11.95" customHeight="1" s="79"/>
    <row r="396" ht="11.95" customHeight="1" s="79"/>
    <row r="397" ht="11.95" customHeight="1" s="79"/>
    <row r="398" ht="11.95" customHeight="1" s="79"/>
    <row r="399" ht="11.95" customHeight="1" s="79"/>
    <row r="400" ht="11.95" customHeight="1" s="79"/>
  </sheetData>
  <conditionalFormatting sqref="V2:V373">
    <cfRule type="duplicateValues" rank="0" priority="2" equalAverage="0" aboveAverage="0" dxfId="10" text="" percent="0" bottom="0"/>
  </conditionalFormatting>
  <conditionalFormatting sqref="V2:V110">
    <cfRule type="duplicateValues" rank="0" priority="3" equalAverage="0" aboveAverage="0" dxfId="1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M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70703125" defaultRowHeight="11.3" customHeight="1" zeroHeight="0" outlineLevelRow="0"/>
  <cols>
    <col width="4.3" customWidth="1" style="135" min="1" max="1"/>
    <col width="6.51" customWidth="1" style="135" min="2" max="2"/>
    <col width="7.2" customWidth="1" style="135" min="3" max="3"/>
    <col width="6.51" customWidth="1" style="135" min="4" max="4"/>
    <col width="10.51" customWidth="1" style="135" min="5" max="5"/>
    <col width="5" customWidth="1" style="135" min="6" max="6"/>
    <col width="11.2" customWidth="1" style="135" min="7" max="7"/>
    <col width="9.51" customWidth="1" style="135" min="8" max="8"/>
    <col width="8.5" customWidth="1" style="135" min="9" max="9"/>
    <col width="6.51" customWidth="1" style="135" min="10" max="14"/>
    <col width="9.789999999999999" customWidth="1" style="135" min="15" max="15"/>
    <col width="5" customWidth="1" style="135" min="16" max="19"/>
    <col width="8.800000000000001" customWidth="1" style="135" min="20" max="20"/>
    <col width="9.51" customWidth="1" style="135" min="21" max="21"/>
    <col width="4.79" customWidth="1" style="136" min="22" max="22"/>
    <col width="5.71" customWidth="1" style="136" min="23" max="23"/>
    <col width="9.51" customWidth="1" style="136" min="24" max="24"/>
    <col width="7.79" customWidth="1" style="136" min="25" max="25"/>
    <col width="9.51" customWidth="1" style="135" min="26" max="27"/>
    <col width="7.3" customWidth="1" style="135" min="28" max="28"/>
    <col width="9.51" customWidth="1" style="135" min="29" max="29"/>
    <col width="10.3" customWidth="1" style="135" min="30" max="30"/>
    <col width="8.5" customWidth="1" style="136" min="31" max="31"/>
    <col width="9.51" customWidth="1" style="135" min="32" max="32"/>
    <col width="10.3" customWidth="1" style="135" min="33" max="33"/>
    <col width="8.5" customWidth="1" style="136" min="34" max="34"/>
    <col width="9.51" customWidth="1" style="135" min="35" max="35"/>
    <col width="10.3" customWidth="1" style="135" min="36" max="36"/>
    <col width="8.800000000000001" customWidth="1" style="135" min="37" max="37"/>
    <col width="11.79" customWidth="1" style="137" min="38" max="38"/>
    <col width="12.2" customWidth="1" style="137" min="39" max="39"/>
    <col width="8.699999999999999" customWidth="1" style="135" min="40" max="16384"/>
  </cols>
  <sheetData>
    <row r="1" ht="11.3" customHeight="1" s="79">
      <c r="A1" s="138" t="inlineStr">
        <is>
          <t>S. NO</t>
        </is>
      </c>
      <c r="B1" s="138" t="inlineStr">
        <is>
          <t>CNAME2</t>
        </is>
      </c>
      <c r="C1" s="138" t="inlineStr">
        <is>
          <t>DIVISION</t>
        </is>
      </c>
      <c r="D1" s="138" t="inlineStr">
        <is>
          <t>SECTION</t>
        </is>
      </c>
      <c r="E1" s="138" t="inlineStr">
        <is>
          <t>DEPARTMENT</t>
        </is>
      </c>
      <c r="F1" s="138" t="inlineStr">
        <is>
          <t>DESC3</t>
        </is>
      </c>
      <c r="G1" s="138" t="inlineStr">
        <is>
          <t>ARTICLE_NAME</t>
        </is>
      </c>
      <c r="H1" s="138" t="inlineStr">
        <is>
          <t>ATTRIBUTE1</t>
        </is>
      </c>
      <c r="I1" s="138" t="inlineStr">
        <is>
          <t>MC_STATUS</t>
        </is>
      </c>
      <c r="J1" s="138" t="inlineStr">
        <is>
          <t>CNAME1</t>
        </is>
      </c>
      <c r="K1" s="138" t="inlineStr">
        <is>
          <t>CNAME3</t>
        </is>
      </c>
      <c r="L1" s="138" t="inlineStr">
        <is>
          <t>CNAME4</t>
        </is>
      </c>
      <c r="M1" s="138" t="inlineStr">
        <is>
          <t>CNAME5</t>
        </is>
      </c>
      <c r="N1" s="138" t="inlineStr">
        <is>
          <t>CNAME6</t>
        </is>
      </c>
      <c r="O1" s="138" t="inlineStr">
        <is>
          <t>DESC1</t>
        </is>
      </c>
      <c r="P1" s="138" t="inlineStr">
        <is>
          <t>DESC2</t>
        </is>
      </c>
      <c r="Q1" s="138" t="inlineStr">
        <is>
          <t>DESC5</t>
        </is>
      </c>
      <c r="R1" s="138" t="inlineStr">
        <is>
          <t>DESC6</t>
        </is>
      </c>
      <c r="S1" s="138" t="inlineStr">
        <is>
          <t>DESC4</t>
        </is>
      </c>
      <c r="T1" s="138" t="inlineStr">
        <is>
          <t>FINAL RATE</t>
        </is>
      </c>
      <c r="U1" s="138" t="inlineStr">
        <is>
          <t>LISTED_MRP</t>
        </is>
      </c>
      <c r="V1" s="138" t="inlineStr">
        <is>
          <t>NM %</t>
        </is>
      </c>
      <c r="W1" s="138" t="inlineStr">
        <is>
          <t>TGM %</t>
        </is>
      </c>
      <c r="X1" s="138" t="inlineStr">
        <is>
          <t>MC_OTB QTY</t>
        </is>
      </c>
      <c r="Y1" s="138" t="inlineStr">
        <is>
          <t>NO OF SET1</t>
        </is>
      </c>
      <c r="Z1" s="138" t="inlineStr">
        <is>
          <t>ORDER QTY1</t>
        </is>
      </c>
      <c r="AA1" s="138" t="inlineStr">
        <is>
          <t>ORDER AMT.1</t>
        </is>
      </c>
      <c r="AB1" s="138" t="inlineStr">
        <is>
          <t>BARCODE</t>
        </is>
      </c>
      <c r="AC1" s="138" t="inlineStr">
        <is>
          <t>ORDER QTY2</t>
        </is>
      </c>
      <c r="AD1" s="138" t="inlineStr">
        <is>
          <t>ORDER AMT.2</t>
        </is>
      </c>
      <c r="AE1" s="138" t="inlineStr">
        <is>
          <t>NO OF SET3</t>
        </is>
      </c>
      <c r="AF1" s="138" t="inlineStr">
        <is>
          <t>ORDER QTY3</t>
        </is>
      </c>
      <c r="AG1" s="138" t="inlineStr">
        <is>
          <t>ORDER AMT.3</t>
        </is>
      </c>
      <c r="AH1" s="138" t="inlineStr">
        <is>
          <t>NO OF SET4</t>
        </is>
      </c>
      <c r="AI1" s="138" t="inlineStr">
        <is>
          <t>ORDER QTY4</t>
        </is>
      </c>
      <c r="AJ1" s="138" t="inlineStr">
        <is>
          <t>ORDER AMT.4</t>
        </is>
      </c>
      <c r="AK1" s="139" t="inlineStr">
        <is>
          <t>ITEM_NAME</t>
        </is>
      </c>
      <c r="AL1" s="138" t="inlineStr">
        <is>
          <t>TTL ORDER QTY</t>
        </is>
      </c>
      <c r="AM1" s="138" t="inlineStr">
        <is>
          <t>TTL ORDER AMT</t>
        </is>
      </c>
    </row>
    <row r="2" ht="11.3" customHeight="1" s="79"/>
    <row r="3" ht="11.3" customHeight="1" s="79"/>
    <row r="4" ht="11.3" customHeight="1" s="79"/>
    <row r="5" ht="11.3" customHeight="1" s="79"/>
    <row r="6" ht="11.3" customHeight="1" s="79"/>
    <row r="7" ht="11.3" customHeight="1" s="79"/>
    <row r="8" ht="11.3" customHeight="1" s="79"/>
    <row r="9" ht="11.3" customHeight="1" s="79"/>
    <row r="10" ht="11.3" customHeight="1" s="79"/>
    <row r="11" ht="11.3" customHeight="1" s="79"/>
    <row r="12" ht="11.3" customHeight="1" s="79"/>
    <row r="13" ht="11.3" customHeight="1" s="79"/>
    <row r="14" ht="11.3" customHeight="1" s="79"/>
    <row r="15" ht="11.3" customHeight="1" s="79"/>
    <row r="16" ht="11.3" customHeight="1" s="79"/>
    <row r="17" ht="11.3" customHeight="1" s="79"/>
    <row r="18" ht="11.3" customHeight="1" s="79"/>
    <row r="19" ht="11.3" customHeight="1" s="79"/>
    <row r="20" ht="11.3" customHeight="1" s="79"/>
    <row r="21" ht="11.3" customHeight="1" s="79"/>
    <row r="22" ht="11.3" customHeight="1" s="79"/>
    <row r="23" ht="11.3" customHeight="1" s="79"/>
    <row r="24" ht="11.3" customHeight="1" s="79"/>
    <row r="25" ht="11.3" customHeight="1" s="79"/>
    <row r="26" ht="11.3" customHeight="1" s="79"/>
    <row r="27" ht="11.3" customHeight="1" s="79"/>
    <row r="28" ht="11.3" customHeight="1" s="79"/>
    <row r="29" ht="11.3" customHeight="1" s="79"/>
    <row r="30" ht="11.3" customHeight="1" s="79"/>
    <row r="31" ht="11.3" customHeight="1" s="79"/>
    <row r="32" ht="11.3" customHeight="1" s="79"/>
    <row r="33" ht="11.3" customHeight="1" s="79"/>
    <row r="34" ht="11.3" customHeight="1" s="79"/>
    <row r="35" ht="11.3" customHeight="1" s="79"/>
    <row r="36" ht="11.3" customHeight="1" s="79"/>
    <row r="37" ht="11.3" customHeight="1" s="79"/>
    <row r="38" ht="11.3" customHeight="1" s="79"/>
    <row r="39" ht="11.3" customHeight="1" s="79"/>
    <row r="40" ht="11.3" customHeight="1" s="79"/>
    <row r="41" ht="11.3" customHeight="1" s="79"/>
    <row r="42" ht="11.3" customHeight="1" s="79"/>
    <row r="43" ht="11.3" customHeight="1" s="79"/>
    <row r="44" ht="11.3" customHeight="1" s="79"/>
    <row r="45" ht="11.3" customHeight="1" s="79"/>
    <row r="46" ht="11.3" customHeight="1" s="79"/>
    <row r="47" ht="11.3" customHeight="1" s="79"/>
    <row r="211" ht="11.3" customHeight="1" s="79"/>
    <row r="212" ht="11.3" customHeight="1" s="79"/>
    <row r="213" ht="11.3" customHeight="1" s="79"/>
    <row r="214" ht="11.3" customHeight="1" s="79"/>
    <row r="215" ht="11.3" customHeight="1" s="79"/>
    <row r="216" ht="11.3" customHeight="1" s="79"/>
    <row r="217" ht="11.3" customHeight="1" s="79"/>
    <row r="218" ht="11.3" customHeight="1" s="79"/>
    <row r="219" ht="11.3" customHeight="1" s="79"/>
    <row r="220" ht="11.3" customHeight="1" s="79"/>
    <row r="221" ht="11.3" customHeight="1" s="79"/>
    <row r="222" ht="11.3" customHeight="1" s="79"/>
    <row r="223" ht="11.3" customHeight="1" s="79"/>
    <row r="224" ht="11.3" customHeight="1" s="79"/>
    <row r="225" ht="11.3" customHeight="1" s="79"/>
    <row r="226" ht="11.3" customHeight="1" s="79"/>
    <row r="227" ht="11.3" customHeight="1" s="79"/>
    <row r="228" ht="11.3" customHeight="1" s="79"/>
    <row r="229" ht="11.3" customHeight="1" s="79"/>
    <row r="230" ht="11.3" customHeight="1" s="79"/>
    <row r="231" ht="11.3" customHeight="1" s="79"/>
    <row r="232" ht="11.3" customHeight="1" s="79"/>
    <row r="233" ht="11.3" customHeight="1" s="79"/>
    <row r="234" ht="11.3" customHeight="1" s="79"/>
    <row r="235" ht="11.3" customHeight="1" s="79"/>
    <row r="236" ht="11.3" customHeight="1" s="79"/>
    <row r="237" ht="11.3" customHeight="1" s="79"/>
    <row r="238" ht="11.3" customHeight="1" s="79"/>
    <row r="239" ht="11.3" customHeight="1" s="79"/>
    <row r="240" ht="11.3" customHeight="1" s="79"/>
    <row r="241" ht="11.3" customHeight="1" s="79"/>
    <row r="242" ht="11.3" customHeight="1" s="79"/>
    <row r="243" ht="11.3" customHeight="1" s="79"/>
    <row r="244" ht="11.3" customHeight="1" s="79"/>
    <row r="245" ht="11.3" customHeight="1" s="79"/>
    <row r="246" ht="11.3" customHeight="1" s="79"/>
    <row r="247" ht="11.3" customHeight="1" s="79"/>
    <row r="248" ht="11.3" customHeight="1" s="79"/>
    <row r="249" ht="11.3" customHeight="1" s="79"/>
    <row r="250" ht="11.3" customHeight="1" s="79"/>
    <row r="251" ht="11.3" customHeight="1" s="79"/>
    <row r="252" ht="11.3" customHeight="1" s="79"/>
    <row r="253" ht="11.3" customHeight="1" s="79"/>
    <row r="254" ht="11.3" customHeight="1" s="79"/>
    <row r="255" ht="11.3" customHeight="1" s="79"/>
    <row r="256" ht="11.3" customHeight="1" s="79"/>
    <row r="257" ht="11.3" customHeight="1" s="79"/>
    <row r="258" ht="11.3" customHeight="1" s="79"/>
    <row r="259" ht="11.3" customHeight="1" s="79"/>
    <row r="260" ht="11.3" customHeight="1" s="79"/>
    <row r="261" ht="11.3" customHeight="1" s="79"/>
    <row r="262" ht="11.3" customHeight="1" s="79"/>
    <row r="263" ht="11.3" customHeight="1" s="79"/>
    <row r="264" ht="11.3" customHeight="1" s="79"/>
    <row r="265" ht="11.3" customHeight="1" s="79"/>
    <row r="266" ht="11.3" customHeight="1" s="79"/>
    <row r="267" ht="11.3" customHeight="1" s="79"/>
    <row r="268" ht="11.3" customHeight="1" s="79"/>
    <row r="269" ht="11.3" customHeight="1" s="79"/>
    <row r="270" ht="11.3" customHeight="1" s="79"/>
    <row r="271" ht="11.3" customHeight="1" s="79"/>
    <row r="272" ht="11.3" customHeight="1" s="79"/>
    <row r="273" ht="11.3" customHeight="1" s="79"/>
    <row r="274" ht="11.3" customHeight="1" s="79"/>
    <row r="275" ht="11.3" customHeight="1" s="79"/>
    <row r="276" ht="11.3" customHeight="1" s="79"/>
    <row r="277" ht="11.3" customHeight="1" s="79"/>
    <row r="278" ht="11.3" customHeight="1" s="79"/>
    <row r="279" ht="11.3" customHeight="1" s="79"/>
    <row r="280" ht="11.3" customHeight="1" s="79"/>
    <row r="281" ht="11.3" customHeight="1" s="79"/>
    <row r="282" ht="11.3" customHeight="1" s="79"/>
    <row r="283" ht="11.3" customHeight="1" s="79"/>
    <row r="284" ht="11.3" customHeight="1" s="79"/>
    <row r="285" ht="11.3" customHeight="1" s="79"/>
    <row r="286" ht="11.3" customHeight="1" s="79"/>
    <row r="287" ht="11.3" customHeight="1" s="79"/>
    <row r="288" ht="11.3" customHeight="1" s="79"/>
    <row r="289" ht="11.3" customHeight="1" s="79"/>
    <row r="290" ht="11.3" customHeight="1" s="79"/>
    <row r="291" ht="11.3" customHeight="1" s="79"/>
    <row r="292" ht="11.3" customHeight="1" s="79"/>
    <row r="293" ht="11.3" customHeight="1" s="79"/>
    <row r="294" ht="11.3" customHeight="1" s="79"/>
    <row r="295" ht="11.3" customHeight="1" s="79"/>
    <row r="296" ht="11.3" customHeight="1" s="79"/>
    <row r="297" ht="11.3" customHeight="1" s="79"/>
    <row r="298" ht="11.3" customHeight="1" s="79"/>
    <row r="299" ht="11.3" customHeight="1" s="79"/>
    <row r="300" ht="11.3" customHeight="1" s="79"/>
    <row r="301" ht="11.3" customHeight="1" s="79"/>
    <row r="302" ht="11.3" customHeight="1" s="79"/>
    <row r="303" ht="11.3" customHeight="1" s="79"/>
    <row r="304" ht="11.3" customHeight="1" s="79"/>
    <row r="305" ht="11.3" customHeight="1" s="79"/>
    <row r="306" ht="11.3" customHeight="1" s="79"/>
    <row r="307" ht="11.3" customHeight="1" s="79"/>
    <row r="308" ht="11.3" customHeight="1" s="79"/>
    <row r="309" ht="11.3" customHeight="1" s="79"/>
    <row r="310" ht="11.3" customHeight="1" s="79"/>
    <row r="311" ht="11.3" customHeight="1" s="79"/>
    <row r="312" ht="11.3" customHeight="1" s="79"/>
    <row r="313" ht="11.3" customHeight="1" s="79"/>
    <row r="314" ht="11.3" customHeight="1" s="79"/>
    <row r="315" ht="11.3" customHeight="1" s="79"/>
    <row r="316" ht="11.3" customHeight="1" s="79"/>
    <row r="317" ht="11.3" customHeight="1" s="79"/>
    <row r="318" ht="11.3" customHeight="1" s="79"/>
    <row r="319" ht="11.3" customHeight="1" s="79"/>
    <row r="320" ht="11.3" customHeight="1" s="79"/>
    <row r="321" ht="11.3" customHeight="1" s="79"/>
    <row r="322" ht="11.3" customHeight="1" s="79"/>
    <row r="323" ht="11.3" customHeight="1" s="79"/>
    <row r="324" ht="11.3" customHeight="1" s="79"/>
    <row r="325" ht="11.3" customHeight="1" s="79"/>
    <row r="326" ht="11.3" customHeight="1" s="79"/>
    <row r="327" ht="11.3" customHeight="1" s="79"/>
    <row r="328" ht="11.3" customHeight="1" s="79"/>
    <row r="329" ht="11.3" customHeight="1" s="7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X17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796875" defaultRowHeight="10.75" customHeight="0" zeroHeight="0" outlineLevelRow="0"/>
  <cols>
    <col width="9.9" customWidth="1" style="140" min="1" max="1"/>
    <col width="13.5" customWidth="1" style="140" min="2" max="2"/>
    <col width="9.9" customWidth="1" style="140" min="3" max="3"/>
    <col width="16" customWidth="1" style="140" min="4" max="4"/>
    <col width="7.9" customWidth="1" style="140" min="5" max="5"/>
    <col width="6.39" customWidth="1" style="140" min="6" max="6"/>
    <col width="7.5" customWidth="1" style="140" min="7" max="7"/>
    <col width="6.39" customWidth="1" style="140" min="8" max="8"/>
    <col width="4.3" customWidth="1" style="140" min="9" max="9"/>
    <col width="3.79" customWidth="1" style="140" min="10" max="10"/>
    <col width="6.9" customWidth="1" style="140" min="11" max="11"/>
    <col width="7.3" customWidth="1" style="140" min="12" max="12"/>
    <col width="10.59" customWidth="1" style="140" min="13" max="13"/>
    <col width="8.9" customWidth="1" style="140" min="14" max="14"/>
    <col width="7" customWidth="1" style="140" min="15" max="15"/>
    <col width="17.1" customWidth="1" style="140" min="16" max="16"/>
    <col width="11.1" customWidth="1" style="140" min="17" max="17"/>
    <col width="47.79" customWidth="1" style="140" min="18" max="18"/>
    <col width="9.789999999999999" customWidth="1" style="140" min="19" max="19"/>
    <col width="7.9" customWidth="1" style="140" min="20" max="20"/>
    <col width="5.3" customWidth="1" style="140" min="21" max="21"/>
    <col width="16.3" customWidth="1" style="140" min="22" max="22"/>
    <col width="15.39" customWidth="1" style="140" min="23" max="23"/>
    <col width="30.1" customWidth="1" style="140" min="24" max="24"/>
    <col width="8.800000000000001" customWidth="1" style="140" min="25" max="16384"/>
  </cols>
  <sheetData>
    <row r="1" ht="15.05" customHeight="1" s="79">
      <c r="A1" s="141" t="inlineStr">
        <is>
          <t>WORKBOOK FORMATTING AUDIT</t>
        </is>
      </c>
    </row>
    <row r="2" ht="15.05" customHeight="1" s="79">
      <c r="A2" s="142" t="inlineStr">
        <is>
          <t>Generated: September 26, 2026 | Covers all eight source worksheets: filters/tables, column formats and borders, column widths, hidden/group indicators, row-dimension summaries, and detailed top-row cell formats with number/percentage codes.</t>
        </is>
      </c>
    </row>
    <row r="3" ht="15.05" customHeight="1" s="79">
      <c r="A3" s="143" t="inlineStr">
        <is>
          <t>Mixed' means the complete used column contains more than one format. Excel exposes hidden status but not the readable outline level; hidden rows/columns are flagged as possible grouped outlines.</t>
        </is>
      </c>
    </row>
    <row r="4" ht="15.05" customHeight="1" s="79"/>
    <row r="5" ht="15.05" customHeight="1" s="79">
      <c r="A5" s="144" t="inlineStr">
        <is>
          <t>Sheet</t>
        </is>
      </c>
      <c r="B5" s="144" t="inlineStr">
        <is>
          <t>Record Type</t>
        </is>
      </c>
      <c r="C5" s="144" t="inlineStr">
        <is>
          <t>Range / Item</t>
        </is>
      </c>
      <c r="D5" s="144" t="inlineStr">
        <is>
          <t>Used Range</t>
        </is>
      </c>
      <c r="E5" s="144" t="inlineStr">
        <is>
          <t>Style Name</t>
        </is>
      </c>
      <c r="F5" s="144" t="inlineStr">
        <is>
          <t>Fill Color</t>
        </is>
      </c>
      <c r="G5" s="144" t="inlineStr">
        <is>
          <t>Font Name</t>
        </is>
      </c>
      <c r="H5" s="144" t="inlineStr">
        <is>
          <t>Font Size</t>
        </is>
      </c>
      <c r="I5" s="144" t="inlineStr">
        <is>
          <t>Bold</t>
        </is>
      </c>
      <c r="J5" s="144" t="inlineStr">
        <is>
          <t>Italic</t>
        </is>
      </c>
      <c r="K5" s="144" t="inlineStr">
        <is>
          <t>Underline</t>
        </is>
      </c>
      <c r="L5" s="144" t="inlineStr">
        <is>
          <t>Font Color</t>
        </is>
      </c>
      <c r="M5" s="144" t="inlineStr">
        <is>
          <t>Horizontal Align</t>
        </is>
      </c>
      <c r="N5" s="144" t="inlineStr">
        <is>
          <t>Vertical Align</t>
        </is>
      </c>
      <c r="O5" s="144" t="inlineStr">
        <is>
          <t>Wrap Text</t>
        </is>
      </c>
      <c r="P5" s="144" t="inlineStr">
        <is>
          <t>Number Format</t>
        </is>
      </c>
      <c r="Q5" s="144" t="inlineStr">
        <is>
          <t>Format Category</t>
        </is>
      </c>
      <c r="R5" s="144" t="inlineStr">
        <is>
          <t>Borders</t>
        </is>
      </c>
      <c r="S5" s="144" t="inlineStr">
        <is>
          <t>Column Width</t>
        </is>
      </c>
      <c r="T5" s="144" t="inlineStr">
        <is>
          <t>Row Height</t>
        </is>
      </c>
      <c r="U5" s="144" t="inlineStr">
        <is>
          <t>Hidden</t>
        </is>
      </c>
      <c r="V5" s="144" t="inlineStr">
        <is>
          <t>Outline / Group</t>
        </is>
      </c>
      <c r="W5" s="144" t="inlineStr">
        <is>
          <t>Filter / Table</t>
        </is>
      </c>
      <c r="X5" s="144" t="inlineStr">
        <is>
          <t>Notes</t>
        </is>
      </c>
    </row>
    <row r="6" ht="23.85" customHeight="1" s="79">
      <c r="A6" s="145" t="inlineStr">
        <is>
          <t>REGULAR_DEPT</t>
        </is>
      </c>
      <c r="B6" s="145" t="inlineStr">
        <is>
          <t>Sheet Summary</t>
        </is>
      </c>
      <c r="C6" s="145" t="inlineStr">
        <is>
          <t>REGULAR_DEPT</t>
        </is>
      </c>
      <c r="D6" s="145" t="inlineStr">
        <is>
          <t>REGULAR_DEPT!A1:AS193</t>
        </is>
      </c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inlineStr">
        <is>
          <t>No</t>
        </is>
      </c>
      <c r="V6" s="145" t="inlineStr">
        <is>
          <t>Visible</t>
        </is>
      </c>
      <c r="W6" s="145" t="inlineStr">
        <is>
          <t>No worksheet AutoFilter</t>
        </is>
      </c>
      <c r="X6" s="145" t="inlineStr">
        <is>
          <t>Used rows: 193; used columns: 45</t>
        </is>
      </c>
    </row>
    <row r="7" ht="57.45" customHeight="1" s="79">
      <c r="A7" s="145" t="inlineStr">
        <is>
          <t>REGULAR_DEPT</t>
        </is>
      </c>
      <c r="B7" s="145" t="inlineStr">
        <is>
          <t>Column Format</t>
        </is>
      </c>
      <c r="C7" s="145" t="inlineStr">
        <is>
          <t>A:A</t>
        </is>
      </c>
      <c r="D7" s="145" t="inlineStr">
        <is>
          <t>REGULAR_DEPT!A1:AS193</t>
        </is>
      </c>
      <c r="E7" s="145" t="inlineStr">
        <is>
          <t>Mixed</t>
        </is>
      </c>
      <c r="F7" s="145" t="inlineStr">
        <is>
          <t>Mixed</t>
        </is>
      </c>
      <c r="G7" s="145" t="inlineStr">
        <is>
          <t>Aptos</t>
        </is>
      </c>
      <c r="H7" s="145" t="n">
        <v>8</v>
      </c>
      <c r="I7" s="145" t="inlineStr">
        <is>
          <t>Mixed</t>
        </is>
      </c>
      <c r="J7" s="145" t="inlineStr">
        <is>
          <t>No</t>
        </is>
      </c>
      <c r="K7" s="145" t="inlineStr">
        <is>
          <t>None</t>
        </is>
      </c>
      <c r="L7" s="145" t="inlineStr">
        <is>
          <t>#000000</t>
        </is>
      </c>
      <c r="M7" s="145" t="inlineStr">
        <is>
          <t>Mixed</t>
        </is>
      </c>
      <c r="N7" s="145" t="inlineStr">
        <is>
          <t>Center</t>
        </is>
      </c>
      <c r="O7" s="145" t="inlineStr">
        <is>
          <t>Mixed</t>
        </is>
      </c>
      <c r="P7" s="145" t="n"/>
      <c r="Q7" s="145" t="n"/>
      <c r="R7" s="145" t="inlineStr">
        <is>
          <t>EdgeTop:Continuous/Thin/#000000; EdgeBottom:Continuous/Thin/#000000; EdgeLeft:Continuous/Thin/#000000; EdgeRight:Continuous/Thin/#000000; InsideHorizontal:Continuous/Thin/#000000</t>
        </is>
      </c>
      <c r="S7" s="145" t="n">
        <v>0</v>
      </c>
      <c r="T7" s="145" t="n"/>
      <c r="U7" s="145" t="inlineStr">
        <is>
          <t>Yes</t>
        </is>
      </c>
      <c r="V7" s="145" t="inlineStr">
        <is>
          <t>Hidden column (possible outline/group)</t>
        </is>
      </c>
      <c r="W7" s="145" t="n"/>
      <c r="X7" s="145" t="inlineStr">
        <is>
          <t>Mixed styles within used column</t>
        </is>
      </c>
    </row>
    <row r="8" ht="23.85" customHeight="1" s="79">
      <c r="A8" s="145" t="inlineStr">
        <is>
          <t>REGULAR_DEPT</t>
        </is>
      </c>
      <c r="B8" s="145" t="inlineStr">
        <is>
          <t>Top-Row Cell Format</t>
        </is>
      </c>
      <c r="C8" s="145" t="inlineStr">
        <is>
          <t>A1</t>
        </is>
      </c>
      <c r="D8" s="145" t="inlineStr">
        <is>
          <t>REGULAR_DEPT!A1:AS193</t>
        </is>
      </c>
      <c r="E8" s="145" t="inlineStr">
        <is>
          <t>Normal</t>
        </is>
      </c>
      <c r="F8" s="145" t="inlineStr">
        <is>
          <t>#C9C9C9</t>
        </is>
      </c>
      <c r="G8" s="145" t="inlineStr">
        <is>
          <t>Aptos</t>
        </is>
      </c>
      <c r="H8" s="145" t="n">
        <v>8</v>
      </c>
      <c r="I8" s="145" t="inlineStr">
        <is>
          <t>Yes</t>
        </is>
      </c>
      <c r="J8" s="145" t="inlineStr">
        <is>
          <t>No</t>
        </is>
      </c>
      <c r="K8" s="145" t="inlineStr">
        <is>
          <t>None</t>
        </is>
      </c>
      <c r="L8" s="145" t="inlineStr">
        <is>
          <t>#000000</t>
        </is>
      </c>
      <c r="M8" s="145" t="inlineStr">
        <is>
          <t>Center</t>
        </is>
      </c>
      <c r="N8" s="145" t="inlineStr">
        <is>
          <t>Center</t>
        </is>
      </c>
      <c r="O8" s="145" t="inlineStr">
        <is>
          <t>No</t>
        </is>
      </c>
      <c r="P8" s="145" t="inlineStr">
        <is>
          <t>General</t>
        </is>
      </c>
      <c r="Q8" s="145" t="inlineStr">
        <is>
          <t>General</t>
        </is>
      </c>
      <c r="R8" s="145" t="n"/>
      <c r="S8" s="145" t="n"/>
      <c r="T8" s="145" t="n"/>
      <c r="U8" s="145" t="n"/>
      <c r="V8" s="145" t="n"/>
      <c r="W8" s="145" t="n"/>
      <c r="X8" s="145" t="inlineStr">
        <is>
          <t>Detailed format sample from top 5 used rows</t>
        </is>
      </c>
    </row>
    <row r="9" ht="23.85" customHeight="1" s="79">
      <c r="A9" s="145" t="inlineStr">
        <is>
          <t>REGULAR_DEPT</t>
        </is>
      </c>
      <c r="B9" s="145" t="inlineStr">
        <is>
          <t>Top-Row Cell Format</t>
        </is>
      </c>
      <c r="C9" s="145" t="inlineStr">
        <is>
          <t>A2</t>
        </is>
      </c>
      <c r="D9" s="145" t="inlineStr">
        <is>
          <t>REGULAR_DEPT!A1:AS193</t>
        </is>
      </c>
      <c r="E9" s="145" t="inlineStr">
        <is>
          <t>Comma</t>
        </is>
      </c>
      <c r="F9" s="145" t="inlineStr">
        <is>
          <t>#B4C6E7</t>
        </is>
      </c>
      <c r="G9" s="145" t="inlineStr">
        <is>
          <t>Aptos</t>
        </is>
      </c>
      <c r="H9" s="145" t="n">
        <v>8</v>
      </c>
      <c r="I9" s="145" t="inlineStr">
        <is>
          <t>Yes</t>
        </is>
      </c>
      <c r="J9" s="145" t="inlineStr">
        <is>
          <t>No</t>
        </is>
      </c>
      <c r="K9" s="145" t="inlineStr">
        <is>
          <t>None</t>
        </is>
      </c>
      <c r="L9" s="145" t="inlineStr">
        <is>
          <t>#000000</t>
        </is>
      </c>
      <c r="M9" s="145" t="inlineStr">
        <is>
          <t>General</t>
        </is>
      </c>
      <c r="N9" s="145" t="inlineStr">
        <is>
          <t>Center</t>
        </is>
      </c>
      <c r="O9" s="145" t="inlineStr">
        <is>
          <t>No</t>
        </is>
      </c>
      <c r="P9" s="145" t="inlineStr">
        <is>
          <t xml:space="preserve">_ * #,##0_ ;_ * -#,##0_ ;_ * "-"??_ ;_ @_ </t>
        </is>
      </c>
      <c r="Q9" s="145" t="inlineStr">
        <is>
          <t>Text</t>
        </is>
      </c>
      <c r="R9" s="145" t="n"/>
      <c r="S9" s="145" t="n"/>
      <c r="T9" s="145" t="n"/>
      <c r="U9" s="145" t="n"/>
      <c r="V9" s="145" t="n"/>
      <c r="W9" s="145" t="n"/>
      <c r="X9" s="145" t="inlineStr">
        <is>
          <t>Detailed format sample from top 5 used rows</t>
        </is>
      </c>
    </row>
    <row r="10" ht="23.85" customHeight="1" s="79">
      <c r="A10" s="145" t="inlineStr">
        <is>
          <t>REGULAR_DEPT</t>
        </is>
      </c>
      <c r="B10" s="145" t="inlineStr">
        <is>
          <t>Top-Row Cell Format</t>
        </is>
      </c>
      <c r="C10" s="145" t="inlineStr">
        <is>
          <t>A3</t>
        </is>
      </c>
      <c r="D10" s="145" t="inlineStr">
        <is>
          <t>REGULAR_DEPT!A1:AS193</t>
        </is>
      </c>
      <c r="E10" s="145" t="inlineStr">
        <is>
          <t>Normal</t>
        </is>
      </c>
      <c r="F10" s="145" t="inlineStr">
        <is>
          <t>#FFD966</t>
        </is>
      </c>
      <c r="G10" s="145" t="inlineStr">
        <is>
          <t>Aptos</t>
        </is>
      </c>
      <c r="H10" s="145" t="n">
        <v>8</v>
      </c>
      <c r="I10" s="145" t="inlineStr">
        <is>
          <t>Yes</t>
        </is>
      </c>
      <c r="J10" s="145" t="inlineStr">
        <is>
          <t>No</t>
        </is>
      </c>
      <c r="K10" s="145" t="inlineStr">
        <is>
          <t>None</t>
        </is>
      </c>
      <c r="L10" s="145" t="inlineStr">
        <is>
          <t>#000000</t>
        </is>
      </c>
      <c r="M10" s="145" t="inlineStr">
        <is>
          <t>Center</t>
        </is>
      </c>
      <c r="N10" s="145" t="inlineStr">
        <is>
          <t>Center</t>
        </is>
      </c>
      <c r="O10" s="145" t="inlineStr">
        <is>
          <t>Yes</t>
        </is>
      </c>
      <c r="P10" s="145" t="inlineStr">
        <is>
          <t>General</t>
        </is>
      </c>
      <c r="Q10" s="145" t="inlineStr">
        <is>
          <t>General</t>
        </is>
      </c>
      <c r="R10" s="145" t="n"/>
      <c r="S10" s="145" t="n"/>
      <c r="T10" s="145" t="n"/>
      <c r="U10" s="145" t="n"/>
      <c r="V10" s="145" t="n"/>
      <c r="W10" s="145" t="n"/>
      <c r="X10" s="145" t="inlineStr">
        <is>
          <t>Detailed format sample from top 5 used rows</t>
        </is>
      </c>
    </row>
    <row r="11" ht="23.85" customHeight="1" s="79">
      <c r="A11" s="145" t="inlineStr">
        <is>
          <t>REGULAR_DEPT</t>
        </is>
      </c>
      <c r="B11" s="145" t="inlineStr">
        <is>
          <t>Top-Row Cell Format</t>
        </is>
      </c>
      <c r="C11" s="145" t="inlineStr">
        <is>
          <t>A4</t>
        </is>
      </c>
      <c r="D11" s="145" t="inlineStr">
        <is>
          <t>REGULAR_DEPT!A1:AS193</t>
        </is>
      </c>
      <c r="E11" s="145" t="inlineStr">
        <is>
          <t>Normal</t>
        </is>
      </c>
      <c r="F11" s="145" t="inlineStr">
        <is>
          <t>#FFD966</t>
        </is>
      </c>
      <c r="G11" s="145" t="inlineStr">
        <is>
          <t>Aptos</t>
        </is>
      </c>
      <c r="H11" s="145" t="n">
        <v>8</v>
      </c>
      <c r="I11" s="145" t="inlineStr">
        <is>
          <t>No</t>
        </is>
      </c>
      <c r="J11" s="145" t="inlineStr">
        <is>
          <t>No</t>
        </is>
      </c>
      <c r="K11" s="145" t="inlineStr">
        <is>
          <t>None</t>
        </is>
      </c>
      <c r="L11" s="145" t="inlineStr">
        <is>
          <t>#000000</t>
        </is>
      </c>
      <c r="M11" s="145" t="inlineStr">
        <is>
          <t>General</t>
        </is>
      </c>
      <c r="N11" s="145" t="inlineStr">
        <is>
          <t>Center</t>
        </is>
      </c>
      <c r="O11" s="145" t="inlineStr">
        <is>
          <t>No</t>
        </is>
      </c>
      <c r="P11" s="145" t="inlineStr">
        <is>
          <t>General</t>
        </is>
      </c>
      <c r="Q11" s="145" t="inlineStr">
        <is>
          <t>General</t>
        </is>
      </c>
      <c r="R11" s="145" t="n"/>
      <c r="S11" s="145" t="n"/>
      <c r="T11" s="145" t="n"/>
      <c r="U11" s="145" t="n"/>
      <c r="V11" s="145" t="n"/>
      <c r="W11" s="145" t="n"/>
      <c r="X11" s="145" t="inlineStr">
        <is>
          <t>Detailed format sample from top 5 used rows</t>
        </is>
      </c>
    </row>
    <row r="12" ht="23.85" customHeight="1" s="79">
      <c r="A12" s="145" t="inlineStr">
        <is>
          <t>REGULAR_DEPT</t>
        </is>
      </c>
      <c r="B12" s="145" t="inlineStr">
        <is>
          <t>Top-Row Cell Format</t>
        </is>
      </c>
      <c r="C12" s="145" t="inlineStr">
        <is>
          <t>A5</t>
        </is>
      </c>
      <c r="D12" s="145" t="inlineStr">
        <is>
          <t>REGULAR_DEPT!A1:AS193</t>
        </is>
      </c>
      <c r="E12" s="145" t="inlineStr">
        <is>
          <t>Comma</t>
        </is>
      </c>
      <c r="F12" s="145" t="n"/>
      <c r="G12" s="145" t="inlineStr">
        <is>
          <t>Aptos</t>
        </is>
      </c>
      <c r="H12" s="145" t="n">
        <v>8</v>
      </c>
      <c r="I12" s="145" t="inlineStr">
        <is>
          <t>No</t>
        </is>
      </c>
      <c r="J12" s="145" t="inlineStr">
        <is>
          <t>No</t>
        </is>
      </c>
      <c r="K12" s="145" t="inlineStr">
        <is>
          <t>None</t>
        </is>
      </c>
      <c r="L12" s="145" t="inlineStr">
        <is>
          <t>#000000</t>
        </is>
      </c>
      <c r="M12" s="145" t="inlineStr">
        <is>
          <t>General</t>
        </is>
      </c>
      <c r="N12" s="145" t="inlineStr">
        <is>
          <t>Center</t>
        </is>
      </c>
      <c r="O12" s="145" t="inlineStr">
        <is>
          <t>No</t>
        </is>
      </c>
      <c r="P12" s="145" t="inlineStr">
        <is>
          <t xml:space="preserve">_ * #,##0_ ;_ * -#,##0_ ;_ * "-"??_ ;_ @_ </t>
        </is>
      </c>
      <c r="Q12" s="145" t="inlineStr">
        <is>
          <t>Text</t>
        </is>
      </c>
      <c r="R12" s="145" t="n"/>
      <c r="S12" s="145" t="n"/>
      <c r="T12" s="145" t="n"/>
      <c r="U12" s="145" t="n"/>
      <c r="V12" s="145" t="n"/>
      <c r="W12" s="145" t="n"/>
      <c r="X12" s="145" t="inlineStr">
        <is>
          <t>Detailed format sample from top 5 used rows</t>
        </is>
      </c>
    </row>
    <row r="13" ht="57.45" customHeight="1" s="79">
      <c r="A13" s="145" t="inlineStr">
        <is>
          <t>REGULAR_DEPT</t>
        </is>
      </c>
      <c r="B13" s="145" t="inlineStr">
        <is>
          <t>Column Format</t>
        </is>
      </c>
      <c r="C13" s="145" t="inlineStr">
        <is>
          <t>B:B</t>
        </is>
      </c>
      <c r="D13" s="145" t="inlineStr">
        <is>
          <t>REGULAR_DEPT!A1:AS193</t>
        </is>
      </c>
      <c r="E13" s="145" t="inlineStr">
        <is>
          <t>Mixed</t>
        </is>
      </c>
      <c r="F13" s="145" t="inlineStr">
        <is>
          <t>Mixed</t>
        </is>
      </c>
      <c r="G13" s="145" t="inlineStr">
        <is>
          <t>Aptos</t>
        </is>
      </c>
      <c r="H13" s="145" t="n">
        <v>8</v>
      </c>
      <c r="I13" s="145" t="inlineStr">
        <is>
          <t>Mixed</t>
        </is>
      </c>
      <c r="J13" s="145" t="inlineStr">
        <is>
          <t>No</t>
        </is>
      </c>
      <c r="K13" s="145" t="inlineStr">
        <is>
          <t>None</t>
        </is>
      </c>
      <c r="L13" s="145" t="inlineStr">
        <is>
          <t>#000000</t>
        </is>
      </c>
      <c r="M13" s="145" t="inlineStr">
        <is>
          <t>Mixed</t>
        </is>
      </c>
      <c r="N13" s="145" t="inlineStr">
        <is>
          <t>Center</t>
        </is>
      </c>
      <c r="O13" s="145" t="inlineStr">
        <is>
          <t>Mixed</t>
        </is>
      </c>
      <c r="P13" s="145" t="n"/>
      <c r="Q13" s="145" t="n"/>
      <c r="R13" s="145" t="inlineStr">
        <is>
          <t>EdgeTop:Continuous/Thin/#000000; EdgeBottom:Continuous/Thin/#000000; EdgeLeft:Continuous/Thin/#000000; EdgeRight:Continuous/Thin/#000000; InsideHorizontal:Continuous/Thin/#000000</t>
        </is>
      </c>
      <c r="S13" s="145" t="n">
        <v>0</v>
      </c>
      <c r="T13" s="145" t="n"/>
      <c r="U13" s="145" t="inlineStr">
        <is>
          <t>Yes</t>
        </is>
      </c>
      <c r="V13" s="145" t="inlineStr">
        <is>
          <t>Hidden column (possible outline/group)</t>
        </is>
      </c>
      <c r="W13" s="145" t="n"/>
      <c r="X13" s="145" t="inlineStr">
        <is>
          <t>Mixed styles within used column</t>
        </is>
      </c>
    </row>
    <row r="14" ht="23.85" customHeight="1" s="79">
      <c r="A14" s="145" t="inlineStr">
        <is>
          <t>REGULAR_DEPT</t>
        </is>
      </c>
      <c r="B14" s="145" t="inlineStr">
        <is>
          <t>Top-Row Cell Format</t>
        </is>
      </c>
      <c r="C14" s="145" t="inlineStr">
        <is>
          <t>B1</t>
        </is>
      </c>
      <c r="D14" s="145" t="inlineStr">
        <is>
          <t>REGULAR_DEPT!A1:AS193</t>
        </is>
      </c>
      <c r="E14" s="145" t="inlineStr">
        <is>
          <t>Normal</t>
        </is>
      </c>
      <c r="F14" s="145" t="inlineStr">
        <is>
          <t>#C9C9C9</t>
        </is>
      </c>
      <c r="G14" s="145" t="inlineStr">
        <is>
          <t>Aptos</t>
        </is>
      </c>
      <c r="H14" s="145" t="n">
        <v>8</v>
      </c>
      <c r="I14" s="145" t="inlineStr">
        <is>
          <t>Yes</t>
        </is>
      </c>
      <c r="J14" s="145" t="inlineStr">
        <is>
          <t>No</t>
        </is>
      </c>
      <c r="K14" s="145" t="inlineStr">
        <is>
          <t>None</t>
        </is>
      </c>
      <c r="L14" s="145" t="inlineStr">
        <is>
          <t>#000000</t>
        </is>
      </c>
      <c r="M14" s="145" t="inlineStr">
        <is>
          <t>Center</t>
        </is>
      </c>
      <c r="N14" s="145" t="inlineStr">
        <is>
          <t>Center</t>
        </is>
      </c>
      <c r="O14" s="145" t="inlineStr">
        <is>
          <t>No</t>
        </is>
      </c>
      <c r="P14" s="145" t="inlineStr">
        <is>
          <t>General</t>
        </is>
      </c>
      <c r="Q14" s="145" t="inlineStr">
        <is>
          <t>General</t>
        </is>
      </c>
      <c r="R14" s="145" t="n"/>
      <c r="S14" s="145" t="n"/>
      <c r="T14" s="145" t="n"/>
      <c r="U14" s="145" t="n"/>
      <c r="V14" s="145" t="n"/>
      <c r="W14" s="145" t="n"/>
      <c r="X14" s="145" t="inlineStr">
        <is>
          <t>Detailed format sample from top 5 used rows</t>
        </is>
      </c>
    </row>
    <row r="15" ht="23.85" customHeight="1" s="79">
      <c r="A15" s="145" t="inlineStr">
        <is>
          <t>REGULAR_DEPT</t>
        </is>
      </c>
      <c r="B15" s="145" t="inlineStr">
        <is>
          <t>Top-Row Cell Format</t>
        </is>
      </c>
      <c r="C15" s="145" t="inlineStr">
        <is>
          <t>B2</t>
        </is>
      </c>
      <c r="D15" s="145" t="inlineStr">
        <is>
          <t>REGULAR_DEPT!A1:AS193</t>
        </is>
      </c>
      <c r="E15" s="145" t="inlineStr">
        <is>
          <t>Comma</t>
        </is>
      </c>
      <c r="F15" s="145" t="inlineStr">
        <is>
          <t>#B4C6E7</t>
        </is>
      </c>
      <c r="G15" s="145" t="inlineStr">
        <is>
          <t>Aptos</t>
        </is>
      </c>
      <c r="H15" s="145" t="n">
        <v>8</v>
      </c>
      <c r="I15" s="145" t="inlineStr">
        <is>
          <t>Yes</t>
        </is>
      </c>
      <c r="J15" s="145" t="inlineStr">
        <is>
          <t>No</t>
        </is>
      </c>
      <c r="K15" s="145" t="inlineStr">
        <is>
          <t>None</t>
        </is>
      </c>
      <c r="L15" s="145" t="inlineStr">
        <is>
          <t>#000000</t>
        </is>
      </c>
      <c r="M15" s="145" t="inlineStr">
        <is>
          <t>General</t>
        </is>
      </c>
      <c r="N15" s="145" t="inlineStr">
        <is>
          <t>Center</t>
        </is>
      </c>
      <c r="O15" s="145" t="inlineStr">
        <is>
          <t>No</t>
        </is>
      </c>
      <c r="P15" s="145" t="inlineStr">
        <is>
          <t xml:space="preserve">_ * #,##0_ ;_ * -#,##0_ ;_ * "-"??_ ;_ @_ </t>
        </is>
      </c>
      <c r="Q15" s="145" t="inlineStr">
        <is>
          <t>Text</t>
        </is>
      </c>
      <c r="R15" s="145" t="n"/>
      <c r="S15" s="145" t="n"/>
      <c r="T15" s="145" t="n"/>
      <c r="U15" s="145" t="n"/>
      <c r="V15" s="145" t="n"/>
      <c r="W15" s="145" t="n"/>
      <c r="X15" s="145" t="inlineStr">
        <is>
          <t>Detailed format sample from top 5 used rows</t>
        </is>
      </c>
    </row>
    <row r="16" ht="23.85" customHeight="1" s="79">
      <c r="A16" s="145" t="inlineStr">
        <is>
          <t>REGULAR_DEPT</t>
        </is>
      </c>
      <c r="B16" s="145" t="inlineStr">
        <is>
          <t>Top-Row Cell Format</t>
        </is>
      </c>
      <c r="C16" s="145" t="inlineStr">
        <is>
          <t>B3</t>
        </is>
      </c>
      <c r="D16" s="145" t="inlineStr">
        <is>
          <t>REGULAR_DEPT!A1:AS193</t>
        </is>
      </c>
      <c r="E16" s="145" t="inlineStr">
        <is>
          <t>Normal</t>
        </is>
      </c>
      <c r="F16" s="145" t="inlineStr">
        <is>
          <t>#FFD966</t>
        </is>
      </c>
      <c r="G16" s="145" t="inlineStr">
        <is>
          <t>Aptos</t>
        </is>
      </c>
      <c r="H16" s="145" t="n">
        <v>8</v>
      </c>
      <c r="I16" s="145" t="inlineStr">
        <is>
          <t>Yes</t>
        </is>
      </c>
      <c r="J16" s="145" t="inlineStr">
        <is>
          <t>No</t>
        </is>
      </c>
      <c r="K16" s="145" t="inlineStr">
        <is>
          <t>None</t>
        </is>
      </c>
      <c r="L16" s="145" t="inlineStr">
        <is>
          <t>#000000</t>
        </is>
      </c>
      <c r="M16" s="145" t="inlineStr">
        <is>
          <t>Center</t>
        </is>
      </c>
      <c r="N16" s="145" t="inlineStr">
        <is>
          <t>Center</t>
        </is>
      </c>
      <c r="O16" s="145" t="inlineStr">
        <is>
          <t>Yes</t>
        </is>
      </c>
      <c r="P16" s="145" t="inlineStr">
        <is>
          <t>General</t>
        </is>
      </c>
      <c r="Q16" s="145" t="inlineStr">
        <is>
          <t>General</t>
        </is>
      </c>
      <c r="R16" s="145" t="n"/>
      <c r="S16" s="145" t="n"/>
      <c r="T16" s="145" t="n"/>
      <c r="U16" s="145" t="n"/>
      <c r="V16" s="145" t="n"/>
      <c r="W16" s="145" t="n"/>
      <c r="X16" s="145" t="inlineStr">
        <is>
          <t>Detailed format sample from top 5 used rows</t>
        </is>
      </c>
    </row>
    <row r="17" ht="23.85" customHeight="1" s="79">
      <c r="A17" s="145" t="inlineStr">
        <is>
          <t>REGULAR_DEPT</t>
        </is>
      </c>
      <c r="B17" s="145" t="inlineStr">
        <is>
          <t>Top-Row Cell Format</t>
        </is>
      </c>
      <c r="C17" s="145" t="inlineStr">
        <is>
          <t>B4</t>
        </is>
      </c>
      <c r="D17" s="145" t="inlineStr">
        <is>
          <t>REGULAR_DEPT!A1:AS193</t>
        </is>
      </c>
      <c r="E17" s="145" t="inlineStr">
        <is>
          <t>Normal</t>
        </is>
      </c>
      <c r="F17" s="145" t="inlineStr">
        <is>
          <t>#FFD966</t>
        </is>
      </c>
      <c r="G17" s="145" t="inlineStr">
        <is>
          <t>Aptos</t>
        </is>
      </c>
      <c r="H17" s="145" t="n">
        <v>8</v>
      </c>
      <c r="I17" s="145" t="inlineStr">
        <is>
          <t>No</t>
        </is>
      </c>
      <c r="J17" s="145" t="inlineStr">
        <is>
          <t>No</t>
        </is>
      </c>
      <c r="K17" s="145" t="inlineStr">
        <is>
          <t>None</t>
        </is>
      </c>
      <c r="L17" s="145" t="inlineStr">
        <is>
          <t>#000000</t>
        </is>
      </c>
      <c r="M17" s="145" t="inlineStr">
        <is>
          <t>General</t>
        </is>
      </c>
      <c r="N17" s="145" t="inlineStr">
        <is>
          <t>Center</t>
        </is>
      </c>
      <c r="O17" s="145" t="inlineStr">
        <is>
          <t>No</t>
        </is>
      </c>
      <c r="P17" s="145" t="inlineStr">
        <is>
          <t>General</t>
        </is>
      </c>
      <c r="Q17" s="145" t="inlineStr">
        <is>
          <t>General</t>
        </is>
      </c>
      <c r="R17" s="145" t="n"/>
      <c r="S17" s="145" t="n"/>
      <c r="T17" s="145" t="n"/>
      <c r="U17" s="145" t="n"/>
      <c r="V17" s="145" t="n"/>
      <c r="W17" s="145" t="n"/>
      <c r="X17" s="145" t="inlineStr">
        <is>
          <t>Detailed format sample from top 5 used rows</t>
        </is>
      </c>
    </row>
    <row r="18" ht="23.85" customHeight="1" s="79">
      <c r="A18" s="145" t="inlineStr">
        <is>
          <t>REGULAR_DEPT</t>
        </is>
      </c>
      <c r="B18" s="145" t="inlineStr">
        <is>
          <t>Top-Row Cell Format</t>
        </is>
      </c>
      <c r="C18" s="145" t="inlineStr">
        <is>
          <t>B5</t>
        </is>
      </c>
      <c r="D18" s="145" t="inlineStr">
        <is>
          <t>REGULAR_DEPT!A1:AS193</t>
        </is>
      </c>
      <c r="E18" s="145" t="inlineStr">
        <is>
          <t>Comma</t>
        </is>
      </c>
      <c r="F18" s="145" t="n"/>
      <c r="G18" s="145" t="inlineStr">
        <is>
          <t>Aptos</t>
        </is>
      </c>
      <c r="H18" s="145" t="n">
        <v>8</v>
      </c>
      <c r="I18" s="145" t="inlineStr">
        <is>
          <t>No</t>
        </is>
      </c>
      <c r="J18" s="145" t="inlineStr">
        <is>
          <t>No</t>
        </is>
      </c>
      <c r="K18" s="145" t="inlineStr">
        <is>
          <t>None</t>
        </is>
      </c>
      <c r="L18" s="145" t="inlineStr">
        <is>
          <t>#000000</t>
        </is>
      </c>
      <c r="M18" s="145" t="inlineStr">
        <is>
          <t>General</t>
        </is>
      </c>
      <c r="N18" s="145" t="inlineStr">
        <is>
          <t>Center</t>
        </is>
      </c>
      <c r="O18" s="145" t="inlineStr">
        <is>
          <t>No</t>
        </is>
      </c>
      <c r="P18" s="145" t="inlineStr">
        <is>
          <t xml:space="preserve">_ * #,##0_ ;_ * -#,##0_ ;_ * "-"??_ ;_ @_ </t>
        </is>
      </c>
      <c r="Q18" s="145" t="inlineStr">
        <is>
          <t>Text</t>
        </is>
      </c>
      <c r="R18" s="145" t="n"/>
      <c r="S18" s="145" t="n"/>
      <c r="T18" s="145" t="n"/>
      <c r="U18" s="145" t="n"/>
      <c r="V18" s="145" t="n"/>
      <c r="W18" s="145" t="n"/>
      <c r="X18" s="145" t="inlineStr">
        <is>
          <t>Detailed format sample from top 5 used rows</t>
        </is>
      </c>
    </row>
    <row r="19" ht="57.45" customHeight="1" s="79">
      <c r="A19" s="145" t="inlineStr">
        <is>
          <t>REGULAR_DEPT</t>
        </is>
      </c>
      <c r="B19" s="145" t="inlineStr">
        <is>
          <t>Column Format</t>
        </is>
      </c>
      <c r="C19" s="145" t="inlineStr">
        <is>
          <t>C:C</t>
        </is>
      </c>
      <c r="D19" s="145" t="inlineStr">
        <is>
          <t>REGULAR_DEPT!A1:AS193</t>
        </is>
      </c>
      <c r="E19" s="145" t="inlineStr">
        <is>
          <t>Mixed</t>
        </is>
      </c>
      <c r="F19" s="145" t="inlineStr">
        <is>
          <t>Mixed</t>
        </is>
      </c>
      <c r="G19" s="145" t="inlineStr">
        <is>
          <t>Aptos</t>
        </is>
      </c>
      <c r="H19" s="145" t="n">
        <v>8</v>
      </c>
      <c r="I19" s="145" t="inlineStr">
        <is>
          <t>Mixed</t>
        </is>
      </c>
      <c r="J19" s="145" t="inlineStr">
        <is>
          <t>No</t>
        </is>
      </c>
      <c r="K19" s="145" t="inlineStr">
        <is>
          <t>None</t>
        </is>
      </c>
      <c r="L19" s="145" t="inlineStr">
        <is>
          <t>#000000</t>
        </is>
      </c>
      <c r="M19" s="145" t="inlineStr">
        <is>
          <t>Mixed</t>
        </is>
      </c>
      <c r="N19" s="145" t="inlineStr">
        <is>
          <t>Center</t>
        </is>
      </c>
      <c r="O19" s="145" t="inlineStr">
        <is>
          <t>Mixed</t>
        </is>
      </c>
      <c r="P19" s="145" t="n"/>
      <c r="Q19" s="145" t="n"/>
      <c r="R19" s="145" t="inlineStr">
        <is>
          <t>EdgeTop:Continuous/Thin/#000000; EdgeBottom:Continuous/Thin/#000000; EdgeLeft:Continuous/Thin/#000000; EdgeRight:Continuous/Thin/#000000; InsideHorizontal:Continuous/Thin/#000000</t>
        </is>
      </c>
      <c r="S19" s="145" t="n">
        <v>0</v>
      </c>
      <c r="T19" s="145" t="n"/>
      <c r="U19" s="145" t="inlineStr">
        <is>
          <t>Yes</t>
        </is>
      </c>
      <c r="V19" s="145" t="inlineStr">
        <is>
          <t>Hidden column (possible outline/group)</t>
        </is>
      </c>
      <c r="W19" s="145" t="n"/>
      <c r="X19" s="145" t="inlineStr">
        <is>
          <t>Mixed styles within used column</t>
        </is>
      </c>
    </row>
    <row r="20" ht="23.85" customHeight="1" s="79">
      <c r="A20" s="145" t="inlineStr">
        <is>
          <t>REGULAR_DEPT</t>
        </is>
      </c>
      <c r="B20" s="145" t="inlineStr">
        <is>
          <t>Top-Row Cell Format</t>
        </is>
      </c>
      <c r="C20" s="145" t="inlineStr">
        <is>
          <t>C1</t>
        </is>
      </c>
      <c r="D20" s="145" t="inlineStr">
        <is>
          <t>REGULAR_DEPT!A1:AS193</t>
        </is>
      </c>
      <c r="E20" s="145" t="inlineStr">
        <is>
          <t>Normal</t>
        </is>
      </c>
      <c r="F20" s="145" t="inlineStr">
        <is>
          <t>#C9C9C9</t>
        </is>
      </c>
      <c r="G20" s="145" t="inlineStr">
        <is>
          <t>Aptos</t>
        </is>
      </c>
      <c r="H20" s="145" t="n">
        <v>8</v>
      </c>
      <c r="I20" s="145" t="inlineStr">
        <is>
          <t>Yes</t>
        </is>
      </c>
      <c r="J20" s="145" t="inlineStr">
        <is>
          <t>No</t>
        </is>
      </c>
      <c r="K20" s="145" t="inlineStr">
        <is>
          <t>None</t>
        </is>
      </c>
      <c r="L20" s="145" t="inlineStr">
        <is>
          <t>#000000</t>
        </is>
      </c>
      <c r="M20" s="145" t="inlineStr">
        <is>
          <t>Center</t>
        </is>
      </c>
      <c r="N20" s="145" t="inlineStr">
        <is>
          <t>Center</t>
        </is>
      </c>
      <c r="O20" s="145" t="inlineStr">
        <is>
          <t>No</t>
        </is>
      </c>
      <c r="P20" s="145" t="inlineStr">
        <is>
          <t>General</t>
        </is>
      </c>
      <c r="Q20" s="145" t="inlineStr">
        <is>
          <t>General</t>
        </is>
      </c>
      <c r="R20" s="145" t="n"/>
      <c r="S20" s="145" t="n"/>
      <c r="T20" s="145" t="n"/>
      <c r="U20" s="145" t="n"/>
      <c r="V20" s="145" t="n"/>
      <c r="W20" s="145" t="n"/>
      <c r="X20" s="145" t="inlineStr">
        <is>
          <t>Detailed format sample from top 5 used rows</t>
        </is>
      </c>
    </row>
    <row r="21" ht="23.85" customHeight="1" s="79">
      <c r="A21" s="145" t="inlineStr">
        <is>
          <t>REGULAR_DEPT</t>
        </is>
      </c>
      <c r="B21" s="145" t="inlineStr">
        <is>
          <t>Top-Row Cell Format</t>
        </is>
      </c>
      <c r="C21" s="145" t="inlineStr">
        <is>
          <t>C2</t>
        </is>
      </c>
      <c r="D21" s="145" t="inlineStr">
        <is>
          <t>REGULAR_DEPT!A1:AS193</t>
        </is>
      </c>
      <c r="E21" s="145" t="inlineStr">
        <is>
          <t>Comma</t>
        </is>
      </c>
      <c r="F21" s="145" t="inlineStr">
        <is>
          <t>#B4C6E7</t>
        </is>
      </c>
      <c r="G21" s="145" t="inlineStr">
        <is>
          <t>Aptos</t>
        </is>
      </c>
      <c r="H21" s="145" t="n">
        <v>8</v>
      </c>
      <c r="I21" s="145" t="inlineStr">
        <is>
          <t>Yes</t>
        </is>
      </c>
      <c r="J21" s="145" t="inlineStr">
        <is>
          <t>No</t>
        </is>
      </c>
      <c r="K21" s="145" t="inlineStr">
        <is>
          <t>None</t>
        </is>
      </c>
      <c r="L21" s="145" t="inlineStr">
        <is>
          <t>#000000</t>
        </is>
      </c>
      <c r="M21" s="145" t="inlineStr">
        <is>
          <t>General</t>
        </is>
      </c>
      <c r="N21" s="145" t="inlineStr">
        <is>
          <t>Center</t>
        </is>
      </c>
      <c r="O21" s="145" t="inlineStr">
        <is>
          <t>No</t>
        </is>
      </c>
      <c r="P21" s="145" t="inlineStr">
        <is>
          <t xml:space="preserve">_ * #,##0_ ;_ * -#,##0_ ;_ * "-"??_ ;_ @_ </t>
        </is>
      </c>
      <c r="Q21" s="145" t="inlineStr">
        <is>
          <t>Text</t>
        </is>
      </c>
      <c r="R21" s="145" t="n"/>
      <c r="S21" s="145" t="n"/>
      <c r="T21" s="145" t="n"/>
      <c r="U21" s="145" t="n"/>
      <c r="V21" s="145" t="n"/>
      <c r="W21" s="145" t="n"/>
      <c r="X21" s="145" t="inlineStr">
        <is>
          <t>Detailed format sample from top 5 used rows</t>
        </is>
      </c>
    </row>
    <row r="22" ht="23.85" customHeight="1" s="79">
      <c r="A22" s="145" t="inlineStr">
        <is>
          <t>REGULAR_DEPT</t>
        </is>
      </c>
      <c r="B22" s="145" t="inlineStr">
        <is>
          <t>Top-Row Cell Format</t>
        </is>
      </c>
      <c r="C22" s="145" t="inlineStr">
        <is>
          <t>C3</t>
        </is>
      </c>
      <c r="D22" s="145" t="inlineStr">
        <is>
          <t>REGULAR_DEPT!A1:AS193</t>
        </is>
      </c>
      <c r="E22" s="145" t="inlineStr">
        <is>
          <t>Normal</t>
        </is>
      </c>
      <c r="F22" s="145" t="inlineStr">
        <is>
          <t>#FFD966</t>
        </is>
      </c>
      <c r="G22" s="145" t="inlineStr">
        <is>
          <t>Aptos</t>
        </is>
      </c>
      <c r="H22" s="145" t="n">
        <v>8</v>
      </c>
      <c r="I22" s="145" t="inlineStr">
        <is>
          <t>Yes</t>
        </is>
      </c>
      <c r="J22" s="145" t="inlineStr">
        <is>
          <t>No</t>
        </is>
      </c>
      <c r="K22" s="145" t="inlineStr">
        <is>
          <t>None</t>
        </is>
      </c>
      <c r="L22" s="145" t="inlineStr">
        <is>
          <t>#000000</t>
        </is>
      </c>
      <c r="M22" s="145" t="inlineStr">
        <is>
          <t>Center</t>
        </is>
      </c>
      <c r="N22" s="145" t="inlineStr">
        <is>
          <t>Center</t>
        </is>
      </c>
      <c r="O22" s="145" t="inlineStr">
        <is>
          <t>Yes</t>
        </is>
      </c>
      <c r="P22" s="145" t="inlineStr">
        <is>
          <t>General</t>
        </is>
      </c>
      <c r="Q22" s="145" t="inlineStr">
        <is>
          <t>General</t>
        </is>
      </c>
      <c r="R22" s="145" t="n"/>
      <c r="S22" s="145" t="n"/>
      <c r="T22" s="145" t="n"/>
      <c r="U22" s="145" t="n"/>
      <c r="V22" s="145" t="n"/>
      <c r="W22" s="145" t="n"/>
      <c r="X22" s="145" t="inlineStr">
        <is>
          <t>Detailed format sample from top 5 used rows</t>
        </is>
      </c>
    </row>
    <row r="23" ht="23.85" customHeight="1" s="79">
      <c r="A23" s="145" t="inlineStr">
        <is>
          <t>REGULAR_DEPT</t>
        </is>
      </c>
      <c r="B23" s="145" t="inlineStr">
        <is>
          <t>Top-Row Cell Format</t>
        </is>
      </c>
      <c r="C23" s="145" t="inlineStr">
        <is>
          <t>C4</t>
        </is>
      </c>
      <c r="D23" s="145" t="inlineStr">
        <is>
          <t>REGULAR_DEPT!A1:AS193</t>
        </is>
      </c>
      <c r="E23" s="145" t="inlineStr">
        <is>
          <t>Normal</t>
        </is>
      </c>
      <c r="F23" s="145" t="inlineStr">
        <is>
          <t>#FFD966</t>
        </is>
      </c>
      <c r="G23" s="145" t="inlineStr">
        <is>
          <t>Aptos</t>
        </is>
      </c>
      <c r="H23" s="145" t="n">
        <v>8</v>
      </c>
      <c r="I23" s="145" t="inlineStr">
        <is>
          <t>No</t>
        </is>
      </c>
      <c r="J23" s="145" t="inlineStr">
        <is>
          <t>No</t>
        </is>
      </c>
      <c r="K23" s="145" t="inlineStr">
        <is>
          <t>None</t>
        </is>
      </c>
      <c r="L23" s="145" t="inlineStr">
        <is>
          <t>#000000</t>
        </is>
      </c>
      <c r="M23" s="145" t="inlineStr">
        <is>
          <t>General</t>
        </is>
      </c>
      <c r="N23" s="145" t="inlineStr">
        <is>
          <t>Center</t>
        </is>
      </c>
      <c r="O23" s="145" t="inlineStr">
        <is>
          <t>No</t>
        </is>
      </c>
      <c r="P23" s="145" t="inlineStr">
        <is>
          <t>General</t>
        </is>
      </c>
      <c r="Q23" s="145" t="inlineStr">
        <is>
          <t>General</t>
        </is>
      </c>
      <c r="R23" s="145" t="n"/>
      <c r="S23" s="145" t="n"/>
      <c r="T23" s="145" t="n"/>
      <c r="U23" s="145" t="n"/>
      <c r="V23" s="145" t="n"/>
      <c r="W23" s="145" t="n"/>
      <c r="X23" s="145" t="inlineStr">
        <is>
          <t>Detailed format sample from top 5 used rows</t>
        </is>
      </c>
    </row>
    <row r="24" ht="23.85" customHeight="1" s="79">
      <c r="A24" s="145" t="inlineStr">
        <is>
          <t>REGULAR_DEPT</t>
        </is>
      </c>
      <c r="B24" s="145" t="inlineStr">
        <is>
          <t>Top-Row Cell Format</t>
        </is>
      </c>
      <c r="C24" s="145" t="inlineStr">
        <is>
          <t>C5</t>
        </is>
      </c>
      <c r="D24" s="145" t="inlineStr">
        <is>
          <t>REGULAR_DEPT!A1:AS193</t>
        </is>
      </c>
      <c r="E24" s="145" t="inlineStr">
        <is>
          <t>Comma</t>
        </is>
      </c>
      <c r="F24" s="145" t="n"/>
      <c r="G24" s="145" t="inlineStr">
        <is>
          <t>Aptos</t>
        </is>
      </c>
      <c r="H24" s="145" t="n">
        <v>8</v>
      </c>
      <c r="I24" s="145" t="inlineStr">
        <is>
          <t>No</t>
        </is>
      </c>
      <c r="J24" s="145" t="inlineStr">
        <is>
          <t>No</t>
        </is>
      </c>
      <c r="K24" s="145" t="inlineStr">
        <is>
          <t>None</t>
        </is>
      </c>
      <c r="L24" s="145" t="inlineStr">
        <is>
          <t>#000000</t>
        </is>
      </c>
      <c r="M24" s="145" t="inlineStr">
        <is>
          <t>General</t>
        </is>
      </c>
      <c r="N24" s="145" t="inlineStr">
        <is>
          <t>Center</t>
        </is>
      </c>
      <c r="O24" s="145" t="inlineStr">
        <is>
          <t>No</t>
        </is>
      </c>
      <c r="P24" s="145" t="inlineStr">
        <is>
          <t xml:space="preserve">_ * #,##0_ ;_ * -#,##0_ ;_ * "-"??_ ;_ @_ </t>
        </is>
      </c>
      <c r="Q24" s="145" t="inlineStr">
        <is>
          <t>Text</t>
        </is>
      </c>
      <c r="R24" s="145" t="n"/>
      <c r="S24" s="145" t="n"/>
      <c r="T24" s="145" t="n"/>
      <c r="U24" s="145" t="n"/>
      <c r="V24" s="145" t="n"/>
      <c r="W24" s="145" t="n"/>
      <c r="X24" s="145" t="inlineStr">
        <is>
          <t>Detailed format sample from top 5 used rows</t>
        </is>
      </c>
    </row>
    <row r="25" ht="57.45" customHeight="1" s="79">
      <c r="A25" s="145" t="inlineStr">
        <is>
          <t>REGULAR_DEPT</t>
        </is>
      </c>
      <c r="B25" s="145" t="inlineStr">
        <is>
          <t>Column Format</t>
        </is>
      </c>
      <c r="C25" s="145" t="inlineStr">
        <is>
          <t>D:D</t>
        </is>
      </c>
      <c r="D25" s="145" t="inlineStr">
        <is>
          <t>REGULAR_DEPT!A1:AS193</t>
        </is>
      </c>
      <c r="E25" s="145" t="inlineStr">
        <is>
          <t>Mixed</t>
        </is>
      </c>
      <c r="F25" s="145" t="inlineStr">
        <is>
          <t>Mixed</t>
        </is>
      </c>
      <c r="G25" s="145" t="inlineStr">
        <is>
          <t>Aptos</t>
        </is>
      </c>
      <c r="H25" s="145" t="n">
        <v>8</v>
      </c>
      <c r="I25" s="145" t="inlineStr">
        <is>
          <t>Mixed</t>
        </is>
      </c>
      <c r="J25" s="145" t="inlineStr">
        <is>
          <t>No</t>
        </is>
      </c>
      <c r="K25" s="145" t="inlineStr">
        <is>
          <t>None</t>
        </is>
      </c>
      <c r="L25" s="145" t="inlineStr">
        <is>
          <t>#000000</t>
        </is>
      </c>
      <c r="M25" s="145" t="inlineStr">
        <is>
          <t>Mixed</t>
        </is>
      </c>
      <c r="N25" s="145" t="inlineStr">
        <is>
          <t>Center</t>
        </is>
      </c>
      <c r="O25" s="145" t="inlineStr">
        <is>
          <t>Mixed</t>
        </is>
      </c>
      <c r="P25" s="145" t="n"/>
      <c r="Q25" s="145" t="n"/>
      <c r="R25" s="145" t="inlineStr">
        <is>
          <t>EdgeTop:Continuous/Thin/#000000; EdgeBottom:Continuous/Thin/#000000; EdgeLeft:Continuous/Thin/#000000; EdgeRight:Continuous/Thin/#000000; InsideHorizontal:Continuous/Thin/#000000</t>
        </is>
      </c>
      <c r="S25" s="145" t="n">
        <v>0</v>
      </c>
      <c r="T25" s="145" t="n"/>
      <c r="U25" s="145" t="inlineStr">
        <is>
          <t>Yes</t>
        </is>
      </c>
      <c r="V25" s="145" t="inlineStr">
        <is>
          <t>Hidden column (possible outline/group)</t>
        </is>
      </c>
      <c r="W25" s="145" t="n"/>
      <c r="X25" s="145" t="inlineStr">
        <is>
          <t>Mixed styles within used column</t>
        </is>
      </c>
    </row>
    <row r="26" ht="23.85" customHeight="1" s="79">
      <c r="A26" s="145" t="inlineStr">
        <is>
          <t>REGULAR_DEPT</t>
        </is>
      </c>
      <c r="B26" s="145" t="inlineStr">
        <is>
          <t>Top-Row Cell Format</t>
        </is>
      </c>
      <c r="C26" s="145" t="inlineStr">
        <is>
          <t>D1</t>
        </is>
      </c>
      <c r="D26" s="145" t="inlineStr">
        <is>
          <t>REGULAR_DEPT!A1:AS193</t>
        </is>
      </c>
      <c r="E26" s="145" t="inlineStr">
        <is>
          <t>Normal</t>
        </is>
      </c>
      <c r="F26" s="145" t="inlineStr">
        <is>
          <t>#C9C9C9</t>
        </is>
      </c>
      <c r="G26" s="145" t="inlineStr">
        <is>
          <t>Aptos</t>
        </is>
      </c>
      <c r="H26" s="145" t="n">
        <v>8</v>
      </c>
      <c r="I26" s="145" t="inlineStr">
        <is>
          <t>Yes</t>
        </is>
      </c>
      <c r="J26" s="145" t="inlineStr">
        <is>
          <t>No</t>
        </is>
      </c>
      <c r="K26" s="145" t="inlineStr">
        <is>
          <t>None</t>
        </is>
      </c>
      <c r="L26" s="145" t="inlineStr">
        <is>
          <t>#000000</t>
        </is>
      </c>
      <c r="M26" s="145" t="inlineStr">
        <is>
          <t>Center</t>
        </is>
      </c>
      <c r="N26" s="145" t="inlineStr">
        <is>
          <t>Center</t>
        </is>
      </c>
      <c r="O26" s="145" t="inlineStr">
        <is>
          <t>No</t>
        </is>
      </c>
      <c r="P26" s="145" t="inlineStr">
        <is>
          <t>General</t>
        </is>
      </c>
      <c r="Q26" s="145" t="inlineStr">
        <is>
          <t>General</t>
        </is>
      </c>
      <c r="R26" s="145" t="n"/>
      <c r="S26" s="145" t="n"/>
      <c r="T26" s="145" t="n"/>
      <c r="U26" s="145" t="n"/>
      <c r="V26" s="145" t="n"/>
      <c r="W26" s="145" t="n"/>
      <c r="X26" s="145" t="inlineStr">
        <is>
          <t>Detailed format sample from top 5 used rows</t>
        </is>
      </c>
    </row>
    <row r="27" ht="23.85" customHeight="1" s="79">
      <c r="A27" s="145" t="inlineStr">
        <is>
          <t>REGULAR_DEPT</t>
        </is>
      </c>
      <c r="B27" s="145" t="inlineStr">
        <is>
          <t>Top-Row Cell Format</t>
        </is>
      </c>
      <c r="C27" s="145" t="inlineStr">
        <is>
          <t>D2</t>
        </is>
      </c>
      <c r="D27" s="145" t="inlineStr">
        <is>
          <t>REGULAR_DEPT!A1:AS193</t>
        </is>
      </c>
      <c r="E27" s="145" t="inlineStr">
        <is>
          <t>Comma</t>
        </is>
      </c>
      <c r="F27" s="145" t="inlineStr">
        <is>
          <t>#B4C6E7</t>
        </is>
      </c>
      <c r="G27" s="145" t="inlineStr">
        <is>
          <t>Aptos</t>
        </is>
      </c>
      <c r="H27" s="145" t="n">
        <v>8</v>
      </c>
      <c r="I27" s="145" t="inlineStr">
        <is>
          <t>Yes</t>
        </is>
      </c>
      <c r="J27" s="145" t="inlineStr">
        <is>
          <t>No</t>
        </is>
      </c>
      <c r="K27" s="145" t="inlineStr">
        <is>
          <t>None</t>
        </is>
      </c>
      <c r="L27" s="145" t="inlineStr">
        <is>
          <t>#000000</t>
        </is>
      </c>
      <c r="M27" s="145" t="inlineStr">
        <is>
          <t>General</t>
        </is>
      </c>
      <c r="N27" s="145" t="inlineStr">
        <is>
          <t>Center</t>
        </is>
      </c>
      <c r="O27" s="145" t="inlineStr">
        <is>
          <t>No</t>
        </is>
      </c>
      <c r="P27" s="145" t="inlineStr">
        <is>
          <t xml:space="preserve">_ * #,##0_ ;_ * -#,##0_ ;_ * "-"??_ ;_ @_ </t>
        </is>
      </c>
      <c r="Q27" s="145" t="inlineStr">
        <is>
          <t>Text</t>
        </is>
      </c>
      <c r="R27" s="145" t="n"/>
      <c r="S27" s="145" t="n"/>
      <c r="T27" s="145" t="n"/>
      <c r="U27" s="145" t="n"/>
      <c r="V27" s="145" t="n"/>
      <c r="W27" s="145" t="n"/>
      <c r="X27" s="145" t="inlineStr">
        <is>
          <t>Detailed format sample from top 5 used rows</t>
        </is>
      </c>
    </row>
    <row r="28" ht="23.85" customHeight="1" s="79">
      <c r="A28" s="145" t="inlineStr">
        <is>
          <t>REGULAR_DEPT</t>
        </is>
      </c>
      <c r="B28" s="145" t="inlineStr">
        <is>
          <t>Top-Row Cell Format</t>
        </is>
      </c>
      <c r="C28" s="145" t="inlineStr">
        <is>
          <t>D3</t>
        </is>
      </c>
      <c r="D28" s="145" t="inlineStr">
        <is>
          <t>REGULAR_DEPT!A1:AS193</t>
        </is>
      </c>
      <c r="E28" s="145" t="inlineStr">
        <is>
          <t>Normal</t>
        </is>
      </c>
      <c r="F28" s="145" t="inlineStr">
        <is>
          <t>#FFD966</t>
        </is>
      </c>
      <c r="G28" s="145" t="inlineStr">
        <is>
          <t>Aptos</t>
        </is>
      </c>
      <c r="H28" s="145" t="n">
        <v>8</v>
      </c>
      <c r="I28" s="145" t="inlineStr">
        <is>
          <t>Yes</t>
        </is>
      </c>
      <c r="J28" s="145" t="inlineStr">
        <is>
          <t>No</t>
        </is>
      </c>
      <c r="K28" s="145" t="inlineStr">
        <is>
          <t>None</t>
        </is>
      </c>
      <c r="L28" s="145" t="inlineStr">
        <is>
          <t>#000000</t>
        </is>
      </c>
      <c r="M28" s="145" t="inlineStr">
        <is>
          <t>Center</t>
        </is>
      </c>
      <c r="N28" s="145" t="inlineStr">
        <is>
          <t>Center</t>
        </is>
      </c>
      <c r="O28" s="145" t="inlineStr">
        <is>
          <t>Yes</t>
        </is>
      </c>
      <c r="P28" s="145" t="inlineStr">
        <is>
          <t>General</t>
        </is>
      </c>
      <c r="Q28" s="145" t="inlineStr">
        <is>
          <t>General</t>
        </is>
      </c>
      <c r="R28" s="145" t="n"/>
      <c r="S28" s="145" t="n"/>
      <c r="T28" s="145" t="n"/>
      <c r="U28" s="145" t="n"/>
      <c r="V28" s="145" t="n"/>
      <c r="W28" s="145" t="n"/>
      <c r="X28" s="145" t="inlineStr">
        <is>
          <t>Detailed format sample from top 5 used rows</t>
        </is>
      </c>
    </row>
    <row r="29" ht="23.85" customHeight="1" s="79">
      <c r="A29" s="145" t="inlineStr">
        <is>
          <t>REGULAR_DEPT</t>
        </is>
      </c>
      <c r="B29" s="145" t="inlineStr">
        <is>
          <t>Top-Row Cell Format</t>
        </is>
      </c>
      <c r="C29" s="145" t="inlineStr">
        <is>
          <t>D4</t>
        </is>
      </c>
      <c r="D29" s="145" t="inlineStr">
        <is>
          <t>REGULAR_DEPT!A1:AS193</t>
        </is>
      </c>
      <c r="E29" s="145" t="inlineStr">
        <is>
          <t>Normal</t>
        </is>
      </c>
      <c r="F29" s="145" t="inlineStr">
        <is>
          <t>#FFD966</t>
        </is>
      </c>
      <c r="G29" s="145" t="inlineStr">
        <is>
          <t>Aptos</t>
        </is>
      </c>
      <c r="H29" s="145" t="n">
        <v>8</v>
      </c>
      <c r="I29" s="145" t="inlineStr">
        <is>
          <t>No</t>
        </is>
      </c>
      <c r="J29" s="145" t="inlineStr">
        <is>
          <t>No</t>
        </is>
      </c>
      <c r="K29" s="145" t="inlineStr">
        <is>
          <t>None</t>
        </is>
      </c>
      <c r="L29" s="145" t="inlineStr">
        <is>
          <t>#000000</t>
        </is>
      </c>
      <c r="M29" s="145" t="inlineStr">
        <is>
          <t>General</t>
        </is>
      </c>
      <c r="N29" s="145" t="inlineStr">
        <is>
          <t>Center</t>
        </is>
      </c>
      <c r="O29" s="145" t="inlineStr">
        <is>
          <t>No</t>
        </is>
      </c>
      <c r="P29" s="145" t="inlineStr">
        <is>
          <t>General</t>
        </is>
      </c>
      <c r="Q29" s="145" t="inlineStr">
        <is>
          <t>General</t>
        </is>
      </c>
      <c r="R29" s="145" t="n"/>
      <c r="S29" s="145" t="n"/>
      <c r="T29" s="145" t="n"/>
      <c r="U29" s="145" t="n"/>
      <c r="V29" s="145" t="n"/>
      <c r="W29" s="145" t="n"/>
      <c r="X29" s="145" t="inlineStr">
        <is>
          <t>Detailed format sample from top 5 used rows</t>
        </is>
      </c>
    </row>
    <row r="30" ht="23.85" customHeight="1" s="79">
      <c r="A30" s="145" t="inlineStr">
        <is>
          <t>REGULAR_DEPT</t>
        </is>
      </c>
      <c r="B30" s="145" t="inlineStr">
        <is>
          <t>Top-Row Cell Format</t>
        </is>
      </c>
      <c r="C30" s="145" t="inlineStr">
        <is>
          <t>D5</t>
        </is>
      </c>
      <c r="D30" s="145" t="inlineStr">
        <is>
          <t>REGULAR_DEPT!A1:AS193</t>
        </is>
      </c>
      <c r="E30" s="145" t="inlineStr">
        <is>
          <t>Comma</t>
        </is>
      </c>
      <c r="F30" s="145" t="n"/>
      <c r="G30" s="145" t="inlineStr">
        <is>
          <t>Aptos</t>
        </is>
      </c>
      <c r="H30" s="145" t="n">
        <v>8</v>
      </c>
      <c r="I30" s="145" t="inlineStr">
        <is>
          <t>No</t>
        </is>
      </c>
      <c r="J30" s="145" t="inlineStr">
        <is>
          <t>No</t>
        </is>
      </c>
      <c r="K30" s="145" t="inlineStr">
        <is>
          <t>None</t>
        </is>
      </c>
      <c r="L30" s="145" t="inlineStr">
        <is>
          <t>#000000</t>
        </is>
      </c>
      <c r="M30" s="145" t="inlineStr">
        <is>
          <t>General</t>
        </is>
      </c>
      <c r="N30" s="145" t="inlineStr">
        <is>
          <t>Center</t>
        </is>
      </c>
      <c r="O30" s="145" t="inlineStr">
        <is>
          <t>No</t>
        </is>
      </c>
      <c r="P30" s="145" t="inlineStr">
        <is>
          <t xml:space="preserve">_ * #,##0_ ;_ * -#,##0_ ;_ * "-"??_ ;_ @_ </t>
        </is>
      </c>
      <c r="Q30" s="145" t="inlineStr">
        <is>
          <t>Text</t>
        </is>
      </c>
      <c r="R30" s="145" t="n"/>
      <c r="S30" s="145" t="n"/>
      <c r="T30" s="145" t="n"/>
      <c r="U30" s="145" t="n"/>
      <c r="V30" s="145" t="n"/>
      <c r="W30" s="145" t="n"/>
      <c r="X30" s="145" t="inlineStr">
        <is>
          <t>Detailed format sample from top 5 used rows</t>
        </is>
      </c>
    </row>
    <row r="31" ht="57.45" customHeight="1" s="79">
      <c r="A31" s="145" t="inlineStr">
        <is>
          <t>REGULAR_DEPT</t>
        </is>
      </c>
      <c r="B31" s="145" t="inlineStr">
        <is>
          <t>Column Format</t>
        </is>
      </c>
      <c r="C31" s="145" t="inlineStr">
        <is>
          <t>E:E</t>
        </is>
      </c>
      <c r="D31" s="145" t="inlineStr">
        <is>
          <t>REGULAR_DEPT!A1:AS193</t>
        </is>
      </c>
      <c r="E31" s="145" t="inlineStr">
        <is>
          <t>Mixed</t>
        </is>
      </c>
      <c r="F31" s="145" t="inlineStr">
        <is>
          <t>Mixed</t>
        </is>
      </c>
      <c r="G31" s="145" t="inlineStr">
        <is>
          <t>Aptos</t>
        </is>
      </c>
      <c r="H31" s="145" t="n">
        <v>8</v>
      </c>
      <c r="I31" s="145" t="inlineStr">
        <is>
          <t>Mixed</t>
        </is>
      </c>
      <c r="J31" s="145" t="inlineStr">
        <is>
          <t>No</t>
        </is>
      </c>
      <c r="K31" s="145" t="inlineStr">
        <is>
          <t>None</t>
        </is>
      </c>
      <c r="L31" s="145" t="inlineStr">
        <is>
          <t>#000000</t>
        </is>
      </c>
      <c r="M31" s="145" t="inlineStr">
        <is>
          <t>Mixed</t>
        </is>
      </c>
      <c r="N31" s="145" t="inlineStr">
        <is>
          <t>Center</t>
        </is>
      </c>
      <c r="O31" s="145" t="inlineStr">
        <is>
          <t>Mixed</t>
        </is>
      </c>
      <c r="P31" s="145" t="n"/>
      <c r="Q31" s="145" t="n"/>
      <c r="R31" s="145" t="inlineStr">
        <is>
          <t>EdgeTop:Continuous/Thin/#000000; EdgeBottom:Continuous/Thin/#000000; EdgeLeft:Continuous/Thin/#000000; EdgeRight:Continuous/Thin/#000000; InsideHorizontal:Continuous/Thin/#000000</t>
        </is>
      </c>
      <c r="S31" s="145" t="n">
        <v>0</v>
      </c>
      <c r="T31" s="145" t="n"/>
      <c r="U31" s="145" t="inlineStr">
        <is>
          <t>Yes</t>
        </is>
      </c>
      <c r="V31" s="145" t="inlineStr">
        <is>
          <t>Hidden column (possible outline/group)</t>
        </is>
      </c>
      <c r="W31" s="145" t="n"/>
      <c r="X31" s="145" t="inlineStr">
        <is>
          <t>Mixed styles within used column</t>
        </is>
      </c>
    </row>
    <row r="32" ht="23.85" customHeight="1" s="79">
      <c r="A32" s="145" t="inlineStr">
        <is>
          <t>REGULAR_DEPT</t>
        </is>
      </c>
      <c r="B32" s="145" t="inlineStr">
        <is>
          <t>Top-Row Cell Format</t>
        </is>
      </c>
      <c r="C32" s="145" t="inlineStr">
        <is>
          <t>E1</t>
        </is>
      </c>
      <c r="D32" s="145" t="inlineStr">
        <is>
          <t>REGULAR_DEPT!A1:AS193</t>
        </is>
      </c>
      <c r="E32" s="145" t="inlineStr">
        <is>
          <t>Normal</t>
        </is>
      </c>
      <c r="F32" s="145" t="inlineStr">
        <is>
          <t>#C9C9C9</t>
        </is>
      </c>
      <c r="G32" s="145" t="inlineStr">
        <is>
          <t>Aptos</t>
        </is>
      </c>
      <c r="H32" s="145" t="n">
        <v>8</v>
      </c>
      <c r="I32" s="145" t="inlineStr">
        <is>
          <t>Yes</t>
        </is>
      </c>
      <c r="J32" s="145" t="inlineStr">
        <is>
          <t>No</t>
        </is>
      </c>
      <c r="K32" s="145" t="inlineStr">
        <is>
          <t>None</t>
        </is>
      </c>
      <c r="L32" s="145" t="inlineStr">
        <is>
          <t>#000000</t>
        </is>
      </c>
      <c r="M32" s="145" t="inlineStr">
        <is>
          <t>Center</t>
        </is>
      </c>
      <c r="N32" s="145" t="inlineStr">
        <is>
          <t>Center</t>
        </is>
      </c>
      <c r="O32" s="145" t="inlineStr">
        <is>
          <t>No</t>
        </is>
      </c>
      <c r="P32" s="145" t="inlineStr">
        <is>
          <t>General</t>
        </is>
      </c>
      <c r="Q32" s="145" t="inlineStr">
        <is>
          <t>General</t>
        </is>
      </c>
      <c r="R32" s="145" t="n"/>
      <c r="S32" s="145" t="n"/>
      <c r="T32" s="145" t="n"/>
      <c r="U32" s="145" t="n"/>
      <c r="V32" s="145" t="n"/>
      <c r="W32" s="145" t="n"/>
      <c r="X32" s="145" t="inlineStr">
        <is>
          <t>Detailed format sample from top 5 used rows</t>
        </is>
      </c>
    </row>
    <row r="33" ht="23.85" customHeight="1" s="79">
      <c r="A33" s="145" t="inlineStr">
        <is>
          <t>REGULAR_DEPT</t>
        </is>
      </c>
      <c r="B33" s="145" t="inlineStr">
        <is>
          <t>Top-Row Cell Format</t>
        </is>
      </c>
      <c r="C33" s="145" t="inlineStr">
        <is>
          <t>E2</t>
        </is>
      </c>
      <c r="D33" s="145" t="inlineStr">
        <is>
          <t>REGULAR_DEPT!A1:AS193</t>
        </is>
      </c>
      <c r="E33" s="145" t="inlineStr">
        <is>
          <t>Comma</t>
        </is>
      </c>
      <c r="F33" s="145" t="inlineStr">
        <is>
          <t>#B4C6E7</t>
        </is>
      </c>
      <c r="G33" s="145" t="inlineStr">
        <is>
          <t>Aptos</t>
        </is>
      </c>
      <c r="H33" s="145" t="n">
        <v>8</v>
      </c>
      <c r="I33" s="145" t="inlineStr">
        <is>
          <t>Yes</t>
        </is>
      </c>
      <c r="J33" s="145" t="inlineStr">
        <is>
          <t>No</t>
        </is>
      </c>
      <c r="K33" s="145" t="inlineStr">
        <is>
          <t>None</t>
        </is>
      </c>
      <c r="L33" s="145" t="inlineStr">
        <is>
          <t>#000000</t>
        </is>
      </c>
      <c r="M33" s="145" t="inlineStr">
        <is>
          <t>General</t>
        </is>
      </c>
      <c r="N33" s="145" t="inlineStr">
        <is>
          <t>Center</t>
        </is>
      </c>
      <c r="O33" s="145" t="inlineStr">
        <is>
          <t>No</t>
        </is>
      </c>
      <c r="P33" s="145" t="inlineStr">
        <is>
          <t xml:space="preserve">_ * #,##0_ ;_ * -#,##0_ ;_ * "-"??_ ;_ @_ </t>
        </is>
      </c>
      <c r="Q33" s="145" t="inlineStr">
        <is>
          <t>Text</t>
        </is>
      </c>
      <c r="R33" s="145" t="n"/>
      <c r="S33" s="145" t="n"/>
      <c r="T33" s="145" t="n"/>
      <c r="U33" s="145" t="n"/>
      <c r="V33" s="145" t="n"/>
      <c r="W33" s="145" t="n"/>
      <c r="X33" s="145" t="inlineStr">
        <is>
          <t>Detailed format sample from top 5 used rows</t>
        </is>
      </c>
    </row>
    <row r="34" ht="23.85" customHeight="1" s="79">
      <c r="A34" s="145" t="inlineStr">
        <is>
          <t>REGULAR_DEPT</t>
        </is>
      </c>
      <c r="B34" s="145" t="inlineStr">
        <is>
          <t>Top-Row Cell Format</t>
        </is>
      </c>
      <c r="C34" s="145" t="inlineStr">
        <is>
          <t>E3</t>
        </is>
      </c>
      <c r="D34" s="145" t="inlineStr">
        <is>
          <t>REGULAR_DEPT!A1:AS193</t>
        </is>
      </c>
      <c r="E34" s="145" t="inlineStr">
        <is>
          <t>Normal</t>
        </is>
      </c>
      <c r="F34" s="145" t="inlineStr">
        <is>
          <t>#FFD966</t>
        </is>
      </c>
      <c r="G34" s="145" t="inlineStr">
        <is>
          <t>Aptos</t>
        </is>
      </c>
      <c r="H34" s="145" t="n">
        <v>8</v>
      </c>
      <c r="I34" s="145" t="inlineStr">
        <is>
          <t>Yes</t>
        </is>
      </c>
      <c r="J34" s="145" t="inlineStr">
        <is>
          <t>No</t>
        </is>
      </c>
      <c r="K34" s="145" t="inlineStr">
        <is>
          <t>None</t>
        </is>
      </c>
      <c r="L34" s="145" t="inlineStr">
        <is>
          <t>#000000</t>
        </is>
      </c>
      <c r="M34" s="145" t="inlineStr">
        <is>
          <t>Center</t>
        </is>
      </c>
      <c r="N34" s="145" t="inlineStr">
        <is>
          <t>Center</t>
        </is>
      </c>
      <c r="O34" s="145" t="inlineStr">
        <is>
          <t>Yes</t>
        </is>
      </c>
      <c r="P34" s="145" t="inlineStr">
        <is>
          <t>General</t>
        </is>
      </c>
      <c r="Q34" s="145" t="inlineStr">
        <is>
          <t>General</t>
        </is>
      </c>
      <c r="R34" s="145" t="n"/>
      <c r="S34" s="145" t="n"/>
      <c r="T34" s="145" t="n"/>
      <c r="U34" s="145" t="n"/>
      <c r="V34" s="145" t="n"/>
      <c r="W34" s="145" t="n"/>
      <c r="X34" s="145" t="inlineStr">
        <is>
          <t>Detailed format sample from top 5 used rows</t>
        </is>
      </c>
    </row>
    <row r="35" ht="23.85" customHeight="1" s="79">
      <c r="A35" s="145" t="inlineStr">
        <is>
          <t>REGULAR_DEPT</t>
        </is>
      </c>
      <c r="B35" s="145" t="inlineStr">
        <is>
          <t>Top-Row Cell Format</t>
        </is>
      </c>
      <c r="C35" s="145" t="inlineStr">
        <is>
          <t>E4</t>
        </is>
      </c>
      <c r="D35" s="145" t="inlineStr">
        <is>
          <t>REGULAR_DEPT!A1:AS193</t>
        </is>
      </c>
      <c r="E35" s="145" t="inlineStr">
        <is>
          <t>Normal</t>
        </is>
      </c>
      <c r="F35" s="145" t="inlineStr">
        <is>
          <t>#FFD966</t>
        </is>
      </c>
      <c r="G35" s="145" t="inlineStr">
        <is>
          <t>Aptos</t>
        </is>
      </c>
      <c r="H35" s="145" t="n">
        <v>8</v>
      </c>
      <c r="I35" s="145" t="inlineStr">
        <is>
          <t>No</t>
        </is>
      </c>
      <c r="J35" s="145" t="inlineStr">
        <is>
          <t>No</t>
        </is>
      </c>
      <c r="K35" s="145" t="inlineStr">
        <is>
          <t>None</t>
        </is>
      </c>
      <c r="L35" s="145" t="inlineStr">
        <is>
          <t>#000000</t>
        </is>
      </c>
      <c r="M35" s="145" t="inlineStr">
        <is>
          <t>General</t>
        </is>
      </c>
      <c r="N35" s="145" t="inlineStr">
        <is>
          <t>Center</t>
        </is>
      </c>
      <c r="O35" s="145" t="inlineStr">
        <is>
          <t>No</t>
        </is>
      </c>
      <c r="P35" s="145" t="inlineStr">
        <is>
          <t>General</t>
        </is>
      </c>
      <c r="Q35" s="145" t="inlineStr">
        <is>
          <t>General</t>
        </is>
      </c>
      <c r="R35" s="145" t="n"/>
      <c r="S35" s="145" t="n"/>
      <c r="T35" s="145" t="n"/>
      <c r="U35" s="145" t="n"/>
      <c r="V35" s="145" t="n"/>
      <c r="W35" s="145" t="n"/>
      <c r="X35" s="145" t="inlineStr">
        <is>
          <t>Detailed format sample from top 5 used rows</t>
        </is>
      </c>
    </row>
    <row r="36" ht="23.85" customHeight="1" s="79">
      <c r="A36" s="145" t="inlineStr">
        <is>
          <t>REGULAR_DEPT</t>
        </is>
      </c>
      <c r="B36" s="145" t="inlineStr">
        <is>
          <t>Top-Row Cell Format</t>
        </is>
      </c>
      <c r="C36" s="145" t="inlineStr">
        <is>
          <t>E5</t>
        </is>
      </c>
      <c r="D36" s="145" t="inlineStr">
        <is>
          <t>REGULAR_DEPT!A1:AS193</t>
        </is>
      </c>
      <c r="E36" s="145" t="inlineStr">
        <is>
          <t>Comma</t>
        </is>
      </c>
      <c r="F36" s="145" t="n"/>
      <c r="G36" s="145" t="inlineStr">
        <is>
          <t>Aptos</t>
        </is>
      </c>
      <c r="H36" s="145" t="n">
        <v>8</v>
      </c>
      <c r="I36" s="145" t="inlineStr">
        <is>
          <t>No</t>
        </is>
      </c>
      <c r="J36" s="145" t="inlineStr">
        <is>
          <t>No</t>
        </is>
      </c>
      <c r="K36" s="145" t="inlineStr">
        <is>
          <t>None</t>
        </is>
      </c>
      <c r="L36" s="145" t="inlineStr">
        <is>
          <t>#000000</t>
        </is>
      </c>
      <c r="M36" s="145" t="inlineStr">
        <is>
          <t>General</t>
        </is>
      </c>
      <c r="N36" s="145" t="inlineStr">
        <is>
          <t>Center</t>
        </is>
      </c>
      <c r="O36" s="145" t="inlineStr">
        <is>
          <t>No</t>
        </is>
      </c>
      <c r="P36" s="145" t="inlineStr">
        <is>
          <t xml:space="preserve">_ * #,##0_ ;_ * -#,##0_ ;_ * "-"??_ ;_ @_ </t>
        </is>
      </c>
      <c r="Q36" s="145" t="inlineStr">
        <is>
          <t>Text</t>
        </is>
      </c>
      <c r="R36" s="145" t="n"/>
      <c r="S36" s="145" t="n"/>
      <c r="T36" s="145" t="n"/>
      <c r="U36" s="145" t="n"/>
      <c r="V36" s="145" t="n"/>
      <c r="W36" s="145" t="n"/>
      <c r="X36" s="145" t="inlineStr">
        <is>
          <t>Detailed format sample from top 5 used rows</t>
        </is>
      </c>
    </row>
    <row r="37" ht="57.45" customHeight="1" s="79">
      <c r="A37" s="145" t="inlineStr">
        <is>
          <t>REGULAR_DEPT</t>
        </is>
      </c>
      <c r="B37" s="145" t="inlineStr">
        <is>
          <t>Column Format</t>
        </is>
      </c>
      <c r="C37" s="145" t="inlineStr">
        <is>
          <t>F:F</t>
        </is>
      </c>
      <c r="D37" s="145" t="inlineStr">
        <is>
          <t>REGULAR_DEPT!A1:AS193</t>
        </is>
      </c>
      <c r="E37" s="145" t="inlineStr">
        <is>
          <t>Mixed</t>
        </is>
      </c>
      <c r="F37" s="145" t="inlineStr">
        <is>
          <t>Mixed</t>
        </is>
      </c>
      <c r="G37" s="145" t="inlineStr">
        <is>
          <t>Aptos</t>
        </is>
      </c>
      <c r="H37" s="145" t="n">
        <v>8</v>
      </c>
      <c r="I37" s="145" t="inlineStr">
        <is>
          <t>Mixed</t>
        </is>
      </c>
      <c r="J37" s="145" t="inlineStr">
        <is>
          <t>No</t>
        </is>
      </c>
      <c r="K37" s="145" t="inlineStr">
        <is>
          <t>None</t>
        </is>
      </c>
      <c r="L37" s="145" t="inlineStr">
        <is>
          <t>#000000</t>
        </is>
      </c>
      <c r="M37" s="145" t="inlineStr">
        <is>
          <t>Mixed</t>
        </is>
      </c>
      <c r="N37" s="145" t="inlineStr">
        <is>
          <t>Center</t>
        </is>
      </c>
      <c r="O37" s="145" t="inlineStr">
        <is>
          <t>Mixed</t>
        </is>
      </c>
      <c r="P37" s="145" t="n"/>
      <c r="Q37" s="145" t="n"/>
      <c r="R37" s="145" t="inlineStr">
        <is>
          <t>EdgeTop:Continuous/Thin/#000000; EdgeBottom:Continuous/Thin/#000000; EdgeLeft:Continuous/Thin/#000000; EdgeRight:Continuous/Thin/#000000; InsideHorizontal:Continuous/Thin/#000000</t>
        </is>
      </c>
      <c r="S37" s="145" t="n">
        <v>0</v>
      </c>
      <c r="T37" s="145" t="n"/>
      <c r="U37" s="145" t="inlineStr">
        <is>
          <t>Yes</t>
        </is>
      </c>
      <c r="V37" s="145" t="inlineStr">
        <is>
          <t>Hidden column (possible outline/group)</t>
        </is>
      </c>
      <c r="W37" s="145" t="n"/>
      <c r="X37" s="145" t="inlineStr">
        <is>
          <t>Mixed styles within used column</t>
        </is>
      </c>
    </row>
    <row r="38" ht="23.85" customHeight="1" s="79">
      <c r="A38" s="145" t="inlineStr">
        <is>
          <t>REGULAR_DEPT</t>
        </is>
      </c>
      <c r="B38" s="145" t="inlineStr">
        <is>
          <t>Top-Row Cell Format</t>
        </is>
      </c>
      <c r="C38" s="145" t="inlineStr">
        <is>
          <t>F1</t>
        </is>
      </c>
      <c r="D38" s="145" t="inlineStr">
        <is>
          <t>REGULAR_DEPT!A1:AS193</t>
        </is>
      </c>
      <c r="E38" s="145" t="inlineStr">
        <is>
          <t>Normal</t>
        </is>
      </c>
      <c r="F38" s="145" t="inlineStr">
        <is>
          <t>#C9C9C9</t>
        </is>
      </c>
      <c r="G38" s="145" t="inlineStr">
        <is>
          <t>Aptos</t>
        </is>
      </c>
      <c r="H38" s="145" t="n">
        <v>8</v>
      </c>
      <c r="I38" s="145" t="inlineStr">
        <is>
          <t>Yes</t>
        </is>
      </c>
      <c r="J38" s="145" t="inlineStr">
        <is>
          <t>No</t>
        </is>
      </c>
      <c r="K38" s="145" t="inlineStr">
        <is>
          <t>None</t>
        </is>
      </c>
      <c r="L38" s="145" t="inlineStr">
        <is>
          <t>#000000</t>
        </is>
      </c>
      <c r="M38" s="145" t="inlineStr">
        <is>
          <t>Center</t>
        </is>
      </c>
      <c r="N38" s="145" t="inlineStr">
        <is>
          <t>Center</t>
        </is>
      </c>
      <c r="O38" s="145" t="inlineStr">
        <is>
          <t>No</t>
        </is>
      </c>
      <c r="P38" s="145" t="inlineStr">
        <is>
          <t>General</t>
        </is>
      </c>
      <c r="Q38" s="145" t="inlineStr">
        <is>
          <t>General</t>
        </is>
      </c>
      <c r="R38" s="145" t="n"/>
      <c r="S38" s="145" t="n"/>
      <c r="T38" s="145" t="n"/>
      <c r="U38" s="145" t="n"/>
      <c r="V38" s="145" t="n"/>
      <c r="W38" s="145" t="n"/>
      <c r="X38" s="145" t="inlineStr">
        <is>
          <t>Detailed format sample from top 5 used rows</t>
        </is>
      </c>
    </row>
    <row r="39" ht="23.85" customHeight="1" s="79">
      <c r="A39" s="145" t="inlineStr">
        <is>
          <t>REGULAR_DEPT</t>
        </is>
      </c>
      <c r="B39" s="145" t="inlineStr">
        <is>
          <t>Top-Row Cell Format</t>
        </is>
      </c>
      <c r="C39" s="145" t="inlineStr">
        <is>
          <t>F2</t>
        </is>
      </c>
      <c r="D39" s="145" t="inlineStr">
        <is>
          <t>REGULAR_DEPT!A1:AS193</t>
        </is>
      </c>
      <c r="E39" s="145" t="inlineStr">
        <is>
          <t>Comma</t>
        </is>
      </c>
      <c r="F39" s="145" t="inlineStr">
        <is>
          <t>#B4C6E7</t>
        </is>
      </c>
      <c r="G39" s="145" t="inlineStr">
        <is>
          <t>Aptos</t>
        </is>
      </c>
      <c r="H39" s="145" t="n">
        <v>8</v>
      </c>
      <c r="I39" s="145" t="inlineStr">
        <is>
          <t>Yes</t>
        </is>
      </c>
      <c r="J39" s="145" t="inlineStr">
        <is>
          <t>No</t>
        </is>
      </c>
      <c r="K39" s="145" t="inlineStr">
        <is>
          <t>None</t>
        </is>
      </c>
      <c r="L39" s="145" t="inlineStr">
        <is>
          <t>#000000</t>
        </is>
      </c>
      <c r="M39" s="145" t="inlineStr">
        <is>
          <t>General</t>
        </is>
      </c>
      <c r="N39" s="145" t="inlineStr">
        <is>
          <t>Center</t>
        </is>
      </c>
      <c r="O39" s="145" t="inlineStr">
        <is>
          <t>No</t>
        </is>
      </c>
      <c r="P39" s="145" t="inlineStr">
        <is>
          <t xml:space="preserve">_ * #,##0_ ;_ * -#,##0_ ;_ * "-"??_ ;_ @_ </t>
        </is>
      </c>
      <c r="Q39" s="145" t="inlineStr">
        <is>
          <t>Text</t>
        </is>
      </c>
      <c r="R39" s="145" t="n"/>
      <c r="S39" s="145" t="n"/>
      <c r="T39" s="145" t="n"/>
      <c r="U39" s="145" t="n"/>
      <c r="V39" s="145" t="n"/>
      <c r="W39" s="145" t="n"/>
      <c r="X39" s="145" t="inlineStr">
        <is>
          <t>Detailed format sample from top 5 used rows</t>
        </is>
      </c>
    </row>
    <row r="40" ht="23.85" customHeight="1" s="79">
      <c r="A40" s="145" t="inlineStr">
        <is>
          <t>REGULAR_DEPT</t>
        </is>
      </c>
      <c r="B40" s="145" t="inlineStr">
        <is>
          <t>Top-Row Cell Format</t>
        </is>
      </c>
      <c r="C40" s="145" t="inlineStr">
        <is>
          <t>F3</t>
        </is>
      </c>
      <c r="D40" s="145" t="inlineStr">
        <is>
          <t>REGULAR_DEPT!A1:AS193</t>
        </is>
      </c>
      <c r="E40" s="145" t="inlineStr">
        <is>
          <t>Normal</t>
        </is>
      </c>
      <c r="F40" s="145" t="inlineStr">
        <is>
          <t>#FFD966</t>
        </is>
      </c>
      <c r="G40" s="145" t="inlineStr">
        <is>
          <t>Aptos</t>
        </is>
      </c>
      <c r="H40" s="145" t="n">
        <v>8</v>
      </c>
      <c r="I40" s="145" t="inlineStr">
        <is>
          <t>Yes</t>
        </is>
      </c>
      <c r="J40" s="145" t="inlineStr">
        <is>
          <t>No</t>
        </is>
      </c>
      <c r="K40" s="145" t="inlineStr">
        <is>
          <t>None</t>
        </is>
      </c>
      <c r="L40" s="145" t="inlineStr">
        <is>
          <t>#000000</t>
        </is>
      </c>
      <c r="M40" s="145" t="inlineStr">
        <is>
          <t>Center</t>
        </is>
      </c>
      <c r="N40" s="145" t="inlineStr">
        <is>
          <t>Center</t>
        </is>
      </c>
      <c r="O40" s="145" t="inlineStr">
        <is>
          <t>Yes</t>
        </is>
      </c>
      <c r="P40" s="145" t="inlineStr">
        <is>
          <t>General</t>
        </is>
      </c>
      <c r="Q40" s="145" t="inlineStr">
        <is>
          <t>General</t>
        </is>
      </c>
      <c r="R40" s="145" t="n"/>
      <c r="S40" s="145" t="n"/>
      <c r="T40" s="145" t="n"/>
      <c r="U40" s="145" t="n"/>
      <c r="V40" s="145" t="n"/>
      <c r="W40" s="145" t="n"/>
      <c r="X40" s="145" t="inlineStr">
        <is>
          <t>Detailed format sample from top 5 used rows</t>
        </is>
      </c>
    </row>
    <row r="41" ht="23.85" customHeight="1" s="79">
      <c r="A41" s="145" t="inlineStr">
        <is>
          <t>REGULAR_DEPT</t>
        </is>
      </c>
      <c r="B41" s="145" t="inlineStr">
        <is>
          <t>Top-Row Cell Format</t>
        </is>
      </c>
      <c r="C41" s="145" t="inlineStr">
        <is>
          <t>F4</t>
        </is>
      </c>
      <c r="D41" s="145" t="inlineStr">
        <is>
          <t>REGULAR_DEPT!A1:AS193</t>
        </is>
      </c>
      <c r="E41" s="145" t="inlineStr">
        <is>
          <t>Normal</t>
        </is>
      </c>
      <c r="F41" s="145" t="inlineStr">
        <is>
          <t>#FFD966</t>
        </is>
      </c>
      <c r="G41" s="145" t="inlineStr">
        <is>
          <t>Aptos</t>
        </is>
      </c>
      <c r="H41" s="145" t="n">
        <v>8</v>
      </c>
      <c r="I41" s="145" t="inlineStr">
        <is>
          <t>No</t>
        </is>
      </c>
      <c r="J41" s="145" t="inlineStr">
        <is>
          <t>No</t>
        </is>
      </c>
      <c r="K41" s="145" t="inlineStr">
        <is>
          <t>None</t>
        </is>
      </c>
      <c r="L41" s="145" t="inlineStr">
        <is>
          <t>#000000</t>
        </is>
      </c>
      <c r="M41" s="145" t="inlineStr">
        <is>
          <t>General</t>
        </is>
      </c>
      <c r="N41" s="145" t="inlineStr">
        <is>
          <t>Center</t>
        </is>
      </c>
      <c r="O41" s="145" t="inlineStr">
        <is>
          <t>No</t>
        </is>
      </c>
      <c r="P41" s="145" t="inlineStr">
        <is>
          <t>General</t>
        </is>
      </c>
      <c r="Q41" s="145" t="inlineStr">
        <is>
          <t>General</t>
        </is>
      </c>
      <c r="R41" s="145" t="n"/>
      <c r="S41" s="145" t="n"/>
      <c r="T41" s="145" t="n"/>
      <c r="U41" s="145" t="n"/>
      <c r="V41" s="145" t="n"/>
      <c r="W41" s="145" t="n"/>
      <c r="X41" s="145" t="inlineStr">
        <is>
          <t>Detailed format sample from top 5 used rows</t>
        </is>
      </c>
    </row>
    <row r="42" ht="23.85" customHeight="1" s="79">
      <c r="A42" s="145" t="inlineStr">
        <is>
          <t>REGULAR_DEPT</t>
        </is>
      </c>
      <c r="B42" s="145" t="inlineStr">
        <is>
          <t>Top-Row Cell Format</t>
        </is>
      </c>
      <c r="C42" s="145" t="inlineStr">
        <is>
          <t>F5</t>
        </is>
      </c>
      <c r="D42" s="145" t="inlineStr">
        <is>
          <t>REGULAR_DEPT!A1:AS193</t>
        </is>
      </c>
      <c r="E42" s="145" t="inlineStr">
        <is>
          <t>Comma</t>
        </is>
      </c>
      <c r="F42" s="145" t="n"/>
      <c r="G42" s="145" t="inlineStr">
        <is>
          <t>Aptos</t>
        </is>
      </c>
      <c r="H42" s="145" t="n">
        <v>8</v>
      </c>
      <c r="I42" s="145" t="inlineStr">
        <is>
          <t>No</t>
        </is>
      </c>
      <c r="J42" s="145" t="inlineStr">
        <is>
          <t>No</t>
        </is>
      </c>
      <c r="K42" s="145" t="inlineStr">
        <is>
          <t>None</t>
        </is>
      </c>
      <c r="L42" s="145" t="inlineStr">
        <is>
          <t>#000000</t>
        </is>
      </c>
      <c r="M42" s="145" t="inlineStr">
        <is>
          <t>General</t>
        </is>
      </c>
      <c r="N42" s="145" t="inlineStr">
        <is>
          <t>Center</t>
        </is>
      </c>
      <c r="O42" s="145" t="inlineStr">
        <is>
          <t>No</t>
        </is>
      </c>
      <c r="P42" s="145" t="inlineStr">
        <is>
          <t xml:space="preserve">_ * #,##0_ ;_ * -#,##0_ ;_ * "-"??_ ;_ @_ </t>
        </is>
      </c>
      <c r="Q42" s="145" t="inlineStr">
        <is>
          <t>Text</t>
        </is>
      </c>
      <c r="R42" s="145" t="n"/>
      <c r="S42" s="145" t="n"/>
      <c r="T42" s="145" t="n"/>
      <c r="U42" s="145" t="n"/>
      <c r="V42" s="145" t="n"/>
      <c r="W42" s="145" t="n"/>
      <c r="X42" s="145" t="inlineStr">
        <is>
          <t>Detailed format sample from top 5 used rows</t>
        </is>
      </c>
    </row>
    <row r="43" ht="57.45" customHeight="1" s="79">
      <c r="A43" s="145" t="inlineStr">
        <is>
          <t>REGULAR_DEPT</t>
        </is>
      </c>
      <c r="B43" s="145" t="inlineStr">
        <is>
          <t>Column Format</t>
        </is>
      </c>
      <c r="C43" s="145" t="inlineStr">
        <is>
          <t>G:G</t>
        </is>
      </c>
      <c r="D43" s="145" t="inlineStr">
        <is>
          <t>REGULAR_DEPT!A1:AS193</t>
        </is>
      </c>
      <c r="E43" s="145" t="inlineStr">
        <is>
          <t>Mixed</t>
        </is>
      </c>
      <c r="F43" s="145" t="inlineStr">
        <is>
          <t>Mixed</t>
        </is>
      </c>
      <c r="G43" s="145" t="inlineStr">
        <is>
          <t>Aptos</t>
        </is>
      </c>
      <c r="H43" s="145" t="n">
        <v>8</v>
      </c>
      <c r="I43" s="145" t="inlineStr">
        <is>
          <t>Mixed</t>
        </is>
      </c>
      <c r="J43" s="145" t="inlineStr">
        <is>
          <t>No</t>
        </is>
      </c>
      <c r="K43" s="145" t="inlineStr">
        <is>
          <t>None</t>
        </is>
      </c>
      <c r="L43" s="145" t="inlineStr">
        <is>
          <t>#000000</t>
        </is>
      </c>
      <c r="M43" s="145" t="inlineStr">
        <is>
          <t>Mixed</t>
        </is>
      </c>
      <c r="N43" s="145" t="inlineStr">
        <is>
          <t>Center</t>
        </is>
      </c>
      <c r="O43" s="145" t="inlineStr">
        <is>
          <t>Mixed</t>
        </is>
      </c>
      <c r="P43" s="145" t="n"/>
      <c r="Q43" s="145" t="n"/>
      <c r="R43" s="145" t="inlineStr">
        <is>
          <t>EdgeTop:Continuous/Thin/#000000; EdgeBottom:Continuous/Thin/#000000; EdgeLeft:Continuous/Thin/#000000; EdgeRight:Continuous/Thin/#000000; InsideHorizontal:Continuous/Thin/#000000</t>
        </is>
      </c>
      <c r="S43" s="145" t="n">
        <v>0</v>
      </c>
      <c r="T43" s="145" t="n"/>
      <c r="U43" s="145" t="inlineStr">
        <is>
          <t>Yes</t>
        </is>
      </c>
      <c r="V43" s="145" t="inlineStr">
        <is>
          <t>Hidden column (possible outline/group)</t>
        </is>
      </c>
      <c r="W43" s="145" t="n"/>
      <c r="X43" s="145" t="inlineStr">
        <is>
          <t>Mixed styles within used column</t>
        </is>
      </c>
    </row>
    <row r="44" ht="23.85" customHeight="1" s="79">
      <c r="A44" s="145" t="inlineStr">
        <is>
          <t>REGULAR_DEPT</t>
        </is>
      </c>
      <c r="B44" s="145" t="inlineStr">
        <is>
          <t>Top-Row Cell Format</t>
        </is>
      </c>
      <c r="C44" s="145" t="inlineStr">
        <is>
          <t>G1</t>
        </is>
      </c>
      <c r="D44" s="145" t="inlineStr">
        <is>
          <t>REGULAR_DEPT!A1:AS193</t>
        </is>
      </c>
      <c r="E44" s="145" t="inlineStr">
        <is>
          <t>Normal</t>
        </is>
      </c>
      <c r="F44" s="145" t="inlineStr">
        <is>
          <t>#C9C9C9</t>
        </is>
      </c>
      <c r="G44" s="145" t="inlineStr">
        <is>
          <t>Aptos</t>
        </is>
      </c>
      <c r="H44" s="145" t="n">
        <v>8</v>
      </c>
      <c r="I44" s="145" t="inlineStr">
        <is>
          <t>Yes</t>
        </is>
      </c>
      <c r="J44" s="145" t="inlineStr">
        <is>
          <t>No</t>
        </is>
      </c>
      <c r="K44" s="145" t="inlineStr">
        <is>
          <t>None</t>
        </is>
      </c>
      <c r="L44" s="145" t="inlineStr">
        <is>
          <t>#000000</t>
        </is>
      </c>
      <c r="M44" s="145" t="inlineStr">
        <is>
          <t>Center</t>
        </is>
      </c>
      <c r="N44" s="145" t="inlineStr">
        <is>
          <t>Center</t>
        </is>
      </c>
      <c r="O44" s="145" t="inlineStr">
        <is>
          <t>No</t>
        </is>
      </c>
      <c r="P44" s="145" t="inlineStr">
        <is>
          <t>General</t>
        </is>
      </c>
      <c r="Q44" s="145" t="inlineStr">
        <is>
          <t>General</t>
        </is>
      </c>
      <c r="R44" s="145" t="n"/>
      <c r="S44" s="145" t="n"/>
      <c r="T44" s="145" t="n"/>
      <c r="U44" s="145" t="n"/>
      <c r="V44" s="145" t="n"/>
      <c r="W44" s="145" t="n"/>
      <c r="X44" s="145" t="inlineStr">
        <is>
          <t>Detailed format sample from top 5 used rows</t>
        </is>
      </c>
    </row>
    <row r="45" ht="23.85" customHeight="1" s="79">
      <c r="A45" s="145" t="inlineStr">
        <is>
          <t>REGULAR_DEPT</t>
        </is>
      </c>
      <c r="B45" s="145" t="inlineStr">
        <is>
          <t>Top-Row Cell Format</t>
        </is>
      </c>
      <c r="C45" s="145" t="inlineStr">
        <is>
          <t>G2</t>
        </is>
      </c>
      <c r="D45" s="145" t="inlineStr">
        <is>
          <t>REGULAR_DEPT!A1:AS193</t>
        </is>
      </c>
      <c r="E45" s="145" t="inlineStr">
        <is>
          <t>Comma</t>
        </is>
      </c>
      <c r="F45" s="145" t="inlineStr">
        <is>
          <t>#B4C6E7</t>
        </is>
      </c>
      <c r="G45" s="145" t="inlineStr">
        <is>
          <t>Aptos</t>
        </is>
      </c>
      <c r="H45" s="145" t="n">
        <v>8</v>
      </c>
      <c r="I45" s="145" t="inlineStr">
        <is>
          <t>Yes</t>
        </is>
      </c>
      <c r="J45" s="145" t="inlineStr">
        <is>
          <t>No</t>
        </is>
      </c>
      <c r="K45" s="145" t="inlineStr">
        <is>
          <t>None</t>
        </is>
      </c>
      <c r="L45" s="145" t="inlineStr">
        <is>
          <t>#000000</t>
        </is>
      </c>
      <c r="M45" s="145" t="inlineStr">
        <is>
          <t>General</t>
        </is>
      </c>
      <c r="N45" s="145" t="inlineStr">
        <is>
          <t>Center</t>
        </is>
      </c>
      <c r="O45" s="145" t="inlineStr">
        <is>
          <t>No</t>
        </is>
      </c>
      <c r="P45" s="145" t="inlineStr">
        <is>
          <t xml:space="preserve">_ * #,##0_ ;_ * -#,##0_ ;_ * "-"??_ ;_ @_ </t>
        </is>
      </c>
      <c r="Q45" s="145" t="inlineStr">
        <is>
          <t>Text</t>
        </is>
      </c>
      <c r="R45" s="145" t="n"/>
      <c r="S45" s="145" t="n"/>
      <c r="T45" s="145" t="n"/>
      <c r="U45" s="145" t="n"/>
      <c r="V45" s="145" t="n"/>
      <c r="W45" s="145" t="n"/>
      <c r="X45" s="145" t="inlineStr">
        <is>
          <t>Detailed format sample from top 5 used rows</t>
        </is>
      </c>
    </row>
    <row r="46" ht="23.85" customHeight="1" s="79">
      <c r="A46" s="145" t="inlineStr">
        <is>
          <t>REGULAR_DEPT</t>
        </is>
      </c>
      <c r="B46" s="145" t="inlineStr">
        <is>
          <t>Top-Row Cell Format</t>
        </is>
      </c>
      <c r="C46" s="145" t="inlineStr">
        <is>
          <t>G3</t>
        </is>
      </c>
      <c r="D46" s="145" t="inlineStr">
        <is>
          <t>REGULAR_DEPT!A1:AS193</t>
        </is>
      </c>
      <c r="E46" s="145" t="inlineStr">
        <is>
          <t>Normal</t>
        </is>
      </c>
      <c r="F46" s="145" t="inlineStr">
        <is>
          <t>#FFD966</t>
        </is>
      </c>
      <c r="G46" s="145" t="inlineStr">
        <is>
          <t>Aptos</t>
        </is>
      </c>
      <c r="H46" s="145" t="n">
        <v>8</v>
      </c>
      <c r="I46" s="145" t="inlineStr">
        <is>
          <t>Yes</t>
        </is>
      </c>
      <c r="J46" s="145" t="inlineStr">
        <is>
          <t>No</t>
        </is>
      </c>
      <c r="K46" s="145" t="inlineStr">
        <is>
          <t>None</t>
        </is>
      </c>
      <c r="L46" s="145" t="inlineStr">
        <is>
          <t>#000000</t>
        </is>
      </c>
      <c r="M46" s="145" t="inlineStr">
        <is>
          <t>Center</t>
        </is>
      </c>
      <c r="N46" s="145" t="inlineStr">
        <is>
          <t>Center</t>
        </is>
      </c>
      <c r="O46" s="145" t="inlineStr">
        <is>
          <t>Yes</t>
        </is>
      </c>
      <c r="P46" s="145" t="inlineStr">
        <is>
          <t>General</t>
        </is>
      </c>
      <c r="Q46" s="145" t="inlineStr">
        <is>
          <t>General</t>
        </is>
      </c>
      <c r="R46" s="145" t="n"/>
      <c r="S46" s="145" t="n"/>
      <c r="T46" s="145" t="n"/>
      <c r="U46" s="145" t="n"/>
      <c r="V46" s="145" t="n"/>
      <c r="W46" s="145" t="n"/>
      <c r="X46" s="145" t="inlineStr">
        <is>
          <t>Detailed format sample from top 5 used rows</t>
        </is>
      </c>
    </row>
    <row r="47" ht="23.85" customHeight="1" s="79">
      <c r="A47" s="145" t="inlineStr">
        <is>
          <t>REGULAR_DEPT</t>
        </is>
      </c>
      <c r="B47" s="145" t="inlineStr">
        <is>
          <t>Top-Row Cell Format</t>
        </is>
      </c>
      <c r="C47" s="145" t="inlineStr">
        <is>
          <t>G4</t>
        </is>
      </c>
      <c r="D47" s="145" t="inlineStr">
        <is>
          <t>REGULAR_DEPT!A1:AS193</t>
        </is>
      </c>
      <c r="E47" s="145" t="inlineStr">
        <is>
          <t>Normal</t>
        </is>
      </c>
      <c r="F47" s="145" t="inlineStr">
        <is>
          <t>#FFD966</t>
        </is>
      </c>
      <c r="G47" s="145" t="inlineStr">
        <is>
          <t>Aptos</t>
        </is>
      </c>
      <c r="H47" s="145" t="n">
        <v>8</v>
      </c>
      <c r="I47" s="145" t="inlineStr">
        <is>
          <t>No</t>
        </is>
      </c>
      <c r="J47" s="145" t="inlineStr">
        <is>
          <t>No</t>
        </is>
      </c>
      <c r="K47" s="145" t="inlineStr">
        <is>
          <t>None</t>
        </is>
      </c>
      <c r="L47" s="145" t="inlineStr">
        <is>
          <t>#000000</t>
        </is>
      </c>
      <c r="M47" s="145" t="inlineStr">
        <is>
          <t>General</t>
        </is>
      </c>
      <c r="N47" s="145" t="inlineStr">
        <is>
          <t>Center</t>
        </is>
      </c>
      <c r="O47" s="145" t="inlineStr">
        <is>
          <t>No</t>
        </is>
      </c>
      <c r="P47" s="145" t="inlineStr">
        <is>
          <t>General</t>
        </is>
      </c>
      <c r="Q47" s="145" t="inlineStr">
        <is>
          <t>General</t>
        </is>
      </c>
      <c r="R47" s="145" t="n"/>
      <c r="S47" s="145" t="n"/>
      <c r="T47" s="145" t="n"/>
      <c r="U47" s="145" t="n"/>
      <c r="V47" s="145" t="n"/>
      <c r="W47" s="145" t="n"/>
      <c r="X47" s="145" t="inlineStr">
        <is>
          <t>Detailed format sample from top 5 used rows</t>
        </is>
      </c>
    </row>
    <row r="48" ht="23.85" customHeight="1" s="79">
      <c r="A48" s="145" t="inlineStr">
        <is>
          <t>REGULAR_DEPT</t>
        </is>
      </c>
      <c r="B48" s="145" t="inlineStr">
        <is>
          <t>Top-Row Cell Format</t>
        </is>
      </c>
      <c r="C48" s="145" t="inlineStr">
        <is>
          <t>G5</t>
        </is>
      </c>
      <c r="D48" s="145" t="inlineStr">
        <is>
          <t>REGULAR_DEPT!A1:AS193</t>
        </is>
      </c>
      <c r="E48" s="145" t="inlineStr">
        <is>
          <t>Comma</t>
        </is>
      </c>
      <c r="F48" s="145" t="n"/>
      <c r="G48" s="145" t="inlineStr">
        <is>
          <t>Aptos</t>
        </is>
      </c>
      <c r="H48" s="145" t="n">
        <v>8</v>
      </c>
      <c r="I48" s="145" t="inlineStr">
        <is>
          <t>No</t>
        </is>
      </c>
      <c r="J48" s="145" t="inlineStr">
        <is>
          <t>No</t>
        </is>
      </c>
      <c r="K48" s="145" t="inlineStr">
        <is>
          <t>None</t>
        </is>
      </c>
      <c r="L48" s="145" t="inlineStr">
        <is>
          <t>#000000</t>
        </is>
      </c>
      <c r="M48" s="145" t="inlineStr">
        <is>
          <t>General</t>
        </is>
      </c>
      <c r="N48" s="145" t="inlineStr">
        <is>
          <t>Center</t>
        </is>
      </c>
      <c r="O48" s="145" t="inlineStr">
        <is>
          <t>No</t>
        </is>
      </c>
      <c r="P48" s="145" t="inlineStr">
        <is>
          <t xml:space="preserve">_ * #,##0_ ;_ * -#,##0_ ;_ * "-"??_ ;_ @_ </t>
        </is>
      </c>
      <c r="Q48" s="145" t="inlineStr">
        <is>
          <t>Text</t>
        </is>
      </c>
      <c r="R48" s="145" t="n"/>
      <c r="S48" s="145" t="n"/>
      <c r="T48" s="145" t="n"/>
      <c r="U48" s="145" t="n"/>
      <c r="V48" s="145" t="n"/>
      <c r="W48" s="145" t="n"/>
      <c r="X48" s="145" t="inlineStr">
        <is>
          <t>Detailed format sample from top 5 used rows</t>
        </is>
      </c>
    </row>
    <row r="49" ht="57.45" customHeight="1" s="79">
      <c r="A49" s="145" t="inlineStr">
        <is>
          <t>REGULAR_DEPT</t>
        </is>
      </c>
      <c r="B49" s="145" t="inlineStr">
        <is>
          <t>Column Format</t>
        </is>
      </c>
      <c r="C49" s="145" t="inlineStr">
        <is>
          <t>H:H</t>
        </is>
      </c>
      <c r="D49" s="145" t="inlineStr">
        <is>
          <t>REGULAR_DEPT!A1:AS193</t>
        </is>
      </c>
      <c r="E49" s="145" t="inlineStr">
        <is>
          <t>Mixed</t>
        </is>
      </c>
      <c r="F49" s="145" t="inlineStr">
        <is>
          <t>Mixed</t>
        </is>
      </c>
      <c r="G49" s="145" t="inlineStr">
        <is>
          <t>Aptos</t>
        </is>
      </c>
      <c r="H49" s="145" t="n">
        <v>8</v>
      </c>
      <c r="I49" s="145" t="inlineStr">
        <is>
          <t>Mixed</t>
        </is>
      </c>
      <c r="J49" s="145" t="inlineStr">
        <is>
          <t>No</t>
        </is>
      </c>
      <c r="K49" s="145" t="inlineStr">
        <is>
          <t>None</t>
        </is>
      </c>
      <c r="L49" s="145" t="inlineStr">
        <is>
          <t>#000000</t>
        </is>
      </c>
      <c r="M49" s="145" t="inlineStr">
        <is>
          <t>Mixed</t>
        </is>
      </c>
      <c r="N49" s="145" t="inlineStr">
        <is>
          <t>Center</t>
        </is>
      </c>
      <c r="O49" s="145" t="inlineStr">
        <is>
          <t>Mixed</t>
        </is>
      </c>
      <c r="P49" s="145" t="n"/>
      <c r="Q49" s="145" t="n"/>
      <c r="R49" s="145" t="inlineStr">
        <is>
          <t>EdgeTop:Continuous/Thin/#000000; EdgeBottom:Continuous/Thin/#000000; EdgeLeft:Continuous/Thin/#000000; EdgeRight:Continuous/Thin/#000000; InsideHorizontal:Continuous/Thin/#000000</t>
        </is>
      </c>
      <c r="S49" s="145" t="n">
        <v>0</v>
      </c>
      <c r="T49" s="145" t="n"/>
      <c r="U49" s="145" t="inlineStr">
        <is>
          <t>Yes</t>
        </is>
      </c>
      <c r="V49" s="145" t="inlineStr">
        <is>
          <t>Hidden column (possible outline/group)</t>
        </is>
      </c>
      <c r="W49" s="145" t="n"/>
      <c r="X49" s="145" t="inlineStr">
        <is>
          <t>Mixed styles within used column</t>
        </is>
      </c>
    </row>
    <row r="50" ht="23.85" customHeight="1" s="79">
      <c r="A50" s="145" t="inlineStr">
        <is>
          <t>REGULAR_DEPT</t>
        </is>
      </c>
      <c r="B50" s="145" t="inlineStr">
        <is>
          <t>Top-Row Cell Format</t>
        </is>
      </c>
      <c r="C50" s="145" t="inlineStr">
        <is>
          <t>H1</t>
        </is>
      </c>
      <c r="D50" s="145" t="inlineStr">
        <is>
          <t>REGULAR_DEPT!A1:AS193</t>
        </is>
      </c>
      <c r="E50" s="145" t="inlineStr">
        <is>
          <t>Normal</t>
        </is>
      </c>
      <c r="F50" s="145" t="inlineStr">
        <is>
          <t>#C9C9C9</t>
        </is>
      </c>
      <c r="G50" s="145" t="inlineStr">
        <is>
          <t>Aptos</t>
        </is>
      </c>
      <c r="H50" s="145" t="n">
        <v>8</v>
      </c>
      <c r="I50" s="145" t="inlineStr">
        <is>
          <t>Yes</t>
        </is>
      </c>
      <c r="J50" s="145" t="inlineStr">
        <is>
          <t>No</t>
        </is>
      </c>
      <c r="K50" s="145" t="inlineStr">
        <is>
          <t>None</t>
        </is>
      </c>
      <c r="L50" s="145" t="inlineStr">
        <is>
          <t>#000000</t>
        </is>
      </c>
      <c r="M50" s="145" t="inlineStr">
        <is>
          <t>Center</t>
        </is>
      </c>
      <c r="N50" s="145" t="inlineStr">
        <is>
          <t>Center</t>
        </is>
      </c>
      <c r="O50" s="145" t="inlineStr">
        <is>
          <t>No</t>
        </is>
      </c>
      <c r="P50" s="145" t="inlineStr">
        <is>
          <t>General</t>
        </is>
      </c>
      <c r="Q50" s="145" t="inlineStr">
        <is>
          <t>General</t>
        </is>
      </c>
      <c r="R50" s="145" t="n"/>
      <c r="S50" s="145" t="n"/>
      <c r="T50" s="145" t="n"/>
      <c r="U50" s="145" t="n"/>
      <c r="V50" s="145" t="n"/>
      <c r="W50" s="145" t="n"/>
      <c r="X50" s="145" t="inlineStr">
        <is>
          <t>Detailed format sample from top 5 used rows</t>
        </is>
      </c>
    </row>
    <row r="51" ht="23.85" customHeight="1" s="79">
      <c r="A51" s="145" t="inlineStr">
        <is>
          <t>REGULAR_DEPT</t>
        </is>
      </c>
      <c r="B51" s="145" t="inlineStr">
        <is>
          <t>Top-Row Cell Format</t>
        </is>
      </c>
      <c r="C51" s="145" t="inlineStr">
        <is>
          <t>H2</t>
        </is>
      </c>
      <c r="D51" s="145" t="inlineStr">
        <is>
          <t>REGULAR_DEPT!A1:AS193</t>
        </is>
      </c>
      <c r="E51" s="145" t="inlineStr">
        <is>
          <t>Comma</t>
        </is>
      </c>
      <c r="F51" s="145" t="inlineStr">
        <is>
          <t>#B4C6E7</t>
        </is>
      </c>
      <c r="G51" s="145" t="inlineStr">
        <is>
          <t>Aptos</t>
        </is>
      </c>
      <c r="H51" s="145" t="n">
        <v>8</v>
      </c>
      <c r="I51" s="145" t="inlineStr">
        <is>
          <t>Yes</t>
        </is>
      </c>
      <c r="J51" s="145" t="inlineStr">
        <is>
          <t>No</t>
        </is>
      </c>
      <c r="K51" s="145" t="inlineStr">
        <is>
          <t>None</t>
        </is>
      </c>
      <c r="L51" s="145" t="inlineStr">
        <is>
          <t>#000000</t>
        </is>
      </c>
      <c r="M51" s="145" t="inlineStr">
        <is>
          <t>General</t>
        </is>
      </c>
      <c r="N51" s="145" t="inlineStr">
        <is>
          <t>Center</t>
        </is>
      </c>
      <c r="O51" s="145" t="inlineStr">
        <is>
          <t>No</t>
        </is>
      </c>
      <c r="P51" s="145" t="inlineStr">
        <is>
          <t xml:space="preserve">_ * #,##0_ ;_ * -#,##0_ ;_ * "-"??_ ;_ @_ </t>
        </is>
      </c>
      <c r="Q51" s="145" t="inlineStr">
        <is>
          <t>Text</t>
        </is>
      </c>
      <c r="R51" s="145" t="n"/>
      <c r="S51" s="145" t="n"/>
      <c r="T51" s="145" t="n"/>
      <c r="U51" s="145" t="n"/>
      <c r="V51" s="145" t="n"/>
      <c r="W51" s="145" t="n"/>
      <c r="X51" s="145" t="inlineStr">
        <is>
          <t>Detailed format sample from top 5 used rows</t>
        </is>
      </c>
    </row>
    <row r="52" ht="23.85" customHeight="1" s="79">
      <c r="A52" s="145" t="inlineStr">
        <is>
          <t>REGULAR_DEPT</t>
        </is>
      </c>
      <c r="B52" s="145" t="inlineStr">
        <is>
          <t>Top-Row Cell Format</t>
        </is>
      </c>
      <c r="C52" s="145" t="inlineStr">
        <is>
          <t>H3</t>
        </is>
      </c>
      <c r="D52" s="145" t="inlineStr">
        <is>
          <t>REGULAR_DEPT!A1:AS193</t>
        </is>
      </c>
      <c r="E52" s="145" t="inlineStr">
        <is>
          <t>Normal</t>
        </is>
      </c>
      <c r="F52" s="145" t="inlineStr">
        <is>
          <t>#FFD966</t>
        </is>
      </c>
      <c r="G52" s="145" t="inlineStr">
        <is>
          <t>Aptos</t>
        </is>
      </c>
      <c r="H52" s="145" t="n">
        <v>8</v>
      </c>
      <c r="I52" s="145" t="inlineStr">
        <is>
          <t>Yes</t>
        </is>
      </c>
      <c r="J52" s="145" t="inlineStr">
        <is>
          <t>No</t>
        </is>
      </c>
      <c r="K52" s="145" t="inlineStr">
        <is>
          <t>None</t>
        </is>
      </c>
      <c r="L52" s="145" t="inlineStr">
        <is>
          <t>#000000</t>
        </is>
      </c>
      <c r="M52" s="145" t="inlineStr">
        <is>
          <t>Center</t>
        </is>
      </c>
      <c r="N52" s="145" t="inlineStr">
        <is>
          <t>Center</t>
        </is>
      </c>
      <c r="O52" s="145" t="inlineStr">
        <is>
          <t>Yes</t>
        </is>
      </c>
      <c r="P52" s="145" t="inlineStr">
        <is>
          <t>General</t>
        </is>
      </c>
      <c r="Q52" s="145" t="inlineStr">
        <is>
          <t>General</t>
        </is>
      </c>
      <c r="R52" s="145" t="n"/>
      <c r="S52" s="145" t="n"/>
      <c r="T52" s="145" t="n"/>
      <c r="U52" s="145" t="n"/>
      <c r="V52" s="145" t="n"/>
      <c r="W52" s="145" t="n"/>
      <c r="X52" s="145" t="inlineStr">
        <is>
          <t>Detailed format sample from top 5 used rows</t>
        </is>
      </c>
    </row>
    <row r="53" ht="23.85" customHeight="1" s="79">
      <c r="A53" s="145" t="inlineStr">
        <is>
          <t>REGULAR_DEPT</t>
        </is>
      </c>
      <c r="B53" s="145" t="inlineStr">
        <is>
          <t>Top-Row Cell Format</t>
        </is>
      </c>
      <c r="C53" s="145" t="inlineStr">
        <is>
          <t>H4</t>
        </is>
      </c>
      <c r="D53" s="145" t="inlineStr">
        <is>
          <t>REGULAR_DEPT!A1:AS193</t>
        </is>
      </c>
      <c r="E53" s="145" t="inlineStr">
        <is>
          <t>Normal</t>
        </is>
      </c>
      <c r="F53" s="145" t="inlineStr">
        <is>
          <t>#FFD966</t>
        </is>
      </c>
      <c r="G53" s="145" t="inlineStr">
        <is>
          <t>Aptos</t>
        </is>
      </c>
      <c r="H53" s="145" t="n">
        <v>8</v>
      </c>
      <c r="I53" s="145" t="inlineStr">
        <is>
          <t>No</t>
        </is>
      </c>
      <c r="J53" s="145" t="inlineStr">
        <is>
          <t>No</t>
        </is>
      </c>
      <c r="K53" s="145" t="inlineStr">
        <is>
          <t>None</t>
        </is>
      </c>
      <c r="L53" s="145" t="inlineStr">
        <is>
          <t>#000000</t>
        </is>
      </c>
      <c r="M53" s="145" t="inlineStr">
        <is>
          <t>General</t>
        </is>
      </c>
      <c r="N53" s="145" t="inlineStr">
        <is>
          <t>Center</t>
        </is>
      </c>
      <c r="O53" s="145" t="inlineStr">
        <is>
          <t>No</t>
        </is>
      </c>
      <c r="P53" s="145" t="inlineStr">
        <is>
          <t>General</t>
        </is>
      </c>
      <c r="Q53" s="145" t="inlineStr">
        <is>
          <t>General</t>
        </is>
      </c>
      <c r="R53" s="145" t="n"/>
      <c r="S53" s="145" t="n"/>
      <c r="T53" s="145" t="n"/>
      <c r="U53" s="145" t="n"/>
      <c r="V53" s="145" t="n"/>
      <c r="W53" s="145" t="n"/>
      <c r="X53" s="145" t="inlineStr">
        <is>
          <t>Detailed format sample from top 5 used rows</t>
        </is>
      </c>
    </row>
    <row r="54" ht="23.85" customHeight="1" s="79">
      <c r="A54" s="145" t="inlineStr">
        <is>
          <t>REGULAR_DEPT</t>
        </is>
      </c>
      <c r="B54" s="145" t="inlineStr">
        <is>
          <t>Top-Row Cell Format</t>
        </is>
      </c>
      <c r="C54" s="145" t="inlineStr">
        <is>
          <t>H5</t>
        </is>
      </c>
      <c r="D54" s="145" t="inlineStr">
        <is>
          <t>REGULAR_DEPT!A1:AS193</t>
        </is>
      </c>
      <c r="E54" s="145" t="inlineStr">
        <is>
          <t>Comma</t>
        </is>
      </c>
      <c r="F54" s="145" t="n"/>
      <c r="G54" s="145" t="inlineStr">
        <is>
          <t>Aptos</t>
        </is>
      </c>
      <c r="H54" s="145" t="n">
        <v>8</v>
      </c>
      <c r="I54" s="145" t="inlineStr">
        <is>
          <t>No</t>
        </is>
      </c>
      <c r="J54" s="145" t="inlineStr">
        <is>
          <t>No</t>
        </is>
      </c>
      <c r="K54" s="145" t="inlineStr">
        <is>
          <t>None</t>
        </is>
      </c>
      <c r="L54" s="145" t="inlineStr">
        <is>
          <t>#000000</t>
        </is>
      </c>
      <c r="M54" s="145" t="inlineStr">
        <is>
          <t>General</t>
        </is>
      </c>
      <c r="N54" s="145" t="inlineStr">
        <is>
          <t>Center</t>
        </is>
      </c>
      <c r="O54" s="145" t="inlineStr">
        <is>
          <t>No</t>
        </is>
      </c>
      <c r="P54" s="145" t="inlineStr">
        <is>
          <t xml:space="preserve">_ * #,##0_ ;_ * -#,##0_ ;_ * "-"??_ ;_ @_ </t>
        </is>
      </c>
      <c r="Q54" s="145" t="inlineStr">
        <is>
          <t>Text</t>
        </is>
      </c>
      <c r="R54" s="145" t="n"/>
      <c r="S54" s="145" t="n"/>
      <c r="T54" s="145" t="n"/>
      <c r="U54" s="145" t="n"/>
      <c r="V54" s="145" t="n"/>
      <c r="W54" s="145" t="n"/>
      <c r="X54" s="145" t="inlineStr">
        <is>
          <t>Detailed format sample from top 5 used rows</t>
        </is>
      </c>
    </row>
    <row r="55" ht="35.05" customHeight="1" s="79">
      <c r="A55" s="145" t="inlineStr">
        <is>
          <t>REGULAR_DEPT</t>
        </is>
      </c>
      <c r="B55" s="145" t="inlineStr">
        <is>
          <t>Column Format</t>
        </is>
      </c>
      <c r="C55" s="145" t="inlineStr">
        <is>
          <t>I:I</t>
        </is>
      </c>
      <c r="D55" s="145" t="inlineStr">
        <is>
          <t>REGULAR_DEPT!A1:AS193</t>
        </is>
      </c>
      <c r="E55" s="145" t="inlineStr">
        <is>
          <t>Normal</t>
        </is>
      </c>
      <c r="F55" s="145" t="inlineStr">
        <is>
          <t>Mixed</t>
        </is>
      </c>
      <c r="G55" s="145" t="inlineStr">
        <is>
          <t>Aptos</t>
        </is>
      </c>
      <c r="H55" s="145" t="n">
        <v>8</v>
      </c>
      <c r="I55" s="145" t="inlineStr">
        <is>
          <t>Mixed</t>
        </is>
      </c>
      <c r="J55" s="145" t="inlineStr">
        <is>
          <t>No</t>
        </is>
      </c>
      <c r="K55" s="145" t="inlineStr">
        <is>
          <t>None</t>
        </is>
      </c>
      <c r="L55" s="145" t="inlineStr">
        <is>
          <t>#000000</t>
        </is>
      </c>
      <c r="M55" s="145" t="inlineStr">
        <is>
          <t>General</t>
        </is>
      </c>
      <c r="N55" s="145" t="inlineStr">
        <is>
          <t>Center</t>
        </is>
      </c>
      <c r="O55" s="145" t="inlineStr">
        <is>
          <t>No</t>
        </is>
      </c>
      <c r="P55" s="145" t="n"/>
      <c r="Q55" s="145" t="n"/>
      <c r="R55" s="145" t="inlineStr">
        <is>
          <t>EdgeBottom:Continuous/Thin/#000000; EdgeLeft:Continuous/Thin/#000000; EdgeRight:Continuous/Thin/#000000</t>
        </is>
      </c>
      <c r="S55" s="145" t="n">
        <v>57.4925373134328</v>
      </c>
      <c r="T55" s="145" t="n"/>
      <c r="U55" s="145" t="inlineStr">
        <is>
          <t>No</t>
        </is>
      </c>
      <c r="V55" s="145" t="inlineStr">
        <is>
          <t>Visible</t>
        </is>
      </c>
      <c r="W55" s="145" t="n"/>
      <c r="X55" s="145" t="inlineStr">
        <is>
          <t>Mixed styles within used column</t>
        </is>
      </c>
    </row>
    <row r="56" ht="23.85" customHeight="1" s="79">
      <c r="A56" s="145" t="inlineStr">
        <is>
          <t>REGULAR_DEPT</t>
        </is>
      </c>
      <c r="B56" s="145" t="inlineStr">
        <is>
          <t>Top-Row Cell Format</t>
        </is>
      </c>
      <c r="C56" s="145" t="inlineStr">
        <is>
          <t>I1</t>
        </is>
      </c>
      <c r="D56" s="145" t="inlineStr">
        <is>
          <t>REGULAR_DEPT!A1:AS193</t>
        </is>
      </c>
      <c r="E56" s="145" t="inlineStr">
        <is>
          <t>Normal</t>
        </is>
      </c>
      <c r="F56" s="145" t="n"/>
      <c r="G56" s="145" t="inlineStr">
        <is>
          <t>Aptos</t>
        </is>
      </c>
      <c r="H56" s="145" t="n">
        <v>8</v>
      </c>
      <c r="I56" s="145" t="inlineStr">
        <is>
          <t>No</t>
        </is>
      </c>
      <c r="J56" s="145" t="inlineStr">
        <is>
          <t>No</t>
        </is>
      </c>
      <c r="K56" s="145" t="inlineStr">
        <is>
          <t>None</t>
        </is>
      </c>
      <c r="L56" s="145" t="inlineStr">
        <is>
          <t>#000000</t>
        </is>
      </c>
      <c r="M56" s="145" t="inlineStr">
        <is>
          <t>General</t>
        </is>
      </c>
      <c r="N56" s="145" t="inlineStr">
        <is>
          <t>Center</t>
        </is>
      </c>
      <c r="O56" s="145" t="inlineStr">
        <is>
          <t>No</t>
        </is>
      </c>
      <c r="P56" s="145" t="inlineStr">
        <is>
          <t>General</t>
        </is>
      </c>
      <c r="Q56" s="145" t="inlineStr">
        <is>
          <t>General</t>
        </is>
      </c>
      <c r="R56" s="145" t="n"/>
      <c r="S56" s="145" t="n"/>
      <c r="T56" s="145" t="n"/>
      <c r="U56" s="145" t="n"/>
      <c r="V56" s="145" t="n"/>
      <c r="W56" s="145" t="n"/>
      <c r="X56" s="145" t="inlineStr">
        <is>
          <t>Detailed format sample from top 5 used rows</t>
        </is>
      </c>
    </row>
    <row r="57" ht="23.85" customHeight="1" s="79">
      <c r="A57" s="145" t="inlineStr">
        <is>
          <t>REGULAR_DEPT</t>
        </is>
      </c>
      <c r="B57" s="145" t="inlineStr">
        <is>
          <t>Top-Row Cell Format</t>
        </is>
      </c>
      <c r="C57" s="145" t="inlineStr">
        <is>
          <t>I2</t>
        </is>
      </c>
      <c r="D57" s="145" t="inlineStr">
        <is>
          <t>REGULAR_DEPT!A1:AS193</t>
        </is>
      </c>
      <c r="E57" s="145" t="inlineStr">
        <is>
          <t>Normal</t>
        </is>
      </c>
      <c r="F57" s="145" t="n"/>
      <c r="G57" s="145" t="inlineStr">
        <is>
          <t>Aptos</t>
        </is>
      </c>
      <c r="H57" s="145" t="n">
        <v>8</v>
      </c>
      <c r="I57" s="145" t="inlineStr">
        <is>
          <t>No</t>
        </is>
      </c>
      <c r="J57" s="145" t="inlineStr">
        <is>
          <t>No</t>
        </is>
      </c>
      <c r="K57" s="145" t="inlineStr">
        <is>
          <t>None</t>
        </is>
      </c>
      <c r="L57" s="145" t="inlineStr">
        <is>
          <t>#000000</t>
        </is>
      </c>
      <c r="M57" s="145" t="inlineStr">
        <is>
          <t>General</t>
        </is>
      </c>
      <c r="N57" s="145" t="inlineStr">
        <is>
          <t>Center</t>
        </is>
      </c>
      <c r="O57" s="145" t="inlineStr">
        <is>
          <t>No</t>
        </is>
      </c>
      <c r="P57" s="145" t="inlineStr">
        <is>
          <t>General</t>
        </is>
      </c>
      <c r="Q57" s="145" t="inlineStr">
        <is>
          <t>General</t>
        </is>
      </c>
      <c r="R57" s="145" t="n"/>
      <c r="S57" s="145" t="n"/>
      <c r="T57" s="145" t="n"/>
      <c r="U57" s="145" t="n"/>
      <c r="V57" s="145" t="n"/>
      <c r="W57" s="145" t="n"/>
      <c r="X57" s="145" t="inlineStr">
        <is>
          <t>Detailed format sample from top 5 used rows</t>
        </is>
      </c>
    </row>
    <row r="58" ht="23.85" customHeight="1" s="79">
      <c r="A58" s="145" t="inlineStr">
        <is>
          <t>REGULAR_DEPT</t>
        </is>
      </c>
      <c r="B58" s="145" t="inlineStr">
        <is>
          <t>Top-Row Cell Format</t>
        </is>
      </c>
      <c r="C58" s="145" t="inlineStr">
        <is>
          <t>I3</t>
        </is>
      </c>
      <c r="D58" s="145" t="inlineStr">
        <is>
          <t>REGULAR_DEPT!A1:AS193</t>
        </is>
      </c>
      <c r="E58" s="145" t="inlineStr">
        <is>
          <t>Normal</t>
        </is>
      </c>
      <c r="F58" s="145" t="inlineStr">
        <is>
          <t>#F8CBAD</t>
        </is>
      </c>
      <c r="G58" s="145" t="inlineStr">
        <is>
          <t>Aptos</t>
        </is>
      </c>
      <c r="H58" s="145" t="n">
        <v>8</v>
      </c>
      <c r="I58" s="145" t="inlineStr">
        <is>
          <t>Yes</t>
        </is>
      </c>
      <c r="J58" s="145" t="inlineStr">
        <is>
          <t>No</t>
        </is>
      </c>
      <c r="K58" s="145" t="inlineStr">
        <is>
          <t>None</t>
        </is>
      </c>
      <c r="L58" s="145" t="inlineStr">
        <is>
          <t>#000000</t>
        </is>
      </c>
      <c r="M58" s="145" t="inlineStr">
        <is>
          <t>General</t>
        </is>
      </c>
      <c r="N58" s="145" t="inlineStr">
        <is>
          <t>Center</t>
        </is>
      </c>
      <c r="O58" s="145" t="inlineStr">
        <is>
          <t>No</t>
        </is>
      </c>
      <c r="P58" s="145" t="inlineStr">
        <is>
          <t>General</t>
        </is>
      </c>
      <c r="Q58" s="145" t="inlineStr">
        <is>
          <t>General</t>
        </is>
      </c>
      <c r="R58" s="145" t="n"/>
      <c r="S58" s="145" t="n"/>
      <c r="T58" s="145" t="n"/>
      <c r="U58" s="145" t="n"/>
      <c r="V58" s="145" t="n"/>
      <c r="W58" s="145" t="n"/>
      <c r="X58" s="145" t="inlineStr">
        <is>
          <t>Detailed format sample from top 5 used rows</t>
        </is>
      </c>
    </row>
    <row r="59" ht="23.85" customHeight="1" s="79">
      <c r="A59" s="145" t="inlineStr">
        <is>
          <t>REGULAR_DEPT</t>
        </is>
      </c>
      <c r="B59" s="145" t="inlineStr">
        <is>
          <t>Top-Row Cell Format</t>
        </is>
      </c>
      <c r="C59" s="145" t="inlineStr">
        <is>
          <t>I4</t>
        </is>
      </c>
      <c r="D59" s="145" t="inlineStr">
        <is>
          <t>REGULAR_DEPT!A1:AS193</t>
        </is>
      </c>
      <c r="E59" s="145" t="inlineStr">
        <is>
          <t>Normal</t>
        </is>
      </c>
      <c r="F59" s="145" t="inlineStr">
        <is>
          <t>#F8CBAD</t>
        </is>
      </c>
      <c r="G59" s="145" t="inlineStr">
        <is>
          <t>Aptos</t>
        </is>
      </c>
      <c r="H59" s="145" t="n">
        <v>8</v>
      </c>
      <c r="I59" s="145" t="inlineStr">
        <is>
          <t>No</t>
        </is>
      </c>
      <c r="J59" s="145" t="inlineStr">
        <is>
          <t>No</t>
        </is>
      </c>
      <c r="K59" s="145" t="inlineStr">
        <is>
          <t>None</t>
        </is>
      </c>
      <c r="L59" s="145" t="inlineStr">
        <is>
          <t>#000000</t>
        </is>
      </c>
      <c r="M59" s="145" t="inlineStr">
        <is>
          <t>General</t>
        </is>
      </c>
      <c r="N59" s="145" t="inlineStr">
        <is>
          <t>Center</t>
        </is>
      </c>
      <c r="O59" s="145" t="inlineStr">
        <is>
          <t>No</t>
        </is>
      </c>
      <c r="P59" s="145" t="inlineStr">
        <is>
          <t>General</t>
        </is>
      </c>
      <c r="Q59" s="145" t="inlineStr">
        <is>
          <t>General</t>
        </is>
      </c>
      <c r="R59" s="145" t="n"/>
      <c r="S59" s="145" t="n"/>
      <c r="T59" s="145" t="n"/>
      <c r="U59" s="145" t="n"/>
      <c r="V59" s="145" t="n"/>
      <c r="W59" s="145" t="n"/>
      <c r="X59" s="145" t="inlineStr">
        <is>
          <t>Detailed format sample from top 5 used rows</t>
        </is>
      </c>
    </row>
    <row r="60" ht="23.85" customHeight="1" s="79">
      <c r="A60" s="145" t="inlineStr">
        <is>
          <t>REGULAR_DEPT</t>
        </is>
      </c>
      <c r="B60" s="145" t="inlineStr">
        <is>
          <t>Top-Row Cell Format</t>
        </is>
      </c>
      <c r="C60" s="145" t="inlineStr">
        <is>
          <t>I5</t>
        </is>
      </c>
      <c r="D60" s="145" t="inlineStr">
        <is>
          <t>REGULAR_DEPT!A1:AS193</t>
        </is>
      </c>
      <c r="E60" s="145" t="inlineStr">
        <is>
          <t>Normal</t>
        </is>
      </c>
      <c r="F60" s="145" t="n"/>
      <c r="G60" s="145" t="inlineStr">
        <is>
          <t>Aptos</t>
        </is>
      </c>
      <c r="H60" s="145" t="n">
        <v>8</v>
      </c>
      <c r="I60" s="145" t="inlineStr">
        <is>
          <t>No</t>
        </is>
      </c>
      <c r="J60" s="145" t="inlineStr">
        <is>
          <t>No</t>
        </is>
      </c>
      <c r="K60" s="145" t="inlineStr">
        <is>
          <t>None</t>
        </is>
      </c>
      <c r="L60" s="145" t="inlineStr">
        <is>
          <t>#000000</t>
        </is>
      </c>
      <c r="M60" s="145" t="inlineStr">
        <is>
          <t>General</t>
        </is>
      </c>
      <c r="N60" s="145" t="inlineStr">
        <is>
          <t>Center</t>
        </is>
      </c>
      <c r="O60" s="145" t="inlineStr">
        <is>
          <t>No</t>
        </is>
      </c>
      <c r="P60" s="145" t="inlineStr">
        <is>
          <t>General</t>
        </is>
      </c>
      <c r="Q60" s="145" t="inlineStr">
        <is>
          <t>General</t>
        </is>
      </c>
      <c r="R60" s="145" t="n"/>
      <c r="S60" s="145" t="n"/>
      <c r="T60" s="145" t="n"/>
      <c r="U60" s="145" t="n"/>
      <c r="V60" s="145" t="n"/>
      <c r="W60" s="145" t="n"/>
      <c r="X60" s="145" t="inlineStr">
        <is>
          <t>Detailed format sample from top 5 used rows</t>
        </is>
      </c>
    </row>
    <row r="61" ht="23.85" customHeight="1" s="79">
      <c r="A61" s="145" t="inlineStr">
        <is>
          <t>REGULAR_DEPT</t>
        </is>
      </c>
      <c r="B61" s="145" t="inlineStr">
        <is>
          <t>Column Format</t>
        </is>
      </c>
      <c r="C61" s="145" t="inlineStr">
        <is>
          <t>J:J</t>
        </is>
      </c>
      <c r="D61" s="145" t="inlineStr">
        <is>
          <t>REGULAR_DEPT!A1:AS193</t>
        </is>
      </c>
      <c r="E61" s="145" t="inlineStr">
        <is>
          <t>Normal</t>
        </is>
      </c>
      <c r="F61" s="145" t="inlineStr">
        <is>
          <t>Mixed</t>
        </is>
      </c>
      <c r="G61" s="145" t="inlineStr">
        <is>
          <t>Aptos</t>
        </is>
      </c>
      <c r="H61" s="145" t="n">
        <v>8</v>
      </c>
      <c r="I61" s="145" t="inlineStr">
        <is>
          <t>Mixed</t>
        </is>
      </c>
      <c r="J61" s="145" t="inlineStr">
        <is>
          <t>No</t>
        </is>
      </c>
      <c r="K61" s="145" t="inlineStr">
        <is>
          <t>None</t>
        </is>
      </c>
      <c r="L61" s="145" t="inlineStr">
        <is>
          <t>Mixed</t>
        </is>
      </c>
      <c r="M61" s="145" t="inlineStr">
        <is>
          <t>General</t>
        </is>
      </c>
      <c r="N61" s="145" t="inlineStr">
        <is>
          <t>Center</t>
        </is>
      </c>
      <c r="O61" s="145" t="inlineStr">
        <is>
          <t>No</t>
        </is>
      </c>
      <c r="P61" s="145" t="n"/>
      <c r="Q61" s="145" t="n"/>
      <c r="R61" s="145" t="inlineStr">
        <is>
          <t>EdgeBottom:Continuous/Thin/#000000</t>
        </is>
      </c>
      <c r="S61" s="145" t="n">
        <v>44.0597014925373</v>
      </c>
      <c r="T61" s="145" t="n"/>
      <c r="U61" s="145" t="inlineStr">
        <is>
          <t>No</t>
        </is>
      </c>
      <c r="V61" s="145" t="inlineStr">
        <is>
          <t>Visible</t>
        </is>
      </c>
      <c r="W61" s="145" t="n"/>
      <c r="X61" s="145" t="inlineStr">
        <is>
          <t>Mixed styles within used column</t>
        </is>
      </c>
    </row>
    <row r="62" ht="23.85" customHeight="1" s="79">
      <c r="A62" s="145" t="inlineStr">
        <is>
          <t>REGULAR_DEPT</t>
        </is>
      </c>
      <c r="B62" s="145" t="inlineStr">
        <is>
          <t>Top-Row Cell Format</t>
        </is>
      </c>
      <c r="C62" s="145" t="inlineStr">
        <is>
          <t>J1</t>
        </is>
      </c>
      <c r="D62" s="145" t="inlineStr">
        <is>
          <t>REGULAR_DEPT!A1:AS193</t>
        </is>
      </c>
      <c r="E62" s="145" t="inlineStr">
        <is>
          <t>Normal</t>
        </is>
      </c>
      <c r="F62" s="145" t="n"/>
      <c r="G62" s="145" t="inlineStr">
        <is>
          <t>Aptos</t>
        </is>
      </c>
      <c r="H62" s="145" t="n">
        <v>8</v>
      </c>
      <c r="I62" s="145" t="inlineStr">
        <is>
          <t>No</t>
        </is>
      </c>
      <c r="J62" s="145" t="inlineStr">
        <is>
          <t>No</t>
        </is>
      </c>
      <c r="K62" s="145" t="inlineStr">
        <is>
          <t>None</t>
        </is>
      </c>
      <c r="L62" s="145" t="inlineStr">
        <is>
          <t>#000000</t>
        </is>
      </c>
      <c r="M62" s="145" t="inlineStr">
        <is>
          <t>General</t>
        </is>
      </c>
      <c r="N62" s="145" t="inlineStr">
        <is>
          <t>Center</t>
        </is>
      </c>
      <c r="O62" s="145" t="inlineStr">
        <is>
          <t>No</t>
        </is>
      </c>
      <c r="P62" s="145" t="inlineStr">
        <is>
          <t>General</t>
        </is>
      </c>
      <c r="Q62" s="145" t="inlineStr">
        <is>
          <t>General</t>
        </is>
      </c>
      <c r="R62" s="145" t="n"/>
      <c r="S62" s="145" t="n"/>
      <c r="T62" s="145" t="n"/>
      <c r="U62" s="145" t="n"/>
      <c r="V62" s="145" t="n"/>
      <c r="W62" s="145" t="n"/>
      <c r="X62" s="145" t="inlineStr">
        <is>
          <t>Detailed format sample from top 5 used rows</t>
        </is>
      </c>
    </row>
    <row r="63" ht="23.85" customHeight="1" s="79">
      <c r="A63" s="145" t="inlineStr">
        <is>
          <t>REGULAR_DEPT</t>
        </is>
      </c>
      <c r="B63" s="145" t="inlineStr">
        <is>
          <t>Top-Row Cell Format</t>
        </is>
      </c>
      <c r="C63" s="145" t="inlineStr">
        <is>
          <t>J2</t>
        </is>
      </c>
      <c r="D63" s="145" t="inlineStr">
        <is>
          <t>REGULAR_DEPT!A1:AS193</t>
        </is>
      </c>
      <c r="E63" s="145" t="inlineStr">
        <is>
          <t>Normal</t>
        </is>
      </c>
      <c r="F63" s="145" t="n"/>
      <c r="G63" s="145" t="inlineStr">
        <is>
          <t>Aptos</t>
        </is>
      </c>
      <c r="H63" s="145" t="n">
        <v>8</v>
      </c>
      <c r="I63" s="145" t="inlineStr">
        <is>
          <t>No</t>
        </is>
      </c>
      <c r="J63" s="145" t="inlineStr">
        <is>
          <t>No</t>
        </is>
      </c>
      <c r="K63" s="145" t="inlineStr">
        <is>
          <t>None</t>
        </is>
      </c>
      <c r="L63" s="145" t="inlineStr">
        <is>
          <t>#000000</t>
        </is>
      </c>
      <c r="M63" s="145" t="inlineStr">
        <is>
          <t>General</t>
        </is>
      </c>
      <c r="N63" s="145" t="inlineStr">
        <is>
          <t>Center</t>
        </is>
      </c>
      <c r="O63" s="145" t="inlineStr">
        <is>
          <t>No</t>
        </is>
      </c>
      <c r="P63" s="145" t="inlineStr">
        <is>
          <t>General</t>
        </is>
      </c>
      <c r="Q63" s="145" t="inlineStr">
        <is>
          <t>General</t>
        </is>
      </c>
      <c r="R63" s="145" t="n"/>
      <c r="S63" s="145" t="n"/>
      <c r="T63" s="145" t="n"/>
      <c r="U63" s="145" t="n"/>
      <c r="V63" s="145" t="n"/>
      <c r="W63" s="145" t="n"/>
      <c r="X63" s="145" t="inlineStr">
        <is>
          <t>Detailed format sample from top 5 used rows</t>
        </is>
      </c>
    </row>
    <row r="64" ht="23.85" customHeight="1" s="79">
      <c r="A64" s="145" t="inlineStr">
        <is>
          <t>REGULAR_DEPT</t>
        </is>
      </c>
      <c r="B64" s="145" t="inlineStr">
        <is>
          <t>Top-Row Cell Format</t>
        </is>
      </c>
      <c r="C64" s="145" t="inlineStr">
        <is>
          <t>J3</t>
        </is>
      </c>
      <c r="D64" s="145" t="inlineStr">
        <is>
          <t>REGULAR_DEPT!A1:AS193</t>
        </is>
      </c>
      <c r="E64" s="145" t="inlineStr">
        <is>
          <t>Normal</t>
        </is>
      </c>
      <c r="F64" s="145" t="inlineStr">
        <is>
          <t>#F8CBAD</t>
        </is>
      </c>
      <c r="G64" s="145" t="inlineStr">
        <is>
          <t>Aptos</t>
        </is>
      </c>
      <c r="H64" s="145" t="n">
        <v>8</v>
      </c>
      <c r="I64" s="145" t="inlineStr">
        <is>
          <t>Yes</t>
        </is>
      </c>
      <c r="J64" s="145" t="inlineStr">
        <is>
          <t>No</t>
        </is>
      </c>
      <c r="K64" s="145" t="inlineStr">
        <is>
          <t>None</t>
        </is>
      </c>
      <c r="L64" s="145" t="inlineStr">
        <is>
          <t>#000000</t>
        </is>
      </c>
      <c r="M64" s="145" t="inlineStr">
        <is>
          <t>General</t>
        </is>
      </c>
      <c r="N64" s="145" t="inlineStr">
        <is>
          <t>Center</t>
        </is>
      </c>
      <c r="O64" s="145" t="inlineStr">
        <is>
          <t>No</t>
        </is>
      </c>
      <c r="P64" s="145" t="inlineStr">
        <is>
          <t>General</t>
        </is>
      </c>
      <c r="Q64" s="145" t="inlineStr">
        <is>
          <t>General</t>
        </is>
      </c>
      <c r="R64" s="145" t="n"/>
      <c r="S64" s="145" t="n"/>
      <c r="T64" s="145" t="n"/>
      <c r="U64" s="145" t="n"/>
      <c r="V64" s="145" t="n"/>
      <c r="W64" s="145" t="n"/>
      <c r="X64" s="145" t="inlineStr">
        <is>
          <t>Detailed format sample from top 5 used rows</t>
        </is>
      </c>
    </row>
    <row r="65" ht="23.85" customHeight="1" s="79">
      <c r="A65" s="145" t="inlineStr">
        <is>
          <t>REGULAR_DEPT</t>
        </is>
      </c>
      <c r="B65" s="145" t="inlineStr">
        <is>
          <t>Top-Row Cell Format</t>
        </is>
      </c>
      <c r="C65" s="145" t="inlineStr">
        <is>
          <t>J4</t>
        </is>
      </c>
      <c r="D65" s="145" t="inlineStr">
        <is>
          <t>REGULAR_DEPT!A1:AS193</t>
        </is>
      </c>
      <c r="E65" s="145" t="inlineStr">
        <is>
          <t>Normal</t>
        </is>
      </c>
      <c r="F65" s="145" t="inlineStr">
        <is>
          <t>#F8CBAD</t>
        </is>
      </c>
      <c r="G65" s="145" t="inlineStr">
        <is>
          <t>Aptos</t>
        </is>
      </c>
      <c r="H65" s="145" t="n">
        <v>8</v>
      </c>
      <c r="I65" s="145" t="inlineStr">
        <is>
          <t>No</t>
        </is>
      </c>
      <c r="J65" s="145" t="inlineStr">
        <is>
          <t>No</t>
        </is>
      </c>
      <c r="K65" s="145" t="inlineStr">
        <is>
          <t>None</t>
        </is>
      </c>
      <c r="L65" s="145" t="inlineStr">
        <is>
          <t>#000000</t>
        </is>
      </c>
      <c r="M65" s="145" t="inlineStr">
        <is>
          <t>General</t>
        </is>
      </c>
      <c r="N65" s="145" t="inlineStr">
        <is>
          <t>Center</t>
        </is>
      </c>
      <c r="O65" s="145" t="inlineStr">
        <is>
          <t>No</t>
        </is>
      </c>
      <c r="P65" s="145" t="inlineStr">
        <is>
          <t>General</t>
        </is>
      </c>
      <c r="Q65" s="145" t="inlineStr">
        <is>
          <t>General</t>
        </is>
      </c>
      <c r="R65" s="145" t="n"/>
      <c r="S65" s="145" t="n"/>
      <c r="T65" s="145" t="n"/>
      <c r="U65" s="145" t="n"/>
      <c r="V65" s="145" t="n"/>
      <c r="W65" s="145" t="n"/>
      <c r="X65" s="145" t="inlineStr">
        <is>
          <t>Detailed format sample from top 5 used rows</t>
        </is>
      </c>
    </row>
    <row r="66" ht="23.85" customHeight="1" s="79">
      <c r="A66" s="145" t="inlineStr">
        <is>
          <t>REGULAR_DEPT</t>
        </is>
      </c>
      <c r="B66" s="145" t="inlineStr">
        <is>
          <t>Top-Row Cell Format</t>
        </is>
      </c>
      <c r="C66" s="145" t="inlineStr">
        <is>
          <t>J5</t>
        </is>
      </c>
      <c r="D66" s="145" t="inlineStr">
        <is>
          <t>REGULAR_DEPT!A1:AS193</t>
        </is>
      </c>
      <c r="E66" s="145" t="inlineStr">
        <is>
          <t>Normal</t>
        </is>
      </c>
      <c r="F66" s="145" t="n"/>
      <c r="G66" s="145" t="inlineStr">
        <is>
          <t>Aptos</t>
        </is>
      </c>
      <c r="H66" s="145" t="n">
        <v>8</v>
      </c>
      <c r="I66" s="145" t="inlineStr">
        <is>
          <t>No</t>
        </is>
      </c>
      <c r="J66" s="145" t="inlineStr">
        <is>
          <t>No</t>
        </is>
      </c>
      <c r="K66" s="145" t="inlineStr">
        <is>
          <t>None</t>
        </is>
      </c>
      <c r="L66" s="145" t="inlineStr">
        <is>
          <t>#000000</t>
        </is>
      </c>
      <c r="M66" s="145" t="inlineStr">
        <is>
          <t>General</t>
        </is>
      </c>
      <c r="N66" s="145" t="inlineStr">
        <is>
          <t>Center</t>
        </is>
      </c>
      <c r="O66" s="145" t="inlineStr">
        <is>
          <t>No</t>
        </is>
      </c>
      <c r="P66" s="145" t="inlineStr">
        <is>
          <t>General</t>
        </is>
      </c>
      <c r="Q66" s="145" t="inlineStr">
        <is>
          <t>General</t>
        </is>
      </c>
      <c r="R66" s="145" t="n"/>
      <c r="S66" s="145" t="n"/>
      <c r="T66" s="145" t="n"/>
      <c r="U66" s="145" t="n"/>
      <c r="V66" s="145" t="n"/>
      <c r="W66" s="145" t="n"/>
      <c r="X66" s="145" t="inlineStr">
        <is>
          <t>Detailed format sample from top 5 used rows</t>
        </is>
      </c>
    </row>
    <row r="67" ht="23.85" customHeight="1" s="79">
      <c r="A67" s="145" t="inlineStr">
        <is>
          <t>REGULAR_DEPT</t>
        </is>
      </c>
      <c r="B67" s="145" t="inlineStr">
        <is>
          <t>Column Format</t>
        </is>
      </c>
      <c r="C67" s="145" t="inlineStr">
        <is>
          <t>K:K</t>
        </is>
      </c>
      <c r="D67" s="145" t="inlineStr">
        <is>
          <t>REGULAR_DEPT!A1:AS193</t>
        </is>
      </c>
      <c r="E67" s="145" t="inlineStr">
        <is>
          <t>Normal</t>
        </is>
      </c>
      <c r="F67" s="145" t="inlineStr">
        <is>
          <t>Mixed</t>
        </is>
      </c>
      <c r="G67" s="145" t="inlineStr">
        <is>
          <t>Aptos</t>
        </is>
      </c>
      <c r="H67" s="145" t="n">
        <v>8</v>
      </c>
      <c r="I67" s="145" t="inlineStr">
        <is>
          <t>Mixed</t>
        </is>
      </c>
      <c r="J67" s="145" t="inlineStr">
        <is>
          <t>No</t>
        </is>
      </c>
      <c r="K67" s="145" t="inlineStr">
        <is>
          <t>None</t>
        </is>
      </c>
      <c r="L67" s="145" t="inlineStr">
        <is>
          <t>Mixed</t>
        </is>
      </c>
      <c r="M67" s="145" t="inlineStr">
        <is>
          <t>General</t>
        </is>
      </c>
      <c r="N67" s="145" t="inlineStr">
        <is>
          <t>Center</t>
        </is>
      </c>
      <c r="O67" s="145" t="inlineStr">
        <is>
          <t>No</t>
        </is>
      </c>
      <c r="P67" s="145" t="n"/>
      <c r="Q67" s="145" t="n"/>
      <c r="R67" s="145" t="inlineStr">
        <is>
          <t>EdgeBottom:Continuous/Thin/#000000</t>
        </is>
      </c>
      <c r="S67" s="145" t="n">
        <v>46.7462686567164</v>
      </c>
      <c r="T67" s="145" t="n"/>
      <c r="U67" s="145" t="inlineStr">
        <is>
          <t>No</t>
        </is>
      </c>
      <c r="V67" s="145" t="inlineStr">
        <is>
          <t>Visible</t>
        </is>
      </c>
      <c r="W67" s="145" t="n"/>
      <c r="X67" s="145" t="inlineStr">
        <is>
          <t>Mixed styles within used column</t>
        </is>
      </c>
    </row>
    <row r="68" ht="23.85" customHeight="1" s="79">
      <c r="A68" s="145" t="inlineStr">
        <is>
          <t>REGULAR_DEPT</t>
        </is>
      </c>
      <c r="B68" s="145" t="inlineStr">
        <is>
          <t>Top-Row Cell Format</t>
        </is>
      </c>
      <c r="C68" s="145" t="inlineStr">
        <is>
          <t>K1</t>
        </is>
      </c>
      <c r="D68" s="145" t="inlineStr">
        <is>
          <t>REGULAR_DEPT!A1:AS193</t>
        </is>
      </c>
      <c r="E68" s="145" t="inlineStr">
        <is>
          <t>Normal</t>
        </is>
      </c>
      <c r="F68" s="145" t="n"/>
      <c r="G68" s="145" t="inlineStr">
        <is>
          <t>Aptos</t>
        </is>
      </c>
      <c r="H68" s="145" t="n">
        <v>8</v>
      </c>
      <c r="I68" s="145" t="inlineStr">
        <is>
          <t>No</t>
        </is>
      </c>
      <c r="J68" s="145" t="inlineStr">
        <is>
          <t>No</t>
        </is>
      </c>
      <c r="K68" s="145" t="inlineStr">
        <is>
          <t>None</t>
        </is>
      </c>
      <c r="L68" s="145" t="inlineStr">
        <is>
          <t>#000000</t>
        </is>
      </c>
      <c r="M68" s="145" t="inlineStr">
        <is>
          <t>General</t>
        </is>
      </c>
      <c r="N68" s="145" t="inlineStr">
        <is>
          <t>Center</t>
        </is>
      </c>
      <c r="O68" s="145" t="inlineStr">
        <is>
          <t>No</t>
        </is>
      </c>
      <c r="P68" s="145" t="inlineStr">
        <is>
          <t>General</t>
        </is>
      </c>
      <c r="Q68" s="145" t="inlineStr">
        <is>
          <t>General</t>
        </is>
      </c>
      <c r="R68" s="145" t="n"/>
      <c r="S68" s="145" t="n"/>
      <c r="T68" s="145" t="n"/>
      <c r="U68" s="145" t="n"/>
      <c r="V68" s="145" t="n"/>
      <c r="W68" s="145" t="n"/>
      <c r="X68" s="145" t="inlineStr">
        <is>
          <t>Detailed format sample from top 5 used rows</t>
        </is>
      </c>
    </row>
    <row r="69" ht="23.85" customHeight="1" s="79">
      <c r="A69" s="145" t="inlineStr">
        <is>
          <t>REGULAR_DEPT</t>
        </is>
      </c>
      <c r="B69" s="145" t="inlineStr">
        <is>
          <t>Top-Row Cell Format</t>
        </is>
      </c>
      <c r="C69" s="145" t="inlineStr">
        <is>
          <t>K2</t>
        </is>
      </c>
      <c r="D69" s="145" t="inlineStr">
        <is>
          <t>REGULAR_DEPT!A1:AS193</t>
        </is>
      </c>
      <c r="E69" s="145" t="inlineStr">
        <is>
          <t>Normal</t>
        </is>
      </c>
      <c r="F69" s="145" t="n"/>
      <c r="G69" s="145" t="inlineStr">
        <is>
          <t>Aptos</t>
        </is>
      </c>
      <c r="H69" s="145" t="n">
        <v>8</v>
      </c>
      <c r="I69" s="145" t="inlineStr">
        <is>
          <t>No</t>
        </is>
      </c>
      <c r="J69" s="145" t="inlineStr">
        <is>
          <t>No</t>
        </is>
      </c>
      <c r="K69" s="145" t="inlineStr">
        <is>
          <t>None</t>
        </is>
      </c>
      <c r="L69" s="145" t="inlineStr">
        <is>
          <t>#000000</t>
        </is>
      </c>
      <c r="M69" s="145" t="inlineStr">
        <is>
          <t>General</t>
        </is>
      </c>
      <c r="N69" s="145" t="inlineStr">
        <is>
          <t>Center</t>
        </is>
      </c>
      <c r="O69" s="145" t="inlineStr">
        <is>
          <t>No</t>
        </is>
      </c>
      <c r="P69" s="145" t="inlineStr">
        <is>
          <t>General</t>
        </is>
      </c>
      <c r="Q69" s="145" t="inlineStr">
        <is>
          <t>General</t>
        </is>
      </c>
      <c r="R69" s="145" t="n"/>
      <c r="S69" s="145" t="n"/>
      <c r="T69" s="145" t="n"/>
      <c r="U69" s="145" t="n"/>
      <c r="V69" s="145" t="n"/>
      <c r="W69" s="145" t="n"/>
      <c r="X69" s="145" t="inlineStr">
        <is>
          <t>Detailed format sample from top 5 used rows</t>
        </is>
      </c>
    </row>
    <row r="70" ht="23.85" customHeight="1" s="79">
      <c r="A70" s="145" t="inlineStr">
        <is>
          <t>REGULAR_DEPT</t>
        </is>
      </c>
      <c r="B70" s="145" t="inlineStr">
        <is>
          <t>Top-Row Cell Format</t>
        </is>
      </c>
      <c r="C70" s="145" t="inlineStr">
        <is>
          <t>K3</t>
        </is>
      </c>
      <c r="D70" s="145" t="inlineStr">
        <is>
          <t>REGULAR_DEPT!A1:AS193</t>
        </is>
      </c>
      <c r="E70" s="145" t="inlineStr">
        <is>
          <t>Normal</t>
        </is>
      </c>
      <c r="F70" s="145" t="inlineStr">
        <is>
          <t>#F8CBAD</t>
        </is>
      </c>
      <c r="G70" s="145" t="inlineStr">
        <is>
          <t>Aptos</t>
        </is>
      </c>
      <c r="H70" s="145" t="n">
        <v>8</v>
      </c>
      <c r="I70" s="145" t="inlineStr">
        <is>
          <t>Yes</t>
        </is>
      </c>
      <c r="J70" s="145" t="inlineStr">
        <is>
          <t>No</t>
        </is>
      </c>
      <c r="K70" s="145" t="inlineStr">
        <is>
          <t>None</t>
        </is>
      </c>
      <c r="L70" s="145" t="inlineStr">
        <is>
          <t>#000000</t>
        </is>
      </c>
      <c r="M70" s="145" t="inlineStr">
        <is>
          <t>General</t>
        </is>
      </c>
      <c r="N70" s="145" t="inlineStr">
        <is>
          <t>Center</t>
        </is>
      </c>
      <c r="O70" s="145" t="inlineStr">
        <is>
          <t>No</t>
        </is>
      </c>
      <c r="P70" s="145" t="inlineStr">
        <is>
          <t>General</t>
        </is>
      </c>
      <c r="Q70" s="145" t="inlineStr">
        <is>
          <t>General</t>
        </is>
      </c>
      <c r="R70" s="145" t="n"/>
      <c r="S70" s="145" t="n"/>
      <c r="T70" s="145" t="n"/>
      <c r="U70" s="145" t="n"/>
      <c r="V70" s="145" t="n"/>
      <c r="W70" s="145" t="n"/>
      <c r="X70" s="145" t="inlineStr">
        <is>
          <t>Detailed format sample from top 5 used rows</t>
        </is>
      </c>
    </row>
    <row r="71" ht="23.85" customHeight="1" s="79">
      <c r="A71" s="145" t="inlineStr">
        <is>
          <t>REGULAR_DEPT</t>
        </is>
      </c>
      <c r="B71" s="145" t="inlineStr">
        <is>
          <t>Top-Row Cell Format</t>
        </is>
      </c>
      <c r="C71" s="145" t="inlineStr">
        <is>
          <t>K4</t>
        </is>
      </c>
      <c r="D71" s="145" t="inlineStr">
        <is>
          <t>REGULAR_DEPT!A1:AS193</t>
        </is>
      </c>
      <c r="E71" s="145" t="inlineStr">
        <is>
          <t>Normal</t>
        </is>
      </c>
      <c r="F71" s="145" t="inlineStr">
        <is>
          <t>#F8CBAD</t>
        </is>
      </c>
      <c r="G71" s="145" t="inlineStr">
        <is>
          <t>Aptos</t>
        </is>
      </c>
      <c r="H71" s="145" t="n">
        <v>8</v>
      </c>
      <c r="I71" s="145" t="inlineStr">
        <is>
          <t>No</t>
        </is>
      </c>
      <c r="J71" s="145" t="inlineStr">
        <is>
          <t>No</t>
        </is>
      </c>
      <c r="K71" s="145" t="inlineStr">
        <is>
          <t>None</t>
        </is>
      </c>
      <c r="L71" s="145" t="inlineStr">
        <is>
          <t>#000000</t>
        </is>
      </c>
      <c r="M71" s="145" t="inlineStr">
        <is>
          <t>General</t>
        </is>
      </c>
      <c r="N71" s="145" t="inlineStr">
        <is>
          <t>Center</t>
        </is>
      </c>
      <c r="O71" s="145" t="inlineStr">
        <is>
          <t>No</t>
        </is>
      </c>
      <c r="P71" s="145" t="inlineStr">
        <is>
          <t>General</t>
        </is>
      </c>
      <c r="Q71" s="145" t="inlineStr">
        <is>
          <t>General</t>
        </is>
      </c>
      <c r="R71" s="145" t="n"/>
      <c r="S71" s="145" t="n"/>
      <c r="T71" s="145" t="n"/>
      <c r="U71" s="145" t="n"/>
      <c r="V71" s="145" t="n"/>
      <c r="W71" s="145" t="n"/>
      <c r="X71" s="145" t="inlineStr">
        <is>
          <t>Detailed format sample from top 5 used rows</t>
        </is>
      </c>
    </row>
    <row r="72" ht="23.85" customHeight="1" s="79">
      <c r="A72" s="145" t="inlineStr">
        <is>
          <t>REGULAR_DEPT</t>
        </is>
      </c>
      <c r="B72" s="145" t="inlineStr">
        <is>
          <t>Top-Row Cell Format</t>
        </is>
      </c>
      <c r="C72" s="145" t="inlineStr">
        <is>
          <t>K5</t>
        </is>
      </c>
      <c r="D72" s="145" t="inlineStr">
        <is>
          <t>REGULAR_DEPT!A1:AS193</t>
        </is>
      </c>
      <c r="E72" s="145" t="inlineStr">
        <is>
          <t>Normal</t>
        </is>
      </c>
      <c r="F72" s="145" t="n"/>
      <c r="G72" s="145" t="inlineStr">
        <is>
          <t>Aptos</t>
        </is>
      </c>
      <c r="H72" s="145" t="n">
        <v>8</v>
      </c>
      <c r="I72" s="145" t="inlineStr">
        <is>
          <t>No</t>
        </is>
      </c>
      <c r="J72" s="145" t="inlineStr">
        <is>
          <t>No</t>
        </is>
      </c>
      <c r="K72" s="145" t="inlineStr">
        <is>
          <t>None</t>
        </is>
      </c>
      <c r="L72" s="145" t="inlineStr">
        <is>
          <t>#000000</t>
        </is>
      </c>
      <c r="M72" s="145" t="inlineStr">
        <is>
          <t>General</t>
        </is>
      </c>
      <c r="N72" s="145" t="inlineStr">
        <is>
          <t>Center</t>
        </is>
      </c>
      <c r="O72" s="145" t="inlineStr">
        <is>
          <t>No</t>
        </is>
      </c>
      <c r="P72" s="145" t="inlineStr">
        <is>
          <t>General</t>
        </is>
      </c>
      <c r="Q72" s="145" t="inlineStr">
        <is>
          <t>General</t>
        </is>
      </c>
      <c r="R72" s="145" t="n"/>
      <c r="S72" s="145" t="n"/>
      <c r="T72" s="145" t="n"/>
      <c r="U72" s="145" t="n"/>
      <c r="V72" s="145" t="n"/>
      <c r="W72" s="145" t="n"/>
      <c r="X72" s="145" t="inlineStr">
        <is>
          <t>Detailed format sample from top 5 used rows</t>
        </is>
      </c>
    </row>
    <row r="73" ht="23.85" customHeight="1" s="79">
      <c r="A73" s="145" t="inlineStr">
        <is>
          <t>REGULAR_DEPT</t>
        </is>
      </c>
      <c r="B73" s="145" t="inlineStr">
        <is>
          <t>Column Format</t>
        </is>
      </c>
      <c r="C73" s="145" t="inlineStr">
        <is>
          <t>L:L</t>
        </is>
      </c>
      <c r="D73" s="145" t="inlineStr">
        <is>
          <t>REGULAR_DEPT!A1:AS193</t>
        </is>
      </c>
      <c r="E73" s="145" t="inlineStr">
        <is>
          <t>Normal</t>
        </is>
      </c>
      <c r="F73" s="145" t="inlineStr">
        <is>
          <t>Mixed</t>
        </is>
      </c>
      <c r="G73" s="145" t="inlineStr">
        <is>
          <t>Aptos</t>
        </is>
      </c>
      <c r="H73" s="145" t="n">
        <v>8</v>
      </c>
      <c r="I73" s="145" t="inlineStr">
        <is>
          <t>Mixed</t>
        </is>
      </c>
      <c r="J73" s="145" t="inlineStr">
        <is>
          <t>No</t>
        </is>
      </c>
      <c r="K73" s="145" t="inlineStr">
        <is>
          <t>None</t>
        </is>
      </c>
      <c r="L73" s="145" t="inlineStr">
        <is>
          <t>Mixed</t>
        </is>
      </c>
      <c r="M73" s="145" t="inlineStr">
        <is>
          <t>General</t>
        </is>
      </c>
      <c r="N73" s="145" t="inlineStr">
        <is>
          <t>Center</t>
        </is>
      </c>
      <c r="O73" s="145" t="inlineStr">
        <is>
          <t>No</t>
        </is>
      </c>
      <c r="P73" s="145" t="n"/>
      <c r="Q73" s="145" t="n"/>
      <c r="R73" s="145" t="inlineStr">
        <is>
          <t>EdgeBottom:Continuous/Thin/#000000</t>
        </is>
      </c>
      <c r="S73" s="145" t="n">
        <v>60.1791044776119</v>
      </c>
      <c r="T73" s="145" t="n"/>
      <c r="U73" s="145" t="inlineStr">
        <is>
          <t>No</t>
        </is>
      </c>
      <c r="V73" s="145" t="inlineStr">
        <is>
          <t>Visible</t>
        </is>
      </c>
      <c r="W73" s="145" t="n"/>
      <c r="X73" s="145" t="inlineStr">
        <is>
          <t>Mixed styles within used column</t>
        </is>
      </c>
    </row>
    <row r="74" ht="23.85" customHeight="1" s="79">
      <c r="A74" s="145" t="inlineStr">
        <is>
          <t>REGULAR_DEPT</t>
        </is>
      </c>
      <c r="B74" s="145" t="inlineStr">
        <is>
          <t>Top-Row Cell Format</t>
        </is>
      </c>
      <c r="C74" s="145" t="inlineStr">
        <is>
          <t>L1</t>
        </is>
      </c>
      <c r="D74" s="145" t="inlineStr">
        <is>
          <t>REGULAR_DEPT!A1:AS193</t>
        </is>
      </c>
      <c r="E74" s="145" t="inlineStr">
        <is>
          <t>Normal</t>
        </is>
      </c>
      <c r="F74" s="145" t="n"/>
      <c r="G74" s="145" t="inlineStr">
        <is>
          <t>Aptos</t>
        </is>
      </c>
      <c r="H74" s="145" t="n">
        <v>8</v>
      </c>
      <c r="I74" s="145" t="inlineStr">
        <is>
          <t>No</t>
        </is>
      </c>
      <c r="J74" s="145" t="inlineStr">
        <is>
          <t>No</t>
        </is>
      </c>
      <c r="K74" s="145" t="inlineStr">
        <is>
          <t>None</t>
        </is>
      </c>
      <c r="L74" s="145" t="inlineStr">
        <is>
          <t>#000000</t>
        </is>
      </c>
      <c r="M74" s="145" t="inlineStr">
        <is>
          <t>General</t>
        </is>
      </c>
      <c r="N74" s="145" t="inlineStr">
        <is>
          <t>Center</t>
        </is>
      </c>
      <c r="O74" s="145" t="inlineStr">
        <is>
          <t>No</t>
        </is>
      </c>
      <c r="P74" s="145" t="inlineStr">
        <is>
          <t>General</t>
        </is>
      </c>
      <c r="Q74" s="145" t="inlineStr">
        <is>
          <t>General</t>
        </is>
      </c>
      <c r="R74" s="145" t="n"/>
      <c r="S74" s="145" t="n"/>
      <c r="T74" s="145" t="n"/>
      <c r="U74" s="145" t="n"/>
      <c r="V74" s="145" t="n"/>
      <c r="W74" s="145" t="n"/>
      <c r="X74" s="145" t="inlineStr">
        <is>
          <t>Detailed format sample from top 5 used rows</t>
        </is>
      </c>
    </row>
    <row r="75" ht="23.85" customHeight="1" s="79">
      <c r="A75" s="145" t="inlineStr">
        <is>
          <t>REGULAR_DEPT</t>
        </is>
      </c>
      <c r="B75" s="145" t="inlineStr">
        <is>
          <t>Top-Row Cell Format</t>
        </is>
      </c>
      <c r="C75" s="145" t="inlineStr">
        <is>
          <t>L2</t>
        </is>
      </c>
      <c r="D75" s="145" t="inlineStr">
        <is>
          <t>REGULAR_DEPT!A1:AS193</t>
        </is>
      </c>
      <c r="E75" s="145" t="inlineStr">
        <is>
          <t>Normal</t>
        </is>
      </c>
      <c r="F75" s="145" t="n"/>
      <c r="G75" s="145" t="inlineStr">
        <is>
          <t>Aptos</t>
        </is>
      </c>
      <c r="H75" s="145" t="n">
        <v>8</v>
      </c>
      <c r="I75" s="145" t="inlineStr">
        <is>
          <t>No</t>
        </is>
      </c>
      <c r="J75" s="145" t="inlineStr">
        <is>
          <t>No</t>
        </is>
      </c>
      <c r="K75" s="145" t="inlineStr">
        <is>
          <t>None</t>
        </is>
      </c>
      <c r="L75" s="145" t="inlineStr">
        <is>
          <t>#000000</t>
        </is>
      </c>
      <c r="M75" s="145" t="inlineStr">
        <is>
          <t>General</t>
        </is>
      </c>
      <c r="N75" s="145" t="inlineStr">
        <is>
          <t>Center</t>
        </is>
      </c>
      <c r="O75" s="145" t="inlineStr">
        <is>
          <t>No</t>
        </is>
      </c>
      <c r="P75" s="145" t="inlineStr">
        <is>
          <t>General</t>
        </is>
      </c>
      <c r="Q75" s="145" t="inlineStr">
        <is>
          <t>General</t>
        </is>
      </c>
      <c r="R75" s="145" t="n"/>
      <c r="S75" s="145" t="n"/>
      <c r="T75" s="145" t="n"/>
      <c r="U75" s="145" t="n"/>
      <c r="V75" s="145" t="n"/>
      <c r="W75" s="145" t="n"/>
      <c r="X75" s="145" t="inlineStr">
        <is>
          <t>Detailed format sample from top 5 used rows</t>
        </is>
      </c>
    </row>
    <row r="76" ht="23.85" customHeight="1" s="79">
      <c r="A76" s="145" t="inlineStr">
        <is>
          <t>REGULAR_DEPT</t>
        </is>
      </c>
      <c r="B76" s="145" t="inlineStr">
        <is>
          <t>Top-Row Cell Format</t>
        </is>
      </c>
      <c r="C76" s="145" t="inlineStr">
        <is>
          <t>L3</t>
        </is>
      </c>
      <c r="D76" s="145" t="inlineStr">
        <is>
          <t>REGULAR_DEPT!A1:AS193</t>
        </is>
      </c>
      <c r="E76" s="145" t="inlineStr">
        <is>
          <t>Normal</t>
        </is>
      </c>
      <c r="F76" s="145" t="inlineStr">
        <is>
          <t>#F8CBAD</t>
        </is>
      </c>
      <c r="G76" s="145" t="inlineStr">
        <is>
          <t>Aptos</t>
        </is>
      </c>
      <c r="H76" s="145" t="n">
        <v>8</v>
      </c>
      <c r="I76" s="145" t="inlineStr">
        <is>
          <t>Yes</t>
        </is>
      </c>
      <c r="J76" s="145" t="inlineStr">
        <is>
          <t>No</t>
        </is>
      </c>
      <c r="K76" s="145" t="inlineStr">
        <is>
          <t>None</t>
        </is>
      </c>
      <c r="L76" s="145" t="inlineStr">
        <is>
          <t>#000000</t>
        </is>
      </c>
      <c r="M76" s="145" t="inlineStr">
        <is>
          <t>General</t>
        </is>
      </c>
      <c r="N76" s="145" t="inlineStr">
        <is>
          <t>Center</t>
        </is>
      </c>
      <c r="O76" s="145" t="inlineStr">
        <is>
          <t>No</t>
        </is>
      </c>
      <c r="P76" s="145" t="inlineStr">
        <is>
          <t>General</t>
        </is>
      </c>
      <c r="Q76" s="145" t="inlineStr">
        <is>
          <t>General</t>
        </is>
      </c>
      <c r="R76" s="145" t="n"/>
      <c r="S76" s="145" t="n"/>
      <c r="T76" s="145" t="n"/>
      <c r="U76" s="145" t="n"/>
      <c r="V76" s="145" t="n"/>
      <c r="W76" s="145" t="n"/>
      <c r="X76" s="145" t="inlineStr">
        <is>
          <t>Detailed format sample from top 5 used rows</t>
        </is>
      </c>
    </row>
    <row r="77" ht="23.85" customHeight="1" s="79">
      <c r="A77" s="145" t="inlineStr">
        <is>
          <t>REGULAR_DEPT</t>
        </is>
      </c>
      <c r="B77" s="145" t="inlineStr">
        <is>
          <t>Top-Row Cell Format</t>
        </is>
      </c>
      <c r="C77" s="145" t="inlineStr">
        <is>
          <t>L4</t>
        </is>
      </c>
      <c r="D77" s="145" t="inlineStr">
        <is>
          <t>REGULAR_DEPT!A1:AS193</t>
        </is>
      </c>
      <c r="E77" s="145" t="inlineStr">
        <is>
          <t>Normal</t>
        </is>
      </c>
      <c r="F77" s="145" t="inlineStr">
        <is>
          <t>#F8CBAD</t>
        </is>
      </c>
      <c r="G77" s="145" t="inlineStr">
        <is>
          <t>Aptos</t>
        </is>
      </c>
      <c r="H77" s="145" t="n">
        <v>8</v>
      </c>
      <c r="I77" s="145" t="inlineStr">
        <is>
          <t>No</t>
        </is>
      </c>
      <c r="J77" s="145" t="inlineStr">
        <is>
          <t>No</t>
        </is>
      </c>
      <c r="K77" s="145" t="inlineStr">
        <is>
          <t>None</t>
        </is>
      </c>
      <c r="L77" s="145" t="inlineStr">
        <is>
          <t>#000000</t>
        </is>
      </c>
      <c r="M77" s="145" t="inlineStr">
        <is>
          <t>General</t>
        </is>
      </c>
      <c r="N77" s="145" t="inlineStr">
        <is>
          <t>Center</t>
        </is>
      </c>
      <c r="O77" s="145" t="inlineStr">
        <is>
          <t>No</t>
        </is>
      </c>
      <c r="P77" s="145" t="inlineStr">
        <is>
          <t>General</t>
        </is>
      </c>
      <c r="Q77" s="145" t="inlineStr">
        <is>
          <t>General</t>
        </is>
      </c>
      <c r="R77" s="145" t="n"/>
      <c r="S77" s="145" t="n"/>
      <c r="T77" s="145" t="n"/>
      <c r="U77" s="145" t="n"/>
      <c r="V77" s="145" t="n"/>
      <c r="W77" s="145" t="n"/>
      <c r="X77" s="145" t="inlineStr">
        <is>
          <t>Detailed format sample from top 5 used rows</t>
        </is>
      </c>
    </row>
    <row r="78" ht="23.85" customHeight="1" s="79">
      <c r="A78" s="145" t="inlineStr">
        <is>
          <t>REGULAR_DEPT</t>
        </is>
      </c>
      <c r="B78" s="145" t="inlineStr">
        <is>
          <t>Top-Row Cell Format</t>
        </is>
      </c>
      <c r="C78" s="145" t="inlineStr">
        <is>
          <t>L5</t>
        </is>
      </c>
      <c r="D78" s="145" t="inlineStr">
        <is>
          <t>REGULAR_DEPT!A1:AS193</t>
        </is>
      </c>
      <c r="E78" s="145" t="inlineStr">
        <is>
          <t>Normal</t>
        </is>
      </c>
      <c r="F78" s="145" t="n"/>
      <c r="G78" s="145" t="inlineStr">
        <is>
          <t>Aptos</t>
        </is>
      </c>
      <c r="H78" s="145" t="n">
        <v>8</v>
      </c>
      <c r="I78" s="145" t="inlineStr">
        <is>
          <t>No</t>
        </is>
      </c>
      <c r="J78" s="145" t="inlineStr">
        <is>
          <t>No</t>
        </is>
      </c>
      <c r="K78" s="145" t="inlineStr">
        <is>
          <t>None</t>
        </is>
      </c>
      <c r="L78" s="145" t="inlineStr">
        <is>
          <t>#000000</t>
        </is>
      </c>
      <c r="M78" s="145" t="inlineStr">
        <is>
          <t>General</t>
        </is>
      </c>
      <c r="N78" s="145" t="inlineStr">
        <is>
          <t>Center</t>
        </is>
      </c>
      <c r="O78" s="145" t="inlineStr">
        <is>
          <t>No</t>
        </is>
      </c>
      <c r="P78" s="145" t="inlineStr">
        <is>
          <t>General</t>
        </is>
      </c>
      <c r="Q78" s="145" t="inlineStr">
        <is>
          <t>General</t>
        </is>
      </c>
      <c r="R78" s="145" t="n"/>
      <c r="S78" s="145" t="n"/>
      <c r="T78" s="145" t="n"/>
      <c r="U78" s="145" t="n"/>
      <c r="V78" s="145" t="n"/>
      <c r="W78" s="145" t="n"/>
      <c r="X78" s="145" t="inlineStr">
        <is>
          <t>Detailed format sample from top 5 used rows</t>
        </is>
      </c>
    </row>
    <row r="79" ht="23.85" customHeight="1" s="79">
      <c r="A79" s="145" t="inlineStr">
        <is>
          <t>REGULAR_DEPT</t>
        </is>
      </c>
      <c r="B79" s="145" t="inlineStr">
        <is>
          <t>Column Format</t>
        </is>
      </c>
      <c r="C79" s="145" t="inlineStr">
        <is>
          <t>M:M</t>
        </is>
      </c>
      <c r="D79" s="145" t="inlineStr">
        <is>
          <t>REGULAR_DEPT!A1:AS193</t>
        </is>
      </c>
      <c r="E79" s="145" t="inlineStr">
        <is>
          <t>Normal</t>
        </is>
      </c>
      <c r="F79" s="145" t="inlineStr">
        <is>
          <t>Mixed</t>
        </is>
      </c>
      <c r="G79" s="145" t="inlineStr">
        <is>
          <t>Aptos</t>
        </is>
      </c>
      <c r="H79" s="145" t="n">
        <v>8</v>
      </c>
      <c r="I79" s="145" t="inlineStr">
        <is>
          <t>Mixed</t>
        </is>
      </c>
      <c r="J79" s="145" t="inlineStr">
        <is>
          <t>No</t>
        </is>
      </c>
      <c r="K79" s="145" t="inlineStr">
        <is>
          <t>None</t>
        </is>
      </c>
      <c r="L79" s="145" t="inlineStr">
        <is>
          <t>#000000</t>
        </is>
      </c>
      <c r="M79" s="145" t="inlineStr">
        <is>
          <t>General</t>
        </is>
      </c>
      <c r="N79" s="145" t="inlineStr">
        <is>
          <t>Center</t>
        </is>
      </c>
      <c r="O79" s="145" t="inlineStr">
        <is>
          <t>No</t>
        </is>
      </c>
      <c r="P79" s="145" t="n"/>
      <c r="Q79" s="145" t="n"/>
      <c r="R79" s="145" t="inlineStr">
        <is>
          <t>EdgeBottom:Continuous/Thin/#000000; EdgeRight:Continuous/Thin/#000000</t>
        </is>
      </c>
      <c r="S79" s="145" t="n">
        <v>53.7313432835821</v>
      </c>
      <c r="T79" s="145" t="n"/>
      <c r="U79" s="145" t="inlineStr">
        <is>
          <t>No</t>
        </is>
      </c>
      <c r="V79" s="145" t="inlineStr">
        <is>
          <t>Visible</t>
        </is>
      </c>
      <c r="W79" s="145" t="n"/>
      <c r="X79" s="145" t="inlineStr">
        <is>
          <t>Mixed styles within used column</t>
        </is>
      </c>
    </row>
    <row r="80" ht="23.85" customHeight="1" s="79">
      <c r="A80" s="145" t="inlineStr">
        <is>
          <t>REGULAR_DEPT</t>
        </is>
      </c>
      <c r="B80" s="145" t="inlineStr">
        <is>
          <t>Top-Row Cell Format</t>
        </is>
      </c>
      <c r="C80" s="145" t="inlineStr">
        <is>
          <t>M1</t>
        </is>
      </c>
      <c r="D80" s="145" t="inlineStr">
        <is>
          <t>REGULAR_DEPT!A1:AS193</t>
        </is>
      </c>
      <c r="E80" s="145" t="inlineStr">
        <is>
          <t>Normal</t>
        </is>
      </c>
      <c r="F80" s="145" t="n"/>
      <c r="G80" s="145" t="inlineStr">
        <is>
          <t>Aptos</t>
        </is>
      </c>
      <c r="H80" s="145" t="n">
        <v>8</v>
      </c>
      <c r="I80" s="145" t="inlineStr">
        <is>
          <t>No</t>
        </is>
      </c>
      <c r="J80" s="145" t="inlineStr">
        <is>
          <t>No</t>
        </is>
      </c>
      <c r="K80" s="145" t="inlineStr">
        <is>
          <t>None</t>
        </is>
      </c>
      <c r="L80" s="145" t="inlineStr">
        <is>
          <t>#000000</t>
        </is>
      </c>
      <c r="M80" s="145" t="inlineStr">
        <is>
          <t>General</t>
        </is>
      </c>
      <c r="N80" s="145" t="inlineStr">
        <is>
          <t>Center</t>
        </is>
      </c>
      <c r="O80" s="145" t="inlineStr">
        <is>
          <t>No</t>
        </is>
      </c>
      <c r="P80" s="145" t="inlineStr">
        <is>
          <t>General</t>
        </is>
      </c>
      <c r="Q80" s="145" t="inlineStr">
        <is>
          <t>General</t>
        </is>
      </c>
      <c r="R80" s="145" t="n"/>
      <c r="S80" s="145" t="n"/>
      <c r="T80" s="145" t="n"/>
      <c r="U80" s="145" t="n"/>
      <c r="V80" s="145" t="n"/>
      <c r="W80" s="145" t="n"/>
      <c r="X80" s="145" t="inlineStr">
        <is>
          <t>Detailed format sample from top 5 used rows</t>
        </is>
      </c>
    </row>
    <row r="81" ht="23.85" customHeight="1" s="79">
      <c r="A81" s="145" t="inlineStr">
        <is>
          <t>REGULAR_DEPT</t>
        </is>
      </c>
      <c r="B81" s="145" t="inlineStr">
        <is>
          <t>Top-Row Cell Format</t>
        </is>
      </c>
      <c r="C81" s="145" t="inlineStr">
        <is>
          <t>M2</t>
        </is>
      </c>
      <c r="D81" s="145" t="inlineStr">
        <is>
          <t>REGULAR_DEPT!A1:AS193</t>
        </is>
      </c>
      <c r="E81" s="145" t="inlineStr">
        <is>
          <t>Normal</t>
        </is>
      </c>
      <c r="F81" s="145" t="n"/>
      <c r="G81" s="145" t="inlineStr">
        <is>
          <t>Aptos</t>
        </is>
      </c>
      <c r="H81" s="145" t="n">
        <v>8</v>
      </c>
      <c r="I81" s="145" t="inlineStr">
        <is>
          <t>No</t>
        </is>
      </c>
      <c r="J81" s="145" t="inlineStr">
        <is>
          <t>No</t>
        </is>
      </c>
      <c r="K81" s="145" t="inlineStr">
        <is>
          <t>None</t>
        </is>
      </c>
      <c r="L81" s="145" t="inlineStr">
        <is>
          <t>#000000</t>
        </is>
      </c>
      <c r="M81" s="145" t="inlineStr">
        <is>
          <t>General</t>
        </is>
      </c>
      <c r="N81" s="145" t="inlineStr">
        <is>
          <t>Center</t>
        </is>
      </c>
      <c r="O81" s="145" t="inlineStr">
        <is>
          <t>No</t>
        </is>
      </c>
      <c r="P81" s="145" t="inlineStr">
        <is>
          <t>General</t>
        </is>
      </c>
      <c r="Q81" s="145" t="inlineStr">
        <is>
          <t>General</t>
        </is>
      </c>
      <c r="R81" s="145" t="n"/>
      <c r="S81" s="145" t="n"/>
      <c r="T81" s="145" t="n"/>
      <c r="U81" s="145" t="n"/>
      <c r="V81" s="145" t="n"/>
      <c r="W81" s="145" t="n"/>
      <c r="X81" s="145" t="inlineStr">
        <is>
          <t>Detailed format sample from top 5 used rows</t>
        </is>
      </c>
    </row>
    <row r="82" ht="23.85" customHeight="1" s="79">
      <c r="A82" s="145" t="inlineStr">
        <is>
          <t>REGULAR_DEPT</t>
        </is>
      </c>
      <c r="B82" s="145" t="inlineStr">
        <is>
          <t>Top-Row Cell Format</t>
        </is>
      </c>
      <c r="C82" s="145" t="inlineStr">
        <is>
          <t>M3</t>
        </is>
      </c>
      <c r="D82" s="145" t="inlineStr">
        <is>
          <t>REGULAR_DEPT!A1:AS193</t>
        </is>
      </c>
      <c r="E82" s="145" t="inlineStr">
        <is>
          <t>Normal</t>
        </is>
      </c>
      <c r="F82" s="145" t="inlineStr">
        <is>
          <t>#F8CBAD</t>
        </is>
      </c>
      <c r="G82" s="145" t="inlineStr">
        <is>
          <t>Aptos</t>
        </is>
      </c>
      <c r="H82" s="145" t="n">
        <v>8</v>
      </c>
      <c r="I82" s="145" t="inlineStr">
        <is>
          <t>Yes</t>
        </is>
      </c>
      <c r="J82" s="145" t="inlineStr">
        <is>
          <t>No</t>
        </is>
      </c>
      <c r="K82" s="145" t="inlineStr">
        <is>
          <t>None</t>
        </is>
      </c>
      <c r="L82" s="145" t="inlineStr">
        <is>
          <t>#000000</t>
        </is>
      </c>
      <c r="M82" s="145" t="inlineStr">
        <is>
          <t>General</t>
        </is>
      </c>
      <c r="N82" s="145" t="inlineStr">
        <is>
          <t>Center</t>
        </is>
      </c>
      <c r="O82" s="145" t="inlineStr">
        <is>
          <t>No</t>
        </is>
      </c>
      <c r="P82" s="145" t="inlineStr">
        <is>
          <t>General</t>
        </is>
      </c>
      <c r="Q82" s="145" t="inlineStr">
        <is>
          <t>General</t>
        </is>
      </c>
      <c r="R82" s="145" t="n"/>
      <c r="S82" s="145" t="n"/>
      <c r="T82" s="145" t="n"/>
      <c r="U82" s="145" t="n"/>
      <c r="V82" s="145" t="n"/>
      <c r="W82" s="145" t="n"/>
      <c r="X82" s="145" t="inlineStr">
        <is>
          <t>Detailed format sample from top 5 used rows</t>
        </is>
      </c>
    </row>
    <row r="83" ht="23.85" customHeight="1" s="79">
      <c r="A83" s="145" t="inlineStr">
        <is>
          <t>REGULAR_DEPT</t>
        </is>
      </c>
      <c r="B83" s="145" t="inlineStr">
        <is>
          <t>Top-Row Cell Format</t>
        </is>
      </c>
      <c r="C83" s="145" t="inlineStr">
        <is>
          <t>M4</t>
        </is>
      </c>
      <c r="D83" s="145" t="inlineStr">
        <is>
          <t>REGULAR_DEPT!A1:AS193</t>
        </is>
      </c>
      <c r="E83" s="145" t="inlineStr">
        <is>
          <t>Normal</t>
        </is>
      </c>
      <c r="F83" s="145" t="inlineStr">
        <is>
          <t>#F8CBAD</t>
        </is>
      </c>
      <c r="G83" s="145" t="inlineStr">
        <is>
          <t>Aptos</t>
        </is>
      </c>
      <c r="H83" s="145" t="n">
        <v>8</v>
      </c>
      <c r="I83" s="145" t="inlineStr">
        <is>
          <t>No</t>
        </is>
      </c>
      <c r="J83" s="145" t="inlineStr">
        <is>
          <t>No</t>
        </is>
      </c>
      <c r="K83" s="145" t="inlineStr">
        <is>
          <t>None</t>
        </is>
      </c>
      <c r="L83" s="145" t="inlineStr">
        <is>
          <t>#000000</t>
        </is>
      </c>
      <c r="M83" s="145" t="inlineStr">
        <is>
          <t>General</t>
        </is>
      </c>
      <c r="N83" s="145" t="inlineStr">
        <is>
          <t>Center</t>
        </is>
      </c>
      <c r="O83" s="145" t="inlineStr">
        <is>
          <t>No</t>
        </is>
      </c>
      <c r="P83" s="145" t="inlineStr">
        <is>
          <t>General</t>
        </is>
      </c>
      <c r="Q83" s="145" t="inlineStr">
        <is>
          <t>General</t>
        </is>
      </c>
      <c r="R83" s="145" t="n"/>
      <c r="S83" s="145" t="n"/>
      <c r="T83" s="145" t="n"/>
      <c r="U83" s="145" t="n"/>
      <c r="V83" s="145" t="n"/>
      <c r="W83" s="145" t="n"/>
      <c r="X83" s="145" t="inlineStr">
        <is>
          <t>Detailed format sample from top 5 used rows</t>
        </is>
      </c>
    </row>
    <row r="84" ht="23.85" customHeight="1" s="79">
      <c r="A84" s="145" t="inlineStr">
        <is>
          <t>REGULAR_DEPT</t>
        </is>
      </c>
      <c r="B84" s="145" t="inlineStr">
        <is>
          <t>Top-Row Cell Format</t>
        </is>
      </c>
      <c r="C84" s="145" t="inlineStr">
        <is>
          <t>M5</t>
        </is>
      </c>
      <c r="D84" s="145" t="inlineStr">
        <is>
          <t>REGULAR_DEPT!A1:AS193</t>
        </is>
      </c>
      <c r="E84" s="145" t="inlineStr">
        <is>
          <t>Normal</t>
        </is>
      </c>
      <c r="F84" s="145" t="n"/>
      <c r="G84" s="145" t="inlineStr">
        <is>
          <t>Aptos</t>
        </is>
      </c>
      <c r="H84" s="145" t="n">
        <v>8</v>
      </c>
      <c r="I84" s="145" t="inlineStr">
        <is>
          <t>No</t>
        </is>
      </c>
      <c r="J84" s="145" t="inlineStr">
        <is>
          <t>No</t>
        </is>
      </c>
      <c r="K84" s="145" t="inlineStr">
        <is>
          <t>None</t>
        </is>
      </c>
      <c r="L84" s="145" t="inlineStr">
        <is>
          <t>#000000</t>
        </is>
      </c>
      <c r="M84" s="145" t="inlineStr">
        <is>
          <t>General</t>
        </is>
      </c>
      <c r="N84" s="145" t="inlineStr">
        <is>
          <t>Center</t>
        </is>
      </c>
      <c r="O84" s="145" t="inlineStr">
        <is>
          <t>No</t>
        </is>
      </c>
      <c r="P84" s="145" t="inlineStr">
        <is>
          <t>General</t>
        </is>
      </c>
      <c r="Q84" s="145" t="inlineStr">
        <is>
          <t>General</t>
        </is>
      </c>
      <c r="R84" s="145" t="n"/>
      <c r="S84" s="145" t="n"/>
      <c r="T84" s="145" t="n"/>
      <c r="U84" s="145" t="n"/>
      <c r="V84" s="145" t="n"/>
      <c r="W84" s="145" t="n"/>
      <c r="X84" s="145" t="inlineStr">
        <is>
          <t>Detailed format sample from top 5 used rows</t>
        </is>
      </c>
    </row>
    <row r="85" ht="23.85" customHeight="1" s="79">
      <c r="A85" s="145" t="inlineStr">
        <is>
          <t>REGULAR_DEPT</t>
        </is>
      </c>
      <c r="B85" s="145" t="inlineStr">
        <is>
          <t>Column Format</t>
        </is>
      </c>
      <c r="C85" s="145" t="inlineStr">
        <is>
          <t>N:N</t>
        </is>
      </c>
      <c r="D85" s="145" t="inlineStr">
        <is>
          <t>REGULAR_DEPT!A1:AS193</t>
        </is>
      </c>
      <c r="E85" s="145" t="inlineStr">
        <is>
          <t>Normal</t>
        </is>
      </c>
      <c r="F85" s="145" t="inlineStr">
        <is>
          <t>Mixed</t>
        </is>
      </c>
      <c r="G85" s="145" t="inlineStr">
        <is>
          <t>Aptos</t>
        </is>
      </c>
      <c r="H85" s="145" t="n">
        <v>8</v>
      </c>
      <c r="I85" s="145" t="inlineStr">
        <is>
          <t>Mixed</t>
        </is>
      </c>
      <c r="J85" s="145" t="inlineStr">
        <is>
          <t>No</t>
        </is>
      </c>
      <c r="K85" s="145" t="inlineStr">
        <is>
          <t>None</t>
        </is>
      </c>
      <c r="L85" s="145" t="inlineStr">
        <is>
          <t>#000000</t>
        </is>
      </c>
      <c r="M85" s="145" t="inlineStr">
        <is>
          <t>Mixed</t>
        </is>
      </c>
      <c r="N85" s="145" t="inlineStr">
        <is>
          <t>Center</t>
        </is>
      </c>
      <c r="O85" s="145" t="inlineStr">
        <is>
          <t>Mixed</t>
        </is>
      </c>
      <c r="P85" s="145" t="n"/>
      <c r="Q85" s="145" t="n"/>
      <c r="R85" s="145" t="inlineStr">
        <is>
          <t>EdgeBottom:Continuous/Thin/#000000; EdgeRight:Continuous/Thin/#000000</t>
        </is>
      </c>
      <c r="S85" s="145" t="n">
        <v>42.9850746268657</v>
      </c>
      <c r="T85" s="145" t="n"/>
      <c r="U85" s="145" t="inlineStr">
        <is>
          <t>No</t>
        </is>
      </c>
      <c r="V85" s="145" t="inlineStr">
        <is>
          <t>Visible</t>
        </is>
      </c>
      <c r="W85" s="145" t="n"/>
      <c r="X85" s="145" t="inlineStr">
        <is>
          <t>Mixed styles within used column</t>
        </is>
      </c>
    </row>
    <row r="86" ht="23.85" customHeight="1" s="79">
      <c r="A86" s="145" t="inlineStr">
        <is>
          <t>REGULAR_DEPT</t>
        </is>
      </c>
      <c r="B86" s="145" t="inlineStr">
        <is>
          <t>Top-Row Cell Format</t>
        </is>
      </c>
      <c r="C86" s="145" t="inlineStr">
        <is>
          <t>N1</t>
        </is>
      </c>
      <c r="D86" s="145" t="inlineStr">
        <is>
          <t>REGULAR_DEPT!A1:AS193</t>
        </is>
      </c>
      <c r="E86" s="145" t="inlineStr">
        <is>
          <t>Normal</t>
        </is>
      </c>
      <c r="F86" s="145" t="n"/>
      <c r="G86" s="145" t="inlineStr">
        <is>
          <t>Aptos</t>
        </is>
      </c>
      <c r="H86" s="145" t="n">
        <v>8</v>
      </c>
      <c r="I86" s="145" t="inlineStr">
        <is>
          <t>No</t>
        </is>
      </c>
      <c r="J86" s="145" t="inlineStr">
        <is>
          <t>No</t>
        </is>
      </c>
      <c r="K86" s="145" t="inlineStr">
        <is>
          <t>None</t>
        </is>
      </c>
      <c r="L86" s="145" t="inlineStr">
        <is>
          <t>#000000</t>
        </is>
      </c>
      <c r="M86" s="145" t="inlineStr">
        <is>
          <t>General</t>
        </is>
      </c>
      <c r="N86" s="145" t="inlineStr">
        <is>
          <t>Center</t>
        </is>
      </c>
      <c r="O86" s="145" t="inlineStr">
        <is>
          <t>No</t>
        </is>
      </c>
      <c r="P86" s="145" t="inlineStr">
        <is>
          <t>General</t>
        </is>
      </c>
      <c r="Q86" s="145" t="inlineStr">
        <is>
          <t>General</t>
        </is>
      </c>
      <c r="R86" s="145" t="n"/>
      <c r="S86" s="145" t="n"/>
      <c r="T86" s="145" t="n"/>
      <c r="U86" s="145" t="n"/>
      <c r="V86" s="145" t="n"/>
      <c r="W86" s="145" t="n"/>
      <c r="X86" s="145" t="inlineStr">
        <is>
          <t>Detailed format sample from top 5 used rows</t>
        </is>
      </c>
    </row>
    <row r="87" ht="23.85" customHeight="1" s="79">
      <c r="A87" s="145" t="inlineStr">
        <is>
          <t>REGULAR_DEPT</t>
        </is>
      </c>
      <c r="B87" s="145" t="inlineStr">
        <is>
          <t>Top-Row Cell Format</t>
        </is>
      </c>
      <c r="C87" s="145" t="inlineStr">
        <is>
          <t>N2</t>
        </is>
      </c>
      <c r="D87" s="145" t="inlineStr">
        <is>
          <t>REGULAR_DEPT!A1:AS193</t>
        </is>
      </c>
      <c r="E87" s="145" t="inlineStr">
        <is>
          <t>Normal</t>
        </is>
      </c>
      <c r="F87" s="145" t="n"/>
      <c r="G87" s="145" t="inlineStr">
        <is>
          <t>Aptos</t>
        </is>
      </c>
      <c r="H87" s="145" t="n">
        <v>8</v>
      </c>
      <c r="I87" s="145" t="inlineStr">
        <is>
          <t>No</t>
        </is>
      </c>
      <c r="J87" s="145" t="inlineStr">
        <is>
          <t>No</t>
        </is>
      </c>
      <c r="K87" s="145" t="inlineStr">
        <is>
          <t>None</t>
        </is>
      </c>
      <c r="L87" s="145" t="inlineStr">
        <is>
          <t>#000000</t>
        </is>
      </c>
      <c r="M87" s="145" t="inlineStr">
        <is>
          <t>General</t>
        </is>
      </c>
      <c r="N87" s="145" t="inlineStr">
        <is>
          <t>Center</t>
        </is>
      </c>
      <c r="O87" s="145" t="inlineStr">
        <is>
          <t>No</t>
        </is>
      </c>
      <c r="P87" s="145" t="inlineStr">
        <is>
          <t>General</t>
        </is>
      </c>
      <c r="Q87" s="145" t="inlineStr">
        <is>
          <t>General</t>
        </is>
      </c>
      <c r="R87" s="145" t="n"/>
      <c r="S87" s="145" t="n"/>
      <c r="T87" s="145" t="n"/>
      <c r="U87" s="145" t="n"/>
      <c r="V87" s="145" t="n"/>
      <c r="W87" s="145" t="n"/>
      <c r="X87" s="145" t="inlineStr">
        <is>
          <t>Detailed format sample from top 5 used rows</t>
        </is>
      </c>
    </row>
    <row r="88" ht="23.85" customHeight="1" s="79">
      <c r="A88" s="145" t="inlineStr">
        <is>
          <t>REGULAR_DEPT</t>
        </is>
      </c>
      <c r="B88" s="145" t="inlineStr">
        <is>
          <t>Top-Row Cell Format</t>
        </is>
      </c>
      <c r="C88" s="145" t="inlineStr">
        <is>
          <t>N3</t>
        </is>
      </c>
      <c r="D88" s="145" t="inlineStr">
        <is>
          <t>REGULAR_DEPT!A1:AS193</t>
        </is>
      </c>
      <c r="E88" s="145" t="inlineStr">
        <is>
          <t>Normal</t>
        </is>
      </c>
      <c r="F88" s="145" t="inlineStr">
        <is>
          <t>#F8CBAD</t>
        </is>
      </c>
      <c r="G88" s="145" t="inlineStr">
        <is>
          <t>Aptos</t>
        </is>
      </c>
      <c r="H88" s="145" t="n">
        <v>8</v>
      </c>
      <c r="I88" s="145" t="inlineStr">
        <is>
          <t>Yes</t>
        </is>
      </c>
      <c r="J88" s="145" t="inlineStr">
        <is>
          <t>No</t>
        </is>
      </c>
      <c r="K88" s="145" t="inlineStr">
        <is>
          <t>None</t>
        </is>
      </c>
      <c r="L88" s="145" t="inlineStr">
        <is>
          <t>#000000</t>
        </is>
      </c>
      <c r="M88" s="145" t="inlineStr">
        <is>
          <t>Center</t>
        </is>
      </c>
      <c r="N88" s="145" t="inlineStr">
        <is>
          <t>Center</t>
        </is>
      </c>
      <c r="O88" s="145" t="inlineStr">
        <is>
          <t>Yes</t>
        </is>
      </c>
      <c r="P88" s="145" t="inlineStr">
        <is>
          <t>General</t>
        </is>
      </c>
      <c r="Q88" s="145" t="inlineStr">
        <is>
          <t>General</t>
        </is>
      </c>
      <c r="R88" s="145" t="n"/>
      <c r="S88" s="145" t="n"/>
      <c r="T88" s="145" t="n"/>
      <c r="U88" s="145" t="n"/>
      <c r="V88" s="145" t="n"/>
      <c r="W88" s="145" t="n"/>
      <c r="X88" s="145" t="inlineStr">
        <is>
          <t>Detailed format sample from top 5 used rows</t>
        </is>
      </c>
    </row>
    <row r="89" ht="23.85" customHeight="1" s="79">
      <c r="A89" s="145" t="inlineStr">
        <is>
          <t>REGULAR_DEPT</t>
        </is>
      </c>
      <c r="B89" s="145" t="inlineStr">
        <is>
          <t>Top-Row Cell Format</t>
        </is>
      </c>
      <c r="C89" s="145" t="inlineStr">
        <is>
          <t>N4</t>
        </is>
      </c>
      <c r="D89" s="145" t="inlineStr">
        <is>
          <t>REGULAR_DEPT!A1:AS193</t>
        </is>
      </c>
      <c r="E89" s="145" t="inlineStr">
        <is>
          <t>Normal</t>
        </is>
      </c>
      <c r="F89" s="145" t="inlineStr">
        <is>
          <t>#F8CBAD</t>
        </is>
      </c>
      <c r="G89" s="145" t="inlineStr">
        <is>
          <t>Aptos</t>
        </is>
      </c>
      <c r="H89" s="145" t="n">
        <v>8</v>
      </c>
      <c r="I89" s="145" t="inlineStr">
        <is>
          <t>No</t>
        </is>
      </c>
      <c r="J89" s="145" t="inlineStr">
        <is>
          <t>No</t>
        </is>
      </c>
      <c r="K89" s="145" t="inlineStr">
        <is>
          <t>None</t>
        </is>
      </c>
      <c r="L89" s="145" t="inlineStr">
        <is>
          <t>#000000</t>
        </is>
      </c>
      <c r="M89" s="145" t="inlineStr">
        <is>
          <t>General</t>
        </is>
      </c>
      <c r="N89" s="145" t="inlineStr">
        <is>
          <t>Center</t>
        </is>
      </c>
      <c r="O89" s="145" t="inlineStr">
        <is>
          <t>No</t>
        </is>
      </c>
      <c r="P89" s="145" t="inlineStr">
        <is>
          <t>General</t>
        </is>
      </c>
      <c r="Q89" s="145" t="inlineStr">
        <is>
          <t>General</t>
        </is>
      </c>
      <c r="R89" s="145" t="n"/>
      <c r="S89" s="145" t="n"/>
      <c r="T89" s="145" t="n"/>
      <c r="U89" s="145" t="n"/>
      <c r="V89" s="145" t="n"/>
      <c r="W89" s="145" t="n"/>
      <c r="X89" s="145" t="inlineStr">
        <is>
          <t>Detailed format sample from top 5 used rows</t>
        </is>
      </c>
    </row>
    <row r="90" ht="23.85" customHeight="1" s="79">
      <c r="A90" s="145" t="inlineStr">
        <is>
          <t>REGULAR_DEPT</t>
        </is>
      </c>
      <c r="B90" s="145" t="inlineStr">
        <is>
          <t>Top-Row Cell Format</t>
        </is>
      </c>
      <c r="C90" s="145" t="inlineStr">
        <is>
          <t>N5</t>
        </is>
      </c>
      <c r="D90" s="145" t="inlineStr">
        <is>
          <t>REGULAR_DEPT!A1:AS193</t>
        </is>
      </c>
      <c r="E90" s="145" t="inlineStr">
        <is>
          <t>Normal</t>
        </is>
      </c>
      <c r="F90" s="145" t="inlineStr">
        <is>
          <t>#EDEDED</t>
        </is>
      </c>
      <c r="G90" s="145" t="inlineStr">
        <is>
          <t>Aptos</t>
        </is>
      </c>
      <c r="H90" s="145" t="n">
        <v>8</v>
      </c>
      <c r="I90" s="145" t="inlineStr">
        <is>
          <t>Yes</t>
        </is>
      </c>
      <c r="J90" s="145" t="inlineStr">
        <is>
          <t>No</t>
        </is>
      </c>
      <c r="K90" s="145" t="inlineStr">
        <is>
          <t>None</t>
        </is>
      </c>
      <c r="L90" s="145" t="inlineStr">
        <is>
          <t>#000000</t>
        </is>
      </c>
      <c r="M90" s="145" t="inlineStr">
        <is>
          <t>Center</t>
        </is>
      </c>
      <c r="N90" s="145" t="inlineStr">
        <is>
          <t>Center</t>
        </is>
      </c>
      <c r="O90" s="145" t="inlineStr">
        <is>
          <t>No</t>
        </is>
      </c>
      <c r="P90" s="146" t="n">
        <v>0</v>
      </c>
      <c r="Q90" s="145" t="inlineStr">
        <is>
          <t>Percentage</t>
        </is>
      </c>
      <c r="R90" s="145" t="n"/>
      <c r="S90" s="145" t="n"/>
      <c r="T90" s="145" t="n"/>
      <c r="U90" s="145" t="n"/>
      <c r="V90" s="145" t="n"/>
      <c r="W90" s="145" t="n"/>
      <c r="X90" s="145" t="inlineStr">
        <is>
          <t>Detailed format sample from top 5 used rows</t>
        </is>
      </c>
    </row>
    <row r="91" ht="23.85" customHeight="1" s="79">
      <c r="A91" s="145" t="inlineStr">
        <is>
          <t>REGULAR_DEPT</t>
        </is>
      </c>
      <c r="B91" s="145" t="inlineStr">
        <is>
          <t>Column Format</t>
        </is>
      </c>
      <c r="C91" s="145" t="inlineStr">
        <is>
          <t>O:O</t>
        </is>
      </c>
      <c r="D91" s="145" t="inlineStr">
        <is>
          <t>REGULAR_DEPT!A1:AS193</t>
        </is>
      </c>
      <c r="E91" s="145" t="inlineStr">
        <is>
          <t>Normal</t>
        </is>
      </c>
      <c r="F91" s="145" t="inlineStr">
        <is>
          <t>Mixed</t>
        </is>
      </c>
      <c r="G91" s="145" t="inlineStr">
        <is>
          <t>Aptos</t>
        </is>
      </c>
      <c r="H91" s="145" t="n">
        <v>8</v>
      </c>
      <c r="I91" s="145" t="inlineStr">
        <is>
          <t>Mixed</t>
        </is>
      </c>
      <c r="J91" s="145" t="inlineStr">
        <is>
          <t>No</t>
        </is>
      </c>
      <c r="K91" s="145" t="inlineStr">
        <is>
          <t>None</t>
        </is>
      </c>
      <c r="L91" s="145" t="inlineStr">
        <is>
          <t>#000000</t>
        </is>
      </c>
      <c r="M91" s="145" t="inlineStr">
        <is>
          <t>Mixed</t>
        </is>
      </c>
      <c r="N91" s="145" t="inlineStr">
        <is>
          <t>Center</t>
        </is>
      </c>
      <c r="O91" s="145" t="inlineStr">
        <is>
          <t>Mixed</t>
        </is>
      </c>
      <c r="P91" s="145" t="n"/>
      <c r="Q91" s="145" t="n"/>
      <c r="R91" s="145" t="inlineStr">
        <is>
          <t>EdgeBottom:Continuous/Thin/#000000; EdgeRight:Continuous/Thin/#000000</t>
        </is>
      </c>
      <c r="S91" s="145" t="n">
        <v>37.6119402985075</v>
      </c>
      <c r="T91" s="145" t="n"/>
      <c r="U91" s="145" t="inlineStr">
        <is>
          <t>No</t>
        </is>
      </c>
      <c r="V91" s="145" t="inlineStr">
        <is>
          <t>Visible</t>
        </is>
      </c>
      <c r="W91" s="145" t="n"/>
      <c r="X91" s="145" t="inlineStr">
        <is>
          <t>Mixed styles within used column</t>
        </is>
      </c>
    </row>
    <row r="92" ht="23.85" customHeight="1" s="79">
      <c r="A92" s="145" t="inlineStr">
        <is>
          <t>REGULAR_DEPT</t>
        </is>
      </c>
      <c r="B92" s="145" t="inlineStr">
        <is>
          <t>Top-Row Cell Format</t>
        </is>
      </c>
      <c r="C92" s="145" t="inlineStr">
        <is>
          <t>O1</t>
        </is>
      </c>
      <c r="D92" s="145" t="inlineStr">
        <is>
          <t>REGULAR_DEPT!A1:AS193</t>
        </is>
      </c>
      <c r="E92" s="145" t="inlineStr">
        <is>
          <t>Normal</t>
        </is>
      </c>
      <c r="F92" s="145" t="n"/>
      <c r="G92" s="145" t="inlineStr">
        <is>
          <t>Aptos</t>
        </is>
      </c>
      <c r="H92" s="145" t="n">
        <v>8</v>
      </c>
      <c r="I92" s="145" t="inlineStr">
        <is>
          <t>No</t>
        </is>
      </c>
      <c r="J92" s="145" t="inlineStr">
        <is>
          <t>No</t>
        </is>
      </c>
      <c r="K92" s="145" t="inlineStr">
        <is>
          <t>None</t>
        </is>
      </c>
      <c r="L92" s="145" t="inlineStr">
        <is>
          <t>#000000</t>
        </is>
      </c>
      <c r="M92" s="145" t="inlineStr">
        <is>
          <t>General</t>
        </is>
      </c>
      <c r="N92" s="145" t="inlineStr">
        <is>
          <t>Center</t>
        </is>
      </c>
      <c r="O92" s="145" t="inlineStr">
        <is>
          <t>No</t>
        </is>
      </c>
      <c r="P92" s="145" t="inlineStr">
        <is>
          <t>General</t>
        </is>
      </c>
      <c r="Q92" s="145" t="inlineStr">
        <is>
          <t>General</t>
        </is>
      </c>
      <c r="R92" s="145" t="n"/>
      <c r="S92" s="145" t="n"/>
      <c r="T92" s="145" t="n"/>
      <c r="U92" s="145" t="n"/>
      <c r="V92" s="145" t="n"/>
      <c r="W92" s="145" t="n"/>
      <c r="X92" s="145" t="inlineStr">
        <is>
          <t>Detailed format sample from top 5 used rows</t>
        </is>
      </c>
    </row>
    <row r="93" ht="23.85" customHeight="1" s="79">
      <c r="A93" s="145" t="inlineStr">
        <is>
          <t>REGULAR_DEPT</t>
        </is>
      </c>
      <c r="B93" s="145" t="inlineStr">
        <is>
          <t>Top-Row Cell Format</t>
        </is>
      </c>
      <c r="C93" s="145" t="inlineStr">
        <is>
          <t>O2</t>
        </is>
      </c>
      <c r="D93" s="145" t="inlineStr">
        <is>
          <t>REGULAR_DEPT!A1:AS193</t>
        </is>
      </c>
      <c r="E93" s="145" t="inlineStr">
        <is>
          <t>Normal</t>
        </is>
      </c>
      <c r="F93" s="145" t="n"/>
      <c r="G93" s="145" t="inlineStr">
        <is>
          <t>Aptos</t>
        </is>
      </c>
      <c r="H93" s="145" t="n">
        <v>8</v>
      </c>
      <c r="I93" s="145" t="inlineStr">
        <is>
          <t>No</t>
        </is>
      </c>
      <c r="J93" s="145" t="inlineStr">
        <is>
          <t>No</t>
        </is>
      </c>
      <c r="K93" s="145" t="inlineStr">
        <is>
          <t>None</t>
        </is>
      </c>
      <c r="L93" s="145" t="inlineStr">
        <is>
          <t>#000000</t>
        </is>
      </c>
      <c r="M93" s="145" t="inlineStr">
        <is>
          <t>General</t>
        </is>
      </c>
      <c r="N93" s="145" t="inlineStr">
        <is>
          <t>Center</t>
        </is>
      </c>
      <c r="O93" s="145" t="inlineStr">
        <is>
          <t>No</t>
        </is>
      </c>
      <c r="P93" s="145" t="inlineStr">
        <is>
          <t>General</t>
        </is>
      </c>
      <c r="Q93" s="145" t="inlineStr">
        <is>
          <t>General</t>
        </is>
      </c>
      <c r="R93" s="145" t="n"/>
      <c r="S93" s="145" t="n"/>
      <c r="T93" s="145" t="n"/>
      <c r="U93" s="145" t="n"/>
      <c r="V93" s="145" t="n"/>
      <c r="W93" s="145" t="n"/>
      <c r="X93" s="145" t="inlineStr">
        <is>
          <t>Detailed format sample from top 5 used rows</t>
        </is>
      </c>
    </row>
    <row r="94" ht="23.85" customHeight="1" s="79">
      <c r="A94" s="145" t="inlineStr">
        <is>
          <t>REGULAR_DEPT</t>
        </is>
      </c>
      <c r="B94" s="145" t="inlineStr">
        <is>
          <t>Top-Row Cell Format</t>
        </is>
      </c>
      <c r="C94" s="145" t="inlineStr">
        <is>
          <t>O3</t>
        </is>
      </c>
      <c r="D94" s="145" t="inlineStr">
        <is>
          <t>REGULAR_DEPT!A1:AS193</t>
        </is>
      </c>
      <c r="E94" s="145" t="inlineStr">
        <is>
          <t>Normal</t>
        </is>
      </c>
      <c r="F94" s="145" t="inlineStr">
        <is>
          <t>#F8CBAD</t>
        </is>
      </c>
      <c r="G94" s="145" t="inlineStr">
        <is>
          <t>Aptos</t>
        </is>
      </c>
      <c r="H94" s="145" t="n">
        <v>8</v>
      </c>
      <c r="I94" s="145" t="inlineStr">
        <is>
          <t>Yes</t>
        </is>
      </c>
      <c r="J94" s="145" t="inlineStr">
        <is>
          <t>No</t>
        </is>
      </c>
      <c r="K94" s="145" t="inlineStr">
        <is>
          <t>None</t>
        </is>
      </c>
      <c r="L94" s="145" t="inlineStr">
        <is>
          <t>#000000</t>
        </is>
      </c>
      <c r="M94" s="145" t="inlineStr">
        <is>
          <t>Center</t>
        </is>
      </c>
      <c r="N94" s="145" t="inlineStr">
        <is>
          <t>Center</t>
        </is>
      </c>
      <c r="O94" s="145" t="inlineStr">
        <is>
          <t>Yes</t>
        </is>
      </c>
      <c r="P94" s="145" t="inlineStr">
        <is>
          <t>General</t>
        </is>
      </c>
      <c r="Q94" s="145" t="inlineStr">
        <is>
          <t>General</t>
        </is>
      </c>
      <c r="R94" s="145" t="n"/>
      <c r="S94" s="145" t="n"/>
      <c r="T94" s="145" t="n"/>
      <c r="U94" s="145" t="n"/>
      <c r="V94" s="145" t="n"/>
      <c r="W94" s="145" t="n"/>
      <c r="X94" s="145" t="inlineStr">
        <is>
          <t>Detailed format sample from top 5 used rows</t>
        </is>
      </c>
    </row>
    <row r="95" ht="23.85" customHeight="1" s="79">
      <c r="A95" s="145" t="inlineStr">
        <is>
          <t>REGULAR_DEPT</t>
        </is>
      </c>
      <c r="B95" s="145" t="inlineStr">
        <is>
          <t>Top-Row Cell Format</t>
        </is>
      </c>
      <c r="C95" s="145" t="inlineStr">
        <is>
          <t>O4</t>
        </is>
      </c>
      <c r="D95" s="145" t="inlineStr">
        <is>
          <t>REGULAR_DEPT!A1:AS193</t>
        </is>
      </c>
      <c r="E95" s="145" t="inlineStr">
        <is>
          <t>Normal</t>
        </is>
      </c>
      <c r="F95" s="145" t="inlineStr">
        <is>
          <t>#F8CBAD</t>
        </is>
      </c>
      <c r="G95" s="145" t="inlineStr">
        <is>
          <t>Aptos</t>
        </is>
      </c>
      <c r="H95" s="145" t="n">
        <v>8</v>
      </c>
      <c r="I95" s="145" t="inlineStr">
        <is>
          <t>No</t>
        </is>
      </c>
      <c r="J95" s="145" t="inlineStr">
        <is>
          <t>No</t>
        </is>
      </c>
      <c r="K95" s="145" t="inlineStr">
        <is>
          <t>None</t>
        </is>
      </c>
      <c r="L95" s="145" t="inlineStr">
        <is>
          <t>#000000</t>
        </is>
      </c>
      <c r="M95" s="145" t="inlineStr">
        <is>
          <t>General</t>
        </is>
      </c>
      <c r="N95" s="145" t="inlineStr">
        <is>
          <t>Center</t>
        </is>
      </c>
      <c r="O95" s="145" t="inlineStr">
        <is>
          <t>No</t>
        </is>
      </c>
      <c r="P95" s="145" t="inlineStr">
        <is>
          <t>General</t>
        </is>
      </c>
      <c r="Q95" s="145" t="inlineStr">
        <is>
          <t>General</t>
        </is>
      </c>
      <c r="R95" s="145" t="n"/>
      <c r="S95" s="145" t="n"/>
      <c r="T95" s="145" t="n"/>
      <c r="U95" s="145" t="n"/>
      <c r="V95" s="145" t="n"/>
      <c r="W95" s="145" t="n"/>
      <c r="X95" s="145" t="inlineStr">
        <is>
          <t>Detailed format sample from top 5 used rows</t>
        </is>
      </c>
    </row>
    <row r="96" ht="23.85" customHeight="1" s="79">
      <c r="A96" s="145" t="inlineStr">
        <is>
          <t>REGULAR_DEPT</t>
        </is>
      </c>
      <c r="B96" s="145" t="inlineStr">
        <is>
          <t>Top-Row Cell Format</t>
        </is>
      </c>
      <c r="C96" s="145" t="inlineStr">
        <is>
          <t>O5</t>
        </is>
      </c>
      <c r="D96" s="145" t="inlineStr">
        <is>
          <t>REGULAR_DEPT!A1:AS193</t>
        </is>
      </c>
      <c r="E96" s="145" t="inlineStr">
        <is>
          <t>Normal</t>
        </is>
      </c>
      <c r="F96" s="145" t="inlineStr">
        <is>
          <t>#EDEDED</t>
        </is>
      </c>
      <c r="G96" s="145" t="inlineStr">
        <is>
          <t>Aptos</t>
        </is>
      </c>
      <c r="H96" s="145" t="n">
        <v>8</v>
      </c>
      <c r="I96" s="145" t="inlineStr">
        <is>
          <t>Yes</t>
        </is>
      </c>
      <c r="J96" s="145" t="inlineStr">
        <is>
          <t>No</t>
        </is>
      </c>
      <c r="K96" s="145" t="inlineStr">
        <is>
          <t>None</t>
        </is>
      </c>
      <c r="L96" s="145" t="inlineStr">
        <is>
          <t>#000000</t>
        </is>
      </c>
      <c r="M96" s="145" t="inlineStr">
        <is>
          <t>Center</t>
        </is>
      </c>
      <c r="N96" s="145" t="inlineStr">
        <is>
          <t>Center</t>
        </is>
      </c>
      <c r="O96" s="145" t="inlineStr">
        <is>
          <t>No</t>
        </is>
      </c>
      <c r="P96" s="146" t="n">
        <v>0</v>
      </c>
      <c r="Q96" s="145" t="inlineStr">
        <is>
          <t>Percentage</t>
        </is>
      </c>
      <c r="R96" s="145" t="n"/>
      <c r="S96" s="145" t="n"/>
      <c r="T96" s="145" t="n"/>
      <c r="U96" s="145" t="n"/>
      <c r="V96" s="145" t="n"/>
      <c r="W96" s="145" t="n"/>
      <c r="X96" s="145" t="inlineStr">
        <is>
          <t>Detailed format sample from top 5 used rows</t>
        </is>
      </c>
    </row>
    <row r="97" ht="23.85" customHeight="1" s="79">
      <c r="A97" s="145" t="inlineStr">
        <is>
          <t>REGULAR_DEPT</t>
        </is>
      </c>
      <c r="B97" s="145" t="inlineStr">
        <is>
          <t>Column Format</t>
        </is>
      </c>
      <c r="C97" s="145" t="inlineStr">
        <is>
          <t>P:P</t>
        </is>
      </c>
      <c r="D97" s="145" t="inlineStr">
        <is>
          <t>REGULAR_DEPT!A1:AS193</t>
        </is>
      </c>
      <c r="E97" s="145" t="inlineStr">
        <is>
          <t>Normal</t>
        </is>
      </c>
      <c r="F97" s="145" t="inlineStr">
        <is>
          <t>Mixed</t>
        </is>
      </c>
      <c r="G97" s="145" t="inlineStr">
        <is>
          <t>Aptos</t>
        </is>
      </c>
      <c r="H97" s="145" t="n">
        <v>8</v>
      </c>
      <c r="I97" s="145" t="inlineStr">
        <is>
          <t>Mixed</t>
        </is>
      </c>
      <c r="J97" s="145" t="inlineStr">
        <is>
          <t>No</t>
        </is>
      </c>
      <c r="K97" s="145" t="inlineStr">
        <is>
          <t>None</t>
        </is>
      </c>
      <c r="L97" s="145" t="inlineStr">
        <is>
          <t>#000000</t>
        </is>
      </c>
      <c r="M97" s="145" t="inlineStr">
        <is>
          <t>Mixed</t>
        </is>
      </c>
      <c r="N97" s="145" t="inlineStr">
        <is>
          <t>Center</t>
        </is>
      </c>
      <c r="O97" s="145" t="inlineStr">
        <is>
          <t>Mixed</t>
        </is>
      </c>
      <c r="P97" s="145" t="n"/>
      <c r="Q97" s="145" t="n"/>
      <c r="R97" s="145" t="inlineStr">
        <is>
          <t>EdgeBottom:Continuous/Thin/#000000; EdgeRight:Continuous/Thin/#000000</t>
        </is>
      </c>
      <c r="S97" s="145" t="n">
        <v>24.1791044776119</v>
      </c>
      <c r="T97" s="145" t="n"/>
      <c r="U97" s="145" t="inlineStr">
        <is>
          <t>No</t>
        </is>
      </c>
      <c r="V97" s="145" t="inlineStr">
        <is>
          <t>Visible</t>
        </is>
      </c>
      <c r="W97" s="145" t="n"/>
      <c r="X97" s="145" t="inlineStr">
        <is>
          <t>Mixed styles within used column</t>
        </is>
      </c>
    </row>
    <row r="98" ht="23.85" customHeight="1" s="79">
      <c r="A98" s="145" t="inlineStr">
        <is>
          <t>REGULAR_DEPT</t>
        </is>
      </c>
      <c r="B98" s="145" t="inlineStr">
        <is>
          <t>Top-Row Cell Format</t>
        </is>
      </c>
      <c r="C98" s="145" t="inlineStr">
        <is>
          <t>P1</t>
        </is>
      </c>
      <c r="D98" s="145" t="inlineStr">
        <is>
          <t>REGULAR_DEPT!A1:AS193</t>
        </is>
      </c>
      <c r="E98" s="145" t="inlineStr">
        <is>
          <t>Normal</t>
        </is>
      </c>
      <c r="F98" s="145" t="n"/>
      <c r="G98" s="145" t="inlineStr">
        <is>
          <t>Aptos</t>
        </is>
      </c>
      <c r="H98" s="145" t="n">
        <v>8</v>
      </c>
      <c r="I98" s="145" t="inlineStr">
        <is>
          <t>No</t>
        </is>
      </c>
      <c r="J98" s="145" t="inlineStr">
        <is>
          <t>No</t>
        </is>
      </c>
      <c r="K98" s="145" t="inlineStr">
        <is>
          <t>None</t>
        </is>
      </c>
      <c r="L98" s="145" t="inlineStr">
        <is>
          <t>#000000</t>
        </is>
      </c>
      <c r="M98" s="145" t="inlineStr">
        <is>
          <t>General</t>
        </is>
      </c>
      <c r="N98" s="145" t="inlineStr">
        <is>
          <t>Center</t>
        </is>
      </c>
      <c r="O98" s="145" t="inlineStr">
        <is>
          <t>No</t>
        </is>
      </c>
      <c r="P98" s="145" t="inlineStr">
        <is>
          <t>General</t>
        </is>
      </c>
      <c r="Q98" s="145" t="inlineStr">
        <is>
          <t>General</t>
        </is>
      </c>
      <c r="R98" s="145" t="n"/>
      <c r="S98" s="145" t="n"/>
      <c r="T98" s="145" t="n"/>
      <c r="U98" s="145" t="n"/>
      <c r="V98" s="145" t="n"/>
      <c r="W98" s="145" t="n"/>
      <c r="X98" s="145" t="inlineStr">
        <is>
          <t>Detailed format sample from top 5 used rows</t>
        </is>
      </c>
    </row>
    <row r="99" ht="23.85" customHeight="1" s="79">
      <c r="A99" s="145" t="inlineStr">
        <is>
          <t>REGULAR_DEPT</t>
        </is>
      </c>
      <c r="B99" s="145" t="inlineStr">
        <is>
          <t>Top-Row Cell Format</t>
        </is>
      </c>
      <c r="C99" s="145" t="inlineStr">
        <is>
          <t>P2</t>
        </is>
      </c>
      <c r="D99" s="145" t="inlineStr">
        <is>
          <t>REGULAR_DEPT!A1:AS193</t>
        </is>
      </c>
      <c r="E99" s="145" t="inlineStr">
        <is>
          <t>Normal</t>
        </is>
      </c>
      <c r="F99" s="145" t="n"/>
      <c r="G99" s="145" t="inlineStr">
        <is>
          <t>Aptos</t>
        </is>
      </c>
      <c r="H99" s="145" t="n">
        <v>8</v>
      </c>
      <c r="I99" s="145" t="inlineStr">
        <is>
          <t>No</t>
        </is>
      </c>
      <c r="J99" s="145" t="inlineStr">
        <is>
          <t>No</t>
        </is>
      </c>
      <c r="K99" s="145" t="inlineStr">
        <is>
          <t>None</t>
        </is>
      </c>
      <c r="L99" s="145" t="inlineStr">
        <is>
          <t>#000000</t>
        </is>
      </c>
      <c r="M99" s="145" t="inlineStr">
        <is>
          <t>General</t>
        </is>
      </c>
      <c r="N99" s="145" t="inlineStr">
        <is>
          <t>Center</t>
        </is>
      </c>
      <c r="O99" s="145" t="inlineStr">
        <is>
          <t>No</t>
        </is>
      </c>
      <c r="P99" s="145" t="inlineStr">
        <is>
          <t>General</t>
        </is>
      </c>
      <c r="Q99" s="145" t="inlineStr">
        <is>
          <t>General</t>
        </is>
      </c>
      <c r="R99" s="145" t="n"/>
      <c r="S99" s="145" t="n"/>
      <c r="T99" s="145" t="n"/>
      <c r="U99" s="145" t="n"/>
      <c r="V99" s="145" t="n"/>
      <c r="W99" s="145" t="n"/>
      <c r="X99" s="145" t="inlineStr">
        <is>
          <t>Detailed format sample from top 5 used rows</t>
        </is>
      </c>
    </row>
    <row r="100" ht="23.85" customHeight="1" s="79">
      <c r="A100" s="145" t="inlineStr">
        <is>
          <t>REGULAR_DEPT</t>
        </is>
      </c>
      <c r="B100" s="145" t="inlineStr">
        <is>
          <t>Top-Row Cell Format</t>
        </is>
      </c>
      <c r="C100" s="145" t="inlineStr">
        <is>
          <t>P3</t>
        </is>
      </c>
      <c r="D100" s="145" t="inlineStr">
        <is>
          <t>REGULAR_DEPT!A1:AS193</t>
        </is>
      </c>
      <c r="E100" s="145" t="inlineStr">
        <is>
          <t>Normal</t>
        </is>
      </c>
      <c r="F100" s="145" t="inlineStr">
        <is>
          <t>#F8CBAD</t>
        </is>
      </c>
      <c r="G100" s="145" t="inlineStr">
        <is>
          <t>Aptos</t>
        </is>
      </c>
      <c r="H100" s="145" t="n">
        <v>8</v>
      </c>
      <c r="I100" s="145" t="inlineStr">
        <is>
          <t>Yes</t>
        </is>
      </c>
      <c r="J100" s="145" t="inlineStr">
        <is>
          <t>No</t>
        </is>
      </c>
      <c r="K100" s="145" t="inlineStr">
        <is>
          <t>None</t>
        </is>
      </c>
      <c r="L100" s="145" t="inlineStr">
        <is>
          <t>#000000</t>
        </is>
      </c>
      <c r="M100" s="145" t="inlineStr">
        <is>
          <t>Center</t>
        </is>
      </c>
      <c r="N100" s="145" t="inlineStr">
        <is>
          <t>Center</t>
        </is>
      </c>
      <c r="O100" s="145" t="inlineStr">
        <is>
          <t>Yes</t>
        </is>
      </c>
      <c r="P100" s="145" t="inlineStr">
        <is>
          <t>General</t>
        </is>
      </c>
      <c r="Q100" s="145" t="inlineStr">
        <is>
          <t>General</t>
        </is>
      </c>
      <c r="R100" s="145" t="n"/>
      <c r="S100" s="145" t="n"/>
      <c r="T100" s="145" t="n"/>
      <c r="U100" s="145" t="n"/>
      <c r="V100" s="145" t="n"/>
      <c r="W100" s="145" t="n"/>
      <c r="X100" s="145" t="inlineStr">
        <is>
          <t>Detailed format sample from top 5 used rows</t>
        </is>
      </c>
    </row>
    <row r="101" ht="23.85" customHeight="1" s="79">
      <c r="A101" s="145" t="inlineStr">
        <is>
          <t>REGULAR_DEPT</t>
        </is>
      </c>
      <c r="B101" s="145" t="inlineStr">
        <is>
          <t>Top-Row Cell Format</t>
        </is>
      </c>
      <c r="C101" s="145" t="inlineStr">
        <is>
          <t>P4</t>
        </is>
      </c>
      <c r="D101" s="145" t="inlineStr">
        <is>
          <t>REGULAR_DEPT!A1:AS193</t>
        </is>
      </c>
      <c r="E101" s="145" t="inlineStr">
        <is>
          <t>Normal</t>
        </is>
      </c>
      <c r="F101" s="145" t="inlineStr">
        <is>
          <t>#F8CBAD</t>
        </is>
      </c>
      <c r="G101" s="145" t="inlineStr">
        <is>
          <t>Aptos</t>
        </is>
      </c>
      <c r="H101" s="145" t="n">
        <v>8</v>
      </c>
      <c r="I101" s="145" t="inlineStr">
        <is>
          <t>No</t>
        </is>
      </c>
      <c r="J101" s="145" t="inlineStr">
        <is>
          <t>No</t>
        </is>
      </c>
      <c r="K101" s="145" t="inlineStr">
        <is>
          <t>None</t>
        </is>
      </c>
      <c r="L101" s="145" t="inlineStr">
        <is>
          <t>#000000</t>
        </is>
      </c>
      <c r="M101" s="145" t="inlineStr">
        <is>
          <t>General</t>
        </is>
      </c>
      <c r="N101" s="145" t="inlineStr">
        <is>
          <t>Center</t>
        </is>
      </c>
      <c r="O101" s="145" t="inlineStr">
        <is>
          <t>No</t>
        </is>
      </c>
      <c r="P101" s="145" t="inlineStr">
        <is>
          <t>General</t>
        </is>
      </c>
      <c r="Q101" s="145" t="inlineStr">
        <is>
          <t>General</t>
        </is>
      </c>
      <c r="R101" s="145" t="n"/>
      <c r="S101" s="145" t="n"/>
      <c r="T101" s="145" t="n"/>
      <c r="U101" s="145" t="n"/>
      <c r="V101" s="145" t="n"/>
      <c r="W101" s="145" t="n"/>
      <c r="X101" s="145" t="inlineStr">
        <is>
          <t>Detailed format sample from top 5 used rows</t>
        </is>
      </c>
    </row>
    <row r="102" ht="23.85" customHeight="1" s="79">
      <c r="A102" s="145" t="inlineStr">
        <is>
          <t>REGULAR_DEPT</t>
        </is>
      </c>
      <c r="B102" s="145" t="inlineStr">
        <is>
          <t>Top-Row Cell Format</t>
        </is>
      </c>
      <c r="C102" s="145" t="inlineStr">
        <is>
          <t>P5</t>
        </is>
      </c>
      <c r="D102" s="145" t="inlineStr">
        <is>
          <t>REGULAR_DEPT!A1:AS193</t>
        </is>
      </c>
      <c r="E102" s="145" t="inlineStr">
        <is>
          <t>Normal</t>
        </is>
      </c>
      <c r="F102" s="145" t="inlineStr">
        <is>
          <t>#EDEDED</t>
        </is>
      </c>
      <c r="G102" s="145" t="inlineStr">
        <is>
          <t>Aptos</t>
        </is>
      </c>
      <c r="H102" s="145" t="n">
        <v>8</v>
      </c>
      <c r="I102" s="145" t="inlineStr">
        <is>
          <t>Yes</t>
        </is>
      </c>
      <c r="J102" s="145" t="inlineStr">
        <is>
          <t>No</t>
        </is>
      </c>
      <c r="K102" s="145" t="inlineStr">
        <is>
          <t>None</t>
        </is>
      </c>
      <c r="L102" s="145" t="inlineStr">
        <is>
          <t>#000000</t>
        </is>
      </c>
      <c r="M102" s="145" t="inlineStr">
        <is>
          <t>Center</t>
        </is>
      </c>
      <c r="N102" s="145" t="inlineStr">
        <is>
          <t>Center</t>
        </is>
      </c>
      <c r="O102" s="145" t="inlineStr">
        <is>
          <t>No</t>
        </is>
      </c>
      <c r="P102" s="145" t="inlineStr">
        <is>
          <t>General</t>
        </is>
      </c>
      <c r="Q102" s="145" t="inlineStr">
        <is>
          <t>General</t>
        </is>
      </c>
      <c r="R102" s="145" t="n"/>
      <c r="S102" s="145" t="n"/>
      <c r="T102" s="145" t="n"/>
      <c r="U102" s="145" t="n"/>
      <c r="V102" s="145" t="n"/>
      <c r="W102" s="145" t="n"/>
      <c r="X102" s="145" t="inlineStr">
        <is>
          <t>Detailed format sample from top 5 used rows</t>
        </is>
      </c>
    </row>
    <row r="103" ht="23.85" customHeight="1" s="79">
      <c r="A103" s="145" t="inlineStr">
        <is>
          <t>REGULAR_DEPT</t>
        </is>
      </c>
      <c r="B103" s="145" t="inlineStr">
        <is>
          <t>Column Format</t>
        </is>
      </c>
      <c r="C103" s="145" t="inlineStr">
        <is>
          <t>Q:Q</t>
        </is>
      </c>
      <c r="D103" s="145" t="inlineStr">
        <is>
          <t>REGULAR_DEPT!A1:AS193</t>
        </is>
      </c>
      <c r="E103" s="145" t="inlineStr">
        <is>
          <t>Mixed</t>
        </is>
      </c>
      <c r="F103" s="145" t="inlineStr">
        <is>
          <t>Mixed</t>
        </is>
      </c>
      <c r="G103" s="145" t="inlineStr">
        <is>
          <t>Aptos</t>
        </is>
      </c>
      <c r="H103" s="145" t="n">
        <v>8</v>
      </c>
      <c r="I103" s="145" t="inlineStr">
        <is>
          <t>Mixed</t>
        </is>
      </c>
      <c r="J103" s="145" t="inlineStr">
        <is>
          <t>No</t>
        </is>
      </c>
      <c r="K103" s="145" t="inlineStr">
        <is>
          <t>None</t>
        </is>
      </c>
      <c r="L103" s="145" t="inlineStr">
        <is>
          <t>#000000</t>
        </is>
      </c>
      <c r="M103" s="145" t="inlineStr">
        <is>
          <t>Mixed</t>
        </is>
      </c>
      <c r="N103" s="145" t="inlineStr">
        <is>
          <t>Center</t>
        </is>
      </c>
      <c r="O103" s="145" t="inlineStr">
        <is>
          <t>Mixed</t>
        </is>
      </c>
      <c r="P103" s="145" t="n"/>
      <c r="Q103" s="145" t="n"/>
      <c r="R103" s="145" t="inlineStr">
        <is>
          <t>EdgeBottom:Continuous/Thin/#000000; EdgeRight:Continuous/Thin/#000000</t>
        </is>
      </c>
      <c r="S103" s="145" t="n">
        <v>41.910447761194</v>
      </c>
      <c r="T103" s="145" t="n"/>
      <c r="U103" s="145" t="inlineStr">
        <is>
          <t>No</t>
        </is>
      </c>
      <c r="V103" s="145" t="inlineStr">
        <is>
          <t>Visible</t>
        </is>
      </c>
      <c r="W103" s="145" t="n"/>
      <c r="X103" s="145" t="inlineStr">
        <is>
          <t>Mixed styles within used column</t>
        </is>
      </c>
    </row>
    <row r="104" ht="23.85" customHeight="1" s="79">
      <c r="A104" s="145" t="inlineStr">
        <is>
          <t>REGULAR_DEPT</t>
        </is>
      </c>
      <c r="B104" s="145" t="inlineStr">
        <is>
          <t>Top-Row Cell Format</t>
        </is>
      </c>
      <c r="C104" s="145" t="inlineStr">
        <is>
          <t>Q1</t>
        </is>
      </c>
      <c r="D104" s="145" t="inlineStr">
        <is>
          <t>REGULAR_DEPT!A1:AS193</t>
        </is>
      </c>
      <c r="E104" s="145" t="inlineStr">
        <is>
          <t>Normal</t>
        </is>
      </c>
      <c r="F104" s="145" t="n"/>
      <c r="G104" s="145" t="inlineStr">
        <is>
          <t>Aptos</t>
        </is>
      </c>
      <c r="H104" s="145" t="n">
        <v>8</v>
      </c>
      <c r="I104" s="145" t="inlineStr">
        <is>
          <t>No</t>
        </is>
      </c>
      <c r="J104" s="145" t="inlineStr">
        <is>
          <t>No</t>
        </is>
      </c>
      <c r="K104" s="145" t="inlineStr">
        <is>
          <t>None</t>
        </is>
      </c>
      <c r="L104" s="145" t="inlineStr">
        <is>
          <t>#000000</t>
        </is>
      </c>
      <c r="M104" s="145" t="inlineStr">
        <is>
          <t>General</t>
        </is>
      </c>
      <c r="N104" s="145" t="inlineStr">
        <is>
          <t>Center</t>
        </is>
      </c>
      <c r="O104" s="145" t="inlineStr">
        <is>
          <t>No</t>
        </is>
      </c>
      <c r="P104" s="145" t="inlineStr">
        <is>
          <t>General</t>
        </is>
      </c>
      <c r="Q104" s="145" t="inlineStr">
        <is>
          <t>General</t>
        </is>
      </c>
      <c r="R104" s="145" t="n"/>
      <c r="S104" s="145" t="n"/>
      <c r="T104" s="145" t="n"/>
      <c r="U104" s="145" t="n"/>
      <c r="V104" s="145" t="n"/>
      <c r="W104" s="145" t="n"/>
      <c r="X104" s="145" t="inlineStr">
        <is>
          <t>Detailed format sample from top 5 used rows</t>
        </is>
      </c>
    </row>
    <row r="105" ht="23.85" customHeight="1" s="79">
      <c r="A105" s="145" t="inlineStr">
        <is>
          <t>REGULAR_DEPT</t>
        </is>
      </c>
      <c r="B105" s="145" t="inlineStr">
        <is>
          <t>Top-Row Cell Format</t>
        </is>
      </c>
      <c r="C105" s="145" t="inlineStr">
        <is>
          <t>Q2</t>
        </is>
      </c>
      <c r="D105" s="145" t="inlineStr">
        <is>
          <t>REGULAR_DEPT!A1:AS193</t>
        </is>
      </c>
      <c r="E105" s="145" t="inlineStr">
        <is>
          <t>Comma</t>
        </is>
      </c>
      <c r="F105" s="145" t="inlineStr">
        <is>
          <t>#B4C6E7</t>
        </is>
      </c>
      <c r="G105" s="145" t="inlineStr">
        <is>
          <t>Aptos</t>
        </is>
      </c>
      <c r="H105" s="145" t="n">
        <v>8</v>
      </c>
      <c r="I105" s="145" t="inlineStr">
        <is>
          <t>Yes</t>
        </is>
      </c>
      <c r="J105" s="145" t="inlineStr">
        <is>
          <t>No</t>
        </is>
      </c>
      <c r="K105" s="145" t="inlineStr">
        <is>
          <t>None</t>
        </is>
      </c>
      <c r="L105" s="145" t="inlineStr">
        <is>
          <t>#000000</t>
        </is>
      </c>
      <c r="M105" s="145" t="inlineStr">
        <is>
          <t>General</t>
        </is>
      </c>
      <c r="N105" s="145" t="inlineStr">
        <is>
          <t>Center</t>
        </is>
      </c>
      <c r="O105" s="145" t="inlineStr">
        <is>
          <t>No</t>
        </is>
      </c>
      <c r="P105" s="145" t="inlineStr">
        <is>
          <t xml:space="preserve">_ * #,##0_ ;_ * -#,##0_ ;_ * "-"??_ ;_ @_ </t>
        </is>
      </c>
      <c r="Q105" s="145" t="inlineStr">
        <is>
          <t>Text</t>
        </is>
      </c>
      <c r="R105" s="145" t="n"/>
      <c r="S105" s="145" t="n"/>
      <c r="T105" s="145" t="n"/>
      <c r="U105" s="145" t="n"/>
      <c r="V105" s="145" t="n"/>
      <c r="W105" s="145" t="n"/>
      <c r="X105" s="145" t="inlineStr">
        <is>
          <t>Detailed format sample from top 5 used rows</t>
        </is>
      </c>
    </row>
    <row r="106" ht="23.85" customHeight="1" s="79">
      <c r="A106" s="145" t="inlineStr">
        <is>
          <t>REGULAR_DEPT</t>
        </is>
      </c>
      <c r="B106" s="145" t="inlineStr">
        <is>
          <t>Top-Row Cell Format</t>
        </is>
      </c>
      <c r="C106" s="145" t="inlineStr">
        <is>
          <t>Q3</t>
        </is>
      </c>
      <c r="D106" s="145" t="inlineStr">
        <is>
          <t>REGULAR_DEPT!A1:AS193</t>
        </is>
      </c>
      <c r="E106" s="145" t="inlineStr">
        <is>
          <t>Normal</t>
        </is>
      </c>
      <c r="F106" s="145" t="inlineStr">
        <is>
          <t>#F8CBAD</t>
        </is>
      </c>
      <c r="G106" s="145" t="inlineStr">
        <is>
          <t>Aptos</t>
        </is>
      </c>
      <c r="H106" s="145" t="n">
        <v>8</v>
      </c>
      <c r="I106" s="145" t="inlineStr">
        <is>
          <t>Yes</t>
        </is>
      </c>
      <c r="J106" s="145" t="inlineStr">
        <is>
          <t>No</t>
        </is>
      </c>
      <c r="K106" s="145" t="inlineStr">
        <is>
          <t>None</t>
        </is>
      </c>
      <c r="L106" s="145" t="inlineStr">
        <is>
          <t>#000000</t>
        </is>
      </c>
      <c r="M106" s="145" t="inlineStr">
        <is>
          <t>Center</t>
        </is>
      </c>
      <c r="N106" s="145" t="inlineStr">
        <is>
          <t>Center</t>
        </is>
      </c>
      <c r="O106" s="145" t="inlineStr">
        <is>
          <t>Yes</t>
        </is>
      </c>
      <c r="P106" s="145" t="inlineStr">
        <is>
          <t>General</t>
        </is>
      </c>
      <c r="Q106" s="145" t="inlineStr">
        <is>
          <t>General</t>
        </is>
      </c>
      <c r="R106" s="145" t="n"/>
      <c r="S106" s="145" t="n"/>
      <c r="T106" s="145" t="n"/>
      <c r="U106" s="145" t="n"/>
      <c r="V106" s="145" t="n"/>
      <c r="W106" s="145" t="n"/>
      <c r="X106" s="145" t="inlineStr">
        <is>
          <t>Detailed format sample from top 5 used rows</t>
        </is>
      </c>
    </row>
    <row r="107" ht="23.85" customHeight="1" s="79">
      <c r="A107" s="145" t="inlineStr">
        <is>
          <t>REGULAR_DEPT</t>
        </is>
      </c>
      <c r="B107" s="145" t="inlineStr">
        <is>
          <t>Top-Row Cell Format</t>
        </is>
      </c>
      <c r="C107" s="145" t="inlineStr">
        <is>
          <t>Q4</t>
        </is>
      </c>
      <c r="D107" s="145" t="inlineStr">
        <is>
          <t>REGULAR_DEPT!A1:AS193</t>
        </is>
      </c>
      <c r="E107" s="145" t="inlineStr">
        <is>
          <t>Normal</t>
        </is>
      </c>
      <c r="F107" s="145" t="inlineStr">
        <is>
          <t>#F8CBAD</t>
        </is>
      </c>
      <c r="G107" s="145" t="inlineStr">
        <is>
          <t>Aptos</t>
        </is>
      </c>
      <c r="H107" s="145" t="n">
        <v>8</v>
      </c>
      <c r="I107" s="145" t="inlineStr">
        <is>
          <t>No</t>
        </is>
      </c>
      <c r="J107" s="145" t="inlineStr">
        <is>
          <t>No</t>
        </is>
      </c>
      <c r="K107" s="145" t="inlineStr">
        <is>
          <t>None</t>
        </is>
      </c>
      <c r="L107" s="145" t="inlineStr">
        <is>
          <t>#000000</t>
        </is>
      </c>
      <c r="M107" s="145" t="inlineStr">
        <is>
          <t>General</t>
        </is>
      </c>
      <c r="N107" s="145" t="inlineStr">
        <is>
          <t>Center</t>
        </is>
      </c>
      <c r="O107" s="145" t="inlineStr">
        <is>
          <t>No</t>
        </is>
      </c>
      <c r="P107" s="145" t="inlineStr">
        <is>
          <t>General</t>
        </is>
      </c>
      <c r="Q107" s="145" t="inlineStr">
        <is>
          <t>General</t>
        </is>
      </c>
      <c r="R107" s="145" t="n"/>
      <c r="S107" s="145" t="n"/>
      <c r="T107" s="145" t="n"/>
      <c r="U107" s="145" t="n"/>
      <c r="V107" s="145" t="n"/>
      <c r="W107" s="145" t="n"/>
      <c r="X107" s="145" t="inlineStr">
        <is>
          <t>Detailed format sample from top 5 used rows</t>
        </is>
      </c>
    </row>
    <row r="108" ht="23.85" customHeight="1" s="79">
      <c r="A108" s="145" t="inlineStr">
        <is>
          <t>REGULAR_DEPT</t>
        </is>
      </c>
      <c r="B108" s="145" t="inlineStr">
        <is>
          <t>Top-Row Cell Format</t>
        </is>
      </c>
      <c r="C108" s="145" t="inlineStr">
        <is>
          <t>Q5</t>
        </is>
      </c>
      <c r="D108" s="145" t="inlineStr">
        <is>
          <t>REGULAR_DEPT!A1:AS193</t>
        </is>
      </c>
      <c r="E108" s="145" t="inlineStr">
        <is>
          <t>Normal</t>
        </is>
      </c>
      <c r="F108" s="145" t="inlineStr">
        <is>
          <t>#B4C6E7</t>
        </is>
      </c>
      <c r="G108" s="145" t="inlineStr">
        <is>
          <t>Aptos</t>
        </is>
      </c>
      <c r="H108" s="145" t="n">
        <v>8</v>
      </c>
      <c r="I108" s="145" t="inlineStr">
        <is>
          <t>Yes</t>
        </is>
      </c>
      <c r="J108" s="145" t="inlineStr">
        <is>
          <t>No</t>
        </is>
      </c>
      <c r="K108" s="145" t="inlineStr">
        <is>
          <t>None</t>
        </is>
      </c>
      <c r="L108" s="145" t="inlineStr">
        <is>
          <t>#000000</t>
        </is>
      </c>
      <c r="M108" s="145" t="inlineStr">
        <is>
          <t>General</t>
        </is>
      </c>
      <c r="N108" s="145" t="inlineStr">
        <is>
          <t>Center</t>
        </is>
      </c>
      <c r="O108" s="145" t="inlineStr">
        <is>
          <t>No</t>
        </is>
      </c>
      <c r="P108" s="145" t="inlineStr">
        <is>
          <t xml:space="preserve">_ * #,##0_ ;_ * -#,##0_ ;_ * "-"??_ ;_ @_ </t>
        </is>
      </c>
      <c r="Q108" s="145" t="inlineStr">
        <is>
          <t>Text</t>
        </is>
      </c>
      <c r="R108" s="145" t="n"/>
      <c r="S108" s="145" t="n"/>
      <c r="T108" s="145" t="n"/>
      <c r="U108" s="145" t="n"/>
      <c r="V108" s="145" t="n"/>
      <c r="W108" s="145" t="n"/>
      <c r="X108" s="145" t="inlineStr">
        <is>
          <t>Detailed format sample from top 5 used rows</t>
        </is>
      </c>
    </row>
    <row r="109" ht="35.05" customHeight="1" s="79">
      <c r="A109" s="145" t="inlineStr">
        <is>
          <t>REGULAR_DEPT</t>
        </is>
      </c>
      <c r="B109" s="145" t="inlineStr">
        <is>
          <t>Column Format</t>
        </is>
      </c>
      <c r="C109" s="145" t="inlineStr">
        <is>
          <t>R:R</t>
        </is>
      </c>
      <c r="D109" s="145" t="inlineStr">
        <is>
          <t>REGULAR_DEPT!A1:AS193</t>
        </is>
      </c>
      <c r="E109" s="145" t="inlineStr">
        <is>
          <t>Mixed</t>
        </is>
      </c>
      <c r="F109" s="145" t="inlineStr">
        <is>
          <t>Mixed</t>
        </is>
      </c>
      <c r="G109" s="145" t="inlineStr">
        <is>
          <t>Aptos</t>
        </is>
      </c>
      <c r="H109" s="145" t="n">
        <v>8</v>
      </c>
      <c r="I109" s="145" t="inlineStr">
        <is>
          <t>Mixed</t>
        </is>
      </c>
      <c r="J109" s="145" t="inlineStr">
        <is>
          <t>No</t>
        </is>
      </c>
      <c r="K109" s="145" t="inlineStr">
        <is>
          <t>None</t>
        </is>
      </c>
      <c r="L109" s="145" t="inlineStr">
        <is>
          <t>#000000</t>
        </is>
      </c>
      <c r="M109" s="145" t="inlineStr">
        <is>
          <t>Mixed</t>
        </is>
      </c>
      <c r="N109" s="145" t="inlineStr">
        <is>
          <t>Center</t>
        </is>
      </c>
      <c r="O109" s="145" t="inlineStr">
        <is>
          <t>Mixed</t>
        </is>
      </c>
      <c r="P109" s="145" t="n"/>
      <c r="Q109" s="145" t="n"/>
      <c r="R109" s="145" t="inlineStr">
        <is>
          <t>EdgeBottom:Continuous/Thin/#000000; EdgeRight:Continuous/Thin/#000000</t>
        </is>
      </c>
      <c r="S109" s="145" t="n">
        <v>0</v>
      </c>
      <c r="T109" s="145" t="n"/>
      <c r="U109" s="145" t="inlineStr">
        <is>
          <t>Yes</t>
        </is>
      </c>
      <c r="V109" s="145" t="inlineStr">
        <is>
          <t>Hidden column (possible outline/group)</t>
        </is>
      </c>
      <c r="W109" s="145" t="n"/>
      <c r="X109" s="145" t="inlineStr">
        <is>
          <t>Mixed styles within used column</t>
        </is>
      </c>
    </row>
    <row r="110" ht="23.85" customHeight="1" s="79">
      <c r="A110" s="145" t="inlineStr">
        <is>
          <t>REGULAR_DEPT</t>
        </is>
      </c>
      <c r="B110" s="145" t="inlineStr">
        <is>
          <t>Top-Row Cell Format</t>
        </is>
      </c>
      <c r="C110" s="145" t="inlineStr">
        <is>
          <t>R1</t>
        </is>
      </c>
      <c r="D110" s="145" t="inlineStr">
        <is>
          <t>REGULAR_DEPT!A1:AS193</t>
        </is>
      </c>
      <c r="E110" s="145" t="inlineStr">
        <is>
          <t>Normal</t>
        </is>
      </c>
      <c r="F110" s="145" t="n"/>
      <c r="G110" s="145" t="inlineStr">
        <is>
          <t>Aptos</t>
        </is>
      </c>
      <c r="H110" s="145" t="n">
        <v>8</v>
      </c>
      <c r="I110" s="145" t="inlineStr">
        <is>
          <t>No</t>
        </is>
      </c>
      <c r="J110" s="145" t="inlineStr">
        <is>
          <t>No</t>
        </is>
      </c>
      <c r="K110" s="145" t="inlineStr">
        <is>
          <t>None</t>
        </is>
      </c>
      <c r="L110" s="145" t="inlineStr">
        <is>
          <t>#000000</t>
        </is>
      </c>
      <c r="M110" s="145" t="inlineStr">
        <is>
          <t>General</t>
        </is>
      </c>
      <c r="N110" s="145" t="inlineStr">
        <is>
          <t>Center</t>
        </is>
      </c>
      <c r="O110" s="145" t="inlineStr">
        <is>
          <t>No</t>
        </is>
      </c>
      <c r="P110" s="145" t="inlineStr">
        <is>
          <t>General</t>
        </is>
      </c>
      <c r="Q110" s="145" t="inlineStr">
        <is>
          <t>General</t>
        </is>
      </c>
      <c r="R110" s="145" t="n"/>
      <c r="S110" s="145" t="n"/>
      <c r="T110" s="145" t="n"/>
      <c r="U110" s="145" t="n"/>
      <c r="V110" s="145" t="n"/>
      <c r="W110" s="145" t="n"/>
      <c r="X110" s="145" t="inlineStr">
        <is>
          <t>Detailed format sample from top 5 used rows</t>
        </is>
      </c>
    </row>
    <row r="111" ht="23.85" customHeight="1" s="79">
      <c r="A111" s="145" t="inlineStr">
        <is>
          <t>REGULAR_DEPT</t>
        </is>
      </c>
      <c r="B111" s="145" t="inlineStr">
        <is>
          <t>Top-Row Cell Format</t>
        </is>
      </c>
      <c r="C111" s="145" t="inlineStr">
        <is>
          <t>R2</t>
        </is>
      </c>
      <c r="D111" s="145" t="inlineStr">
        <is>
          <t>REGULAR_DEPT!A1:AS193</t>
        </is>
      </c>
      <c r="E111" s="145" t="inlineStr">
        <is>
          <t>Comma</t>
        </is>
      </c>
      <c r="F111" s="145" t="inlineStr">
        <is>
          <t>#B4C6E7</t>
        </is>
      </c>
      <c r="G111" s="145" t="inlineStr">
        <is>
          <t>Aptos</t>
        </is>
      </c>
      <c r="H111" s="145" t="n">
        <v>8</v>
      </c>
      <c r="I111" s="145" t="inlineStr">
        <is>
          <t>Yes</t>
        </is>
      </c>
      <c r="J111" s="145" t="inlineStr">
        <is>
          <t>No</t>
        </is>
      </c>
      <c r="K111" s="145" t="inlineStr">
        <is>
          <t>None</t>
        </is>
      </c>
      <c r="L111" s="145" t="inlineStr">
        <is>
          <t>#000000</t>
        </is>
      </c>
      <c r="M111" s="145" t="inlineStr">
        <is>
          <t>General</t>
        </is>
      </c>
      <c r="N111" s="145" t="inlineStr">
        <is>
          <t>Center</t>
        </is>
      </c>
      <c r="O111" s="145" t="inlineStr">
        <is>
          <t>No</t>
        </is>
      </c>
      <c r="P111" s="145" t="inlineStr">
        <is>
          <t xml:space="preserve">_ * #,##0_ ;_ * -#,##0_ ;_ * "-"??_ ;_ @_ </t>
        </is>
      </c>
      <c r="Q111" s="145" t="inlineStr">
        <is>
          <t>Text</t>
        </is>
      </c>
      <c r="R111" s="145" t="n"/>
      <c r="S111" s="145" t="n"/>
      <c r="T111" s="145" t="n"/>
      <c r="U111" s="145" t="n"/>
      <c r="V111" s="145" t="n"/>
      <c r="W111" s="145" t="n"/>
      <c r="X111" s="145" t="inlineStr">
        <is>
          <t>Detailed format sample from top 5 used rows</t>
        </is>
      </c>
    </row>
    <row r="112" ht="23.85" customHeight="1" s="79">
      <c r="A112" s="145" t="inlineStr">
        <is>
          <t>REGULAR_DEPT</t>
        </is>
      </c>
      <c r="B112" s="145" t="inlineStr">
        <is>
          <t>Top-Row Cell Format</t>
        </is>
      </c>
      <c r="C112" s="145" t="inlineStr">
        <is>
          <t>R3</t>
        </is>
      </c>
      <c r="D112" s="145" t="inlineStr">
        <is>
          <t>REGULAR_DEPT!A1:AS193</t>
        </is>
      </c>
      <c r="E112" s="145" t="inlineStr">
        <is>
          <t>Normal</t>
        </is>
      </c>
      <c r="F112" s="145" t="inlineStr">
        <is>
          <t>#F8CBAD</t>
        </is>
      </c>
      <c r="G112" s="145" t="inlineStr">
        <is>
          <t>Aptos</t>
        </is>
      </c>
      <c r="H112" s="145" t="n">
        <v>8</v>
      </c>
      <c r="I112" s="145" t="inlineStr">
        <is>
          <t>Yes</t>
        </is>
      </c>
      <c r="J112" s="145" t="inlineStr">
        <is>
          <t>No</t>
        </is>
      </c>
      <c r="K112" s="145" t="inlineStr">
        <is>
          <t>None</t>
        </is>
      </c>
      <c r="L112" s="145" t="inlineStr">
        <is>
          <t>#000000</t>
        </is>
      </c>
      <c r="M112" s="145" t="inlineStr">
        <is>
          <t>Center</t>
        </is>
      </c>
      <c r="N112" s="145" t="inlineStr">
        <is>
          <t>Center</t>
        </is>
      </c>
      <c r="O112" s="145" t="inlineStr">
        <is>
          <t>Yes</t>
        </is>
      </c>
      <c r="P112" s="145" t="inlineStr">
        <is>
          <t>General</t>
        </is>
      </c>
      <c r="Q112" s="145" t="inlineStr">
        <is>
          <t>General</t>
        </is>
      </c>
      <c r="R112" s="145" t="n"/>
      <c r="S112" s="145" t="n"/>
      <c r="T112" s="145" t="n"/>
      <c r="U112" s="145" t="n"/>
      <c r="V112" s="145" t="n"/>
      <c r="W112" s="145" t="n"/>
      <c r="X112" s="145" t="inlineStr">
        <is>
          <t>Detailed format sample from top 5 used rows</t>
        </is>
      </c>
    </row>
    <row r="113" ht="23.85" customHeight="1" s="79">
      <c r="A113" s="145" t="inlineStr">
        <is>
          <t>REGULAR_DEPT</t>
        </is>
      </c>
      <c r="B113" s="145" t="inlineStr">
        <is>
          <t>Top-Row Cell Format</t>
        </is>
      </c>
      <c r="C113" s="145" t="inlineStr">
        <is>
          <t>R4</t>
        </is>
      </c>
      <c r="D113" s="145" t="inlineStr">
        <is>
          <t>REGULAR_DEPT!A1:AS193</t>
        </is>
      </c>
      <c r="E113" s="145" t="inlineStr">
        <is>
          <t>Normal</t>
        </is>
      </c>
      <c r="F113" s="145" t="inlineStr">
        <is>
          <t>#F8CBAD</t>
        </is>
      </c>
      <c r="G113" s="145" t="inlineStr">
        <is>
          <t>Aptos</t>
        </is>
      </c>
      <c r="H113" s="145" t="n">
        <v>8</v>
      </c>
      <c r="I113" s="145" t="inlineStr">
        <is>
          <t>No</t>
        </is>
      </c>
      <c r="J113" s="145" t="inlineStr">
        <is>
          <t>No</t>
        </is>
      </c>
      <c r="K113" s="145" t="inlineStr">
        <is>
          <t>None</t>
        </is>
      </c>
      <c r="L113" s="145" t="inlineStr">
        <is>
          <t>#000000</t>
        </is>
      </c>
      <c r="M113" s="145" t="inlineStr">
        <is>
          <t>General</t>
        </is>
      </c>
      <c r="N113" s="145" t="inlineStr">
        <is>
          <t>Center</t>
        </is>
      </c>
      <c r="O113" s="145" t="inlineStr">
        <is>
          <t>No</t>
        </is>
      </c>
      <c r="P113" s="145" t="inlineStr">
        <is>
          <t>General</t>
        </is>
      </c>
      <c r="Q113" s="145" t="inlineStr">
        <is>
          <t>General</t>
        </is>
      </c>
      <c r="R113" s="145" t="n"/>
      <c r="S113" s="145" t="n"/>
      <c r="T113" s="145" t="n"/>
      <c r="U113" s="145" t="n"/>
      <c r="V113" s="145" t="n"/>
      <c r="W113" s="145" t="n"/>
      <c r="X113" s="145" t="inlineStr">
        <is>
          <t>Detailed format sample from top 5 used rows</t>
        </is>
      </c>
    </row>
    <row r="114" ht="23.85" customHeight="1" s="79">
      <c r="A114" s="145" t="inlineStr">
        <is>
          <t>REGULAR_DEPT</t>
        </is>
      </c>
      <c r="B114" s="145" t="inlineStr">
        <is>
          <t>Top-Row Cell Format</t>
        </is>
      </c>
      <c r="C114" s="145" t="inlineStr">
        <is>
          <t>R5</t>
        </is>
      </c>
      <c r="D114" s="145" t="inlineStr">
        <is>
          <t>REGULAR_DEPT!A1:AS193</t>
        </is>
      </c>
      <c r="E114" s="145" t="inlineStr">
        <is>
          <t>Normal</t>
        </is>
      </c>
      <c r="F114" s="145" t="inlineStr">
        <is>
          <t>#B4C6E7</t>
        </is>
      </c>
      <c r="G114" s="145" t="inlineStr">
        <is>
          <t>Aptos</t>
        </is>
      </c>
      <c r="H114" s="145" t="n">
        <v>8</v>
      </c>
      <c r="I114" s="145" t="inlineStr">
        <is>
          <t>Yes</t>
        </is>
      </c>
      <c r="J114" s="145" t="inlineStr">
        <is>
          <t>No</t>
        </is>
      </c>
      <c r="K114" s="145" t="inlineStr">
        <is>
          <t>None</t>
        </is>
      </c>
      <c r="L114" s="145" t="inlineStr">
        <is>
          <t>#000000</t>
        </is>
      </c>
      <c r="M114" s="145" t="inlineStr">
        <is>
          <t>General</t>
        </is>
      </c>
      <c r="N114" s="145" t="inlineStr">
        <is>
          <t>Center</t>
        </is>
      </c>
      <c r="O114" s="145" t="inlineStr">
        <is>
          <t>No</t>
        </is>
      </c>
      <c r="P114" s="145" t="inlineStr">
        <is>
          <t xml:space="preserve">_ * #,##0_ ;_ * -#,##0_ ;_ * "-"??_ ;_ @_ </t>
        </is>
      </c>
      <c r="Q114" s="145" t="inlineStr">
        <is>
          <t>Text</t>
        </is>
      </c>
      <c r="R114" s="145" t="n"/>
      <c r="S114" s="145" t="n"/>
      <c r="T114" s="145" t="n"/>
      <c r="U114" s="145" t="n"/>
      <c r="V114" s="145" t="n"/>
      <c r="W114" s="145" t="n"/>
      <c r="X114" s="145" t="inlineStr">
        <is>
          <t>Detailed format sample from top 5 used rows</t>
        </is>
      </c>
    </row>
    <row r="115" ht="35.05" customHeight="1" s="79">
      <c r="A115" s="145" t="inlineStr">
        <is>
          <t>REGULAR_DEPT</t>
        </is>
      </c>
      <c r="B115" s="145" t="inlineStr">
        <is>
          <t>Column Format</t>
        </is>
      </c>
      <c r="C115" s="145" t="inlineStr">
        <is>
          <t>S:S</t>
        </is>
      </c>
      <c r="D115" s="145" t="inlineStr">
        <is>
          <t>REGULAR_DEPT!A1:AS193</t>
        </is>
      </c>
      <c r="E115" s="145" t="inlineStr">
        <is>
          <t>Mixed</t>
        </is>
      </c>
      <c r="F115" s="145" t="inlineStr">
        <is>
          <t>Mixed</t>
        </is>
      </c>
      <c r="G115" s="145" t="inlineStr">
        <is>
          <t>Aptos</t>
        </is>
      </c>
      <c r="H115" s="145" t="n">
        <v>8</v>
      </c>
      <c r="I115" s="145" t="inlineStr">
        <is>
          <t>Mixed</t>
        </is>
      </c>
      <c r="J115" s="145" t="inlineStr">
        <is>
          <t>No</t>
        </is>
      </c>
      <c r="K115" s="145" t="inlineStr">
        <is>
          <t>None</t>
        </is>
      </c>
      <c r="L115" s="145" t="inlineStr">
        <is>
          <t>#000000</t>
        </is>
      </c>
      <c r="M115" s="145" t="inlineStr">
        <is>
          <t>Mixed</t>
        </is>
      </c>
      <c r="N115" s="145" t="inlineStr">
        <is>
          <t>Center</t>
        </is>
      </c>
      <c r="O115" s="145" t="inlineStr">
        <is>
          <t>Mixed</t>
        </is>
      </c>
      <c r="P115" s="145" t="n"/>
      <c r="Q115" s="145" t="n"/>
      <c r="R115" s="145" t="inlineStr">
        <is>
          <t>EdgeBottom:Continuous/Thin/#000000; EdgeRight:Continuous/Thin/#000000</t>
        </is>
      </c>
      <c r="S115" s="145" t="n">
        <v>0</v>
      </c>
      <c r="T115" s="145" t="n"/>
      <c r="U115" s="145" t="inlineStr">
        <is>
          <t>Yes</t>
        </is>
      </c>
      <c r="V115" s="145" t="inlineStr">
        <is>
          <t>Hidden column (possible outline/group)</t>
        </is>
      </c>
      <c r="W115" s="145" t="n"/>
      <c r="X115" s="145" t="inlineStr">
        <is>
          <t>Mixed styles within used column</t>
        </is>
      </c>
    </row>
    <row r="116" ht="23.85" customHeight="1" s="79">
      <c r="A116" s="145" t="inlineStr">
        <is>
          <t>REGULAR_DEPT</t>
        </is>
      </c>
      <c r="B116" s="145" t="inlineStr">
        <is>
          <t>Top-Row Cell Format</t>
        </is>
      </c>
      <c r="C116" s="145" t="inlineStr">
        <is>
          <t>S1</t>
        </is>
      </c>
      <c r="D116" s="145" t="inlineStr">
        <is>
          <t>REGULAR_DEPT!A1:AS193</t>
        </is>
      </c>
      <c r="E116" s="145" t="inlineStr">
        <is>
          <t>Normal</t>
        </is>
      </c>
      <c r="F116" s="145" t="n"/>
      <c r="G116" s="145" t="inlineStr">
        <is>
          <t>Aptos</t>
        </is>
      </c>
      <c r="H116" s="145" t="n">
        <v>8</v>
      </c>
      <c r="I116" s="145" t="inlineStr">
        <is>
          <t>No</t>
        </is>
      </c>
      <c r="J116" s="145" t="inlineStr">
        <is>
          <t>No</t>
        </is>
      </c>
      <c r="K116" s="145" t="inlineStr">
        <is>
          <t>None</t>
        </is>
      </c>
      <c r="L116" s="145" t="inlineStr">
        <is>
          <t>#000000</t>
        </is>
      </c>
      <c r="M116" s="145" t="inlineStr">
        <is>
          <t>General</t>
        </is>
      </c>
      <c r="N116" s="145" t="inlineStr">
        <is>
          <t>Center</t>
        </is>
      </c>
      <c r="O116" s="145" t="inlineStr">
        <is>
          <t>No</t>
        </is>
      </c>
      <c r="P116" s="145" t="inlineStr">
        <is>
          <t>General</t>
        </is>
      </c>
      <c r="Q116" s="145" t="inlineStr">
        <is>
          <t>General</t>
        </is>
      </c>
      <c r="R116" s="145" t="n"/>
      <c r="S116" s="145" t="n"/>
      <c r="T116" s="145" t="n"/>
      <c r="U116" s="145" t="n"/>
      <c r="V116" s="145" t="n"/>
      <c r="W116" s="145" t="n"/>
      <c r="X116" s="145" t="inlineStr">
        <is>
          <t>Detailed format sample from top 5 used rows</t>
        </is>
      </c>
    </row>
    <row r="117" ht="23.85" customHeight="1" s="79">
      <c r="A117" s="145" t="inlineStr">
        <is>
          <t>REGULAR_DEPT</t>
        </is>
      </c>
      <c r="B117" s="145" t="inlineStr">
        <is>
          <t>Top-Row Cell Format</t>
        </is>
      </c>
      <c r="C117" s="145" t="inlineStr">
        <is>
          <t>S2</t>
        </is>
      </c>
      <c r="D117" s="145" t="inlineStr">
        <is>
          <t>REGULAR_DEPT!A1:AS193</t>
        </is>
      </c>
      <c r="E117" s="145" t="inlineStr">
        <is>
          <t>Comma</t>
        </is>
      </c>
      <c r="F117" s="145" t="inlineStr">
        <is>
          <t>#B4C6E7</t>
        </is>
      </c>
      <c r="G117" s="145" t="inlineStr">
        <is>
          <t>Aptos</t>
        </is>
      </c>
      <c r="H117" s="145" t="n">
        <v>8</v>
      </c>
      <c r="I117" s="145" t="inlineStr">
        <is>
          <t>Yes</t>
        </is>
      </c>
      <c r="J117" s="145" t="inlineStr">
        <is>
          <t>No</t>
        </is>
      </c>
      <c r="K117" s="145" t="inlineStr">
        <is>
          <t>None</t>
        </is>
      </c>
      <c r="L117" s="145" t="inlineStr">
        <is>
          <t>#000000</t>
        </is>
      </c>
      <c r="M117" s="145" t="inlineStr">
        <is>
          <t>General</t>
        </is>
      </c>
      <c r="N117" s="145" t="inlineStr">
        <is>
          <t>Center</t>
        </is>
      </c>
      <c r="O117" s="145" t="inlineStr">
        <is>
          <t>No</t>
        </is>
      </c>
      <c r="P117" s="145" t="inlineStr">
        <is>
          <t xml:space="preserve">_ * #,##0_ ;_ * -#,##0_ ;_ * "-"??_ ;_ @_ </t>
        </is>
      </c>
      <c r="Q117" s="145" t="inlineStr">
        <is>
          <t>Text</t>
        </is>
      </c>
      <c r="R117" s="145" t="n"/>
      <c r="S117" s="145" t="n"/>
      <c r="T117" s="145" t="n"/>
      <c r="U117" s="145" t="n"/>
      <c r="V117" s="145" t="n"/>
      <c r="W117" s="145" t="n"/>
      <c r="X117" s="145" t="inlineStr">
        <is>
          <t>Detailed format sample from top 5 used rows</t>
        </is>
      </c>
    </row>
    <row r="118" ht="23.85" customHeight="1" s="79">
      <c r="A118" s="145" t="inlineStr">
        <is>
          <t>REGULAR_DEPT</t>
        </is>
      </c>
      <c r="B118" s="145" t="inlineStr">
        <is>
          <t>Top-Row Cell Format</t>
        </is>
      </c>
      <c r="C118" s="145" t="inlineStr">
        <is>
          <t>S3</t>
        </is>
      </c>
      <c r="D118" s="145" t="inlineStr">
        <is>
          <t>REGULAR_DEPT!A1:AS193</t>
        </is>
      </c>
      <c r="E118" s="145" t="inlineStr">
        <is>
          <t>Normal</t>
        </is>
      </c>
      <c r="F118" s="145" t="inlineStr">
        <is>
          <t>#F8CBAD</t>
        </is>
      </c>
      <c r="G118" s="145" t="inlineStr">
        <is>
          <t>Aptos</t>
        </is>
      </c>
      <c r="H118" s="145" t="n">
        <v>8</v>
      </c>
      <c r="I118" s="145" t="inlineStr">
        <is>
          <t>Yes</t>
        </is>
      </c>
      <c r="J118" s="145" t="inlineStr">
        <is>
          <t>No</t>
        </is>
      </c>
      <c r="K118" s="145" t="inlineStr">
        <is>
          <t>None</t>
        </is>
      </c>
      <c r="L118" s="145" t="inlineStr">
        <is>
          <t>#000000</t>
        </is>
      </c>
      <c r="M118" s="145" t="inlineStr">
        <is>
          <t>Center</t>
        </is>
      </c>
      <c r="N118" s="145" t="inlineStr">
        <is>
          <t>Center</t>
        </is>
      </c>
      <c r="O118" s="145" t="inlineStr">
        <is>
          <t>Yes</t>
        </is>
      </c>
      <c r="P118" s="145" t="inlineStr">
        <is>
          <t>General</t>
        </is>
      </c>
      <c r="Q118" s="145" t="inlineStr">
        <is>
          <t>General</t>
        </is>
      </c>
      <c r="R118" s="145" t="n"/>
      <c r="S118" s="145" t="n"/>
      <c r="T118" s="145" t="n"/>
      <c r="U118" s="145" t="n"/>
      <c r="V118" s="145" t="n"/>
      <c r="W118" s="145" t="n"/>
      <c r="X118" s="145" t="inlineStr">
        <is>
          <t>Detailed format sample from top 5 used rows</t>
        </is>
      </c>
    </row>
    <row r="119" ht="23.85" customHeight="1" s="79">
      <c r="A119" s="145" t="inlineStr">
        <is>
          <t>REGULAR_DEPT</t>
        </is>
      </c>
      <c r="B119" s="145" t="inlineStr">
        <is>
          <t>Top-Row Cell Format</t>
        </is>
      </c>
      <c r="C119" s="145" t="inlineStr">
        <is>
          <t>S4</t>
        </is>
      </c>
      <c r="D119" s="145" t="inlineStr">
        <is>
          <t>REGULAR_DEPT!A1:AS193</t>
        </is>
      </c>
      <c r="E119" s="145" t="inlineStr">
        <is>
          <t>Normal</t>
        </is>
      </c>
      <c r="F119" s="145" t="inlineStr">
        <is>
          <t>#F8CBAD</t>
        </is>
      </c>
      <c r="G119" s="145" t="inlineStr">
        <is>
          <t>Aptos</t>
        </is>
      </c>
      <c r="H119" s="145" t="n">
        <v>8</v>
      </c>
      <c r="I119" s="145" t="inlineStr">
        <is>
          <t>No</t>
        </is>
      </c>
      <c r="J119" s="145" t="inlineStr">
        <is>
          <t>No</t>
        </is>
      </c>
      <c r="K119" s="145" t="inlineStr">
        <is>
          <t>None</t>
        </is>
      </c>
      <c r="L119" s="145" t="inlineStr">
        <is>
          <t>#000000</t>
        </is>
      </c>
      <c r="M119" s="145" t="inlineStr">
        <is>
          <t>General</t>
        </is>
      </c>
      <c r="N119" s="145" t="inlineStr">
        <is>
          <t>Center</t>
        </is>
      </c>
      <c r="O119" s="145" t="inlineStr">
        <is>
          <t>No</t>
        </is>
      </c>
      <c r="P119" s="145" t="inlineStr">
        <is>
          <t>General</t>
        </is>
      </c>
      <c r="Q119" s="145" t="inlineStr">
        <is>
          <t>General</t>
        </is>
      </c>
      <c r="R119" s="145" t="n"/>
      <c r="S119" s="145" t="n"/>
      <c r="T119" s="145" t="n"/>
      <c r="U119" s="145" t="n"/>
      <c r="V119" s="145" t="n"/>
      <c r="W119" s="145" t="n"/>
      <c r="X119" s="145" t="inlineStr">
        <is>
          <t>Detailed format sample from top 5 used rows</t>
        </is>
      </c>
    </row>
    <row r="120" ht="23.85" customHeight="1" s="79">
      <c r="A120" s="145" t="inlineStr">
        <is>
          <t>REGULAR_DEPT</t>
        </is>
      </c>
      <c r="B120" s="145" t="inlineStr">
        <is>
          <t>Top-Row Cell Format</t>
        </is>
      </c>
      <c r="C120" s="145" t="inlineStr">
        <is>
          <t>S5</t>
        </is>
      </c>
      <c r="D120" s="145" t="inlineStr">
        <is>
          <t>REGULAR_DEPT!A1:AS193</t>
        </is>
      </c>
      <c r="E120" s="145" t="inlineStr">
        <is>
          <t>Normal</t>
        </is>
      </c>
      <c r="F120" s="145" t="inlineStr">
        <is>
          <t>#B4C6E7</t>
        </is>
      </c>
      <c r="G120" s="145" t="inlineStr">
        <is>
          <t>Aptos</t>
        </is>
      </c>
      <c r="H120" s="145" t="n">
        <v>8</v>
      </c>
      <c r="I120" s="145" t="inlineStr">
        <is>
          <t>Yes</t>
        </is>
      </c>
      <c r="J120" s="145" t="inlineStr">
        <is>
          <t>No</t>
        </is>
      </c>
      <c r="K120" s="145" t="inlineStr">
        <is>
          <t>None</t>
        </is>
      </c>
      <c r="L120" s="145" t="inlineStr">
        <is>
          <t>#000000</t>
        </is>
      </c>
      <c r="M120" s="145" t="inlineStr">
        <is>
          <t>General</t>
        </is>
      </c>
      <c r="N120" s="145" t="inlineStr">
        <is>
          <t>Center</t>
        </is>
      </c>
      <c r="O120" s="145" t="inlineStr">
        <is>
          <t>No</t>
        </is>
      </c>
      <c r="P120" s="145" t="inlineStr">
        <is>
          <t xml:space="preserve">_ * #,##0_ ;_ * -#,##0_ ;_ * "-"??_ ;_ @_ </t>
        </is>
      </c>
      <c r="Q120" s="145" t="inlineStr">
        <is>
          <t>Text</t>
        </is>
      </c>
      <c r="R120" s="145" t="n"/>
      <c r="S120" s="145" t="n"/>
      <c r="T120" s="145" t="n"/>
      <c r="U120" s="145" t="n"/>
      <c r="V120" s="145" t="n"/>
      <c r="W120" s="145" t="n"/>
      <c r="X120" s="145" t="inlineStr">
        <is>
          <t>Detailed format sample from top 5 used rows</t>
        </is>
      </c>
    </row>
    <row r="121" ht="23.85" customHeight="1" s="79">
      <c r="A121" s="145" t="inlineStr">
        <is>
          <t>REGULAR_DEPT</t>
        </is>
      </c>
      <c r="B121" s="145" t="inlineStr">
        <is>
          <t>Column Format</t>
        </is>
      </c>
      <c r="C121" s="145" t="inlineStr">
        <is>
          <t>T:T</t>
        </is>
      </c>
      <c r="D121" s="145" t="inlineStr">
        <is>
          <t>REGULAR_DEPT!A1:AS193</t>
        </is>
      </c>
      <c r="E121" s="145" t="inlineStr">
        <is>
          <t>Mixed</t>
        </is>
      </c>
      <c r="F121" s="145" t="inlineStr">
        <is>
          <t>Mixed</t>
        </is>
      </c>
      <c r="G121" s="145" t="inlineStr">
        <is>
          <t>Aptos</t>
        </is>
      </c>
      <c r="H121" s="145" t="n">
        <v>8</v>
      </c>
      <c r="I121" s="145" t="inlineStr">
        <is>
          <t>Mixed</t>
        </is>
      </c>
      <c r="J121" s="145" t="inlineStr">
        <is>
          <t>No</t>
        </is>
      </c>
      <c r="K121" s="145" t="inlineStr">
        <is>
          <t>None</t>
        </is>
      </c>
      <c r="L121" s="145" t="inlineStr">
        <is>
          <t>#000000</t>
        </is>
      </c>
      <c r="M121" s="145" t="inlineStr">
        <is>
          <t>Mixed</t>
        </is>
      </c>
      <c r="N121" s="145" t="inlineStr">
        <is>
          <t>Center</t>
        </is>
      </c>
      <c r="O121" s="145" t="inlineStr">
        <is>
          <t>Mixed</t>
        </is>
      </c>
      <c r="P121" s="145" t="n"/>
      <c r="Q121" s="145" t="n"/>
      <c r="R121" s="145" t="inlineStr">
        <is>
          <t>EdgeBottom:Continuous/Thin/#000000; EdgeRight:Continuous/Thin/#000000</t>
        </is>
      </c>
      <c r="S121" s="145" t="n">
        <v>44.0597014925373</v>
      </c>
      <c r="T121" s="145" t="n"/>
      <c r="U121" s="145" t="inlineStr">
        <is>
          <t>No</t>
        </is>
      </c>
      <c r="V121" s="145" t="inlineStr">
        <is>
          <t>Visible</t>
        </is>
      </c>
      <c r="W121" s="145" t="n"/>
      <c r="X121" s="145" t="inlineStr">
        <is>
          <t>Mixed styles within used column</t>
        </is>
      </c>
    </row>
    <row r="122" ht="23.85" customHeight="1" s="79">
      <c r="A122" s="145" t="inlineStr">
        <is>
          <t>REGULAR_DEPT</t>
        </is>
      </c>
      <c r="B122" s="145" t="inlineStr">
        <is>
          <t>Top-Row Cell Format</t>
        </is>
      </c>
      <c r="C122" s="145" t="inlineStr">
        <is>
          <t>T1</t>
        </is>
      </c>
      <c r="D122" s="145" t="inlineStr">
        <is>
          <t>REGULAR_DEPT!A1:AS193</t>
        </is>
      </c>
      <c r="E122" s="145" t="inlineStr">
        <is>
          <t>Normal</t>
        </is>
      </c>
      <c r="F122" s="145" t="n"/>
      <c r="G122" s="145" t="inlineStr">
        <is>
          <t>Aptos</t>
        </is>
      </c>
      <c r="H122" s="145" t="n">
        <v>8</v>
      </c>
      <c r="I122" s="145" t="inlineStr">
        <is>
          <t>No</t>
        </is>
      </c>
      <c r="J122" s="145" t="inlineStr">
        <is>
          <t>No</t>
        </is>
      </c>
      <c r="K122" s="145" t="inlineStr">
        <is>
          <t>None</t>
        </is>
      </c>
      <c r="L122" s="145" t="inlineStr">
        <is>
          <t>#000000</t>
        </is>
      </c>
      <c r="M122" s="145" t="inlineStr">
        <is>
          <t>General</t>
        </is>
      </c>
      <c r="N122" s="145" t="inlineStr">
        <is>
          <t>Center</t>
        </is>
      </c>
      <c r="O122" s="145" t="inlineStr">
        <is>
          <t>No</t>
        </is>
      </c>
      <c r="P122" s="145" t="inlineStr">
        <is>
          <t>General</t>
        </is>
      </c>
      <c r="Q122" s="145" t="inlineStr">
        <is>
          <t>General</t>
        </is>
      </c>
      <c r="R122" s="145" t="n"/>
      <c r="S122" s="145" t="n"/>
      <c r="T122" s="145" t="n"/>
      <c r="U122" s="145" t="n"/>
      <c r="V122" s="145" t="n"/>
      <c r="W122" s="145" t="n"/>
      <c r="X122" s="145" t="inlineStr">
        <is>
          <t>Detailed format sample from top 5 used rows</t>
        </is>
      </c>
    </row>
    <row r="123" ht="23.85" customHeight="1" s="79">
      <c r="A123" s="145" t="inlineStr">
        <is>
          <t>REGULAR_DEPT</t>
        </is>
      </c>
      <c r="B123" s="145" t="inlineStr">
        <is>
          <t>Top-Row Cell Format</t>
        </is>
      </c>
      <c r="C123" s="145" t="inlineStr">
        <is>
          <t>T2</t>
        </is>
      </c>
      <c r="D123" s="145" t="inlineStr">
        <is>
          <t>REGULAR_DEPT!A1:AS193</t>
        </is>
      </c>
      <c r="E123" s="145" t="inlineStr">
        <is>
          <t>Comma</t>
        </is>
      </c>
      <c r="F123" s="145" t="inlineStr">
        <is>
          <t>#B4C6E7</t>
        </is>
      </c>
      <c r="G123" s="145" t="inlineStr">
        <is>
          <t>Aptos</t>
        </is>
      </c>
      <c r="H123" s="145" t="n">
        <v>8</v>
      </c>
      <c r="I123" s="145" t="inlineStr">
        <is>
          <t>Yes</t>
        </is>
      </c>
      <c r="J123" s="145" t="inlineStr">
        <is>
          <t>No</t>
        </is>
      </c>
      <c r="K123" s="145" t="inlineStr">
        <is>
          <t>None</t>
        </is>
      </c>
      <c r="L123" s="145" t="inlineStr">
        <is>
          <t>#000000</t>
        </is>
      </c>
      <c r="M123" s="145" t="inlineStr">
        <is>
          <t>General</t>
        </is>
      </c>
      <c r="N123" s="145" t="inlineStr">
        <is>
          <t>Center</t>
        </is>
      </c>
      <c r="O123" s="145" t="inlineStr">
        <is>
          <t>No</t>
        </is>
      </c>
      <c r="P123" s="145" t="inlineStr">
        <is>
          <t xml:space="preserve">_ * #,##0_ ;_ * -#,##0_ ;_ * "-"??_ ;_ @_ </t>
        </is>
      </c>
      <c r="Q123" s="145" t="inlineStr">
        <is>
          <t>Text</t>
        </is>
      </c>
      <c r="R123" s="145" t="n"/>
      <c r="S123" s="145" t="n"/>
      <c r="T123" s="145" t="n"/>
      <c r="U123" s="145" t="n"/>
      <c r="V123" s="145" t="n"/>
      <c r="W123" s="145" t="n"/>
      <c r="X123" s="145" t="inlineStr">
        <is>
          <t>Detailed format sample from top 5 used rows</t>
        </is>
      </c>
    </row>
    <row r="124" ht="23.85" customHeight="1" s="79">
      <c r="A124" s="145" t="inlineStr">
        <is>
          <t>REGULAR_DEPT</t>
        </is>
      </c>
      <c r="B124" s="145" t="inlineStr">
        <is>
          <t>Top-Row Cell Format</t>
        </is>
      </c>
      <c r="C124" s="145" t="inlineStr">
        <is>
          <t>T3</t>
        </is>
      </c>
      <c r="D124" s="145" t="inlineStr">
        <is>
          <t>REGULAR_DEPT!A1:AS193</t>
        </is>
      </c>
      <c r="E124" s="145" t="inlineStr">
        <is>
          <t>Normal</t>
        </is>
      </c>
      <c r="F124" s="145" t="inlineStr">
        <is>
          <t>#F8CBAD</t>
        </is>
      </c>
      <c r="G124" s="145" t="inlineStr">
        <is>
          <t>Aptos</t>
        </is>
      </c>
      <c r="H124" s="145" t="n">
        <v>8</v>
      </c>
      <c r="I124" s="145" t="inlineStr">
        <is>
          <t>Yes</t>
        </is>
      </c>
      <c r="J124" s="145" t="inlineStr">
        <is>
          <t>No</t>
        </is>
      </c>
      <c r="K124" s="145" t="inlineStr">
        <is>
          <t>None</t>
        </is>
      </c>
      <c r="L124" s="145" t="inlineStr">
        <is>
          <t>#000000</t>
        </is>
      </c>
      <c r="M124" s="145" t="inlineStr">
        <is>
          <t>Center</t>
        </is>
      </c>
      <c r="N124" s="145" t="inlineStr">
        <is>
          <t>Center</t>
        </is>
      </c>
      <c r="O124" s="145" t="inlineStr">
        <is>
          <t>Yes</t>
        </is>
      </c>
      <c r="P124" s="145" t="inlineStr">
        <is>
          <t>General</t>
        </is>
      </c>
      <c r="Q124" s="145" t="inlineStr">
        <is>
          <t>General</t>
        </is>
      </c>
      <c r="R124" s="145" t="n"/>
      <c r="S124" s="145" t="n"/>
      <c r="T124" s="145" t="n"/>
      <c r="U124" s="145" t="n"/>
      <c r="V124" s="145" t="n"/>
      <c r="W124" s="145" t="n"/>
      <c r="X124" s="145" t="inlineStr">
        <is>
          <t>Detailed format sample from top 5 used rows</t>
        </is>
      </c>
    </row>
    <row r="125" ht="23.85" customHeight="1" s="79">
      <c r="A125" s="145" t="inlineStr">
        <is>
          <t>REGULAR_DEPT</t>
        </is>
      </c>
      <c r="B125" s="145" t="inlineStr">
        <is>
          <t>Top-Row Cell Format</t>
        </is>
      </c>
      <c r="C125" s="145" t="inlineStr">
        <is>
          <t>T4</t>
        </is>
      </c>
      <c r="D125" s="145" t="inlineStr">
        <is>
          <t>REGULAR_DEPT!A1:AS193</t>
        </is>
      </c>
      <c r="E125" s="145" t="inlineStr">
        <is>
          <t>Normal</t>
        </is>
      </c>
      <c r="F125" s="145" t="inlineStr">
        <is>
          <t>#F8CBAD</t>
        </is>
      </c>
      <c r="G125" s="145" t="inlineStr">
        <is>
          <t>Aptos</t>
        </is>
      </c>
      <c r="H125" s="145" t="n">
        <v>8</v>
      </c>
      <c r="I125" s="145" t="inlineStr">
        <is>
          <t>No</t>
        </is>
      </c>
      <c r="J125" s="145" t="inlineStr">
        <is>
          <t>No</t>
        </is>
      </c>
      <c r="K125" s="145" t="inlineStr">
        <is>
          <t>None</t>
        </is>
      </c>
      <c r="L125" s="145" t="inlineStr">
        <is>
          <t>#000000</t>
        </is>
      </c>
      <c r="M125" s="145" t="inlineStr">
        <is>
          <t>General</t>
        </is>
      </c>
      <c r="N125" s="145" t="inlineStr">
        <is>
          <t>Center</t>
        </is>
      </c>
      <c r="O125" s="145" t="inlineStr">
        <is>
          <t>No</t>
        </is>
      </c>
      <c r="P125" s="145" t="inlineStr">
        <is>
          <t>General</t>
        </is>
      </c>
      <c r="Q125" s="145" t="inlineStr">
        <is>
          <t>General</t>
        </is>
      </c>
      <c r="R125" s="145" t="n"/>
      <c r="S125" s="145" t="n"/>
      <c r="T125" s="145" t="n"/>
      <c r="U125" s="145" t="n"/>
      <c r="V125" s="145" t="n"/>
      <c r="W125" s="145" t="n"/>
      <c r="X125" s="145" t="inlineStr">
        <is>
          <t>Detailed format sample from top 5 used rows</t>
        </is>
      </c>
    </row>
    <row r="126" ht="23.85" customHeight="1" s="79">
      <c r="A126" s="145" t="inlineStr">
        <is>
          <t>REGULAR_DEPT</t>
        </is>
      </c>
      <c r="B126" s="145" t="inlineStr">
        <is>
          <t>Top-Row Cell Format</t>
        </is>
      </c>
      <c r="C126" s="145" t="inlineStr">
        <is>
          <t>T5</t>
        </is>
      </c>
      <c r="D126" s="145" t="inlineStr">
        <is>
          <t>REGULAR_DEPT!A1:AS193</t>
        </is>
      </c>
      <c r="E126" s="145" t="inlineStr">
        <is>
          <t>Normal</t>
        </is>
      </c>
      <c r="F126" s="145" t="inlineStr">
        <is>
          <t>#B4C6E7</t>
        </is>
      </c>
      <c r="G126" s="145" t="inlineStr">
        <is>
          <t>Aptos</t>
        </is>
      </c>
      <c r="H126" s="145" t="n">
        <v>8</v>
      </c>
      <c r="I126" s="145" t="inlineStr">
        <is>
          <t>Yes</t>
        </is>
      </c>
      <c r="J126" s="145" t="inlineStr">
        <is>
          <t>No</t>
        </is>
      </c>
      <c r="K126" s="145" t="inlineStr">
        <is>
          <t>None</t>
        </is>
      </c>
      <c r="L126" s="145" t="inlineStr">
        <is>
          <t>#000000</t>
        </is>
      </c>
      <c r="M126" s="145" t="inlineStr">
        <is>
          <t>General</t>
        </is>
      </c>
      <c r="N126" s="145" t="inlineStr">
        <is>
          <t>Center</t>
        </is>
      </c>
      <c r="O126" s="145" t="inlineStr">
        <is>
          <t>No</t>
        </is>
      </c>
      <c r="P126" s="145" t="inlineStr">
        <is>
          <t xml:space="preserve">_ * #,##0_ ;_ * -#,##0_ ;_ * "-"??_ ;_ @_ </t>
        </is>
      </c>
      <c r="Q126" s="145" t="inlineStr">
        <is>
          <t>Text</t>
        </is>
      </c>
      <c r="R126" s="145" t="n"/>
      <c r="S126" s="145" t="n"/>
      <c r="T126" s="145" t="n"/>
      <c r="U126" s="145" t="n"/>
      <c r="V126" s="145" t="n"/>
      <c r="W126" s="145" t="n"/>
      <c r="X126" s="145" t="inlineStr">
        <is>
          <t>Detailed format sample from top 5 used rows</t>
        </is>
      </c>
    </row>
    <row r="127" ht="23.85" customHeight="1" s="79">
      <c r="A127" s="145" t="inlineStr">
        <is>
          <t>REGULAR_DEPT</t>
        </is>
      </c>
      <c r="B127" s="145" t="inlineStr">
        <is>
          <t>Column Format</t>
        </is>
      </c>
      <c r="C127" s="145" t="inlineStr">
        <is>
          <t>U:U</t>
        </is>
      </c>
      <c r="D127" s="145" t="inlineStr">
        <is>
          <t>REGULAR_DEPT!A1:AS193</t>
        </is>
      </c>
      <c r="E127" s="145" t="inlineStr">
        <is>
          <t>Mixed</t>
        </is>
      </c>
      <c r="F127" s="145" t="inlineStr">
        <is>
          <t>Mixed</t>
        </is>
      </c>
      <c r="G127" s="145" t="inlineStr">
        <is>
          <t>Aptos</t>
        </is>
      </c>
      <c r="H127" s="145" t="n">
        <v>8</v>
      </c>
      <c r="I127" s="145" t="inlineStr">
        <is>
          <t>Mixed</t>
        </is>
      </c>
      <c r="J127" s="145" t="inlineStr">
        <is>
          <t>No</t>
        </is>
      </c>
      <c r="K127" s="145" t="inlineStr">
        <is>
          <t>None</t>
        </is>
      </c>
      <c r="L127" s="145" t="inlineStr">
        <is>
          <t>#000000</t>
        </is>
      </c>
      <c r="M127" s="145" t="inlineStr">
        <is>
          <t>Mixed</t>
        </is>
      </c>
      <c r="N127" s="145" t="inlineStr">
        <is>
          <t>Center</t>
        </is>
      </c>
      <c r="O127" s="145" t="inlineStr">
        <is>
          <t>Mixed</t>
        </is>
      </c>
      <c r="P127" s="145" t="n"/>
      <c r="Q127" s="145" t="n"/>
      <c r="R127" s="145" t="inlineStr">
        <is>
          <t>EdgeBottom:Continuous/Thin/#000000; EdgeRight:Continuous/Thin/#000000</t>
        </is>
      </c>
      <c r="S127" s="145" t="n">
        <v>42.9850746268657</v>
      </c>
      <c r="T127" s="145" t="n"/>
      <c r="U127" s="145" t="inlineStr">
        <is>
          <t>No</t>
        </is>
      </c>
      <c r="V127" s="145" t="inlineStr">
        <is>
          <t>Visible</t>
        </is>
      </c>
      <c r="W127" s="145" t="n"/>
      <c r="X127" s="145" t="inlineStr">
        <is>
          <t>Mixed styles within used column</t>
        </is>
      </c>
    </row>
    <row r="128" ht="23.85" customHeight="1" s="79">
      <c r="A128" s="145" t="inlineStr">
        <is>
          <t>REGULAR_DEPT</t>
        </is>
      </c>
      <c r="B128" s="145" t="inlineStr">
        <is>
          <t>Top-Row Cell Format</t>
        </is>
      </c>
      <c r="C128" s="145" t="inlineStr">
        <is>
          <t>U1</t>
        </is>
      </c>
      <c r="D128" s="145" t="inlineStr">
        <is>
          <t>REGULAR_DEPT!A1:AS193</t>
        </is>
      </c>
      <c r="E128" s="145" t="inlineStr">
        <is>
          <t>Normal</t>
        </is>
      </c>
      <c r="F128" s="145" t="n"/>
      <c r="G128" s="145" t="inlineStr">
        <is>
          <t>Aptos</t>
        </is>
      </c>
      <c r="H128" s="145" t="n">
        <v>8</v>
      </c>
      <c r="I128" s="145" t="inlineStr">
        <is>
          <t>No</t>
        </is>
      </c>
      <c r="J128" s="145" t="inlineStr">
        <is>
          <t>No</t>
        </is>
      </c>
      <c r="K128" s="145" t="inlineStr">
        <is>
          <t>None</t>
        </is>
      </c>
      <c r="L128" s="145" t="inlineStr">
        <is>
          <t>#000000</t>
        </is>
      </c>
      <c r="M128" s="145" t="inlineStr">
        <is>
          <t>General</t>
        </is>
      </c>
      <c r="N128" s="145" t="inlineStr">
        <is>
          <t>Center</t>
        </is>
      </c>
      <c r="O128" s="145" t="inlineStr">
        <is>
          <t>No</t>
        </is>
      </c>
      <c r="P128" s="145" t="inlineStr">
        <is>
          <t xml:space="preserve">_ * #,##0_ ;_ * -#,##0_ ;_ * "-"??_ ;_ @_ </t>
        </is>
      </c>
      <c r="Q128" s="145" t="inlineStr">
        <is>
          <t>Text</t>
        </is>
      </c>
      <c r="R128" s="145" t="n"/>
      <c r="S128" s="145" t="n"/>
      <c r="T128" s="145" t="n"/>
      <c r="U128" s="145" t="n"/>
      <c r="V128" s="145" t="n"/>
      <c r="W128" s="145" t="n"/>
      <c r="X128" s="145" t="inlineStr">
        <is>
          <t>Detailed format sample from top 5 used rows</t>
        </is>
      </c>
    </row>
    <row r="129" ht="23.85" customHeight="1" s="79">
      <c r="A129" s="145" t="inlineStr">
        <is>
          <t>REGULAR_DEPT</t>
        </is>
      </c>
      <c r="B129" s="145" t="inlineStr">
        <is>
          <t>Top-Row Cell Format</t>
        </is>
      </c>
      <c r="C129" s="145" t="inlineStr">
        <is>
          <t>U2</t>
        </is>
      </c>
      <c r="D129" s="145" t="inlineStr">
        <is>
          <t>REGULAR_DEPT!A1:AS193</t>
        </is>
      </c>
      <c r="E129" s="145" t="inlineStr">
        <is>
          <t>Comma</t>
        </is>
      </c>
      <c r="F129" s="145" t="inlineStr">
        <is>
          <t>#B4C6E7</t>
        </is>
      </c>
      <c r="G129" s="145" t="inlineStr">
        <is>
          <t>Aptos</t>
        </is>
      </c>
      <c r="H129" s="145" t="n">
        <v>8</v>
      </c>
      <c r="I129" s="145" t="inlineStr">
        <is>
          <t>Yes</t>
        </is>
      </c>
      <c r="J129" s="145" t="inlineStr">
        <is>
          <t>No</t>
        </is>
      </c>
      <c r="K129" s="145" t="inlineStr">
        <is>
          <t>None</t>
        </is>
      </c>
      <c r="L129" s="145" t="inlineStr">
        <is>
          <t>#000000</t>
        </is>
      </c>
      <c r="M129" s="145" t="inlineStr">
        <is>
          <t>General</t>
        </is>
      </c>
      <c r="N129" s="145" t="inlineStr">
        <is>
          <t>Center</t>
        </is>
      </c>
      <c r="O129" s="145" t="inlineStr">
        <is>
          <t>No</t>
        </is>
      </c>
      <c r="P129" s="145" t="inlineStr">
        <is>
          <t xml:space="preserve">_ * #,##0_ ;_ * -#,##0_ ;_ * "-"??_ ;_ @_ </t>
        </is>
      </c>
      <c r="Q129" s="145" t="inlineStr">
        <is>
          <t>Text</t>
        </is>
      </c>
      <c r="R129" s="145" t="n"/>
      <c r="S129" s="145" t="n"/>
      <c r="T129" s="145" t="n"/>
      <c r="U129" s="145" t="n"/>
      <c r="V129" s="145" t="n"/>
      <c r="W129" s="145" t="n"/>
      <c r="X129" s="145" t="inlineStr">
        <is>
          <t>Detailed format sample from top 5 used rows</t>
        </is>
      </c>
    </row>
    <row r="130" ht="23.85" customHeight="1" s="79">
      <c r="A130" s="145" t="inlineStr">
        <is>
          <t>REGULAR_DEPT</t>
        </is>
      </c>
      <c r="B130" s="145" t="inlineStr">
        <is>
          <t>Top-Row Cell Format</t>
        </is>
      </c>
      <c r="C130" s="145" t="inlineStr">
        <is>
          <t>U3</t>
        </is>
      </c>
      <c r="D130" s="145" t="inlineStr">
        <is>
          <t>REGULAR_DEPT!A1:AS193</t>
        </is>
      </c>
      <c r="E130" s="145" t="inlineStr">
        <is>
          <t>Percent</t>
        </is>
      </c>
      <c r="F130" s="145" t="inlineStr">
        <is>
          <t>#F8CBAD</t>
        </is>
      </c>
      <c r="G130" s="145" t="inlineStr">
        <is>
          <t>Aptos</t>
        </is>
      </c>
      <c r="H130" s="145" t="n">
        <v>8</v>
      </c>
      <c r="I130" s="145" t="inlineStr">
        <is>
          <t>Yes</t>
        </is>
      </c>
      <c r="J130" s="145" t="inlineStr">
        <is>
          <t>No</t>
        </is>
      </c>
      <c r="K130" s="145" t="inlineStr">
        <is>
          <t>None</t>
        </is>
      </c>
      <c r="L130" s="145" t="inlineStr">
        <is>
          <t>#000000</t>
        </is>
      </c>
      <c r="M130" s="145" t="inlineStr">
        <is>
          <t>Center</t>
        </is>
      </c>
      <c r="N130" s="145" t="inlineStr">
        <is>
          <t>Center</t>
        </is>
      </c>
      <c r="O130" s="145" t="inlineStr">
        <is>
          <t>Yes</t>
        </is>
      </c>
      <c r="P130" s="146" t="n">
        <v>0</v>
      </c>
      <c r="Q130" s="145" t="inlineStr">
        <is>
          <t>Percentage</t>
        </is>
      </c>
      <c r="R130" s="145" t="n"/>
      <c r="S130" s="145" t="n"/>
      <c r="T130" s="145" t="n"/>
      <c r="U130" s="145" t="n"/>
      <c r="V130" s="145" t="n"/>
      <c r="W130" s="145" t="n"/>
      <c r="X130" s="145" t="inlineStr">
        <is>
          <t>Detailed format sample from top 5 used rows</t>
        </is>
      </c>
    </row>
    <row r="131" ht="23.85" customHeight="1" s="79">
      <c r="A131" s="145" t="inlineStr">
        <is>
          <t>REGULAR_DEPT</t>
        </is>
      </c>
      <c r="B131" s="145" t="inlineStr">
        <is>
          <t>Top-Row Cell Format</t>
        </is>
      </c>
      <c r="C131" s="145" t="inlineStr">
        <is>
          <t>U4</t>
        </is>
      </c>
      <c r="D131" s="145" t="inlineStr">
        <is>
          <t>REGULAR_DEPT!A1:AS193</t>
        </is>
      </c>
      <c r="E131" s="145" t="inlineStr">
        <is>
          <t>Normal</t>
        </is>
      </c>
      <c r="F131" s="145" t="inlineStr">
        <is>
          <t>#F8CBAD</t>
        </is>
      </c>
      <c r="G131" s="145" t="inlineStr">
        <is>
          <t>Aptos</t>
        </is>
      </c>
      <c r="H131" s="145" t="n">
        <v>8</v>
      </c>
      <c r="I131" s="145" t="inlineStr">
        <is>
          <t>No</t>
        </is>
      </c>
      <c r="J131" s="145" t="inlineStr">
        <is>
          <t>No</t>
        </is>
      </c>
      <c r="K131" s="145" t="inlineStr">
        <is>
          <t>None</t>
        </is>
      </c>
      <c r="L131" s="145" t="inlineStr">
        <is>
          <t>#000000</t>
        </is>
      </c>
      <c r="M131" s="145" t="inlineStr">
        <is>
          <t>General</t>
        </is>
      </c>
      <c r="N131" s="145" t="inlineStr">
        <is>
          <t>Center</t>
        </is>
      </c>
      <c r="O131" s="145" t="inlineStr">
        <is>
          <t>No</t>
        </is>
      </c>
      <c r="P131" s="145" t="inlineStr">
        <is>
          <t>General</t>
        </is>
      </c>
      <c r="Q131" s="145" t="inlineStr">
        <is>
          <t>General</t>
        </is>
      </c>
      <c r="R131" s="145" t="n"/>
      <c r="S131" s="145" t="n"/>
      <c r="T131" s="145" t="n"/>
      <c r="U131" s="145" t="n"/>
      <c r="V131" s="145" t="n"/>
      <c r="W131" s="145" t="n"/>
      <c r="X131" s="145" t="inlineStr">
        <is>
          <t>Detailed format sample from top 5 used rows</t>
        </is>
      </c>
    </row>
    <row r="132" ht="23.85" customHeight="1" s="79">
      <c r="A132" s="145" t="inlineStr">
        <is>
          <t>REGULAR_DEPT</t>
        </is>
      </c>
      <c r="B132" s="145" t="inlineStr">
        <is>
          <t>Top-Row Cell Format</t>
        </is>
      </c>
      <c r="C132" s="145" t="inlineStr">
        <is>
          <t>U5</t>
        </is>
      </c>
      <c r="D132" s="145" t="inlineStr">
        <is>
          <t>REGULAR_DEPT!A1:AS193</t>
        </is>
      </c>
      <c r="E132" s="145" t="inlineStr">
        <is>
          <t>Comma</t>
        </is>
      </c>
      <c r="F132" s="145" t="n"/>
      <c r="G132" s="145" t="inlineStr">
        <is>
          <t>Aptos</t>
        </is>
      </c>
      <c r="H132" s="145" t="n">
        <v>8</v>
      </c>
      <c r="I132" s="145" t="inlineStr">
        <is>
          <t>No</t>
        </is>
      </c>
      <c r="J132" s="145" t="inlineStr">
        <is>
          <t>No</t>
        </is>
      </c>
      <c r="K132" s="145" t="inlineStr">
        <is>
          <t>None</t>
        </is>
      </c>
      <c r="L132" s="145" t="inlineStr">
        <is>
          <t>#000000</t>
        </is>
      </c>
      <c r="M132" s="145" t="inlineStr">
        <is>
          <t>General</t>
        </is>
      </c>
      <c r="N132" s="145" t="inlineStr">
        <is>
          <t>Center</t>
        </is>
      </c>
      <c r="O132" s="145" t="inlineStr">
        <is>
          <t>No</t>
        </is>
      </c>
      <c r="P132" s="145" t="inlineStr">
        <is>
          <t xml:space="preserve">_ * #,##0_ ;_ * -#,##0_ ;_ * "-"??_ ;_ @_ </t>
        </is>
      </c>
      <c r="Q132" s="145" t="inlineStr">
        <is>
          <t>Text</t>
        </is>
      </c>
      <c r="R132" s="145" t="n"/>
      <c r="S132" s="145" t="n"/>
      <c r="T132" s="145" t="n"/>
      <c r="U132" s="145" t="n"/>
      <c r="V132" s="145" t="n"/>
      <c r="W132" s="145" t="n"/>
      <c r="X132" s="145" t="inlineStr">
        <is>
          <t>Detailed format sample from top 5 used rows</t>
        </is>
      </c>
    </row>
    <row r="133" ht="23.85" customHeight="1" s="79">
      <c r="A133" s="145" t="inlineStr">
        <is>
          <t>REGULAR_DEPT</t>
        </is>
      </c>
      <c r="B133" s="145" t="inlineStr">
        <is>
          <t>Column Format</t>
        </is>
      </c>
      <c r="C133" s="145" t="inlineStr">
        <is>
          <t>V:V</t>
        </is>
      </c>
      <c r="D133" s="145" t="inlineStr">
        <is>
          <t>REGULAR_DEPT!A1:AS193</t>
        </is>
      </c>
      <c r="E133" s="145" t="inlineStr">
        <is>
          <t>Mixed</t>
        </is>
      </c>
      <c r="F133" s="145" t="inlineStr">
        <is>
          <t>Mixed</t>
        </is>
      </c>
      <c r="G133" s="145" t="inlineStr">
        <is>
          <t>Aptos</t>
        </is>
      </c>
      <c r="H133" s="145" t="n">
        <v>8</v>
      </c>
      <c r="I133" s="145" t="inlineStr">
        <is>
          <t>Mixed</t>
        </is>
      </c>
      <c r="J133" s="145" t="inlineStr">
        <is>
          <t>No</t>
        </is>
      </c>
      <c r="K133" s="145" t="inlineStr">
        <is>
          <t>None</t>
        </is>
      </c>
      <c r="L133" s="145" t="inlineStr">
        <is>
          <t>#000000</t>
        </is>
      </c>
      <c r="M133" s="145" t="inlineStr">
        <is>
          <t>Mixed</t>
        </is>
      </c>
      <c r="N133" s="145" t="inlineStr">
        <is>
          <t>Center</t>
        </is>
      </c>
      <c r="O133" s="145" t="inlineStr">
        <is>
          <t>Mixed</t>
        </is>
      </c>
      <c r="P133" s="145" t="n"/>
      <c r="Q133" s="145" t="n"/>
      <c r="R133" s="145" t="inlineStr">
        <is>
          <t>EdgeBottom:Continuous/Thin/#000000; EdgeRight:Continuous/Thin/#000000</t>
        </is>
      </c>
      <c r="S133" s="145" t="n">
        <v>47.2835820895522</v>
      </c>
      <c r="T133" s="145" t="n"/>
      <c r="U133" s="145" t="inlineStr">
        <is>
          <t>No</t>
        </is>
      </c>
      <c r="V133" s="145" t="inlineStr">
        <is>
          <t>Visible</t>
        </is>
      </c>
      <c r="W133" s="145" t="n"/>
      <c r="X133" s="145" t="inlineStr">
        <is>
          <t>Mixed styles within used column</t>
        </is>
      </c>
    </row>
    <row r="134" ht="23.85" customHeight="1" s="79">
      <c r="A134" s="145" t="inlineStr">
        <is>
          <t>REGULAR_DEPT</t>
        </is>
      </c>
      <c r="B134" s="145" t="inlineStr">
        <is>
          <t>Top-Row Cell Format</t>
        </is>
      </c>
      <c r="C134" s="145" t="inlineStr">
        <is>
          <t>V1</t>
        </is>
      </c>
      <c r="D134" s="145" t="inlineStr">
        <is>
          <t>REGULAR_DEPT!A1:AS193</t>
        </is>
      </c>
      <c r="E134" s="145" t="inlineStr">
        <is>
          <t>Normal</t>
        </is>
      </c>
      <c r="F134" s="145" t="n"/>
      <c r="G134" s="145" t="inlineStr">
        <is>
          <t>Aptos</t>
        </is>
      </c>
      <c r="H134" s="145" t="n">
        <v>8</v>
      </c>
      <c r="I134" s="145" t="inlineStr">
        <is>
          <t>No</t>
        </is>
      </c>
      <c r="J134" s="145" t="inlineStr">
        <is>
          <t>No</t>
        </is>
      </c>
      <c r="K134" s="145" t="inlineStr">
        <is>
          <t>None</t>
        </is>
      </c>
      <c r="L134" s="145" t="inlineStr">
        <is>
          <t>#000000</t>
        </is>
      </c>
      <c r="M134" s="145" t="inlineStr">
        <is>
          <t>General</t>
        </is>
      </c>
      <c r="N134" s="145" t="inlineStr">
        <is>
          <t>Center</t>
        </is>
      </c>
      <c r="O134" s="145" t="inlineStr">
        <is>
          <t>No</t>
        </is>
      </c>
      <c r="P134" s="145" t="inlineStr">
        <is>
          <t>General</t>
        </is>
      </c>
      <c r="Q134" s="145" t="inlineStr">
        <is>
          <t>General</t>
        </is>
      </c>
      <c r="R134" s="145" t="n"/>
      <c r="S134" s="145" t="n"/>
      <c r="T134" s="145" t="n"/>
      <c r="U134" s="145" t="n"/>
      <c r="V134" s="145" t="n"/>
      <c r="W134" s="145" t="n"/>
      <c r="X134" s="145" t="inlineStr">
        <is>
          <t>Detailed format sample from top 5 used rows</t>
        </is>
      </c>
    </row>
    <row r="135" ht="23.85" customHeight="1" s="79">
      <c r="A135" s="145" t="inlineStr">
        <is>
          <t>REGULAR_DEPT</t>
        </is>
      </c>
      <c r="B135" s="145" t="inlineStr">
        <is>
          <t>Top-Row Cell Format</t>
        </is>
      </c>
      <c r="C135" s="145" t="inlineStr">
        <is>
          <t>V2</t>
        </is>
      </c>
      <c r="D135" s="145" t="inlineStr">
        <is>
          <t>REGULAR_DEPT!A1:AS193</t>
        </is>
      </c>
      <c r="E135" s="145" t="inlineStr">
        <is>
          <t>Comma</t>
        </is>
      </c>
      <c r="F135" s="145" t="inlineStr">
        <is>
          <t>#B4C6E7</t>
        </is>
      </c>
      <c r="G135" s="145" t="inlineStr">
        <is>
          <t>Aptos</t>
        </is>
      </c>
      <c r="H135" s="145" t="n">
        <v>8</v>
      </c>
      <c r="I135" s="145" t="inlineStr">
        <is>
          <t>Yes</t>
        </is>
      </c>
      <c r="J135" s="145" t="inlineStr">
        <is>
          <t>No</t>
        </is>
      </c>
      <c r="K135" s="145" t="inlineStr">
        <is>
          <t>None</t>
        </is>
      </c>
      <c r="L135" s="145" t="inlineStr">
        <is>
          <t>#000000</t>
        </is>
      </c>
      <c r="M135" s="145" t="inlineStr">
        <is>
          <t>General</t>
        </is>
      </c>
      <c r="N135" s="145" t="inlineStr">
        <is>
          <t>Center</t>
        </is>
      </c>
      <c r="O135" s="145" t="inlineStr">
        <is>
          <t>No</t>
        </is>
      </c>
      <c r="P135" s="145" t="inlineStr">
        <is>
          <t xml:space="preserve">_ * #,##0_ ;_ * -#,##0_ ;_ * "-"??_ ;_ @_ </t>
        </is>
      </c>
      <c r="Q135" s="145" t="inlineStr">
        <is>
          <t>Text</t>
        </is>
      </c>
      <c r="R135" s="145" t="n"/>
      <c r="S135" s="145" t="n"/>
      <c r="T135" s="145" t="n"/>
      <c r="U135" s="145" t="n"/>
      <c r="V135" s="145" t="n"/>
      <c r="W135" s="145" t="n"/>
      <c r="X135" s="145" t="inlineStr">
        <is>
          <t>Detailed format sample from top 5 used rows</t>
        </is>
      </c>
    </row>
    <row r="136" ht="23.85" customHeight="1" s="79">
      <c r="A136" s="145" t="inlineStr">
        <is>
          <t>REGULAR_DEPT</t>
        </is>
      </c>
      <c r="B136" s="145" t="inlineStr">
        <is>
          <t>Top-Row Cell Format</t>
        </is>
      </c>
      <c r="C136" s="145" t="inlineStr">
        <is>
          <t>V3</t>
        </is>
      </c>
      <c r="D136" s="145" t="inlineStr">
        <is>
          <t>REGULAR_DEPT!A1:AS193</t>
        </is>
      </c>
      <c r="E136" s="145" t="inlineStr">
        <is>
          <t>Normal</t>
        </is>
      </c>
      <c r="F136" s="145" t="inlineStr">
        <is>
          <t>#F8CBAD</t>
        </is>
      </c>
      <c r="G136" s="145" t="inlineStr">
        <is>
          <t>Aptos</t>
        </is>
      </c>
      <c r="H136" s="145" t="n">
        <v>8</v>
      </c>
      <c r="I136" s="145" t="inlineStr">
        <is>
          <t>Yes</t>
        </is>
      </c>
      <c r="J136" s="145" t="inlineStr">
        <is>
          <t>No</t>
        </is>
      </c>
      <c r="K136" s="145" t="inlineStr">
        <is>
          <t>None</t>
        </is>
      </c>
      <c r="L136" s="145" t="inlineStr">
        <is>
          <t>#000000</t>
        </is>
      </c>
      <c r="M136" s="145" t="inlineStr">
        <is>
          <t>Center</t>
        </is>
      </c>
      <c r="N136" s="145" t="inlineStr">
        <is>
          <t>Center</t>
        </is>
      </c>
      <c r="O136" s="145" t="inlineStr">
        <is>
          <t>Yes</t>
        </is>
      </c>
      <c r="P136" s="145" t="inlineStr">
        <is>
          <t>General</t>
        </is>
      </c>
      <c r="Q136" s="145" t="inlineStr">
        <is>
          <t>General</t>
        </is>
      </c>
      <c r="R136" s="145" t="n"/>
      <c r="S136" s="145" t="n"/>
      <c r="T136" s="145" t="n"/>
      <c r="U136" s="145" t="n"/>
      <c r="V136" s="145" t="n"/>
      <c r="W136" s="145" t="n"/>
      <c r="X136" s="145" t="inlineStr">
        <is>
          <t>Detailed format sample from top 5 used rows</t>
        </is>
      </c>
    </row>
    <row r="137" ht="23.85" customHeight="1" s="79">
      <c r="A137" s="145" t="inlineStr">
        <is>
          <t>REGULAR_DEPT</t>
        </is>
      </c>
      <c r="B137" s="145" t="inlineStr">
        <is>
          <t>Top-Row Cell Format</t>
        </is>
      </c>
      <c r="C137" s="145" t="inlineStr">
        <is>
          <t>V4</t>
        </is>
      </c>
      <c r="D137" s="145" t="inlineStr">
        <is>
          <t>REGULAR_DEPT!A1:AS193</t>
        </is>
      </c>
      <c r="E137" s="145" t="inlineStr">
        <is>
          <t>Normal</t>
        </is>
      </c>
      <c r="F137" s="145" t="inlineStr">
        <is>
          <t>#F8CBAD</t>
        </is>
      </c>
      <c r="G137" s="145" t="inlineStr">
        <is>
          <t>Aptos</t>
        </is>
      </c>
      <c r="H137" s="145" t="n">
        <v>8</v>
      </c>
      <c r="I137" s="145" t="inlineStr">
        <is>
          <t>No</t>
        </is>
      </c>
      <c r="J137" s="145" t="inlineStr">
        <is>
          <t>No</t>
        </is>
      </c>
      <c r="K137" s="145" t="inlineStr">
        <is>
          <t>None</t>
        </is>
      </c>
      <c r="L137" s="145" t="inlineStr">
        <is>
          <t>#000000</t>
        </is>
      </c>
      <c r="M137" s="145" t="inlineStr">
        <is>
          <t>General</t>
        </is>
      </c>
      <c r="N137" s="145" t="inlineStr">
        <is>
          <t>Center</t>
        </is>
      </c>
      <c r="O137" s="145" t="inlineStr">
        <is>
          <t>No</t>
        </is>
      </c>
      <c r="P137" s="145" t="inlineStr">
        <is>
          <t>General</t>
        </is>
      </c>
      <c r="Q137" s="145" t="inlineStr">
        <is>
          <t>General</t>
        </is>
      </c>
      <c r="R137" s="145" t="n"/>
      <c r="S137" s="145" t="n"/>
      <c r="T137" s="145" t="n"/>
      <c r="U137" s="145" t="n"/>
      <c r="V137" s="145" t="n"/>
      <c r="W137" s="145" t="n"/>
      <c r="X137" s="145" t="inlineStr">
        <is>
          <t>Detailed format sample from top 5 used rows</t>
        </is>
      </c>
    </row>
    <row r="138" ht="23.85" customHeight="1" s="79">
      <c r="A138" s="145" t="inlineStr">
        <is>
          <t>REGULAR_DEPT</t>
        </is>
      </c>
      <c r="B138" s="145" t="inlineStr">
        <is>
          <t>Top-Row Cell Format</t>
        </is>
      </c>
      <c r="C138" s="145" t="inlineStr">
        <is>
          <t>V5</t>
        </is>
      </c>
      <c r="D138" s="145" t="inlineStr">
        <is>
          <t>REGULAR_DEPT!A1:AS193</t>
        </is>
      </c>
      <c r="E138" s="145" t="inlineStr">
        <is>
          <t>Comma</t>
        </is>
      </c>
      <c r="F138" s="145" t="n"/>
      <c r="G138" s="145" t="inlineStr">
        <is>
          <t>Aptos</t>
        </is>
      </c>
      <c r="H138" s="145" t="n">
        <v>8</v>
      </c>
      <c r="I138" s="145" t="inlineStr">
        <is>
          <t>No</t>
        </is>
      </c>
      <c r="J138" s="145" t="inlineStr">
        <is>
          <t>No</t>
        </is>
      </c>
      <c r="K138" s="145" t="inlineStr">
        <is>
          <t>None</t>
        </is>
      </c>
      <c r="L138" s="145" t="inlineStr">
        <is>
          <t>#000000</t>
        </is>
      </c>
      <c r="M138" s="145" t="inlineStr">
        <is>
          <t>General</t>
        </is>
      </c>
      <c r="N138" s="145" t="inlineStr">
        <is>
          <t>Center</t>
        </is>
      </c>
      <c r="O138" s="145" t="inlineStr">
        <is>
          <t>No</t>
        </is>
      </c>
      <c r="P138" s="145" t="inlineStr">
        <is>
          <t xml:space="preserve">_ * #,##0_ ;_ * -#,##0_ ;_ * "-"??_ ;_ @_ </t>
        </is>
      </c>
      <c r="Q138" s="145" t="inlineStr">
        <is>
          <t>Text</t>
        </is>
      </c>
      <c r="R138" s="145" t="n"/>
      <c r="S138" s="145" t="n"/>
      <c r="T138" s="145" t="n"/>
      <c r="U138" s="145" t="n"/>
      <c r="V138" s="145" t="n"/>
      <c r="W138" s="145" t="n"/>
      <c r="X138" s="145" t="inlineStr">
        <is>
          <t>Detailed format sample from top 5 used rows</t>
        </is>
      </c>
    </row>
    <row r="139" ht="23.85" customHeight="1" s="79">
      <c r="A139" s="145" t="inlineStr">
        <is>
          <t>REGULAR_DEPT</t>
        </is>
      </c>
      <c r="B139" s="145" t="inlineStr">
        <is>
          <t>Column Format</t>
        </is>
      </c>
      <c r="C139" s="145" t="inlineStr">
        <is>
          <t>W:W</t>
        </is>
      </c>
      <c r="D139" s="145" t="inlineStr">
        <is>
          <t>REGULAR_DEPT!A1:AS193</t>
        </is>
      </c>
      <c r="E139" s="145" t="inlineStr">
        <is>
          <t>Mixed</t>
        </is>
      </c>
      <c r="F139" s="145" t="inlineStr">
        <is>
          <t>Mixed</t>
        </is>
      </c>
      <c r="G139" s="145" t="inlineStr">
        <is>
          <t>Aptos</t>
        </is>
      </c>
      <c r="H139" s="145" t="n">
        <v>8</v>
      </c>
      <c r="I139" s="145" t="inlineStr">
        <is>
          <t>Mixed</t>
        </is>
      </c>
      <c r="J139" s="145" t="inlineStr">
        <is>
          <t>No</t>
        </is>
      </c>
      <c r="K139" s="145" t="inlineStr">
        <is>
          <t>None</t>
        </is>
      </c>
      <c r="L139" s="145" t="inlineStr">
        <is>
          <t>#000000</t>
        </is>
      </c>
      <c r="M139" s="145" t="inlineStr">
        <is>
          <t>Mixed</t>
        </is>
      </c>
      <c r="N139" s="145" t="inlineStr">
        <is>
          <t>Center</t>
        </is>
      </c>
      <c r="O139" s="145" t="inlineStr">
        <is>
          <t>Mixed</t>
        </is>
      </c>
      <c r="P139" s="145" t="n"/>
      <c r="Q139" s="145" t="n"/>
      <c r="R139" s="145" t="inlineStr">
        <is>
          <t>EdgeBottom:Continuous/Thin/#000000; EdgeRight:Continuous/Thin/#000000</t>
        </is>
      </c>
      <c r="S139" s="145" t="n">
        <v>60.1791044776119</v>
      </c>
      <c r="T139" s="145" t="n"/>
      <c r="U139" s="145" t="inlineStr">
        <is>
          <t>No</t>
        </is>
      </c>
      <c r="V139" s="145" t="inlineStr">
        <is>
          <t>Visible</t>
        </is>
      </c>
      <c r="W139" s="145" t="n"/>
      <c r="X139" s="145" t="inlineStr">
        <is>
          <t>Mixed styles within used column</t>
        </is>
      </c>
    </row>
    <row r="140" ht="23.85" customHeight="1" s="79">
      <c r="A140" s="145" t="inlineStr">
        <is>
          <t>REGULAR_DEPT</t>
        </is>
      </c>
      <c r="B140" s="145" t="inlineStr">
        <is>
          <t>Top-Row Cell Format</t>
        </is>
      </c>
      <c r="C140" s="145" t="inlineStr">
        <is>
          <t>W1</t>
        </is>
      </c>
      <c r="D140" s="145" t="inlineStr">
        <is>
          <t>REGULAR_DEPT!A1:AS193</t>
        </is>
      </c>
      <c r="E140" s="145" t="inlineStr">
        <is>
          <t>Normal</t>
        </is>
      </c>
      <c r="F140" s="145" t="n"/>
      <c r="G140" s="145" t="inlineStr">
        <is>
          <t>Aptos</t>
        </is>
      </c>
      <c r="H140" s="145" t="n">
        <v>8</v>
      </c>
      <c r="I140" s="145" t="inlineStr">
        <is>
          <t>No</t>
        </is>
      </c>
      <c r="J140" s="145" t="inlineStr">
        <is>
          <t>No</t>
        </is>
      </c>
      <c r="K140" s="145" t="inlineStr">
        <is>
          <t>None</t>
        </is>
      </c>
      <c r="L140" s="145" t="inlineStr">
        <is>
          <t>#000000</t>
        </is>
      </c>
      <c r="M140" s="145" t="inlineStr">
        <is>
          <t>General</t>
        </is>
      </c>
      <c r="N140" s="145" t="inlineStr">
        <is>
          <t>Center</t>
        </is>
      </c>
      <c r="O140" s="145" t="inlineStr">
        <is>
          <t>No</t>
        </is>
      </c>
      <c r="P140" s="145" t="inlineStr">
        <is>
          <t>General</t>
        </is>
      </c>
      <c r="Q140" s="145" t="inlineStr">
        <is>
          <t>General</t>
        </is>
      </c>
      <c r="R140" s="145" t="n"/>
      <c r="S140" s="145" t="n"/>
      <c r="T140" s="145" t="n"/>
      <c r="U140" s="145" t="n"/>
      <c r="V140" s="145" t="n"/>
      <c r="W140" s="145" t="n"/>
      <c r="X140" s="145" t="inlineStr">
        <is>
          <t>Detailed format sample from top 5 used rows</t>
        </is>
      </c>
    </row>
    <row r="141" ht="23.85" customHeight="1" s="79">
      <c r="A141" s="145" t="inlineStr">
        <is>
          <t>REGULAR_DEPT</t>
        </is>
      </c>
      <c r="B141" s="145" t="inlineStr">
        <is>
          <t>Top-Row Cell Format</t>
        </is>
      </c>
      <c r="C141" s="145" t="inlineStr">
        <is>
          <t>W2</t>
        </is>
      </c>
      <c r="D141" s="145" t="inlineStr">
        <is>
          <t>REGULAR_DEPT!A1:AS193</t>
        </is>
      </c>
      <c r="E141" s="145" t="inlineStr">
        <is>
          <t>Comma</t>
        </is>
      </c>
      <c r="F141" s="145" t="inlineStr">
        <is>
          <t>#B4C6E7</t>
        </is>
      </c>
      <c r="G141" s="145" t="inlineStr">
        <is>
          <t>Aptos</t>
        </is>
      </c>
      <c r="H141" s="145" t="n">
        <v>8</v>
      </c>
      <c r="I141" s="145" t="inlineStr">
        <is>
          <t>Yes</t>
        </is>
      </c>
      <c r="J141" s="145" t="inlineStr">
        <is>
          <t>No</t>
        </is>
      </c>
      <c r="K141" s="145" t="inlineStr">
        <is>
          <t>None</t>
        </is>
      </c>
      <c r="L141" s="145" t="inlineStr">
        <is>
          <t>#000000</t>
        </is>
      </c>
      <c r="M141" s="145" t="inlineStr">
        <is>
          <t>General</t>
        </is>
      </c>
      <c r="N141" s="145" t="inlineStr">
        <is>
          <t>Center</t>
        </is>
      </c>
      <c r="O141" s="145" t="inlineStr">
        <is>
          <t>No</t>
        </is>
      </c>
      <c r="P141" s="145" t="inlineStr">
        <is>
          <t xml:space="preserve">_ * #,##0_ ;_ * -#,##0_ ;_ * "-"??_ ;_ @_ </t>
        </is>
      </c>
      <c r="Q141" s="145" t="inlineStr">
        <is>
          <t>Text</t>
        </is>
      </c>
      <c r="R141" s="145" t="n"/>
      <c r="S141" s="145" t="n"/>
      <c r="T141" s="145" t="n"/>
      <c r="U141" s="145" t="n"/>
      <c r="V141" s="145" t="n"/>
      <c r="W141" s="145" t="n"/>
      <c r="X141" s="145" t="inlineStr">
        <is>
          <t>Detailed format sample from top 5 used rows</t>
        </is>
      </c>
    </row>
    <row r="142" ht="23.85" customHeight="1" s="79">
      <c r="A142" s="145" t="inlineStr">
        <is>
          <t>REGULAR_DEPT</t>
        </is>
      </c>
      <c r="B142" s="145" t="inlineStr">
        <is>
          <t>Top-Row Cell Format</t>
        </is>
      </c>
      <c r="C142" s="145" t="inlineStr">
        <is>
          <t>W3</t>
        </is>
      </c>
      <c r="D142" s="145" t="inlineStr">
        <is>
          <t>REGULAR_DEPT!A1:AS193</t>
        </is>
      </c>
      <c r="E142" s="145" t="inlineStr">
        <is>
          <t>Normal</t>
        </is>
      </c>
      <c r="F142" s="145" t="inlineStr">
        <is>
          <t>#F8CBAD</t>
        </is>
      </c>
      <c r="G142" s="145" t="inlineStr">
        <is>
          <t>Aptos</t>
        </is>
      </c>
      <c r="H142" s="145" t="n">
        <v>8</v>
      </c>
      <c r="I142" s="145" t="inlineStr">
        <is>
          <t>Yes</t>
        </is>
      </c>
      <c r="J142" s="145" t="inlineStr">
        <is>
          <t>No</t>
        </is>
      </c>
      <c r="K142" s="145" t="inlineStr">
        <is>
          <t>None</t>
        </is>
      </c>
      <c r="L142" s="145" t="inlineStr">
        <is>
          <t>#000000</t>
        </is>
      </c>
      <c r="M142" s="145" t="inlineStr">
        <is>
          <t>Center</t>
        </is>
      </c>
      <c r="N142" s="145" t="inlineStr">
        <is>
          <t>Center</t>
        </is>
      </c>
      <c r="O142" s="145" t="inlineStr">
        <is>
          <t>Yes</t>
        </is>
      </c>
      <c r="P142" s="145" t="inlineStr">
        <is>
          <t>General</t>
        </is>
      </c>
      <c r="Q142" s="145" t="inlineStr">
        <is>
          <t>General</t>
        </is>
      </c>
      <c r="R142" s="145" t="n"/>
      <c r="S142" s="145" t="n"/>
      <c r="T142" s="145" t="n"/>
      <c r="U142" s="145" t="n"/>
      <c r="V142" s="145" t="n"/>
      <c r="W142" s="145" t="n"/>
      <c r="X142" s="145" t="inlineStr">
        <is>
          <t>Detailed format sample from top 5 used rows</t>
        </is>
      </c>
    </row>
    <row r="143" ht="23.85" customHeight="1" s="79">
      <c r="A143" s="145" t="inlineStr">
        <is>
          <t>REGULAR_DEPT</t>
        </is>
      </c>
      <c r="B143" s="145" t="inlineStr">
        <is>
          <t>Top-Row Cell Format</t>
        </is>
      </c>
      <c r="C143" s="145" t="inlineStr">
        <is>
          <t>W4</t>
        </is>
      </c>
      <c r="D143" s="145" t="inlineStr">
        <is>
          <t>REGULAR_DEPT!A1:AS193</t>
        </is>
      </c>
      <c r="E143" s="145" t="inlineStr">
        <is>
          <t>Normal</t>
        </is>
      </c>
      <c r="F143" s="145" t="inlineStr">
        <is>
          <t>#F8CBAD</t>
        </is>
      </c>
      <c r="G143" s="145" t="inlineStr">
        <is>
          <t>Aptos</t>
        </is>
      </c>
      <c r="H143" s="145" t="n">
        <v>8</v>
      </c>
      <c r="I143" s="145" t="inlineStr">
        <is>
          <t>No</t>
        </is>
      </c>
      <c r="J143" s="145" t="inlineStr">
        <is>
          <t>No</t>
        </is>
      </c>
      <c r="K143" s="145" t="inlineStr">
        <is>
          <t>None</t>
        </is>
      </c>
      <c r="L143" s="145" t="inlineStr">
        <is>
          <t>#000000</t>
        </is>
      </c>
      <c r="M143" s="145" t="inlineStr">
        <is>
          <t>General</t>
        </is>
      </c>
      <c r="N143" s="145" t="inlineStr">
        <is>
          <t>Center</t>
        </is>
      </c>
      <c r="O143" s="145" t="inlineStr">
        <is>
          <t>No</t>
        </is>
      </c>
      <c r="P143" s="145" t="inlineStr">
        <is>
          <t>General</t>
        </is>
      </c>
      <c r="Q143" s="145" t="inlineStr">
        <is>
          <t>General</t>
        </is>
      </c>
      <c r="R143" s="145" t="n"/>
      <c r="S143" s="145" t="n"/>
      <c r="T143" s="145" t="n"/>
      <c r="U143" s="145" t="n"/>
      <c r="V143" s="145" t="n"/>
      <c r="W143" s="145" t="n"/>
      <c r="X143" s="145" t="inlineStr">
        <is>
          <t>Detailed format sample from top 5 used rows</t>
        </is>
      </c>
    </row>
    <row r="144" ht="23.85" customHeight="1" s="79">
      <c r="A144" s="145" t="inlineStr">
        <is>
          <t>REGULAR_DEPT</t>
        </is>
      </c>
      <c r="B144" s="145" t="inlineStr">
        <is>
          <t>Top-Row Cell Format</t>
        </is>
      </c>
      <c r="C144" s="145" t="inlineStr">
        <is>
          <t>W5</t>
        </is>
      </c>
      <c r="D144" s="145" t="inlineStr">
        <is>
          <t>REGULAR_DEPT!A1:AS193</t>
        </is>
      </c>
      <c r="E144" s="145" t="inlineStr">
        <is>
          <t>Comma</t>
        </is>
      </c>
      <c r="F144" s="145" t="n"/>
      <c r="G144" s="145" t="inlineStr">
        <is>
          <t>Aptos</t>
        </is>
      </c>
      <c r="H144" s="145" t="n">
        <v>8</v>
      </c>
      <c r="I144" s="145" t="inlineStr">
        <is>
          <t>No</t>
        </is>
      </c>
      <c r="J144" s="145" t="inlineStr">
        <is>
          <t>No</t>
        </is>
      </c>
      <c r="K144" s="145" t="inlineStr">
        <is>
          <t>None</t>
        </is>
      </c>
      <c r="L144" s="145" t="inlineStr">
        <is>
          <t>#000000</t>
        </is>
      </c>
      <c r="M144" s="145" t="inlineStr">
        <is>
          <t>General</t>
        </is>
      </c>
      <c r="N144" s="145" t="inlineStr">
        <is>
          <t>Center</t>
        </is>
      </c>
      <c r="O144" s="145" t="inlineStr">
        <is>
          <t>No</t>
        </is>
      </c>
      <c r="P144" s="145" t="inlineStr">
        <is>
          <t xml:space="preserve">_ * #,##0_ ;_ * -#,##0_ ;_ * "-"??_ ;_ @_ </t>
        </is>
      </c>
      <c r="Q144" s="145" t="inlineStr">
        <is>
          <t>Text</t>
        </is>
      </c>
      <c r="R144" s="145" t="n"/>
      <c r="S144" s="145" t="n"/>
      <c r="T144" s="145" t="n"/>
      <c r="U144" s="145" t="n"/>
      <c r="V144" s="145" t="n"/>
      <c r="W144" s="145" t="n"/>
      <c r="X144" s="145" t="inlineStr">
        <is>
          <t>Detailed format sample from top 5 used rows</t>
        </is>
      </c>
    </row>
    <row r="145" ht="46.25" customHeight="1" s="79">
      <c r="A145" s="145" t="inlineStr">
        <is>
          <t>REGULAR_DEPT</t>
        </is>
      </c>
      <c r="B145" s="145" t="inlineStr">
        <is>
          <t>Column Format</t>
        </is>
      </c>
      <c r="C145" s="145" t="inlineStr">
        <is>
          <t>X:X</t>
        </is>
      </c>
      <c r="D145" s="145" t="inlineStr">
        <is>
          <t>REGULAR_DEPT!A1:AS193</t>
        </is>
      </c>
      <c r="E145" s="145" t="inlineStr">
        <is>
          <t>Mixed</t>
        </is>
      </c>
      <c r="F145" s="145" t="inlineStr">
        <is>
          <t>Mixed</t>
        </is>
      </c>
      <c r="G145" s="145" t="inlineStr">
        <is>
          <t>Aptos</t>
        </is>
      </c>
      <c r="H145" s="145" t="n">
        <v>8</v>
      </c>
      <c r="I145" s="145" t="inlineStr">
        <is>
          <t>Mixed</t>
        </is>
      </c>
      <c r="J145" s="145" t="inlineStr">
        <is>
          <t>No</t>
        </is>
      </c>
      <c r="K145" s="145" t="inlineStr">
        <is>
          <t>None</t>
        </is>
      </c>
      <c r="L145" s="145" t="inlineStr">
        <is>
          <t>#000000</t>
        </is>
      </c>
      <c r="M145" s="145" t="inlineStr">
        <is>
          <t>Mixed</t>
        </is>
      </c>
      <c r="N145" s="145" t="inlineStr">
        <is>
          <t>Center</t>
        </is>
      </c>
      <c r="O145" s="145" t="inlineStr">
        <is>
          <t>Mixed</t>
        </is>
      </c>
      <c r="P145" s="145" t="n"/>
      <c r="Q145" s="145" t="n"/>
      <c r="R145" s="145" t="inlineStr">
        <is>
          <t>EdgeTop:Continuous/Thin/#000000; EdgeBottom:Continuous/Thin/#000000; EdgeLeft:Continuous/Thin/#000000; EdgeRight:Continuous/Thin/#000000</t>
        </is>
      </c>
      <c r="S145" s="145" t="n">
        <v>48.3582089552239</v>
      </c>
      <c r="T145" s="145" t="n"/>
      <c r="U145" s="145" t="inlineStr">
        <is>
          <t>No</t>
        </is>
      </c>
      <c r="V145" s="145" t="inlineStr">
        <is>
          <t>Visible</t>
        </is>
      </c>
      <c r="W145" s="145" t="n"/>
      <c r="X145" s="145" t="inlineStr">
        <is>
          <t>Mixed styles within used column</t>
        </is>
      </c>
    </row>
    <row r="146" ht="23.85" customHeight="1" s="79">
      <c r="A146" s="145" t="inlineStr">
        <is>
          <t>REGULAR_DEPT</t>
        </is>
      </c>
      <c r="B146" s="145" t="inlineStr">
        <is>
          <t>Top-Row Cell Format</t>
        </is>
      </c>
      <c r="C146" s="145" t="inlineStr">
        <is>
          <t>X1</t>
        </is>
      </c>
      <c r="D146" s="145" t="inlineStr">
        <is>
          <t>REGULAR_DEPT!A1:AS193</t>
        </is>
      </c>
      <c r="E146" s="145" t="inlineStr">
        <is>
          <t>Normal</t>
        </is>
      </c>
      <c r="F146" s="145" t="inlineStr">
        <is>
          <t>#C9C9C9</t>
        </is>
      </c>
      <c r="G146" s="145" t="inlineStr">
        <is>
          <t>Aptos</t>
        </is>
      </c>
      <c r="H146" s="145" t="n">
        <v>8</v>
      </c>
      <c r="I146" s="145" t="inlineStr">
        <is>
          <t>Yes</t>
        </is>
      </c>
      <c r="J146" s="145" t="inlineStr">
        <is>
          <t>No</t>
        </is>
      </c>
      <c r="K146" s="145" t="inlineStr">
        <is>
          <t>None</t>
        </is>
      </c>
      <c r="L146" s="145" t="inlineStr">
        <is>
          <t>#000000</t>
        </is>
      </c>
      <c r="M146" s="145" t="inlineStr">
        <is>
          <t>Center</t>
        </is>
      </c>
      <c r="N146" s="145" t="inlineStr">
        <is>
          <t>Center</t>
        </is>
      </c>
      <c r="O146" s="145" t="inlineStr">
        <is>
          <t>No</t>
        </is>
      </c>
      <c r="P146" s="145" t="inlineStr">
        <is>
          <t>General</t>
        </is>
      </c>
      <c r="Q146" s="145" t="inlineStr">
        <is>
          <t>General</t>
        </is>
      </c>
      <c r="R146" s="145" t="n"/>
      <c r="S146" s="145" t="n"/>
      <c r="T146" s="145" t="n"/>
      <c r="U146" s="145" t="n"/>
      <c r="V146" s="145" t="n"/>
      <c r="W146" s="145" t="n"/>
      <c r="X146" s="145" t="inlineStr">
        <is>
          <t>Detailed format sample from top 5 used rows</t>
        </is>
      </c>
    </row>
    <row r="147" ht="23.85" customHeight="1" s="79">
      <c r="A147" s="145" t="inlineStr">
        <is>
          <t>REGULAR_DEPT</t>
        </is>
      </c>
      <c r="B147" s="145" t="inlineStr">
        <is>
          <t>Top-Row Cell Format</t>
        </is>
      </c>
      <c r="C147" s="145" t="inlineStr">
        <is>
          <t>X2</t>
        </is>
      </c>
      <c r="D147" s="145" t="inlineStr">
        <is>
          <t>REGULAR_DEPT!A1:AS193</t>
        </is>
      </c>
      <c r="E147" s="145" t="inlineStr">
        <is>
          <t>Percent</t>
        </is>
      </c>
      <c r="F147" s="145" t="inlineStr">
        <is>
          <t>#B4C6E7</t>
        </is>
      </c>
      <c r="G147" s="145" t="inlineStr">
        <is>
          <t>Aptos</t>
        </is>
      </c>
      <c r="H147" s="145" t="n">
        <v>8</v>
      </c>
      <c r="I147" s="145" t="inlineStr">
        <is>
          <t>Yes</t>
        </is>
      </c>
      <c r="J147" s="145" t="inlineStr">
        <is>
          <t>No</t>
        </is>
      </c>
      <c r="K147" s="145" t="inlineStr">
        <is>
          <t>None</t>
        </is>
      </c>
      <c r="L147" s="145" t="inlineStr">
        <is>
          <t>#000000</t>
        </is>
      </c>
      <c r="M147" s="145" t="inlineStr">
        <is>
          <t>Center</t>
        </is>
      </c>
      <c r="N147" s="145" t="inlineStr">
        <is>
          <t>Center</t>
        </is>
      </c>
      <c r="O147" s="145" t="inlineStr">
        <is>
          <t>No</t>
        </is>
      </c>
      <c r="P147" s="146" t="n">
        <v>0</v>
      </c>
      <c r="Q147" s="145" t="inlineStr">
        <is>
          <t>Percentage</t>
        </is>
      </c>
      <c r="R147" s="145" t="n"/>
      <c r="S147" s="145" t="n"/>
      <c r="T147" s="145" t="n"/>
      <c r="U147" s="145" t="n"/>
      <c r="V147" s="145" t="n"/>
      <c r="W147" s="145" t="n"/>
      <c r="X147" s="145" t="inlineStr">
        <is>
          <t>Detailed format sample from top 5 used rows</t>
        </is>
      </c>
    </row>
    <row r="148" ht="23.85" customHeight="1" s="79">
      <c r="A148" s="145" t="inlineStr">
        <is>
          <t>REGULAR_DEPT</t>
        </is>
      </c>
      <c r="B148" s="145" t="inlineStr">
        <is>
          <t>Top-Row Cell Format</t>
        </is>
      </c>
      <c r="C148" s="145" t="inlineStr">
        <is>
          <t>X3</t>
        </is>
      </c>
      <c r="D148" s="145" t="inlineStr">
        <is>
          <t>REGULAR_DEPT!A1:AS193</t>
        </is>
      </c>
      <c r="E148" s="145" t="inlineStr">
        <is>
          <t>Normal</t>
        </is>
      </c>
      <c r="F148" s="145" t="inlineStr">
        <is>
          <t>#F8CBAD</t>
        </is>
      </c>
      <c r="G148" s="145" t="inlineStr">
        <is>
          <t>Aptos</t>
        </is>
      </c>
      <c r="H148" s="145" t="n">
        <v>8</v>
      </c>
      <c r="I148" s="145" t="inlineStr">
        <is>
          <t>Yes</t>
        </is>
      </c>
      <c r="J148" s="145" t="inlineStr">
        <is>
          <t>No</t>
        </is>
      </c>
      <c r="K148" s="145" t="inlineStr">
        <is>
          <t>None</t>
        </is>
      </c>
      <c r="L148" s="145" t="inlineStr">
        <is>
          <t>#000000</t>
        </is>
      </c>
      <c r="M148" s="145" t="inlineStr">
        <is>
          <t>Center</t>
        </is>
      </c>
      <c r="N148" s="145" t="inlineStr">
        <is>
          <t>Center</t>
        </is>
      </c>
      <c r="O148" s="145" t="inlineStr">
        <is>
          <t>Yes</t>
        </is>
      </c>
      <c r="P148" s="145" t="inlineStr">
        <is>
          <t>General</t>
        </is>
      </c>
      <c r="Q148" s="145" t="inlineStr">
        <is>
          <t>General</t>
        </is>
      </c>
      <c r="R148" s="145" t="n"/>
      <c r="S148" s="145" t="n"/>
      <c r="T148" s="145" t="n"/>
      <c r="U148" s="145" t="n"/>
      <c r="V148" s="145" t="n"/>
      <c r="W148" s="145" t="n"/>
      <c r="X148" s="145" t="inlineStr">
        <is>
          <t>Detailed format sample from top 5 used rows</t>
        </is>
      </c>
    </row>
    <row r="149" ht="23.85" customHeight="1" s="79">
      <c r="A149" s="145" t="inlineStr">
        <is>
          <t>REGULAR_DEPT</t>
        </is>
      </c>
      <c r="B149" s="145" t="inlineStr">
        <is>
          <t>Top-Row Cell Format</t>
        </is>
      </c>
      <c r="C149" s="145" t="inlineStr">
        <is>
          <t>X4</t>
        </is>
      </c>
      <c r="D149" s="145" t="inlineStr">
        <is>
          <t>REGULAR_DEPT!A1:AS193</t>
        </is>
      </c>
      <c r="E149" s="145" t="inlineStr">
        <is>
          <t>Normal</t>
        </is>
      </c>
      <c r="F149" s="145" t="inlineStr">
        <is>
          <t>#F8CBAD</t>
        </is>
      </c>
      <c r="G149" s="145" t="inlineStr">
        <is>
          <t>Aptos</t>
        </is>
      </c>
      <c r="H149" s="145" t="n">
        <v>8</v>
      </c>
      <c r="I149" s="145" t="inlineStr">
        <is>
          <t>No</t>
        </is>
      </c>
      <c r="J149" s="145" t="inlineStr">
        <is>
          <t>No</t>
        </is>
      </c>
      <c r="K149" s="145" t="inlineStr">
        <is>
          <t>None</t>
        </is>
      </c>
      <c r="L149" s="145" t="inlineStr">
        <is>
          <t>#000000</t>
        </is>
      </c>
      <c r="M149" s="145" t="inlineStr">
        <is>
          <t>General</t>
        </is>
      </c>
      <c r="N149" s="145" t="inlineStr">
        <is>
          <t>Center</t>
        </is>
      </c>
      <c r="O149" s="145" t="inlineStr">
        <is>
          <t>No</t>
        </is>
      </c>
      <c r="P149" s="145" t="inlineStr">
        <is>
          <t>General</t>
        </is>
      </c>
      <c r="Q149" s="145" t="inlineStr">
        <is>
          <t>General</t>
        </is>
      </c>
      <c r="R149" s="145" t="n"/>
      <c r="S149" s="145" t="n"/>
      <c r="T149" s="145" t="n"/>
      <c r="U149" s="145" t="n"/>
      <c r="V149" s="145" t="n"/>
      <c r="W149" s="145" t="n"/>
      <c r="X149" s="145" t="inlineStr">
        <is>
          <t>Detailed format sample from top 5 used rows</t>
        </is>
      </c>
    </row>
    <row r="150" ht="23.85" customHeight="1" s="79">
      <c r="A150" s="145" t="inlineStr">
        <is>
          <t>REGULAR_DEPT</t>
        </is>
      </c>
      <c r="B150" s="145" t="inlineStr">
        <is>
          <t>Top-Row Cell Format</t>
        </is>
      </c>
      <c r="C150" s="145" t="inlineStr">
        <is>
          <t>X5</t>
        </is>
      </c>
      <c r="D150" s="145" t="inlineStr">
        <is>
          <t>REGULAR_DEPT!A1:AS193</t>
        </is>
      </c>
      <c r="E150" s="145" t="inlineStr">
        <is>
          <t>Percent</t>
        </is>
      </c>
      <c r="F150" s="145" t="n"/>
      <c r="G150" s="145" t="inlineStr">
        <is>
          <t>Aptos</t>
        </is>
      </c>
      <c r="H150" s="145" t="n">
        <v>8</v>
      </c>
      <c r="I150" s="145" t="inlineStr">
        <is>
          <t>No</t>
        </is>
      </c>
      <c r="J150" s="145" t="inlineStr">
        <is>
          <t>No</t>
        </is>
      </c>
      <c r="K150" s="145" t="inlineStr">
        <is>
          <t>None</t>
        </is>
      </c>
      <c r="L150" s="145" t="inlineStr">
        <is>
          <t>#000000</t>
        </is>
      </c>
      <c r="M150" s="145" t="inlineStr">
        <is>
          <t>Center</t>
        </is>
      </c>
      <c r="N150" s="145" t="inlineStr">
        <is>
          <t>Center</t>
        </is>
      </c>
      <c r="O150" s="145" t="inlineStr">
        <is>
          <t>No</t>
        </is>
      </c>
      <c r="P150" s="146" t="n">
        <v>0</v>
      </c>
      <c r="Q150" s="145" t="inlineStr">
        <is>
          <t>Percentage</t>
        </is>
      </c>
      <c r="R150" s="145" t="n"/>
      <c r="S150" s="145" t="n"/>
      <c r="T150" s="145" t="n"/>
      <c r="U150" s="145" t="n"/>
      <c r="V150" s="145" t="n"/>
      <c r="W150" s="145" t="n"/>
      <c r="X150" s="145" t="inlineStr">
        <is>
          <t>Detailed format sample from top 5 used rows</t>
        </is>
      </c>
    </row>
    <row r="151" ht="35.05" customHeight="1" s="79">
      <c r="A151" s="145" t="inlineStr">
        <is>
          <t>REGULAR_DEPT</t>
        </is>
      </c>
      <c r="B151" s="145" t="inlineStr">
        <is>
          <t>Column Format</t>
        </is>
      </c>
      <c r="C151" s="145" t="inlineStr">
        <is>
          <t>Y:Y</t>
        </is>
      </c>
      <c r="D151" s="145" t="inlineStr">
        <is>
          <t>REGULAR_DEPT!A1:AS193</t>
        </is>
      </c>
      <c r="E151" s="145" t="inlineStr">
        <is>
          <t>Mixed</t>
        </is>
      </c>
      <c r="F151" s="145" t="inlineStr">
        <is>
          <t>Mixed</t>
        </is>
      </c>
      <c r="G151" s="145" t="inlineStr">
        <is>
          <t>Aptos</t>
        </is>
      </c>
      <c r="H151" s="145" t="n">
        <v>8</v>
      </c>
      <c r="I151" s="145" t="inlineStr">
        <is>
          <t>Mixed</t>
        </is>
      </c>
      <c r="J151" s="145" t="inlineStr">
        <is>
          <t>No</t>
        </is>
      </c>
      <c r="K151" s="145" t="inlineStr">
        <is>
          <t>None</t>
        </is>
      </c>
      <c r="L151" s="145" t="inlineStr">
        <is>
          <t>#000000</t>
        </is>
      </c>
      <c r="M151" s="145" t="inlineStr">
        <is>
          <t>Mixed</t>
        </is>
      </c>
      <c r="N151" s="145" t="inlineStr">
        <is>
          <t>Center</t>
        </is>
      </c>
      <c r="O151" s="145" t="inlineStr">
        <is>
          <t>Mixed</t>
        </is>
      </c>
      <c r="P151" s="145" t="n"/>
      <c r="Q151" s="145" t="n"/>
      <c r="R151" s="145" t="inlineStr">
        <is>
          <t>EdgeTop:Continuous/Thin/#000000; EdgeBottom:Continuous/Thin/#000000; EdgeRight:Continuous/Thin/#000000</t>
        </is>
      </c>
      <c r="S151" s="145" t="n">
        <v>48.3582089552239</v>
      </c>
      <c r="T151" s="145" t="n"/>
      <c r="U151" s="145" t="inlineStr">
        <is>
          <t>No</t>
        </is>
      </c>
      <c r="V151" s="145" t="inlineStr">
        <is>
          <t>Visible</t>
        </is>
      </c>
      <c r="W151" s="145" t="n"/>
      <c r="X151" s="145" t="inlineStr">
        <is>
          <t>Mixed styles within used column</t>
        </is>
      </c>
    </row>
    <row r="152" ht="23.85" customHeight="1" s="79">
      <c r="A152" s="145" t="inlineStr">
        <is>
          <t>REGULAR_DEPT</t>
        </is>
      </c>
      <c r="B152" s="145" t="inlineStr">
        <is>
          <t>Top-Row Cell Format</t>
        </is>
      </c>
      <c r="C152" s="145" t="inlineStr">
        <is>
          <t>Y1</t>
        </is>
      </c>
      <c r="D152" s="145" t="inlineStr">
        <is>
          <t>REGULAR_DEPT!A1:AS193</t>
        </is>
      </c>
      <c r="E152" s="145" t="inlineStr">
        <is>
          <t>Normal</t>
        </is>
      </c>
      <c r="F152" s="145" t="inlineStr">
        <is>
          <t>#C9C9C9</t>
        </is>
      </c>
      <c r="G152" s="145" t="inlineStr">
        <is>
          <t>Aptos</t>
        </is>
      </c>
      <c r="H152" s="145" t="n">
        <v>8</v>
      </c>
      <c r="I152" s="145" t="inlineStr">
        <is>
          <t>Yes</t>
        </is>
      </c>
      <c r="J152" s="145" t="inlineStr">
        <is>
          <t>No</t>
        </is>
      </c>
      <c r="K152" s="145" t="inlineStr">
        <is>
          <t>None</t>
        </is>
      </c>
      <c r="L152" s="145" t="inlineStr">
        <is>
          <t>#000000</t>
        </is>
      </c>
      <c r="M152" s="145" t="inlineStr">
        <is>
          <t>Center</t>
        </is>
      </c>
      <c r="N152" s="145" t="inlineStr">
        <is>
          <t>Center</t>
        </is>
      </c>
      <c r="O152" s="145" t="inlineStr">
        <is>
          <t>No</t>
        </is>
      </c>
      <c r="P152" s="145" t="inlineStr">
        <is>
          <t>General</t>
        </is>
      </c>
      <c r="Q152" s="145" t="inlineStr">
        <is>
          <t>General</t>
        </is>
      </c>
      <c r="R152" s="145" t="n"/>
      <c r="S152" s="145" t="n"/>
      <c r="T152" s="145" t="n"/>
      <c r="U152" s="145" t="n"/>
      <c r="V152" s="145" t="n"/>
      <c r="W152" s="145" t="n"/>
      <c r="X152" s="145" t="inlineStr">
        <is>
          <t>Detailed format sample from top 5 used rows</t>
        </is>
      </c>
    </row>
    <row r="153" ht="23.85" customHeight="1" s="79">
      <c r="A153" s="145" t="inlineStr">
        <is>
          <t>REGULAR_DEPT</t>
        </is>
      </c>
      <c r="B153" s="145" t="inlineStr">
        <is>
          <t>Top-Row Cell Format</t>
        </is>
      </c>
      <c r="C153" s="145" t="inlineStr">
        <is>
          <t>Y2</t>
        </is>
      </c>
      <c r="D153" s="145" t="inlineStr">
        <is>
          <t>REGULAR_DEPT!A1:AS193</t>
        </is>
      </c>
      <c r="E153" s="145" t="inlineStr">
        <is>
          <t>Percent</t>
        </is>
      </c>
      <c r="F153" s="145" t="inlineStr">
        <is>
          <t>#B4C6E7</t>
        </is>
      </c>
      <c r="G153" s="145" t="inlineStr">
        <is>
          <t>Aptos</t>
        </is>
      </c>
      <c r="H153" s="145" t="n">
        <v>8</v>
      </c>
      <c r="I153" s="145" t="inlineStr">
        <is>
          <t>Yes</t>
        </is>
      </c>
      <c r="J153" s="145" t="inlineStr">
        <is>
          <t>No</t>
        </is>
      </c>
      <c r="K153" s="145" t="inlineStr">
        <is>
          <t>None</t>
        </is>
      </c>
      <c r="L153" s="145" t="inlineStr">
        <is>
          <t>#000000</t>
        </is>
      </c>
      <c r="M153" s="145" t="inlineStr">
        <is>
          <t>Center</t>
        </is>
      </c>
      <c r="N153" s="145" t="inlineStr">
        <is>
          <t>Center</t>
        </is>
      </c>
      <c r="O153" s="145" t="inlineStr">
        <is>
          <t>No</t>
        </is>
      </c>
      <c r="P153" s="146" t="n">
        <v>0</v>
      </c>
      <c r="Q153" s="145" t="inlineStr">
        <is>
          <t>Percentage</t>
        </is>
      </c>
      <c r="R153" s="145" t="n"/>
      <c r="S153" s="145" t="n"/>
      <c r="T153" s="145" t="n"/>
      <c r="U153" s="145" t="n"/>
      <c r="V153" s="145" t="n"/>
      <c r="W153" s="145" t="n"/>
      <c r="X153" s="145" t="inlineStr">
        <is>
          <t>Detailed format sample from top 5 used rows</t>
        </is>
      </c>
    </row>
    <row r="154" ht="23.85" customHeight="1" s="79">
      <c r="A154" s="145" t="inlineStr">
        <is>
          <t>REGULAR_DEPT</t>
        </is>
      </c>
      <c r="B154" s="145" t="inlineStr">
        <is>
          <t>Top-Row Cell Format</t>
        </is>
      </c>
      <c r="C154" s="145" t="inlineStr">
        <is>
          <t>Y3</t>
        </is>
      </c>
      <c r="D154" s="145" t="inlineStr">
        <is>
          <t>REGULAR_DEPT!A1:AS193</t>
        </is>
      </c>
      <c r="E154" s="145" t="inlineStr">
        <is>
          <t>Normal</t>
        </is>
      </c>
      <c r="F154" s="145" t="inlineStr">
        <is>
          <t>#F8CBAD</t>
        </is>
      </c>
      <c r="G154" s="145" t="inlineStr">
        <is>
          <t>Aptos</t>
        </is>
      </c>
      <c r="H154" s="145" t="n">
        <v>8</v>
      </c>
      <c r="I154" s="145" t="inlineStr">
        <is>
          <t>Yes</t>
        </is>
      </c>
      <c r="J154" s="145" t="inlineStr">
        <is>
          <t>No</t>
        </is>
      </c>
      <c r="K154" s="145" t="inlineStr">
        <is>
          <t>None</t>
        </is>
      </c>
      <c r="L154" s="145" t="inlineStr">
        <is>
          <t>#000000</t>
        </is>
      </c>
      <c r="M154" s="145" t="inlineStr">
        <is>
          <t>Center</t>
        </is>
      </c>
      <c r="N154" s="145" t="inlineStr">
        <is>
          <t>Center</t>
        </is>
      </c>
      <c r="O154" s="145" t="inlineStr">
        <is>
          <t>Yes</t>
        </is>
      </c>
      <c r="P154" s="145" t="inlineStr">
        <is>
          <t>General</t>
        </is>
      </c>
      <c r="Q154" s="145" t="inlineStr">
        <is>
          <t>General</t>
        </is>
      </c>
      <c r="R154" s="145" t="n"/>
      <c r="S154" s="145" t="n"/>
      <c r="T154" s="145" t="n"/>
      <c r="U154" s="145" t="n"/>
      <c r="V154" s="145" t="n"/>
      <c r="W154" s="145" t="n"/>
      <c r="X154" s="145" t="inlineStr">
        <is>
          <t>Detailed format sample from top 5 used rows</t>
        </is>
      </c>
    </row>
    <row r="155" ht="23.85" customHeight="1" s="79">
      <c r="A155" s="145" t="inlineStr">
        <is>
          <t>REGULAR_DEPT</t>
        </is>
      </c>
      <c r="B155" s="145" t="inlineStr">
        <is>
          <t>Top-Row Cell Format</t>
        </is>
      </c>
      <c r="C155" s="145" t="inlineStr">
        <is>
          <t>Y4</t>
        </is>
      </c>
      <c r="D155" s="145" t="inlineStr">
        <is>
          <t>REGULAR_DEPT!A1:AS193</t>
        </is>
      </c>
      <c r="E155" s="145" t="inlineStr">
        <is>
          <t>Normal</t>
        </is>
      </c>
      <c r="F155" s="145" t="inlineStr">
        <is>
          <t>#F8CBAD</t>
        </is>
      </c>
      <c r="G155" s="145" t="inlineStr">
        <is>
          <t>Aptos</t>
        </is>
      </c>
      <c r="H155" s="145" t="n">
        <v>8</v>
      </c>
      <c r="I155" s="145" t="inlineStr">
        <is>
          <t>No</t>
        </is>
      </c>
      <c r="J155" s="145" t="inlineStr">
        <is>
          <t>No</t>
        </is>
      </c>
      <c r="K155" s="145" t="inlineStr">
        <is>
          <t>None</t>
        </is>
      </c>
      <c r="L155" s="145" t="inlineStr">
        <is>
          <t>#000000</t>
        </is>
      </c>
      <c r="M155" s="145" t="inlineStr">
        <is>
          <t>General</t>
        </is>
      </c>
      <c r="N155" s="145" t="inlineStr">
        <is>
          <t>Center</t>
        </is>
      </c>
      <c r="O155" s="145" t="inlineStr">
        <is>
          <t>No</t>
        </is>
      </c>
      <c r="P155" s="145" t="inlineStr">
        <is>
          <t>General</t>
        </is>
      </c>
      <c r="Q155" s="145" t="inlineStr">
        <is>
          <t>General</t>
        </is>
      </c>
      <c r="R155" s="145" t="n"/>
      <c r="S155" s="145" t="n"/>
      <c r="T155" s="145" t="n"/>
      <c r="U155" s="145" t="n"/>
      <c r="V155" s="145" t="n"/>
      <c r="W155" s="145" t="n"/>
      <c r="X155" s="145" t="inlineStr">
        <is>
          <t>Detailed format sample from top 5 used rows</t>
        </is>
      </c>
    </row>
    <row r="156" ht="23.85" customHeight="1" s="79">
      <c r="A156" s="145" t="inlineStr">
        <is>
          <t>REGULAR_DEPT</t>
        </is>
      </c>
      <c r="B156" s="145" t="inlineStr">
        <is>
          <t>Top-Row Cell Format</t>
        </is>
      </c>
      <c r="C156" s="145" t="inlineStr">
        <is>
          <t>Y5</t>
        </is>
      </c>
      <c r="D156" s="145" t="inlineStr">
        <is>
          <t>REGULAR_DEPT!A1:AS193</t>
        </is>
      </c>
      <c r="E156" s="145" t="inlineStr">
        <is>
          <t>Percent</t>
        </is>
      </c>
      <c r="F156" s="145" t="n"/>
      <c r="G156" s="145" t="inlineStr">
        <is>
          <t>Aptos</t>
        </is>
      </c>
      <c r="H156" s="145" t="n">
        <v>8</v>
      </c>
      <c r="I156" s="145" t="inlineStr">
        <is>
          <t>No</t>
        </is>
      </c>
      <c r="J156" s="145" t="inlineStr">
        <is>
          <t>No</t>
        </is>
      </c>
      <c r="K156" s="145" t="inlineStr">
        <is>
          <t>None</t>
        </is>
      </c>
      <c r="L156" s="145" t="inlineStr">
        <is>
          <t>#000000</t>
        </is>
      </c>
      <c r="M156" s="145" t="inlineStr">
        <is>
          <t>Center</t>
        </is>
      </c>
      <c r="N156" s="145" t="inlineStr">
        <is>
          <t>Center</t>
        </is>
      </c>
      <c r="O156" s="145" t="inlineStr">
        <is>
          <t>No</t>
        </is>
      </c>
      <c r="P156" s="146" t="n">
        <v>0</v>
      </c>
      <c r="Q156" s="145" t="inlineStr">
        <is>
          <t>Percentage</t>
        </is>
      </c>
      <c r="R156" s="145" t="n"/>
      <c r="S156" s="145" t="n"/>
      <c r="T156" s="145" t="n"/>
      <c r="U156" s="145" t="n"/>
      <c r="V156" s="145" t="n"/>
      <c r="W156" s="145" t="n"/>
      <c r="X156" s="145" t="inlineStr">
        <is>
          <t>Detailed format sample from top 5 used rows</t>
        </is>
      </c>
    </row>
    <row r="157" ht="46.25" customHeight="1" s="79">
      <c r="A157" s="145" t="inlineStr">
        <is>
          <t>REGULAR_DEPT</t>
        </is>
      </c>
      <c r="B157" s="145" t="inlineStr">
        <is>
          <t>Column Format</t>
        </is>
      </c>
      <c r="C157" s="145" t="inlineStr">
        <is>
          <t>Z:Z</t>
        </is>
      </c>
      <c r="D157" s="145" t="inlineStr">
        <is>
          <t>REGULAR_DEPT!A1:AS193</t>
        </is>
      </c>
      <c r="E157" s="145" t="inlineStr">
        <is>
          <t>Mixed</t>
        </is>
      </c>
      <c r="F157" s="145" t="inlineStr">
        <is>
          <t>Mixed</t>
        </is>
      </c>
      <c r="G157" s="145" t="inlineStr">
        <is>
          <t>Aptos</t>
        </is>
      </c>
      <c r="H157" s="145" t="n">
        <v>8</v>
      </c>
      <c r="I157" s="145" t="inlineStr">
        <is>
          <t>Mixed</t>
        </is>
      </c>
      <c r="J157" s="145" t="inlineStr">
        <is>
          <t>No</t>
        </is>
      </c>
      <c r="K157" s="145" t="inlineStr">
        <is>
          <t>None</t>
        </is>
      </c>
      <c r="L157" s="145" t="inlineStr">
        <is>
          <t>#000000</t>
        </is>
      </c>
      <c r="M157" s="145" t="inlineStr">
        <is>
          <t>Mixed</t>
        </is>
      </c>
      <c r="N157" s="145" t="inlineStr">
        <is>
          <t>Center</t>
        </is>
      </c>
      <c r="O157" s="145" t="inlineStr">
        <is>
          <t>Mixed</t>
        </is>
      </c>
      <c r="P157" s="145" t="n"/>
      <c r="Q157" s="145" t="n"/>
      <c r="R157" s="145" t="inlineStr">
        <is>
          <t>EdgeTop:Continuous/Thin/#000000; EdgeBottom:Continuous/Thin/#000000; EdgeLeft:Continuous/Thin/#000000; EdgeRight:Continuous/Thin/#000000</t>
        </is>
      </c>
      <c r="S157" s="145" t="n">
        <v>49.4328358208955</v>
      </c>
      <c r="T157" s="145" t="n"/>
      <c r="U157" s="145" t="inlineStr">
        <is>
          <t>No</t>
        </is>
      </c>
      <c r="V157" s="145" t="inlineStr">
        <is>
          <t>Visible</t>
        </is>
      </c>
      <c r="W157" s="145" t="n"/>
      <c r="X157" s="145" t="inlineStr">
        <is>
          <t>Mixed styles within used column</t>
        </is>
      </c>
    </row>
    <row r="158" ht="23.85" customHeight="1" s="79">
      <c r="A158" s="145" t="inlineStr">
        <is>
          <t>REGULAR_DEPT</t>
        </is>
      </c>
      <c r="B158" s="145" t="inlineStr">
        <is>
          <t>Top-Row Cell Format</t>
        </is>
      </c>
      <c r="C158" s="145" t="inlineStr">
        <is>
          <t>Z1</t>
        </is>
      </c>
      <c r="D158" s="145" t="inlineStr">
        <is>
          <t>REGULAR_DEPT!A1:AS193</t>
        </is>
      </c>
      <c r="E158" s="145" t="inlineStr">
        <is>
          <t>Normal</t>
        </is>
      </c>
      <c r="F158" s="145" t="inlineStr">
        <is>
          <t>#C9C9C9</t>
        </is>
      </c>
      <c r="G158" s="145" t="inlineStr">
        <is>
          <t>Aptos</t>
        </is>
      </c>
      <c r="H158" s="145" t="n">
        <v>8</v>
      </c>
      <c r="I158" s="145" t="inlineStr">
        <is>
          <t>Yes</t>
        </is>
      </c>
      <c r="J158" s="145" t="inlineStr">
        <is>
          <t>No</t>
        </is>
      </c>
      <c r="K158" s="145" t="inlineStr">
        <is>
          <t>None</t>
        </is>
      </c>
      <c r="L158" s="145" t="inlineStr">
        <is>
          <t>#000000</t>
        </is>
      </c>
      <c r="M158" s="145" t="inlineStr">
        <is>
          <t>Center</t>
        </is>
      </c>
      <c r="N158" s="145" t="inlineStr">
        <is>
          <t>Center</t>
        </is>
      </c>
      <c r="O158" s="145" t="inlineStr">
        <is>
          <t>No</t>
        </is>
      </c>
      <c r="P158" s="145" t="inlineStr">
        <is>
          <t>General</t>
        </is>
      </c>
      <c r="Q158" s="145" t="inlineStr">
        <is>
          <t>General</t>
        </is>
      </c>
      <c r="R158" s="145" t="n"/>
      <c r="S158" s="145" t="n"/>
      <c r="T158" s="145" t="n"/>
      <c r="U158" s="145" t="n"/>
      <c r="V158" s="145" t="n"/>
      <c r="W158" s="145" t="n"/>
      <c r="X158" s="145" t="inlineStr">
        <is>
          <t>Detailed format sample from top 5 used rows</t>
        </is>
      </c>
    </row>
    <row r="159" ht="23.85" customHeight="1" s="79">
      <c r="A159" s="145" t="inlineStr">
        <is>
          <t>REGULAR_DEPT</t>
        </is>
      </c>
      <c r="B159" s="145" t="inlineStr">
        <is>
          <t>Top-Row Cell Format</t>
        </is>
      </c>
      <c r="C159" s="145" t="inlineStr">
        <is>
          <t>Z2</t>
        </is>
      </c>
      <c r="D159" s="145" t="inlineStr">
        <is>
          <t>REGULAR_DEPT!A1:AS193</t>
        </is>
      </c>
      <c r="E159" s="145" t="inlineStr">
        <is>
          <t>Percent</t>
        </is>
      </c>
      <c r="F159" s="145" t="inlineStr">
        <is>
          <t>#B4C6E7</t>
        </is>
      </c>
      <c r="G159" s="145" t="inlineStr">
        <is>
          <t>Aptos</t>
        </is>
      </c>
      <c r="H159" s="145" t="n">
        <v>8</v>
      </c>
      <c r="I159" s="145" t="inlineStr">
        <is>
          <t>Yes</t>
        </is>
      </c>
      <c r="J159" s="145" t="inlineStr">
        <is>
          <t>No</t>
        </is>
      </c>
      <c r="K159" s="145" t="inlineStr">
        <is>
          <t>None</t>
        </is>
      </c>
      <c r="L159" s="145" t="inlineStr">
        <is>
          <t>#000000</t>
        </is>
      </c>
      <c r="M159" s="145" t="inlineStr">
        <is>
          <t>Center</t>
        </is>
      </c>
      <c r="N159" s="145" t="inlineStr">
        <is>
          <t>Center</t>
        </is>
      </c>
      <c r="O159" s="145" t="inlineStr">
        <is>
          <t>No</t>
        </is>
      </c>
      <c r="P159" s="146" t="n">
        <v>0</v>
      </c>
      <c r="Q159" s="145" t="inlineStr">
        <is>
          <t>Percentage</t>
        </is>
      </c>
      <c r="R159" s="145" t="n"/>
      <c r="S159" s="145" t="n"/>
      <c r="T159" s="145" t="n"/>
      <c r="U159" s="145" t="n"/>
      <c r="V159" s="145" t="n"/>
      <c r="W159" s="145" t="n"/>
      <c r="X159" s="145" t="inlineStr">
        <is>
          <t>Detailed format sample from top 5 used rows</t>
        </is>
      </c>
    </row>
    <row r="160" ht="23.85" customHeight="1" s="79">
      <c r="A160" s="145" t="inlineStr">
        <is>
          <t>REGULAR_DEPT</t>
        </is>
      </c>
      <c r="B160" s="145" t="inlineStr">
        <is>
          <t>Top-Row Cell Format</t>
        </is>
      </c>
      <c r="C160" s="145" t="inlineStr">
        <is>
          <t>Z3</t>
        </is>
      </c>
      <c r="D160" s="145" t="inlineStr">
        <is>
          <t>REGULAR_DEPT!A1:AS193</t>
        </is>
      </c>
      <c r="E160" s="145" t="inlineStr">
        <is>
          <t>Normal</t>
        </is>
      </c>
      <c r="F160" s="145" t="inlineStr">
        <is>
          <t>#F8CBAD</t>
        </is>
      </c>
      <c r="G160" s="145" t="inlineStr">
        <is>
          <t>Aptos</t>
        </is>
      </c>
      <c r="H160" s="145" t="n">
        <v>8</v>
      </c>
      <c r="I160" s="145" t="inlineStr">
        <is>
          <t>Yes</t>
        </is>
      </c>
      <c r="J160" s="145" t="inlineStr">
        <is>
          <t>No</t>
        </is>
      </c>
      <c r="K160" s="145" t="inlineStr">
        <is>
          <t>None</t>
        </is>
      </c>
      <c r="L160" s="145" t="inlineStr">
        <is>
          <t>#000000</t>
        </is>
      </c>
      <c r="M160" s="145" t="inlineStr">
        <is>
          <t>Center</t>
        </is>
      </c>
      <c r="N160" s="145" t="inlineStr">
        <is>
          <t>Center</t>
        </is>
      </c>
      <c r="O160" s="145" t="inlineStr">
        <is>
          <t>Yes</t>
        </is>
      </c>
      <c r="P160" s="145" t="inlineStr">
        <is>
          <t>General</t>
        </is>
      </c>
      <c r="Q160" s="145" t="inlineStr">
        <is>
          <t>General</t>
        </is>
      </c>
      <c r="R160" s="145" t="n"/>
      <c r="S160" s="145" t="n"/>
      <c r="T160" s="145" t="n"/>
      <c r="U160" s="145" t="n"/>
      <c r="V160" s="145" t="n"/>
      <c r="W160" s="145" t="n"/>
      <c r="X160" s="145" t="inlineStr">
        <is>
          <t>Detailed format sample from top 5 used rows</t>
        </is>
      </c>
    </row>
    <row r="161" ht="23.85" customHeight="1" s="79">
      <c r="A161" s="145" t="inlineStr">
        <is>
          <t>REGULAR_DEPT</t>
        </is>
      </c>
      <c r="B161" s="145" t="inlineStr">
        <is>
          <t>Top-Row Cell Format</t>
        </is>
      </c>
      <c r="C161" s="145" t="inlineStr">
        <is>
          <t>Z4</t>
        </is>
      </c>
      <c r="D161" s="145" t="inlineStr">
        <is>
          <t>REGULAR_DEPT!A1:AS193</t>
        </is>
      </c>
      <c r="E161" s="145" t="inlineStr">
        <is>
          <t>Normal</t>
        </is>
      </c>
      <c r="F161" s="145" t="inlineStr">
        <is>
          <t>#F8CBAD</t>
        </is>
      </c>
      <c r="G161" s="145" t="inlineStr">
        <is>
          <t>Aptos</t>
        </is>
      </c>
      <c r="H161" s="145" t="n">
        <v>8</v>
      </c>
      <c r="I161" s="145" t="inlineStr">
        <is>
          <t>No</t>
        </is>
      </c>
      <c r="J161" s="145" t="inlineStr">
        <is>
          <t>No</t>
        </is>
      </c>
      <c r="K161" s="145" t="inlineStr">
        <is>
          <t>None</t>
        </is>
      </c>
      <c r="L161" s="145" t="inlineStr">
        <is>
          <t>#000000</t>
        </is>
      </c>
      <c r="M161" s="145" t="inlineStr">
        <is>
          <t>General</t>
        </is>
      </c>
      <c r="N161" s="145" t="inlineStr">
        <is>
          <t>Center</t>
        </is>
      </c>
      <c r="O161" s="145" t="inlineStr">
        <is>
          <t>No</t>
        </is>
      </c>
      <c r="P161" s="145" t="inlineStr">
        <is>
          <t>General</t>
        </is>
      </c>
      <c r="Q161" s="145" t="inlineStr">
        <is>
          <t>General</t>
        </is>
      </c>
      <c r="R161" s="145" t="n"/>
      <c r="S161" s="145" t="n"/>
      <c r="T161" s="145" t="n"/>
      <c r="U161" s="145" t="n"/>
      <c r="V161" s="145" t="n"/>
      <c r="W161" s="145" t="n"/>
      <c r="X161" s="145" t="inlineStr">
        <is>
          <t>Detailed format sample from top 5 used rows</t>
        </is>
      </c>
    </row>
    <row r="162" ht="23.85" customHeight="1" s="79">
      <c r="A162" s="145" t="inlineStr">
        <is>
          <t>REGULAR_DEPT</t>
        </is>
      </c>
      <c r="B162" s="145" t="inlineStr">
        <is>
          <t>Top-Row Cell Format</t>
        </is>
      </c>
      <c r="C162" s="145" t="inlineStr">
        <is>
          <t>Z5</t>
        </is>
      </c>
      <c r="D162" s="145" t="inlineStr">
        <is>
          <t>REGULAR_DEPT!A1:AS193</t>
        </is>
      </c>
      <c r="E162" s="145" t="inlineStr">
        <is>
          <t>Percent</t>
        </is>
      </c>
      <c r="F162" s="145" t="n"/>
      <c r="G162" s="145" t="inlineStr">
        <is>
          <t>Aptos</t>
        </is>
      </c>
      <c r="H162" s="145" t="n">
        <v>8</v>
      </c>
      <c r="I162" s="145" t="inlineStr">
        <is>
          <t>No</t>
        </is>
      </c>
      <c r="J162" s="145" t="inlineStr">
        <is>
          <t>No</t>
        </is>
      </c>
      <c r="K162" s="145" t="inlineStr">
        <is>
          <t>None</t>
        </is>
      </c>
      <c r="L162" s="145" t="inlineStr">
        <is>
          <t>#000000</t>
        </is>
      </c>
      <c r="M162" s="145" t="inlineStr">
        <is>
          <t>Center</t>
        </is>
      </c>
      <c r="N162" s="145" t="inlineStr">
        <is>
          <t>Center</t>
        </is>
      </c>
      <c r="O162" s="145" t="inlineStr">
        <is>
          <t>No</t>
        </is>
      </c>
      <c r="P162" s="146" t="n">
        <v>0</v>
      </c>
      <c r="Q162" s="145" t="inlineStr">
        <is>
          <t>Percentage</t>
        </is>
      </c>
      <c r="R162" s="145" t="n"/>
      <c r="S162" s="145" t="n"/>
      <c r="T162" s="145" t="n"/>
      <c r="U162" s="145" t="n"/>
      <c r="V162" s="145" t="n"/>
      <c r="W162" s="145" t="n"/>
      <c r="X162" s="145" t="inlineStr">
        <is>
          <t>Detailed format sample from top 5 used rows</t>
        </is>
      </c>
    </row>
    <row r="163" ht="35.05" customHeight="1" s="79">
      <c r="A163" s="145" t="inlineStr">
        <is>
          <t>REGULAR_DEPT</t>
        </is>
      </c>
      <c r="B163" s="145" t="inlineStr">
        <is>
          <t>Column Format</t>
        </is>
      </c>
      <c r="C163" s="145" t="inlineStr">
        <is>
          <t>AA:AA</t>
        </is>
      </c>
      <c r="D163" s="145" t="inlineStr">
        <is>
          <t>REGULAR_DEPT!A1:AS193</t>
        </is>
      </c>
      <c r="E163" s="145" t="inlineStr">
        <is>
          <t>Mixed</t>
        </is>
      </c>
      <c r="F163" s="145" t="inlineStr">
        <is>
          <t>Mixed</t>
        </is>
      </c>
      <c r="G163" s="145" t="inlineStr">
        <is>
          <t>Aptos</t>
        </is>
      </c>
      <c r="H163" s="145" t="n">
        <v>8</v>
      </c>
      <c r="I163" s="145" t="inlineStr">
        <is>
          <t>Mixed</t>
        </is>
      </c>
      <c r="J163" s="145" t="inlineStr">
        <is>
          <t>No</t>
        </is>
      </c>
      <c r="K163" s="145" t="inlineStr">
        <is>
          <t>None</t>
        </is>
      </c>
      <c r="L163" s="145" t="inlineStr">
        <is>
          <t>#000000</t>
        </is>
      </c>
      <c r="M163" s="145" t="inlineStr">
        <is>
          <t>Mixed</t>
        </is>
      </c>
      <c r="N163" s="145" t="inlineStr">
        <is>
          <t>Center</t>
        </is>
      </c>
      <c r="O163" s="145" t="inlineStr">
        <is>
          <t>Mixed</t>
        </is>
      </c>
      <c r="P163" s="145" t="n"/>
      <c r="Q163" s="145" t="n"/>
      <c r="R163" s="145" t="inlineStr">
        <is>
          <t>EdgeTop:Continuous/Thin/#000000; EdgeBottom:Continuous/Thin/#000000; EdgeRight:Continuous/Thin/#000000</t>
        </is>
      </c>
      <c r="S163" s="145" t="n">
        <v>49.4328358208955</v>
      </c>
      <c r="T163" s="145" t="n"/>
      <c r="U163" s="145" t="inlineStr">
        <is>
          <t>No</t>
        </is>
      </c>
      <c r="V163" s="145" t="inlineStr">
        <is>
          <t>Visible</t>
        </is>
      </c>
      <c r="W163" s="145" t="n"/>
      <c r="X163" s="145" t="inlineStr">
        <is>
          <t>Mixed styles within used column</t>
        </is>
      </c>
    </row>
    <row r="164" ht="23.85" customHeight="1" s="79">
      <c r="A164" s="145" t="inlineStr">
        <is>
          <t>REGULAR_DEPT</t>
        </is>
      </c>
      <c r="B164" s="145" t="inlineStr">
        <is>
          <t>Top-Row Cell Format</t>
        </is>
      </c>
      <c r="C164" s="145" t="inlineStr">
        <is>
          <t>AA1</t>
        </is>
      </c>
      <c r="D164" s="145" t="inlineStr">
        <is>
          <t>REGULAR_DEPT!A1:AS193</t>
        </is>
      </c>
      <c r="E164" s="145" t="inlineStr">
        <is>
          <t>Normal</t>
        </is>
      </c>
      <c r="F164" s="145" t="inlineStr">
        <is>
          <t>#C9C9C9</t>
        </is>
      </c>
      <c r="G164" s="145" t="inlineStr">
        <is>
          <t>Aptos</t>
        </is>
      </c>
      <c r="H164" s="145" t="n">
        <v>8</v>
      </c>
      <c r="I164" s="145" t="inlineStr">
        <is>
          <t>Yes</t>
        </is>
      </c>
      <c r="J164" s="145" t="inlineStr">
        <is>
          <t>No</t>
        </is>
      </c>
      <c r="K164" s="145" t="inlineStr">
        <is>
          <t>None</t>
        </is>
      </c>
      <c r="L164" s="145" t="inlineStr">
        <is>
          <t>#000000</t>
        </is>
      </c>
      <c r="M164" s="145" t="inlineStr">
        <is>
          <t>Center</t>
        </is>
      </c>
      <c r="N164" s="145" t="inlineStr">
        <is>
          <t>Center</t>
        </is>
      </c>
      <c r="O164" s="145" t="inlineStr">
        <is>
          <t>No</t>
        </is>
      </c>
      <c r="P164" s="145" t="inlineStr">
        <is>
          <t>General</t>
        </is>
      </c>
      <c r="Q164" s="145" t="inlineStr">
        <is>
          <t>General</t>
        </is>
      </c>
      <c r="R164" s="145" t="n"/>
      <c r="S164" s="145" t="n"/>
      <c r="T164" s="145" t="n"/>
      <c r="U164" s="145" t="n"/>
      <c r="V164" s="145" t="n"/>
      <c r="W164" s="145" t="n"/>
      <c r="X164" s="145" t="inlineStr">
        <is>
          <t>Detailed format sample from top 5 used rows</t>
        </is>
      </c>
    </row>
    <row r="165" ht="23.85" customHeight="1" s="79">
      <c r="A165" s="145" t="inlineStr">
        <is>
          <t>REGULAR_DEPT</t>
        </is>
      </c>
      <c r="B165" s="145" t="inlineStr">
        <is>
          <t>Top-Row Cell Format</t>
        </is>
      </c>
      <c r="C165" s="145" t="inlineStr">
        <is>
          <t>AA2</t>
        </is>
      </c>
      <c r="D165" s="145" t="inlineStr">
        <is>
          <t>REGULAR_DEPT!A1:AS193</t>
        </is>
      </c>
      <c r="E165" s="145" t="inlineStr">
        <is>
          <t>Percent</t>
        </is>
      </c>
      <c r="F165" s="145" t="inlineStr">
        <is>
          <t>#B4C6E7</t>
        </is>
      </c>
      <c r="G165" s="145" t="inlineStr">
        <is>
          <t>Aptos</t>
        </is>
      </c>
      <c r="H165" s="145" t="n">
        <v>8</v>
      </c>
      <c r="I165" s="145" t="inlineStr">
        <is>
          <t>Yes</t>
        </is>
      </c>
      <c r="J165" s="145" t="inlineStr">
        <is>
          <t>No</t>
        </is>
      </c>
      <c r="K165" s="145" t="inlineStr">
        <is>
          <t>None</t>
        </is>
      </c>
      <c r="L165" s="145" t="inlineStr">
        <is>
          <t>#000000</t>
        </is>
      </c>
      <c r="M165" s="145" t="inlineStr">
        <is>
          <t>Center</t>
        </is>
      </c>
      <c r="N165" s="145" t="inlineStr">
        <is>
          <t>Center</t>
        </is>
      </c>
      <c r="O165" s="145" t="inlineStr">
        <is>
          <t>No</t>
        </is>
      </c>
      <c r="P165" s="146" t="n">
        <v>0</v>
      </c>
      <c r="Q165" s="145" t="inlineStr">
        <is>
          <t>Percentage</t>
        </is>
      </c>
      <c r="R165" s="145" t="n"/>
      <c r="S165" s="145" t="n"/>
      <c r="T165" s="145" t="n"/>
      <c r="U165" s="145" t="n"/>
      <c r="V165" s="145" t="n"/>
      <c r="W165" s="145" t="n"/>
      <c r="X165" s="145" t="inlineStr">
        <is>
          <t>Detailed format sample from top 5 used rows</t>
        </is>
      </c>
    </row>
    <row r="166" ht="23.85" customHeight="1" s="79">
      <c r="A166" s="145" t="inlineStr">
        <is>
          <t>REGULAR_DEPT</t>
        </is>
      </c>
      <c r="B166" s="145" t="inlineStr">
        <is>
          <t>Top-Row Cell Format</t>
        </is>
      </c>
      <c r="C166" s="145" t="inlineStr">
        <is>
          <t>AA3</t>
        </is>
      </c>
      <c r="D166" s="145" t="inlineStr">
        <is>
          <t>REGULAR_DEPT!A1:AS193</t>
        </is>
      </c>
      <c r="E166" s="145" t="inlineStr">
        <is>
          <t>Normal</t>
        </is>
      </c>
      <c r="F166" s="145" t="inlineStr">
        <is>
          <t>#F8CBAD</t>
        </is>
      </c>
      <c r="G166" s="145" t="inlineStr">
        <is>
          <t>Aptos</t>
        </is>
      </c>
      <c r="H166" s="145" t="n">
        <v>8</v>
      </c>
      <c r="I166" s="145" t="inlineStr">
        <is>
          <t>Yes</t>
        </is>
      </c>
      <c r="J166" s="145" t="inlineStr">
        <is>
          <t>No</t>
        </is>
      </c>
      <c r="K166" s="145" t="inlineStr">
        <is>
          <t>None</t>
        </is>
      </c>
      <c r="L166" s="145" t="inlineStr">
        <is>
          <t>#000000</t>
        </is>
      </c>
      <c r="M166" s="145" t="inlineStr">
        <is>
          <t>Center</t>
        </is>
      </c>
      <c r="N166" s="145" t="inlineStr">
        <is>
          <t>Center</t>
        </is>
      </c>
      <c r="O166" s="145" t="inlineStr">
        <is>
          <t>Yes</t>
        </is>
      </c>
      <c r="P166" s="145" t="inlineStr">
        <is>
          <t>General</t>
        </is>
      </c>
      <c r="Q166" s="145" t="inlineStr">
        <is>
          <t>General</t>
        </is>
      </c>
      <c r="R166" s="145" t="n"/>
      <c r="S166" s="145" t="n"/>
      <c r="T166" s="145" t="n"/>
      <c r="U166" s="145" t="n"/>
      <c r="V166" s="145" t="n"/>
      <c r="W166" s="145" t="n"/>
      <c r="X166" s="145" t="inlineStr">
        <is>
          <t>Detailed format sample from top 5 used rows</t>
        </is>
      </c>
    </row>
    <row r="167" ht="23.85" customHeight="1" s="79">
      <c r="A167" s="145" t="inlineStr">
        <is>
          <t>REGULAR_DEPT</t>
        </is>
      </c>
      <c r="B167" s="145" t="inlineStr">
        <is>
          <t>Top-Row Cell Format</t>
        </is>
      </c>
      <c r="C167" s="145" t="inlineStr">
        <is>
          <t>AA4</t>
        </is>
      </c>
      <c r="D167" s="145" t="inlineStr">
        <is>
          <t>REGULAR_DEPT!A1:AS193</t>
        </is>
      </c>
      <c r="E167" s="145" t="inlineStr">
        <is>
          <t>Normal</t>
        </is>
      </c>
      <c r="F167" s="145" t="inlineStr">
        <is>
          <t>#F8CBAD</t>
        </is>
      </c>
      <c r="G167" s="145" t="inlineStr">
        <is>
          <t>Aptos</t>
        </is>
      </c>
      <c r="H167" s="145" t="n">
        <v>8</v>
      </c>
      <c r="I167" s="145" t="inlineStr">
        <is>
          <t>No</t>
        </is>
      </c>
      <c r="J167" s="145" t="inlineStr">
        <is>
          <t>No</t>
        </is>
      </c>
      <c r="K167" s="145" t="inlineStr">
        <is>
          <t>None</t>
        </is>
      </c>
      <c r="L167" s="145" t="inlineStr">
        <is>
          <t>#000000</t>
        </is>
      </c>
      <c r="M167" s="145" t="inlineStr">
        <is>
          <t>General</t>
        </is>
      </c>
      <c r="N167" s="145" t="inlineStr">
        <is>
          <t>Center</t>
        </is>
      </c>
      <c r="O167" s="145" t="inlineStr">
        <is>
          <t>No</t>
        </is>
      </c>
      <c r="P167" s="145" t="inlineStr">
        <is>
          <t>General</t>
        </is>
      </c>
      <c r="Q167" s="145" t="inlineStr">
        <is>
          <t>General</t>
        </is>
      </c>
      <c r="R167" s="145" t="n"/>
      <c r="S167" s="145" t="n"/>
      <c r="T167" s="145" t="n"/>
      <c r="U167" s="145" t="n"/>
      <c r="V167" s="145" t="n"/>
      <c r="W167" s="145" t="n"/>
      <c r="X167" s="145" t="inlineStr">
        <is>
          <t>Detailed format sample from top 5 used rows</t>
        </is>
      </c>
    </row>
    <row r="168" ht="23.85" customHeight="1" s="79">
      <c r="A168" s="145" t="inlineStr">
        <is>
          <t>REGULAR_DEPT</t>
        </is>
      </c>
      <c r="B168" s="145" t="inlineStr">
        <is>
          <t>Top-Row Cell Format</t>
        </is>
      </c>
      <c r="C168" s="145" t="inlineStr">
        <is>
          <t>AA5</t>
        </is>
      </c>
      <c r="D168" s="145" t="inlineStr">
        <is>
          <t>REGULAR_DEPT!A1:AS193</t>
        </is>
      </c>
      <c r="E168" s="145" t="inlineStr">
        <is>
          <t>Percent</t>
        </is>
      </c>
      <c r="F168" s="145" t="n"/>
      <c r="G168" s="145" t="inlineStr">
        <is>
          <t>Aptos</t>
        </is>
      </c>
      <c r="H168" s="145" t="n">
        <v>8</v>
      </c>
      <c r="I168" s="145" t="inlineStr">
        <is>
          <t>No</t>
        </is>
      </c>
      <c r="J168" s="145" t="inlineStr">
        <is>
          <t>No</t>
        </is>
      </c>
      <c r="K168" s="145" t="inlineStr">
        <is>
          <t>None</t>
        </is>
      </c>
      <c r="L168" s="145" t="inlineStr">
        <is>
          <t>#000000</t>
        </is>
      </c>
      <c r="M168" s="145" t="inlineStr">
        <is>
          <t>Center</t>
        </is>
      </c>
      <c r="N168" s="145" t="inlineStr">
        <is>
          <t>Center</t>
        </is>
      </c>
      <c r="O168" s="145" t="inlineStr">
        <is>
          <t>No</t>
        </is>
      </c>
      <c r="P168" s="146" t="n">
        <v>0</v>
      </c>
      <c r="Q168" s="145" t="inlineStr">
        <is>
          <t>Percentage</t>
        </is>
      </c>
      <c r="R168" s="145" t="n"/>
      <c r="S168" s="145" t="n"/>
      <c r="T168" s="145" t="n"/>
      <c r="U168" s="145" t="n"/>
      <c r="V168" s="145" t="n"/>
      <c r="W168" s="145" t="n"/>
      <c r="X168" s="145" t="inlineStr">
        <is>
          <t>Detailed format sample from top 5 used rows</t>
        </is>
      </c>
    </row>
    <row r="169" ht="23.85" customHeight="1" s="79">
      <c r="A169" s="145" t="inlineStr">
        <is>
          <t>REGULAR_DEPT</t>
        </is>
      </c>
      <c r="B169" s="145" t="inlineStr">
        <is>
          <t>Column Format</t>
        </is>
      </c>
      <c r="C169" s="145" t="inlineStr">
        <is>
          <t>AB:AB</t>
        </is>
      </c>
      <c r="D169" s="145" t="inlineStr">
        <is>
          <t>REGULAR_DEPT!A1:AS193</t>
        </is>
      </c>
      <c r="E169" s="145" t="inlineStr">
        <is>
          <t>Normal</t>
        </is>
      </c>
      <c r="F169" s="145" t="inlineStr">
        <is>
          <t>#8EA9DB</t>
        </is>
      </c>
      <c r="G169" s="145" t="inlineStr">
        <is>
          <t>Aptos</t>
        </is>
      </c>
      <c r="H169" s="145" t="n">
        <v>8</v>
      </c>
      <c r="I169" s="145" t="inlineStr">
        <is>
          <t>No</t>
        </is>
      </c>
      <c r="J169" s="145" t="inlineStr">
        <is>
          <t>No</t>
        </is>
      </c>
      <c r="K169" s="145" t="inlineStr">
        <is>
          <t>None</t>
        </is>
      </c>
      <c r="L169" s="145" t="inlineStr">
        <is>
          <t>#000000</t>
        </is>
      </c>
      <c r="M169" s="145" t="inlineStr">
        <is>
          <t>Mixed</t>
        </is>
      </c>
      <c r="N169" s="145" t="inlineStr">
        <is>
          <t>Center</t>
        </is>
      </c>
      <c r="O169" s="145" t="inlineStr">
        <is>
          <t>No</t>
        </is>
      </c>
      <c r="P169" s="145" t="n"/>
      <c r="Q169" s="145" t="n"/>
      <c r="R169" s="145" t="inlineStr">
        <is>
          <t>EdgeLeft:Continuous/Thin/#000000; EdgeRight:Continuous/Thin/#000000</t>
        </is>
      </c>
      <c r="S169" s="145" t="n">
        <v>4.29850746268657</v>
      </c>
      <c r="T169" s="145" t="n"/>
      <c r="U169" s="145" t="inlineStr">
        <is>
          <t>No</t>
        </is>
      </c>
      <c r="V169" s="145" t="inlineStr">
        <is>
          <t>Visible</t>
        </is>
      </c>
      <c r="W169" s="145" t="n"/>
      <c r="X169" s="145" t="inlineStr">
        <is>
          <t>Uniform style across used column</t>
        </is>
      </c>
    </row>
    <row r="170" ht="23.85" customHeight="1" s="79">
      <c r="A170" s="145" t="inlineStr">
        <is>
          <t>REGULAR_DEPT</t>
        </is>
      </c>
      <c r="B170" s="145" t="inlineStr">
        <is>
          <t>Top-Row Cell Format</t>
        </is>
      </c>
      <c r="C170" s="145" t="inlineStr">
        <is>
          <t>AB1</t>
        </is>
      </c>
      <c r="D170" s="145" t="inlineStr">
        <is>
          <t>REGULAR_DEPT!A1:AS193</t>
        </is>
      </c>
      <c r="E170" s="145" t="inlineStr">
        <is>
          <t>Normal</t>
        </is>
      </c>
      <c r="F170" s="145" t="inlineStr">
        <is>
          <t>#8EA9DB</t>
        </is>
      </c>
      <c r="G170" s="145" t="inlineStr">
        <is>
          <t>Aptos</t>
        </is>
      </c>
      <c r="H170" s="145" t="n">
        <v>8</v>
      </c>
      <c r="I170" s="145" t="inlineStr">
        <is>
          <t>No</t>
        </is>
      </c>
      <c r="J170" s="145" t="inlineStr">
        <is>
          <t>No</t>
        </is>
      </c>
      <c r="K170" s="145" t="inlineStr">
        <is>
          <t>None</t>
        </is>
      </c>
      <c r="L170" s="145" t="inlineStr">
        <is>
          <t>#000000</t>
        </is>
      </c>
      <c r="M170" s="145" t="inlineStr">
        <is>
          <t>General</t>
        </is>
      </c>
      <c r="N170" s="145" t="inlineStr">
        <is>
          <t>Center</t>
        </is>
      </c>
      <c r="O170" s="145" t="inlineStr">
        <is>
          <t>No</t>
        </is>
      </c>
      <c r="P170" s="145" t="inlineStr">
        <is>
          <t>General</t>
        </is>
      </c>
      <c r="Q170" s="145" t="inlineStr">
        <is>
          <t>General</t>
        </is>
      </c>
      <c r="R170" s="145" t="n"/>
      <c r="S170" s="145" t="n"/>
      <c r="T170" s="145" t="n"/>
      <c r="U170" s="145" t="n"/>
      <c r="V170" s="145" t="n"/>
      <c r="W170" s="145" t="n"/>
      <c r="X170" s="145" t="inlineStr">
        <is>
          <t>Detailed format sample from top 5 used rows</t>
        </is>
      </c>
    </row>
    <row r="171" ht="23.85" customHeight="1" s="79">
      <c r="A171" s="145" t="inlineStr">
        <is>
          <t>REGULAR_DEPT</t>
        </is>
      </c>
      <c r="B171" s="145" t="inlineStr">
        <is>
          <t>Top-Row Cell Format</t>
        </is>
      </c>
      <c r="C171" s="145" t="inlineStr">
        <is>
          <t>AB2</t>
        </is>
      </c>
      <c r="D171" s="145" t="inlineStr">
        <is>
          <t>REGULAR_DEPT!A1:AS193</t>
        </is>
      </c>
      <c r="E171" s="145" t="inlineStr">
        <is>
          <t>Normal</t>
        </is>
      </c>
      <c r="F171" s="145" t="inlineStr">
        <is>
          <t>#8EA9DB</t>
        </is>
      </c>
      <c r="G171" s="145" t="inlineStr">
        <is>
          <t>Aptos</t>
        </is>
      </c>
      <c r="H171" s="145" t="n">
        <v>8</v>
      </c>
      <c r="I171" s="145" t="inlineStr">
        <is>
          <t>No</t>
        </is>
      </c>
      <c r="J171" s="145" t="inlineStr">
        <is>
          <t>No</t>
        </is>
      </c>
      <c r="K171" s="145" t="inlineStr">
        <is>
          <t>None</t>
        </is>
      </c>
      <c r="L171" s="145" t="inlineStr">
        <is>
          <t>#000000</t>
        </is>
      </c>
      <c r="M171" s="145" t="inlineStr">
        <is>
          <t>General</t>
        </is>
      </c>
      <c r="N171" s="145" t="inlineStr">
        <is>
          <t>Center</t>
        </is>
      </c>
      <c r="O171" s="145" t="inlineStr">
        <is>
          <t>No</t>
        </is>
      </c>
      <c r="P171" s="145" t="inlineStr">
        <is>
          <t>General</t>
        </is>
      </c>
      <c r="Q171" s="145" t="inlineStr">
        <is>
          <t>General</t>
        </is>
      </c>
      <c r="R171" s="145" t="n"/>
      <c r="S171" s="145" t="n"/>
      <c r="T171" s="145" t="n"/>
      <c r="U171" s="145" t="n"/>
      <c r="V171" s="145" t="n"/>
      <c r="W171" s="145" t="n"/>
      <c r="X171" s="145" t="inlineStr">
        <is>
          <t>Detailed format sample from top 5 used rows</t>
        </is>
      </c>
    </row>
    <row r="172" ht="23.85" customHeight="1" s="79">
      <c r="A172" s="145" t="inlineStr">
        <is>
          <t>REGULAR_DEPT</t>
        </is>
      </c>
      <c r="B172" s="145" t="inlineStr">
        <is>
          <t>Top-Row Cell Format</t>
        </is>
      </c>
      <c r="C172" s="145" t="inlineStr">
        <is>
          <t>AB3</t>
        </is>
      </c>
      <c r="D172" s="145" t="inlineStr">
        <is>
          <t>REGULAR_DEPT!A1:AS193</t>
        </is>
      </c>
      <c r="E172" s="145" t="inlineStr">
        <is>
          <t>Normal</t>
        </is>
      </c>
      <c r="F172" s="145" t="inlineStr">
        <is>
          <t>#8EA9DB</t>
        </is>
      </c>
      <c r="G172" s="145" t="inlineStr">
        <is>
          <t>Aptos</t>
        </is>
      </c>
      <c r="H172" s="145" t="n">
        <v>8</v>
      </c>
      <c r="I172" s="145" t="inlineStr">
        <is>
          <t>No</t>
        </is>
      </c>
      <c r="J172" s="145" t="inlineStr">
        <is>
          <t>No</t>
        </is>
      </c>
      <c r="K172" s="145" t="inlineStr">
        <is>
          <t>None</t>
        </is>
      </c>
      <c r="L172" s="145" t="inlineStr">
        <is>
          <t>#000000</t>
        </is>
      </c>
      <c r="M172" s="145" t="inlineStr">
        <is>
          <t>Center</t>
        </is>
      </c>
      <c r="N172" s="145" t="inlineStr">
        <is>
          <t>Center</t>
        </is>
      </c>
      <c r="O172" s="145" t="inlineStr">
        <is>
          <t>No</t>
        </is>
      </c>
      <c r="P172" s="145" t="inlineStr">
        <is>
          <t>General</t>
        </is>
      </c>
      <c r="Q172" s="145" t="inlineStr">
        <is>
          <t>General</t>
        </is>
      </c>
      <c r="R172" s="145" t="n"/>
      <c r="S172" s="145" t="n"/>
      <c r="T172" s="145" t="n"/>
      <c r="U172" s="145" t="n"/>
      <c r="V172" s="145" t="n"/>
      <c r="W172" s="145" t="n"/>
      <c r="X172" s="145" t="inlineStr">
        <is>
          <t>Detailed format sample from top 5 used rows</t>
        </is>
      </c>
    </row>
    <row r="173" ht="23.85" customHeight="1" s="79">
      <c r="A173" s="145" t="inlineStr">
        <is>
          <t>REGULAR_DEPT</t>
        </is>
      </c>
      <c r="B173" s="145" t="inlineStr">
        <is>
          <t>Top-Row Cell Format</t>
        </is>
      </c>
      <c r="C173" s="145" t="inlineStr">
        <is>
          <t>AB4</t>
        </is>
      </c>
      <c r="D173" s="145" t="inlineStr">
        <is>
          <t>REGULAR_DEPT!A1:AS193</t>
        </is>
      </c>
      <c r="E173" s="145" t="inlineStr">
        <is>
          <t>Normal</t>
        </is>
      </c>
      <c r="F173" s="145" t="inlineStr">
        <is>
          <t>#8EA9DB</t>
        </is>
      </c>
      <c r="G173" s="145" t="inlineStr">
        <is>
          <t>Aptos</t>
        </is>
      </c>
      <c r="H173" s="145" t="n">
        <v>8</v>
      </c>
      <c r="I173" s="145" t="inlineStr">
        <is>
          <t>No</t>
        </is>
      </c>
      <c r="J173" s="145" t="inlineStr">
        <is>
          <t>No</t>
        </is>
      </c>
      <c r="K173" s="145" t="inlineStr">
        <is>
          <t>None</t>
        </is>
      </c>
      <c r="L173" s="145" t="inlineStr">
        <is>
          <t>#000000</t>
        </is>
      </c>
      <c r="M173" s="145" t="inlineStr">
        <is>
          <t>General</t>
        </is>
      </c>
      <c r="N173" s="145" t="inlineStr">
        <is>
          <t>Center</t>
        </is>
      </c>
      <c r="O173" s="145" t="inlineStr">
        <is>
          <t>No</t>
        </is>
      </c>
      <c r="P173" s="145" t="inlineStr">
        <is>
          <t>General</t>
        </is>
      </c>
      <c r="Q173" s="145" t="inlineStr">
        <is>
          <t>General</t>
        </is>
      </c>
      <c r="R173" s="145" t="n"/>
      <c r="S173" s="145" t="n"/>
      <c r="T173" s="145" t="n"/>
      <c r="U173" s="145" t="n"/>
      <c r="V173" s="145" t="n"/>
      <c r="W173" s="145" t="n"/>
      <c r="X173" s="145" t="inlineStr">
        <is>
          <t>Detailed format sample from top 5 used rows</t>
        </is>
      </c>
    </row>
    <row r="174" ht="23.85" customHeight="1" s="79">
      <c r="A174" s="145" t="inlineStr">
        <is>
          <t>REGULAR_DEPT</t>
        </is>
      </c>
      <c r="B174" s="145" t="inlineStr">
        <is>
          <t>Top-Row Cell Format</t>
        </is>
      </c>
      <c r="C174" s="145" t="inlineStr">
        <is>
          <t>AB5</t>
        </is>
      </c>
      <c r="D174" s="145" t="inlineStr">
        <is>
          <t>REGULAR_DEPT!A1:AS193</t>
        </is>
      </c>
      <c r="E174" s="145" t="inlineStr">
        <is>
          <t>Normal</t>
        </is>
      </c>
      <c r="F174" s="145" t="inlineStr">
        <is>
          <t>#8EA9DB</t>
        </is>
      </c>
      <c r="G174" s="145" t="inlineStr">
        <is>
          <t>Aptos</t>
        </is>
      </c>
      <c r="H174" s="145" t="n">
        <v>8</v>
      </c>
      <c r="I174" s="145" t="inlineStr">
        <is>
          <t>No</t>
        </is>
      </c>
      <c r="J174" s="145" t="inlineStr">
        <is>
          <t>No</t>
        </is>
      </c>
      <c r="K174" s="145" t="inlineStr">
        <is>
          <t>None</t>
        </is>
      </c>
      <c r="L174" s="145" t="inlineStr">
        <is>
          <t>#000000</t>
        </is>
      </c>
      <c r="M174" s="145" t="inlineStr">
        <is>
          <t>General</t>
        </is>
      </c>
      <c r="N174" s="145" t="inlineStr">
        <is>
          <t>Center</t>
        </is>
      </c>
      <c r="O174" s="145" t="inlineStr">
        <is>
          <t>No</t>
        </is>
      </c>
      <c r="P174" s="145" t="inlineStr">
        <is>
          <t>General</t>
        </is>
      </c>
      <c r="Q174" s="145" t="inlineStr">
        <is>
          <t>General</t>
        </is>
      </c>
      <c r="R174" s="145" t="n"/>
      <c r="S174" s="145" t="n"/>
      <c r="T174" s="145" t="n"/>
      <c r="U174" s="145" t="n"/>
      <c r="V174" s="145" t="n"/>
      <c r="W174" s="145" t="n"/>
      <c r="X174" s="145" t="inlineStr">
        <is>
          <t>Detailed format sample from top 5 used rows</t>
        </is>
      </c>
    </row>
    <row r="175" ht="57.45" customHeight="1" s="79">
      <c r="A175" s="145" t="inlineStr">
        <is>
          <t>REGULAR_DEPT</t>
        </is>
      </c>
      <c r="B175" s="145" t="inlineStr">
        <is>
          <t>Column Format</t>
        </is>
      </c>
      <c r="C175" s="145" t="inlineStr">
        <is>
          <t>AC:AC</t>
        </is>
      </c>
      <c r="D175" s="145" t="inlineStr">
        <is>
          <t>REGULAR_DEPT!A1:AS193</t>
        </is>
      </c>
      <c r="E175" s="145" t="inlineStr">
        <is>
          <t>Mixed</t>
        </is>
      </c>
      <c r="F175" s="145" t="inlineStr">
        <is>
          <t>Mixed</t>
        </is>
      </c>
      <c r="G175" s="145" t="inlineStr">
        <is>
          <t>Aptos</t>
        </is>
      </c>
      <c r="H175" s="145" t="n">
        <v>8</v>
      </c>
      <c r="I175" s="145" t="inlineStr">
        <is>
          <t>Mixed</t>
        </is>
      </c>
      <c r="J175" s="145" t="inlineStr">
        <is>
          <t>No</t>
        </is>
      </c>
      <c r="K175" s="145" t="inlineStr">
        <is>
          <t>None</t>
        </is>
      </c>
      <c r="L175" s="145" t="inlineStr">
        <is>
          <t>#000000</t>
        </is>
      </c>
      <c r="M175" s="145" t="inlineStr">
        <is>
          <t>Mixed</t>
        </is>
      </c>
      <c r="N175" s="145" t="inlineStr">
        <is>
          <t>Center</t>
        </is>
      </c>
      <c r="O175" s="145" t="inlineStr">
        <is>
          <t>Mixed</t>
        </is>
      </c>
      <c r="P175" s="145" t="n"/>
      <c r="Q175" s="145" t="n"/>
      <c r="R175" s="145" t="inlineStr">
        <is>
          <t>EdgeTop:Continuous/Thin/#000000; EdgeBottom:Continuous/Thin/#000000; EdgeLeft:Continuous/Thin/#000000; EdgeRight:Continuous/Thin/#000000; InsideHorizontal:Continuous/Thin/#000000</t>
        </is>
      </c>
      <c r="S175" s="145" t="n">
        <v>52.6567164179104</v>
      </c>
      <c r="T175" s="145" t="n"/>
      <c r="U175" s="145" t="inlineStr">
        <is>
          <t>No</t>
        </is>
      </c>
      <c r="V175" s="145" t="inlineStr">
        <is>
          <t>Visible</t>
        </is>
      </c>
      <c r="W175" s="145" t="n"/>
      <c r="X175" s="145" t="inlineStr">
        <is>
          <t>Mixed styles within used column</t>
        </is>
      </c>
    </row>
    <row r="176" ht="23.85" customHeight="1" s="79">
      <c r="A176" s="145" t="inlineStr">
        <is>
          <t>REGULAR_DEPT</t>
        </is>
      </c>
      <c r="B176" s="145" t="inlineStr">
        <is>
          <t>Top-Row Cell Format</t>
        </is>
      </c>
      <c r="C176" s="145" t="inlineStr">
        <is>
          <t>AC1</t>
        </is>
      </c>
      <c r="D176" s="145" t="inlineStr">
        <is>
          <t>REGULAR_DEPT!A1:AS193</t>
        </is>
      </c>
      <c r="E176" s="145" t="inlineStr">
        <is>
          <t>Normal</t>
        </is>
      </c>
      <c r="F176" s="145" t="inlineStr">
        <is>
          <t>#C9C9C9</t>
        </is>
      </c>
      <c r="G176" s="145" t="inlineStr">
        <is>
          <t>Aptos</t>
        </is>
      </c>
      <c r="H176" s="145" t="n">
        <v>8</v>
      </c>
      <c r="I176" s="145" t="inlineStr">
        <is>
          <t>Yes</t>
        </is>
      </c>
      <c r="J176" s="145" t="inlineStr">
        <is>
          <t>No</t>
        </is>
      </c>
      <c r="K176" s="145" t="inlineStr">
        <is>
          <t>None</t>
        </is>
      </c>
      <c r="L176" s="145" t="inlineStr">
        <is>
          <t>#000000</t>
        </is>
      </c>
      <c r="M176" s="145" t="inlineStr">
        <is>
          <t>Center</t>
        </is>
      </c>
      <c r="N176" s="145" t="inlineStr">
        <is>
          <t>Center</t>
        </is>
      </c>
      <c r="O176" s="145" t="inlineStr">
        <is>
          <t>No</t>
        </is>
      </c>
      <c r="P176" s="145" t="inlineStr">
        <is>
          <t>General</t>
        </is>
      </c>
      <c r="Q176" s="145" t="inlineStr">
        <is>
          <t>General</t>
        </is>
      </c>
      <c r="R176" s="145" t="n"/>
      <c r="S176" s="145" t="n"/>
      <c r="T176" s="145" t="n"/>
      <c r="U176" s="145" t="n"/>
      <c r="V176" s="145" t="n"/>
      <c r="W176" s="145" t="n"/>
      <c r="X176" s="145" t="inlineStr">
        <is>
          <t>Detailed format sample from top 5 used rows</t>
        </is>
      </c>
    </row>
    <row r="177" ht="23.85" customHeight="1" s="79">
      <c r="A177" s="145" t="inlineStr">
        <is>
          <t>REGULAR_DEPT</t>
        </is>
      </c>
      <c r="B177" s="145" t="inlineStr">
        <is>
          <t>Top-Row Cell Format</t>
        </is>
      </c>
      <c r="C177" s="145" t="inlineStr">
        <is>
          <t>AC2</t>
        </is>
      </c>
      <c r="D177" s="145" t="inlineStr">
        <is>
          <t>REGULAR_DEPT!A1:AS193</t>
        </is>
      </c>
      <c r="E177" s="145" t="inlineStr">
        <is>
          <t>Percent</t>
        </is>
      </c>
      <c r="F177" s="145" t="inlineStr">
        <is>
          <t>#B4C6E7</t>
        </is>
      </c>
      <c r="G177" s="145" t="inlineStr">
        <is>
          <t>Aptos</t>
        </is>
      </c>
      <c r="H177" s="145" t="n">
        <v>8</v>
      </c>
      <c r="I177" s="145" t="inlineStr">
        <is>
          <t>Yes</t>
        </is>
      </c>
      <c r="J177" s="145" t="inlineStr">
        <is>
          <t>No</t>
        </is>
      </c>
      <c r="K177" s="145" t="inlineStr">
        <is>
          <t>None</t>
        </is>
      </c>
      <c r="L177" s="145" t="inlineStr">
        <is>
          <t>#000000</t>
        </is>
      </c>
      <c r="M177" s="145" t="inlineStr">
        <is>
          <t>Center</t>
        </is>
      </c>
      <c r="N177" s="145" t="inlineStr">
        <is>
          <t>Center</t>
        </is>
      </c>
      <c r="O177" s="145" t="inlineStr">
        <is>
          <t>No</t>
        </is>
      </c>
      <c r="P177" s="146" t="n">
        <v>0</v>
      </c>
      <c r="Q177" s="145" t="inlineStr">
        <is>
          <t>Percentage</t>
        </is>
      </c>
      <c r="R177" s="145" t="n"/>
      <c r="S177" s="145" t="n"/>
      <c r="T177" s="145" t="n"/>
      <c r="U177" s="145" t="n"/>
      <c r="V177" s="145" t="n"/>
      <c r="W177" s="145" t="n"/>
      <c r="X177" s="145" t="inlineStr">
        <is>
          <t>Detailed format sample from top 5 used rows</t>
        </is>
      </c>
    </row>
    <row r="178" ht="23.85" customHeight="1" s="79">
      <c r="A178" s="145" t="inlineStr">
        <is>
          <t>REGULAR_DEPT</t>
        </is>
      </c>
      <c r="B178" s="145" t="inlineStr">
        <is>
          <t>Top-Row Cell Format</t>
        </is>
      </c>
      <c r="C178" s="145" t="inlineStr">
        <is>
          <t>AC3</t>
        </is>
      </c>
      <c r="D178" s="145" t="inlineStr">
        <is>
          <t>REGULAR_DEPT!A1:AS193</t>
        </is>
      </c>
      <c r="E178" s="145" t="inlineStr">
        <is>
          <t>Normal</t>
        </is>
      </c>
      <c r="F178" s="145" t="inlineStr">
        <is>
          <t>#F8CBAD</t>
        </is>
      </c>
      <c r="G178" s="145" t="inlineStr">
        <is>
          <t>Aptos</t>
        </is>
      </c>
      <c r="H178" s="145" t="n">
        <v>8</v>
      </c>
      <c r="I178" s="145" t="inlineStr">
        <is>
          <t>Yes</t>
        </is>
      </c>
      <c r="J178" s="145" t="inlineStr">
        <is>
          <t>No</t>
        </is>
      </c>
      <c r="K178" s="145" t="inlineStr">
        <is>
          <t>None</t>
        </is>
      </c>
      <c r="L178" s="145" t="inlineStr">
        <is>
          <t>#000000</t>
        </is>
      </c>
      <c r="M178" s="145" t="inlineStr">
        <is>
          <t>Center</t>
        </is>
      </c>
      <c r="N178" s="145" t="inlineStr">
        <is>
          <t>Center</t>
        </is>
      </c>
      <c r="O178" s="145" t="inlineStr">
        <is>
          <t>Yes</t>
        </is>
      </c>
      <c r="P178" s="145" t="inlineStr">
        <is>
          <t>General</t>
        </is>
      </c>
      <c r="Q178" s="145" t="inlineStr">
        <is>
          <t>General</t>
        </is>
      </c>
      <c r="R178" s="145" t="n"/>
      <c r="S178" s="145" t="n"/>
      <c r="T178" s="145" t="n"/>
      <c r="U178" s="145" t="n"/>
      <c r="V178" s="145" t="n"/>
      <c r="W178" s="145" t="n"/>
      <c r="X178" s="145" t="inlineStr">
        <is>
          <t>Detailed format sample from top 5 used rows</t>
        </is>
      </c>
    </row>
    <row r="179" ht="23.85" customHeight="1" s="79">
      <c r="A179" s="145" t="inlineStr">
        <is>
          <t>REGULAR_DEPT</t>
        </is>
      </c>
      <c r="B179" s="145" t="inlineStr">
        <is>
          <t>Top-Row Cell Format</t>
        </is>
      </c>
      <c r="C179" s="145" t="inlineStr">
        <is>
          <t>AC4</t>
        </is>
      </c>
      <c r="D179" s="145" t="inlineStr">
        <is>
          <t>REGULAR_DEPT!A1:AS193</t>
        </is>
      </c>
      <c r="E179" s="145" t="inlineStr">
        <is>
          <t>Normal</t>
        </is>
      </c>
      <c r="F179" s="145" t="inlineStr">
        <is>
          <t>#F8CBAD</t>
        </is>
      </c>
      <c r="G179" s="145" t="inlineStr">
        <is>
          <t>Aptos</t>
        </is>
      </c>
      <c r="H179" s="145" t="n">
        <v>8</v>
      </c>
      <c r="I179" s="145" t="inlineStr">
        <is>
          <t>No</t>
        </is>
      </c>
      <c r="J179" s="145" t="inlineStr">
        <is>
          <t>No</t>
        </is>
      </c>
      <c r="K179" s="145" t="inlineStr">
        <is>
          <t>None</t>
        </is>
      </c>
      <c r="L179" s="145" t="inlineStr">
        <is>
          <t>#000000</t>
        </is>
      </c>
      <c r="M179" s="145" t="inlineStr">
        <is>
          <t>General</t>
        </is>
      </c>
      <c r="N179" s="145" t="inlineStr">
        <is>
          <t>Center</t>
        </is>
      </c>
      <c r="O179" s="145" t="inlineStr">
        <is>
          <t>No</t>
        </is>
      </c>
      <c r="P179" s="145" t="inlineStr">
        <is>
          <t>General</t>
        </is>
      </c>
      <c r="Q179" s="145" t="inlineStr">
        <is>
          <t>General</t>
        </is>
      </c>
      <c r="R179" s="145" t="n"/>
      <c r="S179" s="145" t="n"/>
      <c r="T179" s="145" t="n"/>
      <c r="U179" s="145" t="n"/>
      <c r="V179" s="145" t="n"/>
      <c r="W179" s="145" t="n"/>
      <c r="X179" s="145" t="inlineStr">
        <is>
          <t>Detailed format sample from top 5 used rows</t>
        </is>
      </c>
    </row>
    <row r="180" ht="23.85" customHeight="1" s="79">
      <c r="A180" s="145" t="inlineStr">
        <is>
          <t>REGULAR_DEPT</t>
        </is>
      </c>
      <c r="B180" s="145" t="inlineStr">
        <is>
          <t>Top-Row Cell Format</t>
        </is>
      </c>
      <c r="C180" s="145" t="inlineStr">
        <is>
          <t>AC5</t>
        </is>
      </c>
      <c r="D180" s="145" t="inlineStr">
        <is>
          <t>REGULAR_DEPT!A1:AS193</t>
        </is>
      </c>
      <c r="E180" s="145" t="inlineStr">
        <is>
          <t>Percent</t>
        </is>
      </c>
      <c r="F180" s="145" t="n"/>
      <c r="G180" s="145" t="inlineStr">
        <is>
          <t>Aptos</t>
        </is>
      </c>
      <c r="H180" s="145" t="n">
        <v>8</v>
      </c>
      <c r="I180" s="145" t="inlineStr">
        <is>
          <t>No</t>
        </is>
      </c>
      <c r="J180" s="145" t="inlineStr">
        <is>
          <t>No</t>
        </is>
      </c>
      <c r="K180" s="145" t="inlineStr">
        <is>
          <t>None</t>
        </is>
      </c>
      <c r="L180" s="145" t="inlineStr">
        <is>
          <t>#000000</t>
        </is>
      </c>
      <c r="M180" s="145" t="inlineStr">
        <is>
          <t>Center</t>
        </is>
      </c>
      <c r="N180" s="145" t="inlineStr">
        <is>
          <t>Center</t>
        </is>
      </c>
      <c r="O180" s="145" t="inlineStr">
        <is>
          <t>No</t>
        </is>
      </c>
      <c r="P180" s="146" t="n">
        <v>0</v>
      </c>
      <c r="Q180" s="145" t="inlineStr">
        <is>
          <t>Percentage</t>
        </is>
      </c>
      <c r="R180" s="145" t="n"/>
      <c r="S180" s="145" t="n"/>
      <c r="T180" s="145" t="n"/>
      <c r="U180" s="145" t="n"/>
      <c r="V180" s="145" t="n"/>
      <c r="W180" s="145" t="n"/>
      <c r="X180" s="145" t="inlineStr">
        <is>
          <t>Detailed format sample from top 5 used rows</t>
        </is>
      </c>
    </row>
    <row r="181" ht="46.25" customHeight="1" s="79">
      <c r="A181" s="145" t="inlineStr">
        <is>
          <t>REGULAR_DEPT</t>
        </is>
      </c>
      <c r="B181" s="145" t="inlineStr">
        <is>
          <t>Column Format</t>
        </is>
      </c>
      <c r="C181" s="145" t="inlineStr">
        <is>
          <t>AD:AD</t>
        </is>
      </c>
      <c r="D181" s="145" t="inlineStr">
        <is>
          <t>REGULAR_DEPT!A1:AS193</t>
        </is>
      </c>
      <c r="E181" s="145" t="inlineStr">
        <is>
          <t>Mixed</t>
        </is>
      </c>
      <c r="F181" s="145" t="inlineStr">
        <is>
          <t>Mixed</t>
        </is>
      </c>
      <c r="G181" s="145" t="inlineStr">
        <is>
          <t>Aptos</t>
        </is>
      </c>
      <c r="H181" s="145" t="n">
        <v>8</v>
      </c>
      <c r="I181" s="145" t="inlineStr">
        <is>
          <t>Mixed</t>
        </is>
      </c>
      <c r="J181" s="145" t="inlineStr">
        <is>
          <t>No</t>
        </is>
      </c>
      <c r="K181" s="145" t="inlineStr">
        <is>
          <t>None</t>
        </is>
      </c>
      <c r="L181" s="145" t="inlineStr">
        <is>
          <t>#000000</t>
        </is>
      </c>
      <c r="M181" s="145" t="inlineStr">
        <is>
          <t>Mixed</t>
        </is>
      </c>
      <c r="N181" s="145" t="inlineStr">
        <is>
          <t>Center</t>
        </is>
      </c>
      <c r="O181" s="145" t="inlineStr">
        <is>
          <t>Mixed</t>
        </is>
      </c>
      <c r="P181" s="145" t="n"/>
      <c r="Q181" s="145" t="n"/>
      <c r="R181" s="145" t="inlineStr">
        <is>
          <t>EdgeTop:Continuous/Thin/#000000; EdgeBottom:Continuous/Thin/#000000; EdgeRight:Continuous/Thin/#000000; InsideHorizontal:Continuous/Thin/#000000</t>
        </is>
      </c>
      <c r="S181" s="145" t="n">
        <v>0</v>
      </c>
      <c r="T181" s="145" t="n"/>
      <c r="U181" s="145" t="inlineStr">
        <is>
          <t>Yes</t>
        </is>
      </c>
      <c r="V181" s="145" t="inlineStr">
        <is>
          <t>Hidden column (possible outline/group)</t>
        </is>
      </c>
      <c r="W181" s="145" t="n"/>
      <c r="X181" s="145" t="inlineStr">
        <is>
          <t>Mixed styles within used column</t>
        </is>
      </c>
    </row>
    <row r="182" ht="23.85" customHeight="1" s="79">
      <c r="A182" s="145" t="inlineStr">
        <is>
          <t>REGULAR_DEPT</t>
        </is>
      </c>
      <c r="B182" s="145" t="inlineStr">
        <is>
          <t>Top-Row Cell Format</t>
        </is>
      </c>
      <c r="C182" s="145" t="inlineStr">
        <is>
          <t>AD1</t>
        </is>
      </c>
      <c r="D182" s="145" t="inlineStr">
        <is>
          <t>REGULAR_DEPT!A1:AS193</t>
        </is>
      </c>
      <c r="E182" s="145" t="inlineStr">
        <is>
          <t>Normal</t>
        </is>
      </c>
      <c r="F182" s="145" t="inlineStr">
        <is>
          <t>#C9C9C9</t>
        </is>
      </c>
      <c r="G182" s="145" t="inlineStr">
        <is>
          <t>Aptos</t>
        </is>
      </c>
      <c r="H182" s="145" t="n">
        <v>8</v>
      </c>
      <c r="I182" s="145" t="inlineStr">
        <is>
          <t>Yes</t>
        </is>
      </c>
      <c r="J182" s="145" t="inlineStr">
        <is>
          <t>No</t>
        </is>
      </c>
      <c r="K182" s="145" t="inlineStr">
        <is>
          <t>None</t>
        </is>
      </c>
      <c r="L182" s="145" t="inlineStr">
        <is>
          <t>#000000</t>
        </is>
      </c>
      <c r="M182" s="145" t="inlineStr">
        <is>
          <t>Center</t>
        </is>
      </c>
      <c r="N182" s="145" t="inlineStr">
        <is>
          <t>Center</t>
        </is>
      </c>
      <c r="O182" s="145" t="inlineStr">
        <is>
          <t>No</t>
        </is>
      </c>
      <c r="P182" s="145" t="inlineStr">
        <is>
          <t>General</t>
        </is>
      </c>
      <c r="Q182" s="145" t="inlineStr">
        <is>
          <t>General</t>
        </is>
      </c>
      <c r="R182" s="145" t="n"/>
      <c r="S182" s="145" t="n"/>
      <c r="T182" s="145" t="n"/>
      <c r="U182" s="145" t="n"/>
      <c r="V182" s="145" t="n"/>
      <c r="W182" s="145" t="n"/>
      <c r="X182" s="145" t="inlineStr">
        <is>
          <t>Detailed format sample from top 5 used rows</t>
        </is>
      </c>
    </row>
    <row r="183" ht="23.85" customHeight="1" s="79">
      <c r="A183" s="145" t="inlineStr">
        <is>
          <t>REGULAR_DEPT</t>
        </is>
      </c>
      <c r="B183" s="145" t="inlineStr">
        <is>
          <t>Top-Row Cell Format</t>
        </is>
      </c>
      <c r="C183" s="145" t="inlineStr">
        <is>
          <t>AD2</t>
        </is>
      </c>
      <c r="D183" s="145" t="inlineStr">
        <is>
          <t>REGULAR_DEPT!A1:AS193</t>
        </is>
      </c>
      <c r="E183" s="145" t="inlineStr">
        <is>
          <t>Percent</t>
        </is>
      </c>
      <c r="F183" s="145" t="inlineStr">
        <is>
          <t>#B4C6E7</t>
        </is>
      </c>
      <c r="G183" s="145" t="inlineStr">
        <is>
          <t>Aptos</t>
        </is>
      </c>
      <c r="H183" s="145" t="n">
        <v>8</v>
      </c>
      <c r="I183" s="145" t="inlineStr">
        <is>
          <t>Yes</t>
        </is>
      </c>
      <c r="J183" s="145" t="inlineStr">
        <is>
          <t>No</t>
        </is>
      </c>
      <c r="K183" s="145" t="inlineStr">
        <is>
          <t>None</t>
        </is>
      </c>
      <c r="L183" s="145" t="inlineStr">
        <is>
          <t>#000000</t>
        </is>
      </c>
      <c r="M183" s="145" t="inlineStr">
        <is>
          <t>Center</t>
        </is>
      </c>
      <c r="N183" s="145" t="inlineStr">
        <is>
          <t>Center</t>
        </is>
      </c>
      <c r="O183" s="145" t="inlineStr">
        <is>
          <t>No</t>
        </is>
      </c>
      <c r="P183" s="146" t="n">
        <v>0</v>
      </c>
      <c r="Q183" s="145" t="inlineStr">
        <is>
          <t>Percentage</t>
        </is>
      </c>
      <c r="R183" s="145" t="n"/>
      <c r="S183" s="145" t="n"/>
      <c r="T183" s="145" t="n"/>
      <c r="U183" s="145" t="n"/>
      <c r="V183" s="145" t="n"/>
      <c r="W183" s="145" t="n"/>
      <c r="X183" s="145" t="inlineStr">
        <is>
          <t>Detailed format sample from top 5 used rows</t>
        </is>
      </c>
    </row>
    <row r="184" ht="23.85" customHeight="1" s="79">
      <c r="A184" s="145" t="inlineStr">
        <is>
          <t>REGULAR_DEPT</t>
        </is>
      </c>
      <c r="B184" s="145" t="inlineStr">
        <is>
          <t>Top-Row Cell Format</t>
        </is>
      </c>
      <c r="C184" s="145" t="inlineStr">
        <is>
          <t>AD3</t>
        </is>
      </c>
      <c r="D184" s="145" t="inlineStr">
        <is>
          <t>REGULAR_DEPT!A1:AS193</t>
        </is>
      </c>
      <c r="E184" s="145" t="inlineStr">
        <is>
          <t>Normal</t>
        </is>
      </c>
      <c r="F184" s="145" t="inlineStr">
        <is>
          <t>#F8CBAD</t>
        </is>
      </c>
      <c r="G184" s="145" t="inlineStr">
        <is>
          <t>Aptos</t>
        </is>
      </c>
      <c r="H184" s="145" t="n">
        <v>8</v>
      </c>
      <c r="I184" s="145" t="inlineStr">
        <is>
          <t>Yes</t>
        </is>
      </c>
      <c r="J184" s="145" t="inlineStr">
        <is>
          <t>No</t>
        </is>
      </c>
      <c r="K184" s="145" t="inlineStr">
        <is>
          <t>None</t>
        </is>
      </c>
      <c r="L184" s="145" t="inlineStr">
        <is>
          <t>#000000</t>
        </is>
      </c>
      <c r="M184" s="145" t="inlineStr">
        <is>
          <t>Center</t>
        </is>
      </c>
      <c r="N184" s="145" t="inlineStr">
        <is>
          <t>Center</t>
        </is>
      </c>
      <c r="O184" s="145" t="inlineStr">
        <is>
          <t>Yes</t>
        </is>
      </c>
      <c r="P184" s="145" t="inlineStr">
        <is>
          <t>General</t>
        </is>
      </c>
      <c r="Q184" s="145" t="inlineStr">
        <is>
          <t>General</t>
        </is>
      </c>
      <c r="R184" s="145" t="n"/>
      <c r="S184" s="145" t="n"/>
      <c r="T184" s="145" t="n"/>
      <c r="U184" s="145" t="n"/>
      <c r="V184" s="145" t="n"/>
      <c r="W184" s="145" t="n"/>
      <c r="X184" s="145" t="inlineStr">
        <is>
          <t>Detailed format sample from top 5 used rows</t>
        </is>
      </c>
    </row>
    <row r="185" ht="23.85" customHeight="1" s="79">
      <c r="A185" s="145" t="inlineStr">
        <is>
          <t>REGULAR_DEPT</t>
        </is>
      </c>
      <c r="B185" s="145" t="inlineStr">
        <is>
          <t>Top-Row Cell Format</t>
        </is>
      </c>
      <c r="C185" s="145" t="inlineStr">
        <is>
          <t>AD4</t>
        </is>
      </c>
      <c r="D185" s="145" t="inlineStr">
        <is>
          <t>REGULAR_DEPT!A1:AS193</t>
        </is>
      </c>
      <c r="E185" s="145" t="inlineStr">
        <is>
          <t>Normal</t>
        </is>
      </c>
      <c r="F185" s="145" t="inlineStr">
        <is>
          <t>#F8CBAD</t>
        </is>
      </c>
      <c r="G185" s="145" t="inlineStr">
        <is>
          <t>Aptos</t>
        </is>
      </c>
      <c r="H185" s="145" t="n">
        <v>8</v>
      </c>
      <c r="I185" s="145" t="inlineStr">
        <is>
          <t>No</t>
        </is>
      </c>
      <c r="J185" s="145" t="inlineStr">
        <is>
          <t>No</t>
        </is>
      </c>
      <c r="K185" s="145" t="inlineStr">
        <is>
          <t>None</t>
        </is>
      </c>
      <c r="L185" s="145" t="inlineStr">
        <is>
          <t>#000000</t>
        </is>
      </c>
      <c r="M185" s="145" t="inlineStr">
        <is>
          <t>General</t>
        </is>
      </c>
      <c r="N185" s="145" t="inlineStr">
        <is>
          <t>Center</t>
        </is>
      </c>
      <c r="O185" s="145" t="inlineStr">
        <is>
          <t>No</t>
        </is>
      </c>
      <c r="P185" s="145" t="inlineStr">
        <is>
          <t>General</t>
        </is>
      </c>
      <c r="Q185" s="145" t="inlineStr">
        <is>
          <t>General</t>
        </is>
      </c>
      <c r="R185" s="145" t="n"/>
      <c r="S185" s="145" t="n"/>
      <c r="T185" s="145" t="n"/>
      <c r="U185" s="145" t="n"/>
      <c r="V185" s="145" t="n"/>
      <c r="W185" s="145" t="n"/>
      <c r="X185" s="145" t="inlineStr">
        <is>
          <t>Detailed format sample from top 5 used rows</t>
        </is>
      </c>
    </row>
    <row r="186" ht="23.85" customHeight="1" s="79">
      <c r="A186" s="145" t="inlineStr">
        <is>
          <t>REGULAR_DEPT</t>
        </is>
      </c>
      <c r="B186" s="145" t="inlineStr">
        <is>
          <t>Top-Row Cell Format</t>
        </is>
      </c>
      <c r="C186" s="145" t="inlineStr">
        <is>
          <t>AD5</t>
        </is>
      </c>
      <c r="D186" s="145" t="inlineStr">
        <is>
          <t>REGULAR_DEPT!A1:AS193</t>
        </is>
      </c>
      <c r="E186" s="145" t="inlineStr">
        <is>
          <t>Percent</t>
        </is>
      </c>
      <c r="F186" s="145" t="n"/>
      <c r="G186" s="145" t="inlineStr">
        <is>
          <t>Aptos</t>
        </is>
      </c>
      <c r="H186" s="145" t="n">
        <v>8</v>
      </c>
      <c r="I186" s="145" t="inlineStr">
        <is>
          <t>No</t>
        </is>
      </c>
      <c r="J186" s="145" t="inlineStr">
        <is>
          <t>No</t>
        </is>
      </c>
      <c r="K186" s="145" t="inlineStr">
        <is>
          <t>None</t>
        </is>
      </c>
      <c r="L186" s="145" t="inlineStr">
        <is>
          <t>#000000</t>
        </is>
      </c>
      <c r="M186" s="145" t="inlineStr">
        <is>
          <t>Center</t>
        </is>
      </c>
      <c r="N186" s="145" t="inlineStr">
        <is>
          <t>Center</t>
        </is>
      </c>
      <c r="O186" s="145" t="inlineStr">
        <is>
          <t>No</t>
        </is>
      </c>
      <c r="P186" s="146" t="n">
        <v>0</v>
      </c>
      <c r="Q186" s="145" t="inlineStr">
        <is>
          <t>Percentage</t>
        </is>
      </c>
      <c r="R186" s="145" t="n"/>
      <c r="S186" s="145" t="n"/>
      <c r="T186" s="145" t="n"/>
      <c r="U186" s="145" t="n"/>
      <c r="V186" s="145" t="n"/>
      <c r="W186" s="145" t="n"/>
      <c r="X186" s="145" t="inlineStr">
        <is>
          <t>Detailed format sample from top 5 used rows</t>
        </is>
      </c>
    </row>
    <row r="187" ht="46.25" customHeight="1" s="79">
      <c r="A187" s="145" t="inlineStr">
        <is>
          <t>REGULAR_DEPT</t>
        </is>
      </c>
      <c r="B187" s="145" t="inlineStr">
        <is>
          <t>Column Format</t>
        </is>
      </c>
      <c r="C187" s="145" t="inlineStr">
        <is>
          <t>AE:AE</t>
        </is>
      </c>
      <c r="D187" s="145" t="inlineStr">
        <is>
          <t>REGULAR_DEPT!A1:AS193</t>
        </is>
      </c>
      <c r="E187" s="145" t="inlineStr">
        <is>
          <t>Mixed</t>
        </is>
      </c>
      <c r="F187" s="145" t="inlineStr">
        <is>
          <t>Mixed</t>
        </is>
      </c>
      <c r="G187" s="145" t="inlineStr">
        <is>
          <t>Aptos</t>
        </is>
      </c>
      <c r="H187" s="145" t="n">
        <v>8</v>
      </c>
      <c r="I187" s="145" t="inlineStr">
        <is>
          <t>Mixed</t>
        </is>
      </c>
      <c r="J187" s="145" t="inlineStr">
        <is>
          <t>No</t>
        </is>
      </c>
      <c r="K187" s="145" t="inlineStr">
        <is>
          <t>None</t>
        </is>
      </c>
      <c r="L187" s="145" t="inlineStr">
        <is>
          <t>#000000</t>
        </is>
      </c>
      <c r="M187" s="145" t="inlineStr">
        <is>
          <t>Mixed</t>
        </is>
      </c>
      <c r="N187" s="145" t="inlineStr">
        <is>
          <t>Center</t>
        </is>
      </c>
      <c r="O187" s="145" t="inlineStr">
        <is>
          <t>Mixed</t>
        </is>
      </c>
      <c r="P187" s="145" t="n"/>
      <c r="Q187" s="145" t="n"/>
      <c r="R187" s="145" t="inlineStr">
        <is>
          <t>EdgeTop:Continuous/Thin/#000000; EdgeBottom:Continuous/Thin/#000000; EdgeRight:Continuous/Thin/#000000; InsideHorizontal:Continuous/Thin/#000000</t>
        </is>
      </c>
      <c r="S187" s="145" t="n">
        <v>0</v>
      </c>
      <c r="T187" s="145" t="n"/>
      <c r="U187" s="145" t="inlineStr">
        <is>
          <t>Yes</t>
        </is>
      </c>
      <c r="V187" s="145" t="inlineStr">
        <is>
          <t>Hidden column (possible outline/group)</t>
        </is>
      </c>
      <c r="W187" s="145" t="n"/>
      <c r="X187" s="145" t="inlineStr">
        <is>
          <t>Mixed styles within used column</t>
        </is>
      </c>
    </row>
    <row r="188" ht="23.85" customHeight="1" s="79">
      <c r="A188" s="145" t="inlineStr">
        <is>
          <t>REGULAR_DEPT</t>
        </is>
      </c>
      <c r="B188" s="145" t="inlineStr">
        <is>
          <t>Top-Row Cell Format</t>
        </is>
      </c>
      <c r="C188" s="145" t="inlineStr">
        <is>
          <t>AE1</t>
        </is>
      </c>
      <c r="D188" s="145" t="inlineStr">
        <is>
          <t>REGULAR_DEPT!A1:AS193</t>
        </is>
      </c>
      <c r="E188" s="145" t="inlineStr">
        <is>
          <t>Normal</t>
        </is>
      </c>
      <c r="F188" s="145" t="inlineStr">
        <is>
          <t>#C9C9C9</t>
        </is>
      </c>
      <c r="G188" s="145" t="inlineStr">
        <is>
          <t>Aptos</t>
        </is>
      </c>
      <c r="H188" s="145" t="n">
        <v>8</v>
      </c>
      <c r="I188" s="145" t="inlineStr">
        <is>
          <t>Yes</t>
        </is>
      </c>
      <c r="J188" s="145" t="inlineStr">
        <is>
          <t>No</t>
        </is>
      </c>
      <c r="K188" s="145" t="inlineStr">
        <is>
          <t>None</t>
        </is>
      </c>
      <c r="L188" s="145" t="inlineStr">
        <is>
          <t>#000000</t>
        </is>
      </c>
      <c r="M188" s="145" t="inlineStr">
        <is>
          <t>Center</t>
        </is>
      </c>
      <c r="N188" s="145" t="inlineStr">
        <is>
          <t>Center</t>
        </is>
      </c>
      <c r="O188" s="145" t="inlineStr">
        <is>
          <t>No</t>
        </is>
      </c>
      <c r="P188" s="145" t="inlineStr">
        <is>
          <t>General</t>
        </is>
      </c>
      <c r="Q188" s="145" t="inlineStr">
        <is>
          <t>General</t>
        </is>
      </c>
      <c r="R188" s="145" t="n"/>
      <c r="S188" s="145" t="n"/>
      <c r="T188" s="145" t="n"/>
      <c r="U188" s="145" t="n"/>
      <c r="V188" s="145" t="n"/>
      <c r="W188" s="145" t="n"/>
      <c r="X188" s="145" t="inlineStr">
        <is>
          <t>Detailed format sample from top 5 used rows</t>
        </is>
      </c>
    </row>
    <row r="189" ht="23.85" customHeight="1" s="79">
      <c r="A189" s="145" t="inlineStr">
        <is>
          <t>REGULAR_DEPT</t>
        </is>
      </c>
      <c r="B189" s="145" t="inlineStr">
        <is>
          <t>Top-Row Cell Format</t>
        </is>
      </c>
      <c r="C189" s="145" t="inlineStr">
        <is>
          <t>AE2</t>
        </is>
      </c>
      <c r="D189" s="145" t="inlineStr">
        <is>
          <t>REGULAR_DEPT!A1:AS193</t>
        </is>
      </c>
      <c r="E189" s="145" t="inlineStr">
        <is>
          <t>Percent</t>
        </is>
      </c>
      <c r="F189" s="145" t="inlineStr">
        <is>
          <t>#B4C6E7</t>
        </is>
      </c>
      <c r="G189" s="145" t="inlineStr">
        <is>
          <t>Aptos</t>
        </is>
      </c>
      <c r="H189" s="145" t="n">
        <v>8</v>
      </c>
      <c r="I189" s="145" t="inlineStr">
        <is>
          <t>Yes</t>
        </is>
      </c>
      <c r="J189" s="145" t="inlineStr">
        <is>
          <t>No</t>
        </is>
      </c>
      <c r="K189" s="145" t="inlineStr">
        <is>
          <t>None</t>
        </is>
      </c>
      <c r="L189" s="145" t="inlineStr">
        <is>
          <t>#000000</t>
        </is>
      </c>
      <c r="M189" s="145" t="inlineStr">
        <is>
          <t>Center</t>
        </is>
      </c>
      <c r="N189" s="145" t="inlineStr">
        <is>
          <t>Center</t>
        </is>
      </c>
      <c r="O189" s="145" t="inlineStr">
        <is>
          <t>No</t>
        </is>
      </c>
      <c r="P189" s="146" t="n">
        <v>0</v>
      </c>
      <c r="Q189" s="145" t="inlineStr">
        <is>
          <t>Percentage</t>
        </is>
      </c>
      <c r="R189" s="145" t="n"/>
      <c r="S189" s="145" t="n"/>
      <c r="T189" s="145" t="n"/>
      <c r="U189" s="145" t="n"/>
      <c r="V189" s="145" t="n"/>
      <c r="W189" s="145" t="n"/>
      <c r="X189" s="145" t="inlineStr">
        <is>
          <t>Detailed format sample from top 5 used rows</t>
        </is>
      </c>
    </row>
    <row r="190" ht="23.85" customHeight="1" s="79">
      <c r="A190" s="145" t="inlineStr">
        <is>
          <t>REGULAR_DEPT</t>
        </is>
      </c>
      <c r="B190" s="145" t="inlineStr">
        <is>
          <t>Top-Row Cell Format</t>
        </is>
      </c>
      <c r="C190" s="145" t="inlineStr">
        <is>
          <t>AE3</t>
        </is>
      </c>
      <c r="D190" s="145" t="inlineStr">
        <is>
          <t>REGULAR_DEPT!A1:AS193</t>
        </is>
      </c>
      <c r="E190" s="145" t="inlineStr">
        <is>
          <t>Normal</t>
        </is>
      </c>
      <c r="F190" s="145" t="inlineStr">
        <is>
          <t>#F8CBAD</t>
        </is>
      </c>
      <c r="G190" s="145" t="inlineStr">
        <is>
          <t>Aptos</t>
        </is>
      </c>
      <c r="H190" s="145" t="n">
        <v>8</v>
      </c>
      <c r="I190" s="145" t="inlineStr">
        <is>
          <t>Yes</t>
        </is>
      </c>
      <c r="J190" s="145" t="inlineStr">
        <is>
          <t>No</t>
        </is>
      </c>
      <c r="K190" s="145" t="inlineStr">
        <is>
          <t>None</t>
        </is>
      </c>
      <c r="L190" s="145" t="inlineStr">
        <is>
          <t>#000000</t>
        </is>
      </c>
      <c r="M190" s="145" t="inlineStr">
        <is>
          <t>Center</t>
        </is>
      </c>
      <c r="N190" s="145" t="inlineStr">
        <is>
          <t>Center</t>
        </is>
      </c>
      <c r="O190" s="145" t="inlineStr">
        <is>
          <t>Yes</t>
        </is>
      </c>
      <c r="P190" s="145" t="inlineStr">
        <is>
          <t>General</t>
        </is>
      </c>
      <c r="Q190" s="145" t="inlineStr">
        <is>
          <t>General</t>
        </is>
      </c>
      <c r="R190" s="145" t="n"/>
      <c r="S190" s="145" t="n"/>
      <c r="T190" s="145" t="n"/>
      <c r="U190" s="145" t="n"/>
      <c r="V190" s="145" t="n"/>
      <c r="W190" s="145" t="n"/>
      <c r="X190" s="145" t="inlineStr">
        <is>
          <t>Detailed format sample from top 5 used rows</t>
        </is>
      </c>
    </row>
    <row r="191" ht="23.85" customHeight="1" s="79">
      <c r="A191" s="145" t="inlineStr">
        <is>
          <t>REGULAR_DEPT</t>
        </is>
      </c>
      <c r="B191" s="145" t="inlineStr">
        <is>
          <t>Top-Row Cell Format</t>
        </is>
      </c>
      <c r="C191" s="145" t="inlineStr">
        <is>
          <t>AE4</t>
        </is>
      </c>
      <c r="D191" s="145" t="inlineStr">
        <is>
          <t>REGULAR_DEPT!A1:AS193</t>
        </is>
      </c>
      <c r="E191" s="145" t="inlineStr">
        <is>
          <t>Normal</t>
        </is>
      </c>
      <c r="F191" s="145" t="inlineStr">
        <is>
          <t>#F8CBAD</t>
        </is>
      </c>
      <c r="G191" s="145" t="inlineStr">
        <is>
          <t>Aptos</t>
        </is>
      </c>
      <c r="H191" s="145" t="n">
        <v>8</v>
      </c>
      <c r="I191" s="145" t="inlineStr">
        <is>
          <t>No</t>
        </is>
      </c>
      <c r="J191" s="145" t="inlineStr">
        <is>
          <t>No</t>
        </is>
      </c>
      <c r="K191" s="145" t="inlineStr">
        <is>
          <t>None</t>
        </is>
      </c>
      <c r="L191" s="145" t="inlineStr">
        <is>
          <t>#000000</t>
        </is>
      </c>
      <c r="M191" s="145" t="inlineStr">
        <is>
          <t>General</t>
        </is>
      </c>
      <c r="N191" s="145" t="inlineStr">
        <is>
          <t>Center</t>
        </is>
      </c>
      <c r="O191" s="145" t="inlineStr">
        <is>
          <t>No</t>
        </is>
      </c>
      <c r="P191" s="145" t="inlineStr">
        <is>
          <t>General</t>
        </is>
      </c>
      <c r="Q191" s="145" t="inlineStr">
        <is>
          <t>General</t>
        </is>
      </c>
      <c r="R191" s="145" t="n"/>
      <c r="S191" s="145" t="n"/>
      <c r="T191" s="145" t="n"/>
      <c r="U191" s="145" t="n"/>
      <c r="V191" s="145" t="n"/>
      <c r="W191" s="145" t="n"/>
      <c r="X191" s="145" t="inlineStr">
        <is>
          <t>Detailed format sample from top 5 used rows</t>
        </is>
      </c>
    </row>
    <row r="192" ht="23.85" customHeight="1" s="79">
      <c r="A192" s="145" t="inlineStr">
        <is>
          <t>REGULAR_DEPT</t>
        </is>
      </c>
      <c r="B192" s="145" t="inlineStr">
        <is>
          <t>Top-Row Cell Format</t>
        </is>
      </c>
      <c r="C192" s="145" t="inlineStr">
        <is>
          <t>AE5</t>
        </is>
      </c>
      <c r="D192" s="145" t="inlineStr">
        <is>
          <t>REGULAR_DEPT!A1:AS193</t>
        </is>
      </c>
      <c r="E192" s="145" t="inlineStr">
        <is>
          <t>Percent</t>
        </is>
      </c>
      <c r="F192" s="145" t="n"/>
      <c r="G192" s="145" t="inlineStr">
        <is>
          <t>Aptos</t>
        </is>
      </c>
      <c r="H192" s="145" t="n">
        <v>8</v>
      </c>
      <c r="I192" s="145" t="inlineStr">
        <is>
          <t>No</t>
        </is>
      </c>
      <c r="J192" s="145" t="inlineStr">
        <is>
          <t>No</t>
        </is>
      </c>
      <c r="K192" s="145" t="inlineStr">
        <is>
          <t>None</t>
        </is>
      </c>
      <c r="L192" s="145" t="inlineStr">
        <is>
          <t>#000000</t>
        </is>
      </c>
      <c r="M192" s="145" t="inlineStr">
        <is>
          <t>Center</t>
        </is>
      </c>
      <c r="N192" s="145" t="inlineStr">
        <is>
          <t>Center</t>
        </is>
      </c>
      <c r="O192" s="145" t="inlineStr">
        <is>
          <t>No</t>
        </is>
      </c>
      <c r="P192" s="146" t="n">
        <v>0</v>
      </c>
      <c r="Q192" s="145" t="inlineStr">
        <is>
          <t>Percentage</t>
        </is>
      </c>
      <c r="R192" s="145" t="n"/>
      <c r="S192" s="145" t="n"/>
      <c r="T192" s="145" t="n"/>
      <c r="U192" s="145" t="n"/>
      <c r="V192" s="145" t="n"/>
      <c r="W192" s="145" t="n"/>
      <c r="X192" s="145" t="inlineStr">
        <is>
          <t>Detailed format sample from top 5 used rows</t>
        </is>
      </c>
    </row>
    <row r="193" ht="46.25" customHeight="1" s="79">
      <c r="A193" s="145" t="inlineStr">
        <is>
          <t>REGULAR_DEPT</t>
        </is>
      </c>
      <c r="B193" s="145" t="inlineStr">
        <is>
          <t>Column Format</t>
        </is>
      </c>
      <c r="C193" s="145" t="inlineStr">
        <is>
          <t>AF:AF</t>
        </is>
      </c>
      <c r="D193" s="145" t="inlineStr">
        <is>
          <t>REGULAR_DEPT!A1:AS193</t>
        </is>
      </c>
      <c r="E193" s="145" t="inlineStr">
        <is>
          <t>Mixed</t>
        </is>
      </c>
      <c r="F193" s="145" t="inlineStr">
        <is>
          <t>Mixed</t>
        </is>
      </c>
      <c r="G193" s="145" t="inlineStr">
        <is>
          <t>Aptos</t>
        </is>
      </c>
      <c r="H193" s="145" t="n">
        <v>8</v>
      </c>
      <c r="I193" s="145" t="inlineStr">
        <is>
          <t>Mixed</t>
        </is>
      </c>
      <c r="J193" s="145" t="inlineStr">
        <is>
          <t>No</t>
        </is>
      </c>
      <c r="K193" s="145" t="inlineStr">
        <is>
          <t>None</t>
        </is>
      </c>
      <c r="L193" s="145" t="inlineStr">
        <is>
          <t>#000000</t>
        </is>
      </c>
      <c r="M193" s="145" t="inlineStr">
        <is>
          <t>Mixed</t>
        </is>
      </c>
      <c r="N193" s="145" t="inlineStr">
        <is>
          <t>Center</t>
        </is>
      </c>
      <c r="O193" s="145" t="inlineStr">
        <is>
          <t>Mixed</t>
        </is>
      </c>
      <c r="P193" s="145" t="n"/>
      <c r="Q193" s="145" t="n"/>
      <c r="R193" s="145" t="inlineStr">
        <is>
          <t>EdgeTop:Continuous/Thin/#000000; EdgeBottom:Continuous/Thin/#000000; EdgeRight:Continuous/Thin/#000000; InsideHorizontal:Continuous/Thin/#000000</t>
        </is>
      </c>
      <c r="S193" s="145" t="n">
        <v>0</v>
      </c>
      <c r="T193" s="145" t="n"/>
      <c r="U193" s="145" t="inlineStr">
        <is>
          <t>Yes</t>
        </is>
      </c>
      <c r="V193" s="145" t="inlineStr">
        <is>
          <t>Hidden column (possible outline/group)</t>
        </is>
      </c>
      <c r="W193" s="145" t="n"/>
      <c r="X193" s="145" t="inlineStr">
        <is>
          <t>Mixed styles within used column</t>
        </is>
      </c>
    </row>
    <row r="194" ht="23.85" customHeight="1" s="79">
      <c r="A194" s="145" t="inlineStr">
        <is>
          <t>REGULAR_DEPT</t>
        </is>
      </c>
      <c r="B194" s="145" t="inlineStr">
        <is>
          <t>Top-Row Cell Format</t>
        </is>
      </c>
      <c r="C194" s="145" t="inlineStr">
        <is>
          <t>AF1</t>
        </is>
      </c>
      <c r="D194" s="145" t="inlineStr">
        <is>
          <t>REGULAR_DEPT!A1:AS193</t>
        </is>
      </c>
      <c r="E194" s="145" t="inlineStr">
        <is>
          <t>Normal</t>
        </is>
      </c>
      <c r="F194" s="145" t="inlineStr">
        <is>
          <t>#C9C9C9</t>
        </is>
      </c>
      <c r="G194" s="145" t="inlineStr">
        <is>
          <t>Aptos</t>
        </is>
      </c>
      <c r="H194" s="145" t="n">
        <v>8</v>
      </c>
      <c r="I194" s="145" t="inlineStr">
        <is>
          <t>Yes</t>
        </is>
      </c>
      <c r="J194" s="145" t="inlineStr">
        <is>
          <t>No</t>
        </is>
      </c>
      <c r="K194" s="145" t="inlineStr">
        <is>
          <t>None</t>
        </is>
      </c>
      <c r="L194" s="145" t="inlineStr">
        <is>
          <t>#000000</t>
        </is>
      </c>
      <c r="M194" s="145" t="inlineStr">
        <is>
          <t>Center</t>
        </is>
      </c>
      <c r="N194" s="145" t="inlineStr">
        <is>
          <t>Center</t>
        </is>
      </c>
      <c r="O194" s="145" t="inlineStr">
        <is>
          <t>No</t>
        </is>
      </c>
      <c r="P194" s="145" t="inlineStr">
        <is>
          <t>General</t>
        </is>
      </c>
      <c r="Q194" s="145" t="inlineStr">
        <is>
          <t>General</t>
        </is>
      </c>
      <c r="R194" s="145" t="n"/>
      <c r="S194" s="145" t="n"/>
      <c r="T194" s="145" t="n"/>
      <c r="U194" s="145" t="n"/>
      <c r="V194" s="145" t="n"/>
      <c r="W194" s="145" t="n"/>
      <c r="X194" s="145" t="inlineStr">
        <is>
          <t>Detailed format sample from top 5 used rows</t>
        </is>
      </c>
    </row>
    <row r="195" ht="23.85" customHeight="1" s="79">
      <c r="A195" s="145" t="inlineStr">
        <is>
          <t>REGULAR_DEPT</t>
        </is>
      </c>
      <c r="B195" s="145" t="inlineStr">
        <is>
          <t>Top-Row Cell Format</t>
        </is>
      </c>
      <c r="C195" s="145" t="inlineStr">
        <is>
          <t>AF2</t>
        </is>
      </c>
      <c r="D195" s="145" t="inlineStr">
        <is>
          <t>REGULAR_DEPT!A1:AS193</t>
        </is>
      </c>
      <c r="E195" s="145" t="inlineStr">
        <is>
          <t>Percent</t>
        </is>
      </c>
      <c r="F195" s="145" t="inlineStr">
        <is>
          <t>#B4C6E7</t>
        </is>
      </c>
      <c r="G195" s="145" t="inlineStr">
        <is>
          <t>Aptos</t>
        </is>
      </c>
      <c r="H195" s="145" t="n">
        <v>8</v>
      </c>
      <c r="I195" s="145" t="inlineStr">
        <is>
          <t>Yes</t>
        </is>
      </c>
      <c r="J195" s="145" t="inlineStr">
        <is>
          <t>No</t>
        </is>
      </c>
      <c r="K195" s="145" t="inlineStr">
        <is>
          <t>None</t>
        </is>
      </c>
      <c r="L195" s="145" t="inlineStr">
        <is>
          <t>#000000</t>
        </is>
      </c>
      <c r="M195" s="145" t="inlineStr">
        <is>
          <t>Center</t>
        </is>
      </c>
      <c r="N195" s="145" t="inlineStr">
        <is>
          <t>Center</t>
        </is>
      </c>
      <c r="O195" s="145" t="inlineStr">
        <is>
          <t>No</t>
        </is>
      </c>
      <c r="P195" s="146" t="n">
        <v>0</v>
      </c>
      <c r="Q195" s="145" t="inlineStr">
        <is>
          <t>Percentage</t>
        </is>
      </c>
      <c r="R195" s="145" t="n"/>
      <c r="S195" s="145" t="n"/>
      <c r="T195" s="145" t="n"/>
      <c r="U195" s="145" t="n"/>
      <c r="V195" s="145" t="n"/>
      <c r="W195" s="145" t="n"/>
      <c r="X195" s="145" t="inlineStr">
        <is>
          <t>Detailed format sample from top 5 used rows</t>
        </is>
      </c>
    </row>
    <row r="196" ht="23.85" customHeight="1" s="79">
      <c r="A196" s="145" t="inlineStr">
        <is>
          <t>REGULAR_DEPT</t>
        </is>
      </c>
      <c r="B196" s="145" t="inlineStr">
        <is>
          <t>Top-Row Cell Format</t>
        </is>
      </c>
      <c r="C196" s="145" t="inlineStr">
        <is>
          <t>AF3</t>
        </is>
      </c>
      <c r="D196" s="145" t="inlineStr">
        <is>
          <t>REGULAR_DEPT!A1:AS193</t>
        </is>
      </c>
      <c r="E196" s="145" t="inlineStr">
        <is>
          <t>Normal</t>
        </is>
      </c>
      <c r="F196" s="145" t="inlineStr">
        <is>
          <t>#F8CBAD</t>
        </is>
      </c>
      <c r="G196" s="145" t="inlineStr">
        <is>
          <t>Aptos</t>
        </is>
      </c>
      <c r="H196" s="145" t="n">
        <v>8</v>
      </c>
      <c r="I196" s="145" t="inlineStr">
        <is>
          <t>Yes</t>
        </is>
      </c>
      <c r="J196" s="145" t="inlineStr">
        <is>
          <t>No</t>
        </is>
      </c>
      <c r="K196" s="145" t="inlineStr">
        <is>
          <t>None</t>
        </is>
      </c>
      <c r="L196" s="145" t="inlineStr">
        <is>
          <t>#000000</t>
        </is>
      </c>
      <c r="M196" s="145" t="inlineStr">
        <is>
          <t>Center</t>
        </is>
      </c>
      <c r="N196" s="145" t="inlineStr">
        <is>
          <t>Center</t>
        </is>
      </c>
      <c r="O196" s="145" t="inlineStr">
        <is>
          <t>Yes</t>
        </is>
      </c>
      <c r="P196" s="145" t="inlineStr">
        <is>
          <t>General</t>
        </is>
      </c>
      <c r="Q196" s="145" t="inlineStr">
        <is>
          <t>General</t>
        </is>
      </c>
      <c r="R196" s="145" t="n"/>
      <c r="S196" s="145" t="n"/>
      <c r="T196" s="145" t="n"/>
      <c r="U196" s="145" t="n"/>
      <c r="V196" s="145" t="n"/>
      <c r="W196" s="145" t="n"/>
      <c r="X196" s="145" t="inlineStr">
        <is>
          <t>Detailed format sample from top 5 used rows</t>
        </is>
      </c>
    </row>
    <row r="197" ht="23.85" customHeight="1" s="79">
      <c r="A197" s="145" t="inlineStr">
        <is>
          <t>REGULAR_DEPT</t>
        </is>
      </c>
      <c r="B197" s="145" t="inlineStr">
        <is>
          <t>Top-Row Cell Format</t>
        </is>
      </c>
      <c r="C197" s="145" t="inlineStr">
        <is>
          <t>AF4</t>
        </is>
      </c>
      <c r="D197" s="145" t="inlineStr">
        <is>
          <t>REGULAR_DEPT!A1:AS193</t>
        </is>
      </c>
      <c r="E197" s="145" t="inlineStr">
        <is>
          <t>Normal</t>
        </is>
      </c>
      <c r="F197" s="145" t="inlineStr">
        <is>
          <t>#F8CBAD</t>
        </is>
      </c>
      <c r="G197" s="145" t="inlineStr">
        <is>
          <t>Aptos</t>
        </is>
      </c>
      <c r="H197" s="145" t="n">
        <v>8</v>
      </c>
      <c r="I197" s="145" t="inlineStr">
        <is>
          <t>No</t>
        </is>
      </c>
      <c r="J197" s="145" t="inlineStr">
        <is>
          <t>No</t>
        </is>
      </c>
      <c r="K197" s="145" t="inlineStr">
        <is>
          <t>None</t>
        </is>
      </c>
      <c r="L197" s="145" t="inlineStr">
        <is>
          <t>#000000</t>
        </is>
      </c>
      <c r="M197" s="145" t="inlineStr">
        <is>
          <t>General</t>
        </is>
      </c>
      <c r="N197" s="145" t="inlineStr">
        <is>
          <t>Center</t>
        </is>
      </c>
      <c r="O197" s="145" t="inlineStr">
        <is>
          <t>No</t>
        </is>
      </c>
      <c r="P197" s="145" t="inlineStr">
        <is>
          <t>General</t>
        </is>
      </c>
      <c r="Q197" s="145" t="inlineStr">
        <is>
          <t>General</t>
        </is>
      </c>
      <c r="R197" s="145" t="n"/>
      <c r="S197" s="145" t="n"/>
      <c r="T197" s="145" t="n"/>
      <c r="U197" s="145" t="n"/>
      <c r="V197" s="145" t="n"/>
      <c r="W197" s="145" t="n"/>
      <c r="X197" s="145" t="inlineStr">
        <is>
          <t>Detailed format sample from top 5 used rows</t>
        </is>
      </c>
    </row>
    <row r="198" ht="23.85" customHeight="1" s="79">
      <c r="A198" s="145" t="inlineStr">
        <is>
          <t>REGULAR_DEPT</t>
        </is>
      </c>
      <c r="B198" s="145" t="inlineStr">
        <is>
          <t>Top-Row Cell Format</t>
        </is>
      </c>
      <c r="C198" s="145" t="inlineStr">
        <is>
          <t>AF5</t>
        </is>
      </c>
      <c r="D198" s="145" t="inlineStr">
        <is>
          <t>REGULAR_DEPT!A1:AS193</t>
        </is>
      </c>
      <c r="E198" s="145" t="inlineStr">
        <is>
          <t>Percent</t>
        </is>
      </c>
      <c r="F198" s="145" t="n"/>
      <c r="G198" s="145" t="inlineStr">
        <is>
          <t>Aptos</t>
        </is>
      </c>
      <c r="H198" s="145" t="n">
        <v>8</v>
      </c>
      <c r="I198" s="145" t="inlineStr">
        <is>
          <t>No</t>
        </is>
      </c>
      <c r="J198" s="145" t="inlineStr">
        <is>
          <t>No</t>
        </is>
      </c>
      <c r="K198" s="145" t="inlineStr">
        <is>
          <t>None</t>
        </is>
      </c>
      <c r="L198" s="145" t="inlineStr">
        <is>
          <t>#000000</t>
        </is>
      </c>
      <c r="M198" s="145" t="inlineStr">
        <is>
          <t>Center</t>
        </is>
      </c>
      <c r="N198" s="145" t="inlineStr">
        <is>
          <t>Center</t>
        </is>
      </c>
      <c r="O198" s="145" t="inlineStr">
        <is>
          <t>No</t>
        </is>
      </c>
      <c r="P198" s="146" t="n">
        <v>0</v>
      </c>
      <c r="Q198" s="145" t="inlineStr">
        <is>
          <t>Percentage</t>
        </is>
      </c>
      <c r="R198" s="145" t="n"/>
      <c r="S198" s="145" t="n"/>
      <c r="T198" s="145" t="n"/>
      <c r="U198" s="145" t="n"/>
      <c r="V198" s="145" t="n"/>
      <c r="W198" s="145" t="n"/>
      <c r="X198" s="145" t="inlineStr">
        <is>
          <t>Detailed format sample from top 5 used rows</t>
        </is>
      </c>
    </row>
    <row r="199" ht="46.25" customHeight="1" s="79">
      <c r="A199" s="145" t="inlineStr">
        <is>
          <t>REGULAR_DEPT</t>
        </is>
      </c>
      <c r="B199" s="145" t="inlineStr">
        <is>
          <t>Column Format</t>
        </is>
      </c>
      <c r="C199" s="145" t="inlineStr">
        <is>
          <t>AG:AG</t>
        </is>
      </c>
      <c r="D199" s="145" t="inlineStr">
        <is>
          <t>REGULAR_DEPT!A1:AS193</t>
        </is>
      </c>
      <c r="E199" s="145" t="inlineStr">
        <is>
          <t>Mixed</t>
        </is>
      </c>
      <c r="F199" s="145" t="inlineStr">
        <is>
          <t>Mixed</t>
        </is>
      </c>
      <c r="G199" s="145" t="inlineStr">
        <is>
          <t>Aptos</t>
        </is>
      </c>
      <c r="H199" s="145" t="n">
        <v>8</v>
      </c>
      <c r="I199" s="145" t="inlineStr">
        <is>
          <t>Mixed</t>
        </is>
      </c>
      <c r="J199" s="145" t="inlineStr">
        <is>
          <t>No</t>
        </is>
      </c>
      <c r="K199" s="145" t="inlineStr">
        <is>
          <t>None</t>
        </is>
      </c>
      <c r="L199" s="145" t="inlineStr">
        <is>
          <t>#000000</t>
        </is>
      </c>
      <c r="M199" s="145" t="inlineStr">
        <is>
          <t>Mixed</t>
        </is>
      </c>
      <c r="N199" s="145" t="inlineStr">
        <is>
          <t>Center</t>
        </is>
      </c>
      <c r="O199" s="145" t="inlineStr">
        <is>
          <t>Mixed</t>
        </is>
      </c>
      <c r="P199" s="145" t="n"/>
      <c r="Q199" s="145" t="n"/>
      <c r="R199" s="145" t="inlineStr">
        <is>
          <t>EdgeTop:Continuous/Thin/#000000; EdgeBottom:Continuous/Thin/#000000; EdgeRight:Continuous/Thin/#000000; InsideHorizontal:Continuous/Thin/#000000</t>
        </is>
      </c>
      <c r="S199" s="145" t="n">
        <v>45.6716417910448</v>
      </c>
      <c r="T199" s="145" t="n"/>
      <c r="U199" s="145" t="inlineStr">
        <is>
          <t>No</t>
        </is>
      </c>
      <c r="V199" s="145" t="inlineStr">
        <is>
          <t>Visible</t>
        </is>
      </c>
      <c r="W199" s="145" t="n"/>
      <c r="X199" s="145" t="inlineStr">
        <is>
          <t>Mixed styles within used column</t>
        </is>
      </c>
    </row>
    <row r="200" ht="23.85" customHeight="1" s="79">
      <c r="A200" s="145" t="inlineStr">
        <is>
          <t>REGULAR_DEPT</t>
        </is>
      </c>
      <c r="B200" s="145" t="inlineStr">
        <is>
          <t>Top-Row Cell Format</t>
        </is>
      </c>
      <c r="C200" s="145" t="inlineStr">
        <is>
          <t>AG1</t>
        </is>
      </c>
      <c r="D200" s="145" t="inlineStr">
        <is>
          <t>REGULAR_DEPT!A1:AS193</t>
        </is>
      </c>
      <c r="E200" s="145" t="inlineStr">
        <is>
          <t>Normal</t>
        </is>
      </c>
      <c r="F200" s="145" t="inlineStr">
        <is>
          <t>#C9C9C9</t>
        </is>
      </c>
      <c r="G200" s="145" t="inlineStr">
        <is>
          <t>Aptos</t>
        </is>
      </c>
      <c r="H200" s="145" t="n">
        <v>8</v>
      </c>
      <c r="I200" s="145" t="inlineStr">
        <is>
          <t>Yes</t>
        </is>
      </c>
      <c r="J200" s="145" t="inlineStr">
        <is>
          <t>No</t>
        </is>
      </c>
      <c r="K200" s="145" t="inlineStr">
        <is>
          <t>None</t>
        </is>
      </c>
      <c r="L200" s="145" t="inlineStr">
        <is>
          <t>#000000</t>
        </is>
      </c>
      <c r="M200" s="145" t="inlineStr">
        <is>
          <t>Center</t>
        </is>
      </c>
      <c r="N200" s="145" t="inlineStr">
        <is>
          <t>Center</t>
        </is>
      </c>
      <c r="O200" s="145" t="inlineStr">
        <is>
          <t>No</t>
        </is>
      </c>
      <c r="P200" s="145" t="inlineStr">
        <is>
          <t>General</t>
        </is>
      </c>
      <c r="Q200" s="145" t="inlineStr">
        <is>
          <t>General</t>
        </is>
      </c>
      <c r="R200" s="145" t="n"/>
      <c r="S200" s="145" t="n"/>
      <c r="T200" s="145" t="n"/>
      <c r="U200" s="145" t="n"/>
      <c r="V200" s="145" t="n"/>
      <c r="W200" s="145" t="n"/>
      <c r="X200" s="145" t="inlineStr">
        <is>
          <t>Detailed format sample from top 5 used rows</t>
        </is>
      </c>
    </row>
    <row r="201" ht="23.85" customHeight="1" s="79">
      <c r="A201" s="145" t="inlineStr">
        <is>
          <t>REGULAR_DEPT</t>
        </is>
      </c>
      <c r="B201" s="145" t="inlineStr">
        <is>
          <t>Top-Row Cell Format</t>
        </is>
      </c>
      <c r="C201" s="145" t="inlineStr">
        <is>
          <t>AG2</t>
        </is>
      </c>
      <c r="D201" s="145" t="inlineStr">
        <is>
          <t>REGULAR_DEPT!A1:AS193</t>
        </is>
      </c>
      <c r="E201" s="145" t="inlineStr">
        <is>
          <t>Comma</t>
        </is>
      </c>
      <c r="F201" s="145" t="inlineStr">
        <is>
          <t>#B4C6E7</t>
        </is>
      </c>
      <c r="G201" s="145" t="inlineStr">
        <is>
          <t>Aptos</t>
        </is>
      </c>
      <c r="H201" s="145" t="n">
        <v>8</v>
      </c>
      <c r="I201" s="145" t="inlineStr">
        <is>
          <t>Yes</t>
        </is>
      </c>
      <c r="J201" s="145" t="inlineStr">
        <is>
          <t>No</t>
        </is>
      </c>
      <c r="K201" s="145" t="inlineStr">
        <is>
          <t>None</t>
        </is>
      </c>
      <c r="L201" s="145" t="inlineStr">
        <is>
          <t>#000000</t>
        </is>
      </c>
      <c r="M201" s="145" t="inlineStr">
        <is>
          <t>General</t>
        </is>
      </c>
      <c r="N201" s="145" t="inlineStr">
        <is>
          <t>Center</t>
        </is>
      </c>
      <c r="O201" s="145" t="inlineStr">
        <is>
          <t>No</t>
        </is>
      </c>
      <c r="P201" s="145" t="inlineStr">
        <is>
          <t xml:space="preserve">_ * #,##0_ ;_ * -#,##0_ ;_ * "-"??_ ;_ @_ </t>
        </is>
      </c>
      <c r="Q201" s="145" t="inlineStr">
        <is>
          <t>Text</t>
        </is>
      </c>
      <c r="R201" s="145" t="n"/>
      <c r="S201" s="145" t="n"/>
      <c r="T201" s="145" t="n"/>
      <c r="U201" s="145" t="n"/>
      <c r="V201" s="145" t="n"/>
      <c r="W201" s="145" t="n"/>
      <c r="X201" s="145" t="inlineStr">
        <is>
          <t>Detailed format sample from top 5 used rows</t>
        </is>
      </c>
    </row>
    <row r="202" ht="23.85" customHeight="1" s="79">
      <c r="A202" s="145" t="inlineStr">
        <is>
          <t>REGULAR_DEPT</t>
        </is>
      </c>
      <c r="B202" s="145" t="inlineStr">
        <is>
          <t>Top-Row Cell Format</t>
        </is>
      </c>
      <c r="C202" s="145" t="inlineStr">
        <is>
          <t>AG3</t>
        </is>
      </c>
      <c r="D202" s="145" t="inlineStr">
        <is>
          <t>REGULAR_DEPT!A1:AS193</t>
        </is>
      </c>
      <c r="E202" s="145" t="inlineStr">
        <is>
          <t>Normal</t>
        </is>
      </c>
      <c r="F202" s="145" t="inlineStr">
        <is>
          <t>#F8CBAD</t>
        </is>
      </c>
      <c r="G202" s="145" t="inlineStr">
        <is>
          <t>Aptos</t>
        </is>
      </c>
      <c r="H202" s="145" t="n">
        <v>8</v>
      </c>
      <c r="I202" s="145" t="inlineStr">
        <is>
          <t>Yes</t>
        </is>
      </c>
      <c r="J202" s="145" t="inlineStr">
        <is>
          <t>No</t>
        </is>
      </c>
      <c r="K202" s="145" t="inlineStr">
        <is>
          <t>None</t>
        </is>
      </c>
      <c r="L202" s="145" t="inlineStr">
        <is>
          <t>#000000</t>
        </is>
      </c>
      <c r="M202" s="145" t="inlineStr">
        <is>
          <t>Center</t>
        </is>
      </c>
      <c r="N202" s="145" t="inlineStr">
        <is>
          <t>Center</t>
        </is>
      </c>
      <c r="O202" s="145" t="inlineStr">
        <is>
          <t>Yes</t>
        </is>
      </c>
      <c r="P202" s="145" t="inlineStr">
        <is>
          <t>General</t>
        </is>
      </c>
      <c r="Q202" s="145" t="inlineStr">
        <is>
          <t>General</t>
        </is>
      </c>
      <c r="R202" s="145" t="n"/>
      <c r="S202" s="145" t="n"/>
      <c r="T202" s="145" t="n"/>
      <c r="U202" s="145" t="n"/>
      <c r="V202" s="145" t="n"/>
      <c r="W202" s="145" t="n"/>
      <c r="X202" s="145" t="inlineStr">
        <is>
          <t>Detailed format sample from top 5 used rows</t>
        </is>
      </c>
    </row>
    <row r="203" ht="23.85" customHeight="1" s="79">
      <c r="A203" s="145" t="inlineStr">
        <is>
          <t>REGULAR_DEPT</t>
        </is>
      </c>
      <c r="B203" s="145" t="inlineStr">
        <is>
          <t>Top-Row Cell Format</t>
        </is>
      </c>
      <c r="C203" s="145" t="inlineStr">
        <is>
          <t>AG4</t>
        </is>
      </c>
      <c r="D203" s="145" t="inlineStr">
        <is>
          <t>REGULAR_DEPT!A1:AS193</t>
        </is>
      </c>
      <c r="E203" s="145" t="inlineStr">
        <is>
          <t>Normal</t>
        </is>
      </c>
      <c r="F203" s="145" t="inlineStr">
        <is>
          <t>#F8CBAD</t>
        </is>
      </c>
      <c r="G203" s="145" t="inlineStr">
        <is>
          <t>Aptos</t>
        </is>
      </c>
      <c r="H203" s="145" t="n">
        <v>8</v>
      </c>
      <c r="I203" s="145" t="inlineStr">
        <is>
          <t>No</t>
        </is>
      </c>
      <c r="J203" s="145" t="inlineStr">
        <is>
          <t>No</t>
        </is>
      </c>
      <c r="K203" s="145" t="inlineStr">
        <is>
          <t>None</t>
        </is>
      </c>
      <c r="L203" s="145" t="inlineStr">
        <is>
          <t>#000000</t>
        </is>
      </c>
      <c r="M203" s="145" t="inlineStr">
        <is>
          <t>General</t>
        </is>
      </c>
      <c r="N203" s="145" t="inlineStr">
        <is>
          <t>Center</t>
        </is>
      </c>
      <c r="O203" s="145" t="inlineStr">
        <is>
          <t>No</t>
        </is>
      </c>
      <c r="P203" s="145" t="inlineStr">
        <is>
          <t>General</t>
        </is>
      </c>
      <c r="Q203" s="145" t="inlineStr">
        <is>
          <t>General</t>
        </is>
      </c>
      <c r="R203" s="145" t="n"/>
      <c r="S203" s="145" t="n"/>
      <c r="T203" s="145" t="n"/>
      <c r="U203" s="145" t="n"/>
      <c r="V203" s="145" t="n"/>
      <c r="W203" s="145" t="n"/>
      <c r="X203" s="145" t="inlineStr">
        <is>
          <t>Detailed format sample from top 5 used rows</t>
        </is>
      </c>
    </row>
    <row r="204" ht="23.85" customHeight="1" s="79">
      <c r="A204" s="145" t="inlineStr">
        <is>
          <t>REGULAR_DEPT</t>
        </is>
      </c>
      <c r="B204" s="145" t="inlineStr">
        <is>
          <t>Top-Row Cell Format</t>
        </is>
      </c>
      <c r="C204" s="145" t="inlineStr">
        <is>
          <t>AG5</t>
        </is>
      </c>
      <c r="D204" s="145" t="inlineStr">
        <is>
          <t>REGULAR_DEPT!A1:AS193</t>
        </is>
      </c>
      <c r="E204" s="145" t="inlineStr">
        <is>
          <t>Comma</t>
        </is>
      </c>
      <c r="F204" s="145" t="n"/>
      <c r="G204" s="145" t="inlineStr">
        <is>
          <t>Aptos</t>
        </is>
      </c>
      <c r="H204" s="145" t="n">
        <v>8</v>
      </c>
      <c r="I204" s="145" t="inlineStr">
        <is>
          <t>No</t>
        </is>
      </c>
      <c r="J204" s="145" t="inlineStr">
        <is>
          <t>No</t>
        </is>
      </c>
      <c r="K204" s="145" t="inlineStr">
        <is>
          <t>None</t>
        </is>
      </c>
      <c r="L204" s="145" t="inlineStr">
        <is>
          <t>#000000</t>
        </is>
      </c>
      <c r="M204" s="145" t="inlineStr">
        <is>
          <t>General</t>
        </is>
      </c>
      <c r="N204" s="145" t="inlineStr">
        <is>
          <t>Center</t>
        </is>
      </c>
      <c r="O204" s="145" t="inlineStr">
        <is>
          <t>No</t>
        </is>
      </c>
      <c r="P204" s="145" t="inlineStr">
        <is>
          <t xml:space="preserve">_ * #,##0_ ;_ * -#,##0_ ;_ * "-"??_ ;_ @_ </t>
        </is>
      </c>
      <c r="Q204" s="145" t="inlineStr">
        <is>
          <t>Text</t>
        </is>
      </c>
      <c r="R204" s="145" t="n"/>
      <c r="S204" s="145" t="n"/>
      <c r="T204" s="145" t="n"/>
      <c r="U204" s="145" t="n"/>
      <c r="V204" s="145" t="n"/>
      <c r="W204" s="145" t="n"/>
      <c r="X204" s="145" t="inlineStr">
        <is>
          <t>Detailed format sample from top 5 used rows</t>
        </is>
      </c>
    </row>
    <row r="205" ht="35.05" customHeight="1" s="79">
      <c r="A205" s="145" t="inlineStr">
        <is>
          <t>REGULAR_DEPT</t>
        </is>
      </c>
      <c r="B205" s="145" t="inlineStr">
        <is>
          <t>Column Format</t>
        </is>
      </c>
      <c r="C205" s="145" t="inlineStr">
        <is>
          <t>AH:AH</t>
        </is>
      </c>
      <c r="D205" s="145" t="inlineStr">
        <is>
          <t>REGULAR_DEPT!A1:AS193</t>
        </is>
      </c>
      <c r="E205" s="145" t="inlineStr">
        <is>
          <t>Mixed</t>
        </is>
      </c>
      <c r="F205" s="145" t="inlineStr">
        <is>
          <t>Mixed</t>
        </is>
      </c>
      <c r="G205" s="145" t="inlineStr">
        <is>
          <t>Aptos</t>
        </is>
      </c>
      <c r="H205" s="145" t="n">
        <v>8</v>
      </c>
      <c r="I205" s="145" t="inlineStr">
        <is>
          <t>Mixed</t>
        </is>
      </c>
      <c r="J205" s="145" t="inlineStr">
        <is>
          <t>No</t>
        </is>
      </c>
      <c r="K205" s="145" t="inlineStr">
        <is>
          <t>None</t>
        </is>
      </c>
      <c r="L205" s="145" t="inlineStr">
        <is>
          <t>#000000</t>
        </is>
      </c>
      <c r="M205" s="145" t="inlineStr">
        <is>
          <t>Mixed</t>
        </is>
      </c>
      <c r="N205" s="145" t="inlineStr">
        <is>
          <t>Center</t>
        </is>
      </c>
      <c r="O205" s="145" t="inlineStr">
        <is>
          <t>Mixed</t>
        </is>
      </c>
      <c r="P205" s="145" t="n"/>
      <c r="Q205" s="145" t="n"/>
      <c r="R205" s="145" t="inlineStr">
        <is>
          <t>EdgeBottom:Continuous/Thin/#000000; EdgeLeft:Continuous/Thin/#000000; EdgeRight:Continuous/Thin/#000000</t>
        </is>
      </c>
      <c r="S205" s="145" t="n">
        <v>0</v>
      </c>
      <c r="T205" s="145" t="n"/>
      <c r="U205" s="145" t="inlineStr">
        <is>
          <t>Yes</t>
        </is>
      </c>
      <c r="V205" s="145" t="inlineStr">
        <is>
          <t>Hidden column (possible outline/group)</t>
        </is>
      </c>
      <c r="W205" s="145" t="n"/>
      <c r="X205" s="145" t="inlineStr">
        <is>
          <t>Mixed styles within used column</t>
        </is>
      </c>
    </row>
    <row r="206" ht="23.85" customHeight="1" s="79">
      <c r="A206" s="145" t="inlineStr">
        <is>
          <t>REGULAR_DEPT</t>
        </is>
      </c>
      <c r="B206" s="145" t="inlineStr">
        <is>
          <t>Top-Row Cell Format</t>
        </is>
      </c>
      <c r="C206" s="145" t="inlineStr">
        <is>
          <t>AH1</t>
        </is>
      </c>
      <c r="D206" s="145" t="inlineStr">
        <is>
          <t>REGULAR_DEPT!A1:AS193</t>
        </is>
      </c>
      <c r="E206" s="145" t="inlineStr">
        <is>
          <t>Normal</t>
        </is>
      </c>
      <c r="F206" s="145" t="n"/>
      <c r="G206" s="145" t="inlineStr">
        <is>
          <t>Aptos</t>
        </is>
      </c>
      <c r="H206" s="145" t="n">
        <v>8</v>
      </c>
      <c r="I206" s="145" t="inlineStr">
        <is>
          <t>Yes</t>
        </is>
      </c>
      <c r="J206" s="145" t="inlineStr">
        <is>
          <t>No</t>
        </is>
      </c>
      <c r="K206" s="145" t="inlineStr">
        <is>
          <t>None</t>
        </is>
      </c>
      <c r="L206" s="145" t="inlineStr">
        <is>
          <t>#000000</t>
        </is>
      </c>
      <c r="M206" s="145" t="inlineStr">
        <is>
          <t>General</t>
        </is>
      </c>
      <c r="N206" s="145" t="inlineStr">
        <is>
          <t>Center</t>
        </is>
      </c>
      <c r="O206" s="145" t="inlineStr">
        <is>
          <t>No</t>
        </is>
      </c>
      <c r="P206" s="145" t="inlineStr">
        <is>
          <t>General</t>
        </is>
      </c>
      <c r="Q206" s="145" t="inlineStr">
        <is>
          <t>General</t>
        </is>
      </c>
      <c r="R206" s="145" t="n"/>
      <c r="S206" s="145" t="n"/>
      <c r="T206" s="145" t="n"/>
      <c r="U206" s="145" t="n"/>
      <c r="V206" s="145" t="n"/>
      <c r="W206" s="145" t="n"/>
      <c r="X206" s="145" t="inlineStr">
        <is>
          <t>Detailed format sample from top 5 used rows</t>
        </is>
      </c>
    </row>
    <row r="207" ht="23.85" customHeight="1" s="79">
      <c r="A207" s="145" t="inlineStr">
        <is>
          <t>REGULAR_DEPT</t>
        </is>
      </c>
      <c r="B207" s="145" t="inlineStr">
        <is>
          <t>Top-Row Cell Format</t>
        </is>
      </c>
      <c r="C207" s="145" t="inlineStr">
        <is>
          <t>AH2</t>
        </is>
      </c>
      <c r="D207" s="145" t="inlineStr">
        <is>
          <t>REGULAR_DEPT!A1:AS193</t>
        </is>
      </c>
      <c r="E207" s="145" t="inlineStr">
        <is>
          <t>Comma</t>
        </is>
      </c>
      <c r="F207" s="145" t="inlineStr">
        <is>
          <t>#B4C6E7</t>
        </is>
      </c>
      <c r="G207" s="145" t="inlineStr">
        <is>
          <t>Aptos</t>
        </is>
      </c>
      <c r="H207" s="145" t="n">
        <v>8</v>
      </c>
      <c r="I207" s="145" t="inlineStr">
        <is>
          <t>Yes</t>
        </is>
      </c>
      <c r="J207" s="145" t="inlineStr">
        <is>
          <t>No</t>
        </is>
      </c>
      <c r="K207" s="145" t="inlineStr">
        <is>
          <t>None</t>
        </is>
      </c>
      <c r="L207" s="145" t="inlineStr">
        <is>
          <t>#000000</t>
        </is>
      </c>
      <c r="M207" s="145" t="inlineStr">
        <is>
          <t>General</t>
        </is>
      </c>
      <c r="N207" s="145" t="inlineStr">
        <is>
          <t>Center</t>
        </is>
      </c>
      <c r="O207" s="145" t="inlineStr">
        <is>
          <t>No</t>
        </is>
      </c>
      <c r="P207" s="145" t="inlineStr">
        <is>
          <t xml:space="preserve">_ * #,##0_ ;_ * -#,##0_ ;_ * "-"??_ ;_ @_ </t>
        </is>
      </c>
      <c r="Q207" s="145" t="inlineStr">
        <is>
          <t>Text</t>
        </is>
      </c>
      <c r="R207" s="145" t="n"/>
      <c r="S207" s="145" t="n"/>
      <c r="T207" s="145" t="n"/>
      <c r="U207" s="145" t="n"/>
      <c r="V207" s="145" t="n"/>
      <c r="W207" s="145" t="n"/>
      <c r="X207" s="145" t="inlineStr">
        <is>
          <t>Detailed format sample from top 5 used rows</t>
        </is>
      </c>
    </row>
    <row r="208" ht="23.85" customHeight="1" s="79">
      <c r="A208" s="145" t="inlineStr">
        <is>
          <t>REGULAR_DEPT</t>
        </is>
      </c>
      <c r="B208" s="145" t="inlineStr">
        <is>
          <t>Top-Row Cell Format</t>
        </is>
      </c>
      <c r="C208" s="145" t="inlineStr">
        <is>
          <t>AH3</t>
        </is>
      </c>
      <c r="D208" s="145" t="inlineStr">
        <is>
          <t>REGULAR_DEPT!A1:AS193</t>
        </is>
      </c>
      <c r="E208" s="145" t="inlineStr">
        <is>
          <t>Normal</t>
        </is>
      </c>
      <c r="F208" s="145" t="inlineStr">
        <is>
          <t>#F8CBAD</t>
        </is>
      </c>
      <c r="G208" s="145" t="inlineStr">
        <is>
          <t>Aptos</t>
        </is>
      </c>
      <c r="H208" s="145" t="n">
        <v>8</v>
      </c>
      <c r="I208" s="145" t="inlineStr">
        <is>
          <t>Yes</t>
        </is>
      </c>
      <c r="J208" s="145" t="inlineStr">
        <is>
          <t>No</t>
        </is>
      </c>
      <c r="K208" s="145" t="inlineStr">
        <is>
          <t>None</t>
        </is>
      </c>
      <c r="L208" s="145" t="inlineStr">
        <is>
          <t>#000000</t>
        </is>
      </c>
      <c r="M208" s="145" t="inlineStr">
        <is>
          <t>Center</t>
        </is>
      </c>
      <c r="N208" s="145" t="inlineStr">
        <is>
          <t>Center</t>
        </is>
      </c>
      <c r="O208" s="145" t="inlineStr">
        <is>
          <t>Yes</t>
        </is>
      </c>
      <c r="P208" s="145" t="inlineStr">
        <is>
          <t>General</t>
        </is>
      </c>
      <c r="Q208" s="145" t="inlineStr">
        <is>
          <t>General</t>
        </is>
      </c>
      <c r="R208" s="145" t="n"/>
      <c r="S208" s="145" t="n"/>
      <c r="T208" s="145" t="n"/>
      <c r="U208" s="145" t="n"/>
      <c r="V208" s="145" t="n"/>
      <c r="W208" s="145" t="n"/>
      <c r="X208" s="145" t="inlineStr">
        <is>
          <t>Detailed format sample from top 5 used rows</t>
        </is>
      </c>
    </row>
    <row r="209" ht="23.85" customHeight="1" s="79">
      <c r="A209" s="145" t="inlineStr">
        <is>
          <t>REGULAR_DEPT</t>
        </is>
      </c>
      <c r="B209" s="145" t="inlineStr">
        <is>
          <t>Top-Row Cell Format</t>
        </is>
      </c>
      <c r="C209" s="145" t="inlineStr">
        <is>
          <t>AH4</t>
        </is>
      </c>
      <c r="D209" s="145" t="inlineStr">
        <is>
          <t>REGULAR_DEPT!A1:AS193</t>
        </is>
      </c>
      <c r="E209" s="145" t="inlineStr">
        <is>
          <t>Normal</t>
        </is>
      </c>
      <c r="F209" s="145" t="inlineStr">
        <is>
          <t>#F8CBAD</t>
        </is>
      </c>
      <c r="G209" s="145" t="inlineStr">
        <is>
          <t>Aptos</t>
        </is>
      </c>
      <c r="H209" s="145" t="n">
        <v>8</v>
      </c>
      <c r="I209" s="145" t="inlineStr">
        <is>
          <t>No</t>
        </is>
      </c>
      <c r="J209" s="145" t="inlineStr">
        <is>
          <t>No</t>
        </is>
      </c>
      <c r="K209" s="145" t="inlineStr">
        <is>
          <t>None</t>
        </is>
      </c>
      <c r="L209" s="145" t="inlineStr">
        <is>
          <t>#000000</t>
        </is>
      </c>
      <c r="M209" s="145" t="inlineStr">
        <is>
          <t>General</t>
        </is>
      </c>
      <c r="N209" s="145" t="inlineStr">
        <is>
          <t>Center</t>
        </is>
      </c>
      <c r="O209" s="145" t="inlineStr">
        <is>
          <t>No</t>
        </is>
      </c>
      <c r="P209" s="145" t="inlineStr">
        <is>
          <t>General</t>
        </is>
      </c>
      <c r="Q209" s="145" t="inlineStr">
        <is>
          <t>General</t>
        </is>
      </c>
      <c r="R209" s="145" t="n"/>
      <c r="S209" s="145" t="n"/>
      <c r="T209" s="145" t="n"/>
      <c r="U209" s="145" t="n"/>
      <c r="V209" s="145" t="n"/>
      <c r="W209" s="145" t="n"/>
      <c r="X209" s="145" t="inlineStr">
        <is>
          <t>Detailed format sample from top 5 used rows</t>
        </is>
      </c>
    </row>
    <row r="210" ht="23.85" customHeight="1" s="79">
      <c r="A210" s="145" t="inlineStr">
        <is>
          <t>REGULAR_DEPT</t>
        </is>
      </c>
      <c r="B210" s="145" t="inlineStr">
        <is>
          <t>Top-Row Cell Format</t>
        </is>
      </c>
      <c r="C210" s="145" t="inlineStr">
        <is>
          <t>AH5</t>
        </is>
      </c>
      <c r="D210" s="145" t="inlineStr">
        <is>
          <t>REGULAR_DEPT!A1:AS193</t>
        </is>
      </c>
      <c r="E210" s="145" t="inlineStr">
        <is>
          <t>Comma</t>
        </is>
      </c>
      <c r="F210" s="145" t="n"/>
      <c r="G210" s="145" t="inlineStr">
        <is>
          <t>Aptos</t>
        </is>
      </c>
      <c r="H210" s="145" t="n">
        <v>8</v>
      </c>
      <c r="I210" s="145" t="inlineStr">
        <is>
          <t>No</t>
        </is>
      </c>
      <c r="J210" s="145" t="inlineStr">
        <is>
          <t>No</t>
        </is>
      </c>
      <c r="K210" s="145" t="inlineStr">
        <is>
          <t>None</t>
        </is>
      </c>
      <c r="L210" s="145" t="inlineStr">
        <is>
          <t>#000000</t>
        </is>
      </c>
      <c r="M210" s="145" t="inlineStr">
        <is>
          <t>General</t>
        </is>
      </c>
      <c r="N210" s="145" t="inlineStr">
        <is>
          <t>Center</t>
        </is>
      </c>
      <c r="O210" s="145" t="inlineStr">
        <is>
          <t>No</t>
        </is>
      </c>
      <c r="P210" s="145" t="inlineStr">
        <is>
          <t xml:space="preserve">_ * #,##0_ ;_ * -#,##0_ ;_ * "-"??_ ;_ @_ </t>
        </is>
      </c>
      <c r="Q210" s="145" t="inlineStr">
        <is>
          <t>Text</t>
        </is>
      </c>
      <c r="R210" s="145" t="n"/>
      <c r="S210" s="145" t="n"/>
      <c r="T210" s="145" t="n"/>
      <c r="U210" s="145" t="n"/>
      <c r="V210" s="145" t="n"/>
      <c r="W210" s="145" t="n"/>
      <c r="X210" s="145" t="inlineStr">
        <is>
          <t>Detailed format sample from top 5 used rows</t>
        </is>
      </c>
    </row>
    <row r="211" ht="35.05" customHeight="1" s="79">
      <c r="A211" s="145" t="inlineStr">
        <is>
          <t>REGULAR_DEPT</t>
        </is>
      </c>
      <c r="B211" s="145" t="inlineStr">
        <is>
          <t>Column Format</t>
        </is>
      </c>
      <c r="C211" s="145" t="inlineStr">
        <is>
          <t>AI:AI</t>
        </is>
      </c>
      <c r="D211" s="145" t="inlineStr">
        <is>
          <t>REGULAR_DEPT!A1:AS193</t>
        </is>
      </c>
      <c r="E211" s="145" t="inlineStr">
        <is>
          <t>Mixed</t>
        </is>
      </c>
      <c r="F211" s="145" t="inlineStr">
        <is>
          <t>Mixed</t>
        </is>
      </c>
      <c r="G211" s="145" t="inlineStr">
        <is>
          <t>Aptos</t>
        </is>
      </c>
      <c r="H211" s="145" t="n">
        <v>8</v>
      </c>
      <c r="I211" s="145" t="inlineStr">
        <is>
          <t>Mixed</t>
        </is>
      </c>
      <c r="J211" s="145" t="inlineStr">
        <is>
          <t>No</t>
        </is>
      </c>
      <c r="K211" s="145" t="inlineStr">
        <is>
          <t>None</t>
        </is>
      </c>
      <c r="L211" s="145" t="inlineStr">
        <is>
          <t>#000000</t>
        </is>
      </c>
      <c r="M211" s="145" t="inlineStr">
        <is>
          <t>Mixed</t>
        </is>
      </c>
      <c r="N211" s="145" t="inlineStr">
        <is>
          <t>Center</t>
        </is>
      </c>
      <c r="O211" s="145" t="inlineStr">
        <is>
          <t>Mixed</t>
        </is>
      </c>
      <c r="P211" s="145" t="n"/>
      <c r="Q211" s="145" t="n"/>
      <c r="R211" s="145" t="inlineStr">
        <is>
          <t>EdgeBottom:Continuous/Thin/#000000; EdgeRight:Continuous/Thin/#000000</t>
        </is>
      </c>
      <c r="S211" s="145" t="n">
        <v>0</v>
      </c>
      <c r="T211" s="145" t="n"/>
      <c r="U211" s="145" t="inlineStr">
        <is>
          <t>Yes</t>
        </is>
      </c>
      <c r="V211" s="145" t="inlineStr">
        <is>
          <t>Hidden column (possible outline/group)</t>
        </is>
      </c>
      <c r="W211" s="145" t="n"/>
      <c r="X211" s="145" t="inlineStr">
        <is>
          <t>Mixed styles within used column</t>
        </is>
      </c>
    </row>
    <row r="212" ht="23.85" customHeight="1" s="79">
      <c r="A212" s="145" t="inlineStr">
        <is>
          <t>REGULAR_DEPT</t>
        </is>
      </c>
      <c r="B212" s="145" t="inlineStr">
        <is>
          <t>Top-Row Cell Format</t>
        </is>
      </c>
      <c r="C212" s="145" t="inlineStr">
        <is>
          <t>AI1</t>
        </is>
      </c>
      <c r="D212" s="145" t="inlineStr">
        <is>
          <t>REGULAR_DEPT!A1:AS193</t>
        </is>
      </c>
      <c r="E212" s="145" t="inlineStr">
        <is>
          <t>Normal</t>
        </is>
      </c>
      <c r="F212" s="145" t="n"/>
      <c r="G212" s="145" t="inlineStr">
        <is>
          <t>Aptos</t>
        </is>
      </c>
      <c r="H212" s="145" t="n">
        <v>8</v>
      </c>
      <c r="I212" s="145" t="inlineStr">
        <is>
          <t>Yes</t>
        </is>
      </c>
      <c r="J212" s="145" t="inlineStr">
        <is>
          <t>No</t>
        </is>
      </c>
      <c r="K212" s="145" t="inlineStr">
        <is>
          <t>None</t>
        </is>
      </c>
      <c r="L212" s="145" t="inlineStr">
        <is>
          <t>#000000</t>
        </is>
      </c>
      <c r="M212" s="145" t="inlineStr">
        <is>
          <t>General</t>
        </is>
      </c>
      <c r="N212" s="145" t="inlineStr">
        <is>
          <t>Center</t>
        </is>
      </c>
      <c r="O212" s="145" t="inlineStr">
        <is>
          <t>No</t>
        </is>
      </c>
      <c r="P212" s="145" t="inlineStr">
        <is>
          <t>General</t>
        </is>
      </c>
      <c r="Q212" s="145" t="inlineStr">
        <is>
          <t>General</t>
        </is>
      </c>
      <c r="R212" s="145" t="n"/>
      <c r="S212" s="145" t="n"/>
      <c r="T212" s="145" t="n"/>
      <c r="U212" s="145" t="n"/>
      <c r="V212" s="145" t="n"/>
      <c r="W212" s="145" t="n"/>
      <c r="X212" s="145" t="inlineStr">
        <is>
          <t>Detailed format sample from top 5 used rows</t>
        </is>
      </c>
    </row>
    <row r="213" ht="23.85" customHeight="1" s="79">
      <c r="A213" s="145" t="inlineStr">
        <is>
          <t>REGULAR_DEPT</t>
        </is>
      </c>
      <c r="B213" s="145" t="inlineStr">
        <is>
          <t>Top-Row Cell Format</t>
        </is>
      </c>
      <c r="C213" s="145" t="inlineStr">
        <is>
          <t>AI2</t>
        </is>
      </c>
      <c r="D213" s="145" t="inlineStr">
        <is>
          <t>REGULAR_DEPT!A1:AS193</t>
        </is>
      </c>
      <c r="E213" s="145" t="inlineStr">
        <is>
          <t>Comma</t>
        </is>
      </c>
      <c r="F213" s="145" t="inlineStr">
        <is>
          <t>#B4C6E7</t>
        </is>
      </c>
      <c r="G213" s="145" t="inlineStr">
        <is>
          <t>Aptos</t>
        </is>
      </c>
      <c r="H213" s="145" t="n">
        <v>8</v>
      </c>
      <c r="I213" s="145" t="inlineStr">
        <is>
          <t>Yes</t>
        </is>
      </c>
      <c r="J213" s="145" t="inlineStr">
        <is>
          <t>No</t>
        </is>
      </c>
      <c r="K213" s="145" t="inlineStr">
        <is>
          <t>None</t>
        </is>
      </c>
      <c r="L213" s="145" t="inlineStr">
        <is>
          <t>#000000</t>
        </is>
      </c>
      <c r="M213" s="145" t="inlineStr">
        <is>
          <t>General</t>
        </is>
      </c>
      <c r="N213" s="145" t="inlineStr">
        <is>
          <t>Center</t>
        </is>
      </c>
      <c r="O213" s="145" t="inlineStr">
        <is>
          <t>No</t>
        </is>
      </c>
      <c r="P213" s="145" t="inlineStr">
        <is>
          <t xml:space="preserve">_ * #,##0_ ;_ * -#,##0_ ;_ * "-"??_ ;_ @_ </t>
        </is>
      </c>
      <c r="Q213" s="145" t="inlineStr">
        <is>
          <t>Text</t>
        </is>
      </c>
      <c r="R213" s="145" t="n"/>
      <c r="S213" s="145" t="n"/>
      <c r="T213" s="145" t="n"/>
      <c r="U213" s="145" t="n"/>
      <c r="V213" s="145" t="n"/>
      <c r="W213" s="145" t="n"/>
      <c r="X213" s="145" t="inlineStr">
        <is>
          <t>Detailed format sample from top 5 used rows</t>
        </is>
      </c>
    </row>
    <row r="214" ht="23.85" customHeight="1" s="79">
      <c r="A214" s="145" t="inlineStr">
        <is>
          <t>REGULAR_DEPT</t>
        </is>
      </c>
      <c r="B214" s="145" t="inlineStr">
        <is>
          <t>Top-Row Cell Format</t>
        </is>
      </c>
      <c r="C214" s="145" t="inlineStr">
        <is>
          <t>AI3</t>
        </is>
      </c>
      <c r="D214" s="145" t="inlineStr">
        <is>
          <t>REGULAR_DEPT!A1:AS193</t>
        </is>
      </c>
      <c r="E214" s="145" t="inlineStr">
        <is>
          <t>Normal</t>
        </is>
      </c>
      <c r="F214" s="145" t="inlineStr">
        <is>
          <t>#F8CBAD</t>
        </is>
      </c>
      <c r="G214" s="145" t="inlineStr">
        <is>
          <t>Aptos</t>
        </is>
      </c>
      <c r="H214" s="145" t="n">
        <v>8</v>
      </c>
      <c r="I214" s="145" t="inlineStr">
        <is>
          <t>Yes</t>
        </is>
      </c>
      <c r="J214" s="145" t="inlineStr">
        <is>
          <t>No</t>
        </is>
      </c>
      <c r="K214" s="145" t="inlineStr">
        <is>
          <t>None</t>
        </is>
      </c>
      <c r="L214" s="145" t="inlineStr">
        <is>
          <t>#000000</t>
        </is>
      </c>
      <c r="M214" s="145" t="inlineStr">
        <is>
          <t>Center</t>
        </is>
      </c>
      <c r="N214" s="145" t="inlineStr">
        <is>
          <t>Center</t>
        </is>
      </c>
      <c r="O214" s="145" t="inlineStr">
        <is>
          <t>Yes</t>
        </is>
      </c>
      <c r="P214" s="145" t="inlineStr">
        <is>
          <t>General</t>
        </is>
      </c>
      <c r="Q214" s="145" t="inlineStr">
        <is>
          <t>General</t>
        </is>
      </c>
      <c r="R214" s="145" t="n"/>
      <c r="S214" s="145" t="n"/>
      <c r="T214" s="145" t="n"/>
      <c r="U214" s="145" t="n"/>
      <c r="V214" s="145" t="n"/>
      <c r="W214" s="145" t="n"/>
      <c r="X214" s="145" t="inlineStr">
        <is>
          <t>Detailed format sample from top 5 used rows</t>
        </is>
      </c>
    </row>
    <row r="215" ht="23.85" customHeight="1" s="79">
      <c r="A215" s="145" t="inlineStr">
        <is>
          <t>REGULAR_DEPT</t>
        </is>
      </c>
      <c r="B215" s="145" t="inlineStr">
        <is>
          <t>Top-Row Cell Format</t>
        </is>
      </c>
      <c r="C215" s="145" t="inlineStr">
        <is>
          <t>AI4</t>
        </is>
      </c>
      <c r="D215" s="145" t="inlineStr">
        <is>
          <t>REGULAR_DEPT!A1:AS193</t>
        </is>
      </c>
      <c r="E215" s="145" t="inlineStr">
        <is>
          <t>Normal</t>
        </is>
      </c>
      <c r="F215" s="145" t="inlineStr">
        <is>
          <t>#F8CBAD</t>
        </is>
      </c>
      <c r="G215" s="145" t="inlineStr">
        <is>
          <t>Aptos</t>
        </is>
      </c>
      <c r="H215" s="145" t="n">
        <v>8</v>
      </c>
      <c r="I215" s="145" t="inlineStr">
        <is>
          <t>No</t>
        </is>
      </c>
      <c r="J215" s="145" t="inlineStr">
        <is>
          <t>No</t>
        </is>
      </c>
      <c r="K215" s="145" t="inlineStr">
        <is>
          <t>None</t>
        </is>
      </c>
      <c r="L215" s="145" t="inlineStr">
        <is>
          <t>#000000</t>
        </is>
      </c>
      <c r="M215" s="145" t="inlineStr">
        <is>
          <t>General</t>
        </is>
      </c>
      <c r="N215" s="145" t="inlineStr">
        <is>
          <t>Center</t>
        </is>
      </c>
      <c r="O215" s="145" t="inlineStr">
        <is>
          <t>No</t>
        </is>
      </c>
      <c r="P215" s="145" t="inlineStr">
        <is>
          <t>General</t>
        </is>
      </c>
      <c r="Q215" s="145" t="inlineStr">
        <is>
          <t>General</t>
        </is>
      </c>
      <c r="R215" s="145" t="n"/>
      <c r="S215" s="145" t="n"/>
      <c r="T215" s="145" t="n"/>
      <c r="U215" s="145" t="n"/>
      <c r="V215" s="145" t="n"/>
      <c r="W215" s="145" t="n"/>
      <c r="X215" s="145" t="inlineStr">
        <is>
          <t>Detailed format sample from top 5 used rows</t>
        </is>
      </c>
    </row>
    <row r="216" ht="23.85" customHeight="1" s="79">
      <c r="A216" s="145" t="inlineStr">
        <is>
          <t>REGULAR_DEPT</t>
        </is>
      </c>
      <c r="B216" s="145" t="inlineStr">
        <is>
          <t>Top-Row Cell Format</t>
        </is>
      </c>
      <c r="C216" s="145" t="inlineStr">
        <is>
          <t>AI5</t>
        </is>
      </c>
      <c r="D216" s="145" t="inlineStr">
        <is>
          <t>REGULAR_DEPT!A1:AS193</t>
        </is>
      </c>
      <c r="E216" s="145" t="inlineStr">
        <is>
          <t>Comma</t>
        </is>
      </c>
      <c r="F216" s="145" t="n"/>
      <c r="G216" s="145" t="inlineStr">
        <is>
          <t>Aptos</t>
        </is>
      </c>
      <c r="H216" s="145" t="n">
        <v>8</v>
      </c>
      <c r="I216" s="145" t="inlineStr">
        <is>
          <t>No</t>
        </is>
      </c>
      <c r="J216" s="145" t="inlineStr">
        <is>
          <t>No</t>
        </is>
      </c>
      <c r="K216" s="145" t="inlineStr">
        <is>
          <t>None</t>
        </is>
      </c>
      <c r="L216" s="145" t="inlineStr">
        <is>
          <t>#000000</t>
        </is>
      </c>
      <c r="M216" s="145" t="inlineStr">
        <is>
          <t>General</t>
        </is>
      </c>
      <c r="N216" s="145" t="inlineStr">
        <is>
          <t>Center</t>
        </is>
      </c>
      <c r="O216" s="145" t="inlineStr">
        <is>
          <t>No</t>
        </is>
      </c>
      <c r="P216" s="145" t="inlineStr">
        <is>
          <t xml:space="preserve">_ * #,##0_ ;_ * -#,##0_ ;_ * "-"??_ ;_ @_ </t>
        </is>
      </c>
      <c r="Q216" s="145" t="inlineStr">
        <is>
          <t>Text</t>
        </is>
      </c>
      <c r="R216" s="145" t="n"/>
      <c r="S216" s="145" t="n"/>
      <c r="T216" s="145" t="n"/>
      <c r="U216" s="145" t="n"/>
      <c r="V216" s="145" t="n"/>
      <c r="W216" s="145" t="n"/>
      <c r="X216" s="145" t="inlineStr">
        <is>
          <t>Detailed format sample from top 5 used rows</t>
        </is>
      </c>
    </row>
    <row r="217" ht="35.05" customHeight="1" s="79">
      <c r="A217" s="145" t="inlineStr">
        <is>
          <t>REGULAR_DEPT</t>
        </is>
      </c>
      <c r="B217" s="145" t="inlineStr">
        <is>
          <t>Column Format</t>
        </is>
      </c>
      <c r="C217" s="145" t="inlineStr">
        <is>
          <t>AJ:AJ</t>
        </is>
      </c>
      <c r="D217" s="145" t="inlineStr">
        <is>
          <t>REGULAR_DEPT!A1:AS193</t>
        </is>
      </c>
      <c r="E217" s="145" t="inlineStr">
        <is>
          <t>Mixed</t>
        </is>
      </c>
      <c r="F217" s="145" t="inlineStr">
        <is>
          <t>Mixed</t>
        </is>
      </c>
      <c r="G217" s="145" t="inlineStr">
        <is>
          <t>Aptos</t>
        </is>
      </c>
      <c r="H217" s="145" t="n">
        <v>8</v>
      </c>
      <c r="I217" s="145" t="inlineStr">
        <is>
          <t>Mixed</t>
        </is>
      </c>
      <c r="J217" s="145" t="inlineStr">
        <is>
          <t>No</t>
        </is>
      </c>
      <c r="K217" s="145" t="inlineStr">
        <is>
          <t>None</t>
        </is>
      </c>
      <c r="L217" s="145" t="inlineStr">
        <is>
          <t>#000000</t>
        </is>
      </c>
      <c r="M217" s="145" t="inlineStr">
        <is>
          <t>Mixed</t>
        </is>
      </c>
      <c r="N217" s="145" t="inlineStr">
        <is>
          <t>Center</t>
        </is>
      </c>
      <c r="O217" s="145" t="inlineStr">
        <is>
          <t>Mixed</t>
        </is>
      </c>
      <c r="P217" s="145" t="n"/>
      <c r="Q217" s="145" t="n"/>
      <c r="R217" s="145" t="inlineStr">
        <is>
          <t>EdgeBottom:Continuous/Thin/#000000; EdgeRight:Continuous/Thin/#000000</t>
        </is>
      </c>
      <c r="S217" s="145" t="n">
        <v>0</v>
      </c>
      <c r="T217" s="145" t="n"/>
      <c r="U217" s="145" t="inlineStr">
        <is>
          <t>Yes</t>
        </is>
      </c>
      <c r="V217" s="145" t="inlineStr">
        <is>
          <t>Hidden column (possible outline/group)</t>
        </is>
      </c>
      <c r="W217" s="145" t="n"/>
      <c r="X217" s="145" t="inlineStr">
        <is>
          <t>Mixed styles within used column</t>
        </is>
      </c>
    </row>
    <row r="218" ht="23.85" customHeight="1" s="79">
      <c r="A218" s="145" t="inlineStr">
        <is>
          <t>REGULAR_DEPT</t>
        </is>
      </c>
      <c r="B218" s="145" t="inlineStr">
        <is>
          <t>Top-Row Cell Format</t>
        </is>
      </c>
      <c r="C218" s="145" t="inlineStr">
        <is>
          <t>AJ1</t>
        </is>
      </c>
      <c r="D218" s="145" t="inlineStr">
        <is>
          <t>REGULAR_DEPT!A1:AS193</t>
        </is>
      </c>
      <c r="E218" s="145" t="inlineStr">
        <is>
          <t>Normal</t>
        </is>
      </c>
      <c r="F218" s="145" t="n"/>
      <c r="G218" s="145" t="inlineStr">
        <is>
          <t>Aptos</t>
        </is>
      </c>
      <c r="H218" s="145" t="n">
        <v>8</v>
      </c>
      <c r="I218" s="145" t="inlineStr">
        <is>
          <t>Yes</t>
        </is>
      </c>
      <c r="J218" s="145" t="inlineStr">
        <is>
          <t>No</t>
        </is>
      </c>
      <c r="K218" s="145" t="inlineStr">
        <is>
          <t>None</t>
        </is>
      </c>
      <c r="L218" s="145" t="inlineStr">
        <is>
          <t>#000000</t>
        </is>
      </c>
      <c r="M218" s="145" t="inlineStr">
        <is>
          <t>General</t>
        </is>
      </c>
      <c r="N218" s="145" t="inlineStr">
        <is>
          <t>Center</t>
        </is>
      </c>
      <c r="O218" s="145" t="inlineStr">
        <is>
          <t>No</t>
        </is>
      </c>
      <c r="P218" s="145" t="inlineStr">
        <is>
          <t>General</t>
        </is>
      </c>
      <c r="Q218" s="145" t="inlineStr">
        <is>
          <t>General</t>
        </is>
      </c>
      <c r="R218" s="145" t="n"/>
      <c r="S218" s="145" t="n"/>
      <c r="T218" s="145" t="n"/>
      <c r="U218" s="145" t="n"/>
      <c r="V218" s="145" t="n"/>
      <c r="W218" s="145" t="n"/>
      <c r="X218" s="145" t="inlineStr">
        <is>
          <t>Detailed format sample from top 5 used rows</t>
        </is>
      </c>
    </row>
    <row r="219" ht="23.85" customHeight="1" s="79">
      <c r="A219" s="145" t="inlineStr">
        <is>
          <t>REGULAR_DEPT</t>
        </is>
      </c>
      <c r="B219" s="145" t="inlineStr">
        <is>
          <t>Top-Row Cell Format</t>
        </is>
      </c>
      <c r="C219" s="145" t="inlineStr">
        <is>
          <t>AJ2</t>
        </is>
      </c>
      <c r="D219" s="145" t="inlineStr">
        <is>
          <t>REGULAR_DEPT!A1:AS193</t>
        </is>
      </c>
      <c r="E219" s="145" t="inlineStr">
        <is>
          <t>Comma</t>
        </is>
      </c>
      <c r="F219" s="145" t="inlineStr">
        <is>
          <t>#B4C6E7</t>
        </is>
      </c>
      <c r="G219" s="145" t="inlineStr">
        <is>
          <t>Aptos</t>
        </is>
      </c>
      <c r="H219" s="145" t="n">
        <v>8</v>
      </c>
      <c r="I219" s="145" t="inlineStr">
        <is>
          <t>Yes</t>
        </is>
      </c>
      <c r="J219" s="145" t="inlineStr">
        <is>
          <t>No</t>
        </is>
      </c>
      <c r="K219" s="145" t="inlineStr">
        <is>
          <t>None</t>
        </is>
      </c>
      <c r="L219" s="145" t="inlineStr">
        <is>
          <t>#000000</t>
        </is>
      </c>
      <c r="M219" s="145" t="inlineStr">
        <is>
          <t>General</t>
        </is>
      </c>
      <c r="N219" s="145" t="inlineStr">
        <is>
          <t>Center</t>
        </is>
      </c>
      <c r="O219" s="145" t="inlineStr">
        <is>
          <t>No</t>
        </is>
      </c>
      <c r="P219" s="145" t="inlineStr">
        <is>
          <t xml:space="preserve">_ * #,##0_ ;_ * -#,##0_ ;_ * "-"??_ ;_ @_ </t>
        </is>
      </c>
      <c r="Q219" s="145" t="inlineStr">
        <is>
          <t>Text</t>
        </is>
      </c>
      <c r="R219" s="145" t="n"/>
      <c r="S219" s="145" t="n"/>
      <c r="T219" s="145" t="n"/>
      <c r="U219" s="145" t="n"/>
      <c r="V219" s="145" t="n"/>
      <c r="W219" s="145" t="n"/>
      <c r="X219" s="145" t="inlineStr">
        <is>
          <t>Detailed format sample from top 5 used rows</t>
        </is>
      </c>
    </row>
    <row r="220" ht="23.85" customHeight="1" s="79">
      <c r="A220" s="145" t="inlineStr">
        <is>
          <t>REGULAR_DEPT</t>
        </is>
      </c>
      <c r="B220" s="145" t="inlineStr">
        <is>
          <t>Top-Row Cell Format</t>
        </is>
      </c>
      <c r="C220" s="145" t="inlineStr">
        <is>
          <t>AJ3</t>
        </is>
      </c>
      <c r="D220" s="145" t="inlineStr">
        <is>
          <t>REGULAR_DEPT!A1:AS193</t>
        </is>
      </c>
      <c r="E220" s="145" t="inlineStr">
        <is>
          <t>Normal</t>
        </is>
      </c>
      <c r="F220" s="145" t="inlineStr">
        <is>
          <t>#F8CBAD</t>
        </is>
      </c>
      <c r="G220" s="145" t="inlineStr">
        <is>
          <t>Aptos</t>
        </is>
      </c>
      <c r="H220" s="145" t="n">
        <v>8</v>
      </c>
      <c r="I220" s="145" t="inlineStr">
        <is>
          <t>Yes</t>
        </is>
      </c>
      <c r="J220" s="145" t="inlineStr">
        <is>
          <t>No</t>
        </is>
      </c>
      <c r="K220" s="145" t="inlineStr">
        <is>
          <t>None</t>
        </is>
      </c>
      <c r="L220" s="145" t="inlineStr">
        <is>
          <t>#000000</t>
        </is>
      </c>
      <c r="M220" s="145" t="inlineStr">
        <is>
          <t>Center</t>
        </is>
      </c>
      <c r="N220" s="145" t="inlineStr">
        <is>
          <t>Center</t>
        </is>
      </c>
      <c r="O220" s="145" t="inlineStr">
        <is>
          <t>Yes</t>
        </is>
      </c>
      <c r="P220" s="145" t="inlineStr">
        <is>
          <t>General</t>
        </is>
      </c>
      <c r="Q220" s="145" t="inlineStr">
        <is>
          <t>General</t>
        </is>
      </c>
      <c r="R220" s="145" t="n"/>
      <c r="S220" s="145" t="n"/>
      <c r="T220" s="145" t="n"/>
      <c r="U220" s="145" t="n"/>
      <c r="V220" s="145" t="n"/>
      <c r="W220" s="145" t="n"/>
      <c r="X220" s="145" t="inlineStr">
        <is>
          <t>Detailed format sample from top 5 used rows</t>
        </is>
      </c>
    </row>
    <row r="221" ht="23.85" customHeight="1" s="79">
      <c r="A221" s="145" t="inlineStr">
        <is>
          <t>REGULAR_DEPT</t>
        </is>
      </c>
      <c r="B221" s="145" t="inlineStr">
        <is>
          <t>Top-Row Cell Format</t>
        </is>
      </c>
      <c r="C221" s="145" t="inlineStr">
        <is>
          <t>AJ4</t>
        </is>
      </c>
      <c r="D221" s="145" t="inlineStr">
        <is>
          <t>REGULAR_DEPT!A1:AS193</t>
        </is>
      </c>
      <c r="E221" s="145" t="inlineStr">
        <is>
          <t>Normal</t>
        </is>
      </c>
      <c r="F221" s="145" t="inlineStr">
        <is>
          <t>#F8CBAD</t>
        </is>
      </c>
      <c r="G221" s="145" t="inlineStr">
        <is>
          <t>Aptos</t>
        </is>
      </c>
      <c r="H221" s="145" t="n">
        <v>8</v>
      </c>
      <c r="I221" s="145" t="inlineStr">
        <is>
          <t>No</t>
        </is>
      </c>
      <c r="J221" s="145" t="inlineStr">
        <is>
          <t>No</t>
        </is>
      </c>
      <c r="K221" s="145" t="inlineStr">
        <is>
          <t>None</t>
        </is>
      </c>
      <c r="L221" s="145" t="inlineStr">
        <is>
          <t>#000000</t>
        </is>
      </c>
      <c r="M221" s="145" t="inlineStr">
        <is>
          <t>General</t>
        </is>
      </c>
      <c r="N221" s="145" t="inlineStr">
        <is>
          <t>Center</t>
        </is>
      </c>
      <c r="O221" s="145" t="inlineStr">
        <is>
          <t>No</t>
        </is>
      </c>
      <c r="P221" s="145" t="inlineStr">
        <is>
          <t>General</t>
        </is>
      </c>
      <c r="Q221" s="145" t="inlineStr">
        <is>
          <t>General</t>
        </is>
      </c>
      <c r="R221" s="145" t="n"/>
      <c r="S221" s="145" t="n"/>
      <c r="T221" s="145" t="n"/>
      <c r="U221" s="145" t="n"/>
      <c r="V221" s="145" t="n"/>
      <c r="W221" s="145" t="n"/>
      <c r="X221" s="145" t="inlineStr">
        <is>
          <t>Detailed format sample from top 5 used rows</t>
        </is>
      </c>
    </row>
    <row r="222" ht="23.85" customHeight="1" s="79">
      <c r="A222" s="145" t="inlineStr">
        <is>
          <t>REGULAR_DEPT</t>
        </is>
      </c>
      <c r="B222" s="145" t="inlineStr">
        <is>
          <t>Top-Row Cell Format</t>
        </is>
      </c>
      <c r="C222" s="145" t="inlineStr">
        <is>
          <t>AJ5</t>
        </is>
      </c>
      <c r="D222" s="145" t="inlineStr">
        <is>
          <t>REGULAR_DEPT!A1:AS193</t>
        </is>
      </c>
      <c r="E222" s="145" t="inlineStr">
        <is>
          <t>Comma</t>
        </is>
      </c>
      <c r="F222" s="145" t="n"/>
      <c r="G222" s="145" t="inlineStr">
        <is>
          <t>Aptos</t>
        </is>
      </c>
      <c r="H222" s="145" t="n">
        <v>8</v>
      </c>
      <c r="I222" s="145" t="inlineStr">
        <is>
          <t>No</t>
        </is>
      </c>
      <c r="J222" s="145" t="inlineStr">
        <is>
          <t>No</t>
        </is>
      </c>
      <c r="K222" s="145" t="inlineStr">
        <is>
          <t>None</t>
        </is>
      </c>
      <c r="L222" s="145" t="inlineStr">
        <is>
          <t>#000000</t>
        </is>
      </c>
      <c r="M222" s="145" t="inlineStr">
        <is>
          <t>General</t>
        </is>
      </c>
      <c r="N222" s="145" t="inlineStr">
        <is>
          <t>Center</t>
        </is>
      </c>
      <c r="O222" s="145" t="inlineStr">
        <is>
          <t>No</t>
        </is>
      </c>
      <c r="P222" s="145" t="inlineStr">
        <is>
          <t xml:space="preserve">_ * #,##0_ ;_ * -#,##0_ ;_ * "-"??_ ;_ @_ </t>
        </is>
      </c>
      <c r="Q222" s="145" t="inlineStr">
        <is>
          <t>Text</t>
        </is>
      </c>
      <c r="R222" s="145" t="n"/>
      <c r="S222" s="145" t="n"/>
      <c r="T222" s="145" t="n"/>
      <c r="U222" s="145" t="n"/>
      <c r="V222" s="145" t="n"/>
      <c r="W222" s="145" t="n"/>
      <c r="X222" s="145" t="inlineStr">
        <is>
          <t>Detailed format sample from top 5 used rows</t>
        </is>
      </c>
    </row>
    <row r="223" ht="35.05" customHeight="1" s="79">
      <c r="A223" s="145" t="inlineStr">
        <is>
          <t>REGULAR_DEPT</t>
        </is>
      </c>
      <c r="B223" s="145" t="inlineStr">
        <is>
          <t>Column Format</t>
        </is>
      </c>
      <c r="C223" s="145" t="inlineStr">
        <is>
          <t>AK:AK</t>
        </is>
      </c>
      <c r="D223" s="145" t="inlineStr">
        <is>
          <t>REGULAR_DEPT!A1:AS193</t>
        </is>
      </c>
      <c r="E223" s="145" t="inlineStr">
        <is>
          <t>Mixed</t>
        </is>
      </c>
      <c r="F223" s="145" t="inlineStr">
        <is>
          <t>Mixed</t>
        </is>
      </c>
      <c r="G223" s="145" t="inlineStr">
        <is>
          <t>Aptos</t>
        </is>
      </c>
      <c r="H223" s="145" t="n">
        <v>8</v>
      </c>
      <c r="I223" s="145" t="inlineStr">
        <is>
          <t>Mixed</t>
        </is>
      </c>
      <c r="J223" s="145" t="inlineStr">
        <is>
          <t>No</t>
        </is>
      </c>
      <c r="K223" s="145" t="inlineStr">
        <is>
          <t>None</t>
        </is>
      </c>
      <c r="L223" s="145" t="inlineStr">
        <is>
          <t>#000000</t>
        </is>
      </c>
      <c r="M223" s="145" t="inlineStr">
        <is>
          <t>Mixed</t>
        </is>
      </c>
      <c r="N223" s="145" t="inlineStr">
        <is>
          <t>Center</t>
        </is>
      </c>
      <c r="O223" s="145" t="inlineStr">
        <is>
          <t>Mixed</t>
        </is>
      </c>
      <c r="P223" s="145" t="n"/>
      <c r="Q223" s="145" t="n"/>
      <c r="R223" s="145" t="inlineStr">
        <is>
          <t>EdgeBottom:Continuous/Thin/#000000; EdgeRight:Continuous/Thin/#000000</t>
        </is>
      </c>
      <c r="S223" s="145" t="n">
        <v>0</v>
      </c>
      <c r="T223" s="145" t="n"/>
      <c r="U223" s="145" t="inlineStr">
        <is>
          <t>Yes</t>
        </is>
      </c>
      <c r="V223" s="145" t="inlineStr">
        <is>
          <t>Hidden column (possible outline/group)</t>
        </is>
      </c>
      <c r="W223" s="145" t="n"/>
      <c r="X223" s="145" t="inlineStr">
        <is>
          <t>Mixed styles within used column</t>
        </is>
      </c>
    </row>
    <row r="224" ht="23.85" customHeight="1" s="79">
      <c r="A224" s="145" t="inlineStr">
        <is>
          <t>REGULAR_DEPT</t>
        </is>
      </c>
      <c r="B224" s="145" t="inlineStr">
        <is>
          <t>Top-Row Cell Format</t>
        </is>
      </c>
      <c r="C224" s="145" t="inlineStr">
        <is>
          <t>AK1</t>
        </is>
      </c>
      <c r="D224" s="145" t="inlineStr">
        <is>
          <t>REGULAR_DEPT!A1:AS193</t>
        </is>
      </c>
      <c r="E224" s="145" t="inlineStr">
        <is>
          <t>Normal</t>
        </is>
      </c>
      <c r="F224" s="145" t="n"/>
      <c r="G224" s="145" t="inlineStr">
        <is>
          <t>Aptos</t>
        </is>
      </c>
      <c r="H224" s="145" t="n">
        <v>8</v>
      </c>
      <c r="I224" s="145" t="inlineStr">
        <is>
          <t>Yes</t>
        </is>
      </c>
      <c r="J224" s="145" t="inlineStr">
        <is>
          <t>No</t>
        </is>
      </c>
      <c r="K224" s="145" t="inlineStr">
        <is>
          <t>None</t>
        </is>
      </c>
      <c r="L224" s="145" t="inlineStr">
        <is>
          <t>#000000</t>
        </is>
      </c>
      <c r="M224" s="145" t="inlineStr">
        <is>
          <t>General</t>
        </is>
      </c>
      <c r="N224" s="145" t="inlineStr">
        <is>
          <t>Center</t>
        </is>
      </c>
      <c r="O224" s="145" t="inlineStr">
        <is>
          <t>No</t>
        </is>
      </c>
      <c r="P224" s="145" t="inlineStr">
        <is>
          <t>General</t>
        </is>
      </c>
      <c r="Q224" s="145" t="inlineStr">
        <is>
          <t>General</t>
        </is>
      </c>
      <c r="R224" s="145" t="n"/>
      <c r="S224" s="145" t="n"/>
      <c r="T224" s="145" t="n"/>
      <c r="U224" s="145" t="n"/>
      <c r="V224" s="145" t="n"/>
      <c r="W224" s="145" t="n"/>
      <c r="X224" s="145" t="inlineStr">
        <is>
          <t>Detailed format sample from top 5 used rows</t>
        </is>
      </c>
    </row>
    <row r="225" ht="23.85" customHeight="1" s="79">
      <c r="A225" s="145" t="inlineStr">
        <is>
          <t>REGULAR_DEPT</t>
        </is>
      </c>
      <c r="B225" s="145" t="inlineStr">
        <is>
          <t>Top-Row Cell Format</t>
        </is>
      </c>
      <c r="C225" s="145" t="inlineStr">
        <is>
          <t>AK2</t>
        </is>
      </c>
      <c r="D225" s="145" t="inlineStr">
        <is>
          <t>REGULAR_DEPT!A1:AS193</t>
        </is>
      </c>
      <c r="E225" s="145" t="inlineStr">
        <is>
          <t>Comma</t>
        </is>
      </c>
      <c r="F225" s="145" t="inlineStr">
        <is>
          <t>#B4C6E7</t>
        </is>
      </c>
      <c r="G225" s="145" t="inlineStr">
        <is>
          <t>Aptos</t>
        </is>
      </c>
      <c r="H225" s="145" t="n">
        <v>8</v>
      </c>
      <c r="I225" s="145" t="inlineStr">
        <is>
          <t>Yes</t>
        </is>
      </c>
      <c r="J225" s="145" t="inlineStr">
        <is>
          <t>No</t>
        </is>
      </c>
      <c r="K225" s="145" t="inlineStr">
        <is>
          <t>None</t>
        </is>
      </c>
      <c r="L225" s="145" t="inlineStr">
        <is>
          <t>#000000</t>
        </is>
      </c>
      <c r="M225" s="145" t="inlineStr">
        <is>
          <t>General</t>
        </is>
      </c>
      <c r="N225" s="145" t="inlineStr">
        <is>
          <t>Center</t>
        </is>
      </c>
      <c r="O225" s="145" t="inlineStr">
        <is>
          <t>No</t>
        </is>
      </c>
      <c r="P225" s="145" t="inlineStr">
        <is>
          <t xml:space="preserve">_ * #,##0_ ;_ * -#,##0_ ;_ * "-"??_ ;_ @_ </t>
        </is>
      </c>
      <c r="Q225" s="145" t="inlineStr">
        <is>
          <t>Text</t>
        </is>
      </c>
      <c r="R225" s="145" t="n"/>
      <c r="S225" s="145" t="n"/>
      <c r="T225" s="145" t="n"/>
      <c r="U225" s="145" t="n"/>
      <c r="V225" s="145" t="n"/>
      <c r="W225" s="145" t="n"/>
      <c r="X225" s="145" t="inlineStr">
        <is>
          <t>Detailed format sample from top 5 used rows</t>
        </is>
      </c>
    </row>
    <row r="226" ht="23.85" customHeight="1" s="79">
      <c r="A226" s="145" t="inlineStr">
        <is>
          <t>REGULAR_DEPT</t>
        </is>
      </c>
      <c r="B226" s="145" t="inlineStr">
        <is>
          <t>Top-Row Cell Format</t>
        </is>
      </c>
      <c r="C226" s="145" t="inlineStr">
        <is>
          <t>AK3</t>
        </is>
      </c>
      <c r="D226" s="145" t="inlineStr">
        <is>
          <t>REGULAR_DEPT!A1:AS193</t>
        </is>
      </c>
      <c r="E226" s="145" t="inlineStr">
        <is>
          <t>Normal</t>
        </is>
      </c>
      <c r="F226" s="145" t="inlineStr">
        <is>
          <t>#FFE699</t>
        </is>
      </c>
      <c r="G226" s="145" t="inlineStr">
        <is>
          <t>Aptos</t>
        </is>
      </c>
      <c r="H226" s="145" t="n">
        <v>8</v>
      </c>
      <c r="I226" s="145" t="inlineStr">
        <is>
          <t>Yes</t>
        </is>
      </c>
      <c r="J226" s="145" t="inlineStr">
        <is>
          <t>No</t>
        </is>
      </c>
      <c r="K226" s="145" t="inlineStr">
        <is>
          <t>None</t>
        </is>
      </c>
      <c r="L226" s="145" t="inlineStr">
        <is>
          <t>#000000</t>
        </is>
      </c>
      <c r="M226" s="145" t="inlineStr">
        <is>
          <t>Center</t>
        </is>
      </c>
      <c r="N226" s="145" t="inlineStr">
        <is>
          <t>Center</t>
        </is>
      </c>
      <c r="O226" s="145" t="inlineStr">
        <is>
          <t>Yes</t>
        </is>
      </c>
      <c r="P226" s="145" t="inlineStr">
        <is>
          <t>General</t>
        </is>
      </c>
      <c r="Q226" s="145" t="inlineStr">
        <is>
          <t>General</t>
        </is>
      </c>
      <c r="R226" s="145" t="n"/>
      <c r="S226" s="145" t="n"/>
      <c r="T226" s="145" t="n"/>
      <c r="U226" s="145" t="n"/>
      <c r="V226" s="145" t="n"/>
      <c r="W226" s="145" t="n"/>
      <c r="X226" s="145" t="inlineStr">
        <is>
          <t>Detailed format sample from top 5 used rows</t>
        </is>
      </c>
    </row>
    <row r="227" ht="23.85" customHeight="1" s="79">
      <c r="A227" s="145" t="inlineStr">
        <is>
          <t>REGULAR_DEPT</t>
        </is>
      </c>
      <c r="B227" s="145" t="inlineStr">
        <is>
          <t>Top-Row Cell Format</t>
        </is>
      </c>
      <c r="C227" s="145" t="inlineStr">
        <is>
          <t>AK4</t>
        </is>
      </c>
      <c r="D227" s="145" t="inlineStr">
        <is>
          <t>REGULAR_DEPT!A1:AS193</t>
        </is>
      </c>
      <c r="E227" s="145" t="inlineStr">
        <is>
          <t>Normal</t>
        </is>
      </c>
      <c r="F227" s="145" t="inlineStr">
        <is>
          <t>#FFE699</t>
        </is>
      </c>
      <c r="G227" s="145" t="inlineStr">
        <is>
          <t>Aptos</t>
        </is>
      </c>
      <c r="H227" s="145" t="n">
        <v>8</v>
      </c>
      <c r="I227" s="145" t="inlineStr">
        <is>
          <t>No</t>
        </is>
      </c>
      <c r="J227" s="145" t="inlineStr">
        <is>
          <t>No</t>
        </is>
      </c>
      <c r="K227" s="145" t="inlineStr">
        <is>
          <t>None</t>
        </is>
      </c>
      <c r="L227" s="145" t="inlineStr">
        <is>
          <t>#000000</t>
        </is>
      </c>
      <c r="M227" s="145" t="inlineStr">
        <is>
          <t>General</t>
        </is>
      </c>
      <c r="N227" s="145" t="inlineStr">
        <is>
          <t>Center</t>
        </is>
      </c>
      <c r="O227" s="145" t="inlineStr">
        <is>
          <t>No</t>
        </is>
      </c>
      <c r="P227" s="145" t="inlineStr">
        <is>
          <t>General</t>
        </is>
      </c>
      <c r="Q227" s="145" t="inlineStr">
        <is>
          <t>General</t>
        </is>
      </c>
      <c r="R227" s="145" t="n"/>
      <c r="S227" s="145" t="n"/>
      <c r="T227" s="145" t="n"/>
      <c r="U227" s="145" t="n"/>
      <c r="V227" s="145" t="n"/>
      <c r="W227" s="145" t="n"/>
      <c r="X227" s="145" t="inlineStr">
        <is>
          <t>Detailed format sample from top 5 used rows</t>
        </is>
      </c>
    </row>
    <row r="228" ht="23.85" customHeight="1" s="79">
      <c r="A228" s="145" t="inlineStr">
        <is>
          <t>REGULAR_DEPT</t>
        </is>
      </c>
      <c r="B228" s="145" t="inlineStr">
        <is>
          <t>Top-Row Cell Format</t>
        </is>
      </c>
      <c r="C228" s="145" t="inlineStr">
        <is>
          <t>AK5</t>
        </is>
      </c>
      <c r="D228" s="145" t="inlineStr">
        <is>
          <t>REGULAR_DEPT!A1:AS193</t>
        </is>
      </c>
      <c r="E228" s="145" t="inlineStr">
        <is>
          <t>Normal</t>
        </is>
      </c>
      <c r="F228" s="145" t="inlineStr">
        <is>
          <t>#B4C6E7</t>
        </is>
      </c>
      <c r="G228" s="145" t="inlineStr">
        <is>
          <t>Aptos</t>
        </is>
      </c>
      <c r="H228" s="145" t="n">
        <v>8</v>
      </c>
      <c r="I228" s="145" t="inlineStr">
        <is>
          <t>Yes</t>
        </is>
      </c>
      <c r="J228" s="145" t="inlineStr">
        <is>
          <t>No</t>
        </is>
      </c>
      <c r="K228" s="145" t="inlineStr">
        <is>
          <t>None</t>
        </is>
      </c>
      <c r="L228" s="145" t="inlineStr">
        <is>
          <t>#000000</t>
        </is>
      </c>
      <c r="M228" s="145" t="inlineStr">
        <is>
          <t>General</t>
        </is>
      </c>
      <c r="N228" s="145" t="inlineStr">
        <is>
          <t>Center</t>
        </is>
      </c>
      <c r="O228" s="145" t="inlineStr">
        <is>
          <t>No</t>
        </is>
      </c>
      <c r="P228" s="145" t="inlineStr">
        <is>
          <t xml:space="preserve">_ * #,##0_ ;_ * -#,##0_ ;_ * "-"??_ ;_ @_ </t>
        </is>
      </c>
      <c r="Q228" s="145" t="inlineStr">
        <is>
          <t>Text</t>
        </is>
      </c>
      <c r="R228" s="145" t="n"/>
      <c r="S228" s="145" t="n"/>
      <c r="T228" s="145" t="n"/>
      <c r="U228" s="145" t="n"/>
      <c r="V228" s="145" t="n"/>
      <c r="W228" s="145" t="n"/>
      <c r="X228" s="145" t="inlineStr">
        <is>
          <t>Detailed format sample from top 5 used rows</t>
        </is>
      </c>
    </row>
    <row r="229" ht="35.05" customHeight="1" s="79">
      <c r="A229" s="145" t="inlineStr">
        <is>
          <t>REGULAR_DEPT</t>
        </is>
      </c>
      <c r="B229" s="145" t="inlineStr">
        <is>
          <t>Column Format</t>
        </is>
      </c>
      <c r="C229" s="145" t="inlineStr">
        <is>
          <t>AL:AL</t>
        </is>
      </c>
      <c r="D229" s="145" t="inlineStr">
        <is>
          <t>REGULAR_DEPT!A1:AS193</t>
        </is>
      </c>
      <c r="E229" s="145" t="inlineStr">
        <is>
          <t>Mixed</t>
        </is>
      </c>
      <c r="F229" s="145" t="inlineStr">
        <is>
          <t>Mixed</t>
        </is>
      </c>
      <c r="G229" s="145" t="inlineStr">
        <is>
          <t>Aptos</t>
        </is>
      </c>
      <c r="H229" s="145" t="n">
        <v>8</v>
      </c>
      <c r="I229" s="145" t="inlineStr">
        <is>
          <t>Mixed</t>
        </is>
      </c>
      <c r="J229" s="145" t="inlineStr">
        <is>
          <t>No</t>
        </is>
      </c>
      <c r="K229" s="145" t="inlineStr">
        <is>
          <t>None</t>
        </is>
      </c>
      <c r="L229" s="145" t="inlineStr">
        <is>
          <t>#000000</t>
        </is>
      </c>
      <c r="M229" s="145" t="inlineStr">
        <is>
          <t>Mixed</t>
        </is>
      </c>
      <c r="N229" s="145" t="inlineStr">
        <is>
          <t>Center</t>
        </is>
      </c>
      <c r="O229" s="145" t="inlineStr">
        <is>
          <t>Mixed</t>
        </is>
      </c>
      <c r="P229" s="145" t="n"/>
      <c r="Q229" s="145" t="n"/>
      <c r="R229" s="145" t="inlineStr">
        <is>
          <t>EdgeBottom:Continuous/Thin/#000000; EdgeRight:Continuous/Thin/#000000</t>
        </is>
      </c>
      <c r="S229" s="145" t="n">
        <v>0</v>
      </c>
      <c r="T229" s="145" t="n"/>
      <c r="U229" s="145" t="inlineStr">
        <is>
          <t>Yes</t>
        </is>
      </c>
      <c r="V229" s="145" t="inlineStr">
        <is>
          <t>Hidden column (possible outline/group)</t>
        </is>
      </c>
      <c r="W229" s="145" t="n"/>
      <c r="X229" s="145" t="inlineStr">
        <is>
          <t>Mixed styles within used column</t>
        </is>
      </c>
    </row>
    <row r="230" ht="23.85" customHeight="1" s="79">
      <c r="A230" s="145" t="inlineStr">
        <is>
          <t>REGULAR_DEPT</t>
        </is>
      </c>
      <c r="B230" s="145" t="inlineStr">
        <is>
          <t>Top-Row Cell Format</t>
        </is>
      </c>
      <c r="C230" s="145" t="inlineStr">
        <is>
          <t>AL1</t>
        </is>
      </c>
      <c r="D230" s="145" t="inlineStr">
        <is>
          <t>REGULAR_DEPT!A1:AS193</t>
        </is>
      </c>
      <c r="E230" s="145" t="inlineStr">
        <is>
          <t>Normal</t>
        </is>
      </c>
      <c r="F230" s="145" t="n"/>
      <c r="G230" s="145" t="inlineStr">
        <is>
          <t>Aptos</t>
        </is>
      </c>
      <c r="H230" s="145" t="n">
        <v>8</v>
      </c>
      <c r="I230" s="145" t="inlineStr">
        <is>
          <t>Yes</t>
        </is>
      </c>
      <c r="J230" s="145" t="inlineStr">
        <is>
          <t>No</t>
        </is>
      </c>
      <c r="K230" s="145" t="inlineStr">
        <is>
          <t>None</t>
        </is>
      </c>
      <c r="L230" s="145" t="inlineStr">
        <is>
          <t>#000000</t>
        </is>
      </c>
      <c r="M230" s="145" t="inlineStr">
        <is>
          <t>General</t>
        </is>
      </c>
      <c r="N230" s="145" t="inlineStr">
        <is>
          <t>Center</t>
        </is>
      </c>
      <c r="O230" s="145" t="inlineStr">
        <is>
          <t>No</t>
        </is>
      </c>
      <c r="P230" s="145" t="inlineStr">
        <is>
          <t>General</t>
        </is>
      </c>
      <c r="Q230" s="145" t="inlineStr">
        <is>
          <t>General</t>
        </is>
      </c>
      <c r="R230" s="145" t="n"/>
      <c r="S230" s="145" t="n"/>
      <c r="T230" s="145" t="n"/>
      <c r="U230" s="145" t="n"/>
      <c r="V230" s="145" t="n"/>
      <c r="W230" s="145" t="n"/>
      <c r="X230" s="145" t="inlineStr">
        <is>
          <t>Detailed format sample from top 5 used rows</t>
        </is>
      </c>
    </row>
    <row r="231" ht="23.85" customHeight="1" s="79">
      <c r="A231" s="145" t="inlineStr">
        <is>
          <t>REGULAR_DEPT</t>
        </is>
      </c>
      <c r="B231" s="145" t="inlineStr">
        <is>
          <t>Top-Row Cell Format</t>
        </is>
      </c>
      <c r="C231" s="145" t="inlineStr">
        <is>
          <t>AL2</t>
        </is>
      </c>
      <c r="D231" s="145" t="inlineStr">
        <is>
          <t>REGULAR_DEPT!A1:AS193</t>
        </is>
      </c>
      <c r="E231" s="145" t="inlineStr">
        <is>
          <t>Comma</t>
        </is>
      </c>
      <c r="F231" s="145" t="inlineStr">
        <is>
          <t>#B4C6E7</t>
        </is>
      </c>
      <c r="G231" s="145" t="inlineStr">
        <is>
          <t>Aptos</t>
        </is>
      </c>
      <c r="H231" s="145" t="n">
        <v>8</v>
      </c>
      <c r="I231" s="145" t="inlineStr">
        <is>
          <t>Yes</t>
        </is>
      </c>
      <c r="J231" s="145" t="inlineStr">
        <is>
          <t>No</t>
        </is>
      </c>
      <c r="K231" s="145" t="inlineStr">
        <is>
          <t>None</t>
        </is>
      </c>
      <c r="L231" s="145" t="inlineStr">
        <is>
          <t>#000000</t>
        </is>
      </c>
      <c r="M231" s="145" t="inlineStr">
        <is>
          <t>General</t>
        </is>
      </c>
      <c r="N231" s="145" t="inlineStr">
        <is>
          <t>Center</t>
        </is>
      </c>
      <c r="O231" s="145" t="inlineStr">
        <is>
          <t>No</t>
        </is>
      </c>
      <c r="P231" s="145" t="inlineStr">
        <is>
          <t xml:space="preserve">_ * #,##0_ ;_ * -#,##0_ ;_ * "-"??_ ;_ @_ </t>
        </is>
      </c>
      <c r="Q231" s="145" t="inlineStr">
        <is>
          <t>Text</t>
        </is>
      </c>
      <c r="R231" s="145" t="n"/>
      <c r="S231" s="145" t="n"/>
      <c r="T231" s="145" t="n"/>
      <c r="U231" s="145" t="n"/>
      <c r="V231" s="145" t="n"/>
      <c r="W231" s="145" t="n"/>
      <c r="X231" s="145" t="inlineStr">
        <is>
          <t>Detailed format sample from top 5 used rows</t>
        </is>
      </c>
    </row>
    <row r="232" ht="23.85" customHeight="1" s="79">
      <c r="A232" s="145" t="inlineStr">
        <is>
          <t>REGULAR_DEPT</t>
        </is>
      </c>
      <c r="B232" s="145" t="inlineStr">
        <is>
          <t>Top-Row Cell Format</t>
        </is>
      </c>
      <c r="C232" s="145" t="inlineStr">
        <is>
          <t>AL3</t>
        </is>
      </c>
      <c r="D232" s="145" t="inlineStr">
        <is>
          <t>REGULAR_DEPT!A1:AS193</t>
        </is>
      </c>
      <c r="E232" s="145" t="inlineStr">
        <is>
          <t>Normal</t>
        </is>
      </c>
      <c r="F232" s="145" t="inlineStr">
        <is>
          <t>#FFE699</t>
        </is>
      </c>
      <c r="G232" s="145" t="inlineStr">
        <is>
          <t>Aptos</t>
        </is>
      </c>
      <c r="H232" s="145" t="n">
        <v>8</v>
      </c>
      <c r="I232" s="145" t="inlineStr">
        <is>
          <t>Yes</t>
        </is>
      </c>
      <c r="J232" s="145" t="inlineStr">
        <is>
          <t>No</t>
        </is>
      </c>
      <c r="K232" s="145" t="inlineStr">
        <is>
          <t>None</t>
        </is>
      </c>
      <c r="L232" s="145" t="inlineStr">
        <is>
          <t>#000000</t>
        </is>
      </c>
      <c r="M232" s="145" t="inlineStr">
        <is>
          <t>Center</t>
        </is>
      </c>
      <c r="N232" s="145" t="inlineStr">
        <is>
          <t>Center</t>
        </is>
      </c>
      <c r="O232" s="145" t="inlineStr">
        <is>
          <t>Yes</t>
        </is>
      </c>
      <c r="P232" s="145" t="inlineStr">
        <is>
          <t>General</t>
        </is>
      </c>
      <c r="Q232" s="145" t="inlineStr">
        <is>
          <t>General</t>
        </is>
      </c>
      <c r="R232" s="145" t="n"/>
      <c r="S232" s="145" t="n"/>
      <c r="T232" s="145" t="n"/>
      <c r="U232" s="145" t="n"/>
      <c r="V232" s="145" t="n"/>
      <c r="W232" s="145" t="n"/>
      <c r="X232" s="145" t="inlineStr">
        <is>
          <t>Detailed format sample from top 5 used rows</t>
        </is>
      </c>
    </row>
    <row r="233" ht="23.85" customHeight="1" s="79">
      <c r="A233" s="145" t="inlineStr">
        <is>
          <t>REGULAR_DEPT</t>
        </is>
      </c>
      <c r="B233" s="145" t="inlineStr">
        <is>
          <t>Top-Row Cell Format</t>
        </is>
      </c>
      <c r="C233" s="145" t="inlineStr">
        <is>
          <t>AL4</t>
        </is>
      </c>
      <c r="D233" s="145" t="inlineStr">
        <is>
          <t>REGULAR_DEPT!A1:AS193</t>
        </is>
      </c>
      <c r="E233" s="145" t="inlineStr">
        <is>
          <t>Normal</t>
        </is>
      </c>
      <c r="F233" s="145" t="inlineStr">
        <is>
          <t>#FFE699</t>
        </is>
      </c>
      <c r="G233" s="145" t="inlineStr">
        <is>
          <t>Aptos</t>
        </is>
      </c>
      <c r="H233" s="145" t="n">
        <v>8</v>
      </c>
      <c r="I233" s="145" t="inlineStr">
        <is>
          <t>No</t>
        </is>
      </c>
      <c r="J233" s="145" t="inlineStr">
        <is>
          <t>No</t>
        </is>
      </c>
      <c r="K233" s="145" t="inlineStr">
        <is>
          <t>None</t>
        </is>
      </c>
      <c r="L233" s="145" t="inlineStr">
        <is>
          <t>#000000</t>
        </is>
      </c>
      <c r="M233" s="145" t="inlineStr">
        <is>
          <t>General</t>
        </is>
      </c>
      <c r="N233" s="145" t="inlineStr">
        <is>
          <t>Center</t>
        </is>
      </c>
      <c r="O233" s="145" t="inlineStr">
        <is>
          <t>No</t>
        </is>
      </c>
      <c r="P233" s="145" t="inlineStr">
        <is>
          <t>General</t>
        </is>
      </c>
      <c r="Q233" s="145" t="inlineStr">
        <is>
          <t>General</t>
        </is>
      </c>
      <c r="R233" s="145" t="n"/>
      <c r="S233" s="145" t="n"/>
      <c r="T233" s="145" t="n"/>
      <c r="U233" s="145" t="n"/>
      <c r="V233" s="145" t="n"/>
      <c r="W233" s="145" t="n"/>
      <c r="X233" s="145" t="inlineStr">
        <is>
          <t>Detailed format sample from top 5 used rows</t>
        </is>
      </c>
    </row>
    <row r="234" ht="23.85" customHeight="1" s="79">
      <c r="A234" s="145" t="inlineStr">
        <is>
          <t>REGULAR_DEPT</t>
        </is>
      </c>
      <c r="B234" s="145" t="inlineStr">
        <is>
          <t>Top-Row Cell Format</t>
        </is>
      </c>
      <c r="C234" s="145" t="inlineStr">
        <is>
          <t>AL5</t>
        </is>
      </c>
      <c r="D234" s="145" t="inlineStr">
        <is>
          <t>REGULAR_DEPT!A1:AS193</t>
        </is>
      </c>
      <c r="E234" s="145" t="inlineStr">
        <is>
          <t>Normal</t>
        </is>
      </c>
      <c r="F234" s="145" t="inlineStr">
        <is>
          <t>#B4C6E7</t>
        </is>
      </c>
      <c r="G234" s="145" t="inlineStr">
        <is>
          <t>Aptos</t>
        </is>
      </c>
      <c r="H234" s="145" t="n">
        <v>8</v>
      </c>
      <c r="I234" s="145" t="inlineStr">
        <is>
          <t>Yes</t>
        </is>
      </c>
      <c r="J234" s="145" t="inlineStr">
        <is>
          <t>No</t>
        </is>
      </c>
      <c r="K234" s="145" t="inlineStr">
        <is>
          <t>None</t>
        </is>
      </c>
      <c r="L234" s="145" t="inlineStr">
        <is>
          <t>#000000</t>
        </is>
      </c>
      <c r="M234" s="145" t="inlineStr">
        <is>
          <t>General</t>
        </is>
      </c>
      <c r="N234" s="145" t="inlineStr">
        <is>
          <t>Center</t>
        </is>
      </c>
      <c r="O234" s="145" t="inlineStr">
        <is>
          <t>No</t>
        </is>
      </c>
      <c r="P234" s="145" t="inlineStr">
        <is>
          <t xml:space="preserve">_ * #,##0_ ;_ * -#,##0_ ;_ * "-"??_ ;_ @_ </t>
        </is>
      </c>
      <c r="Q234" s="145" t="inlineStr">
        <is>
          <t>Text</t>
        </is>
      </c>
      <c r="R234" s="145" t="n"/>
      <c r="S234" s="145" t="n"/>
      <c r="T234" s="145" t="n"/>
      <c r="U234" s="145" t="n"/>
      <c r="V234" s="145" t="n"/>
      <c r="W234" s="145" t="n"/>
      <c r="X234" s="145" t="inlineStr">
        <is>
          <t>Detailed format sample from top 5 used rows</t>
        </is>
      </c>
    </row>
    <row r="235" ht="23.85" customHeight="1" s="79">
      <c r="A235" s="145" t="inlineStr">
        <is>
          <t>REGULAR_DEPT</t>
        </is>
      </c>
      <c r="B235" s="145" t="inlineStr">
        <is>
          <t>Column Format</t>
        </is>
      </c>
      <c r="C235" s="145" t="inlineStr">
        <is>
          <t>AM:AM</t>
        </is>
      </c>
      <c r="D235" s="145" t="inlineStr">
        <is>
          <t>REGULAR_DEPT!A1:AS193</t>
        </is>
      </c>
      <c r="E235" s="145" t="inlineStr">
        <is>
          <t>Mixed</t>
        </is>
      </c>
      <c r="F235" s="145" t="inlineStr">
        <is>
          <t>Mixed</t>
        </is>
      </c>
      <c r="G235" s="145" t="inlineStr">
        <is>
          <t>Aptos</t>
        </is>
      </c>
      <c r="H235" s="145" t="n">
        <v>8</v>
      </c>
      <c r="I235" s="145" t="inlineStr">
        <is>
          <t>Mixed</t>
        </is>
      </c>
      <c r="J235" s="145" t="inlineStr">
        <is>
          <t>No</t>
        </is>
      </c>
      <c r="K235" s="145" t="inlineStr">
        <is>
          <t>None</t>
        </is>
      </c>
      <c r="L235" s="145" t="inlineStr">
        <is>
          <t>#000000</t>
        </is>
      </c>
      <c r="M235" s="145" t="inlineStr">
        <is>
          <t>Mixed</t>
        </is>
      </c>
      <c r="N235" s="145" t="inlineStr">
        <is>
          <t>Center</t>
        </is>
      </c>
      <c r="O235" s="145" t="inlineStr">
        <is>
          <t>Mixed</t>
        </is>
      </c>
      <c r="P235" s="145" t="n"/>
      <c r="Q235" s="145" t="n"/>
      <c r="R235" s="145" t="inlineStr">
        <is>
          <t>EdgeBottom:Continuous/Thin/#000000; EdgeRight:Continuous/Thin/#000000</t>
        </is>
      </c>
      <c r="S235" s="145" t="n">
        <v>42.9850746268657</v>
      </c>
      <c r="T235" s="145" t="n"/>
      <c r="U235" s="145" t="inlineStr">
        <is>
          <t>No</t>
        </is>
      </c>
      <c r="V235" s="145" t="inlineStr">
        <is>
          <t>Visible</t>
        </is>
      </c>
      <c r="W235" s="145" t="n"/>
      <c r="X235" s="145" t="inlineStr">
        <is>
          <t>Mixed styles within used column</t>
        </is>
      </c>
    </row>
    <row r="236" ht="23.85" customHeight="1" s="79">
      <c r="A236" s="145" t="inlineStr">
        <is>
          <t>REGULAR_DEPT</t>
        </is>
      </c>
      <c r="B236" s="145" t="inlineStr">
        <is>
          <t>Top-Row Cell Format</t>
        </is>
      </c>
      <c r="C236" s="145" t="inlineStr">
        <is>
          <t>AM1</t>
        </is>
      </c>
      <c r="D236" s="145" t="inlineStr">
        <is>
          <t>REGULAR_DEPT!A1:AS193</t>
        </is>
      </c>
      <c r="E236" s="145" t="inlineStr">
        <is>
          <t>Normal</t>
        </is>
      </c>
      <c r="F236" s="145" t="n"/>
      <c r="G236" s="145" t="inlineStr">
        <is>
          <t>Aptos</t>
        </is>
      </c>
      <c r="H236" s="145" t="n">
        <v>8</v>
      </c>
      <c r="I236" s="145" t="inlineStr">
        <is>
          <t>No</t>
        </is>
      </c>
      <c r="J236" s="145" t="inlineStr">
        <is>
          <t>No</t>
        </is>
      </c>
      <c r="K236" s="145" t="inlineStr">
        <is>
          <t>None</t>
        </is>
      </c>
      <c r="L236" s="145" t="inlineStr">
        <is>
          <t>#000000</t>
        </is>
      </c>
      <c r="M236" s="145" t="inlineStr">
        <is>
          <t>General</t>
        </is>
      </c>
      <c r="N236" s="145" t="inlineStr">
        <is>
          <t>Center</t>
        </is>
      </c>
      <c r="O236" s="145" t="inlineStr">
        <is>
          <t>No</t>
        </is>
      </c>
      <c r="P236" s="145" t="inlineStr">
        <is>
          <t>General</t>
        </is>
      </c>
      <c r="Q236" s="145" t="inlineStr">
        <is>
          <t>General</t>
        </is>
      </c>
      <c r="R236" s="145" t="n"/>
      <c r="S236" s="145" t="n"/>
      <c r="T236" s="145" t="n"/>
      <c r="U236" s="145" t="n"/>
      <c r="V236" s="145" t="n"/>
      <c r="W236" s="145" t="n"/>
      <c r="X236" s="145" t="inlineStr">
        <is>
          <t>Detailed format sample from top 5 used rows</t>
        </is>
      </c>
    </row>
    <row r="237" ht="23.85" customHeight="1" s="79">
      <c r="A237" s="145" t="inlineStr">
        <is>
          <t>REGULAR_DEPT</t>
        </is>
      </c>
      <c r="B237" s="145" t="inlineStr">
        <is>
          <t>Top-Row Cell Format</t>
        </is>
      </c>
      <c r="C237" s="145" t="inlineStr">
        <is>
          <t>AM2</t>
        </is>
      </c>
      <c r="D237" s="145" t="inlineStr">
        <is>
          <t>REGULAR_DEPT!A1:AS193</t>
        </is>
      </c>
      <c r="E237" s="145" t="inlineStr">
        <is>
          <t>Comma</t>
        </is>
      </c>
      <c r="F237" s="145" t="inlineStr">
        <is>
          <t>#B4C6E7</t>
        </is>
      </c>
      <c r="G237" s="145" t="inlineStr">
        <is>
          <t>Aptos</t>
        </is>
      </c>
      <c r="H237" s="145" t="n">
        <v>8</v>
      </c>
      <c r="I237" s="145" t="inlineStr">
        <is>
          <t>Yes</t>
        </is>
      </c>
      <c r="J237" s="145" t="inlineStr">
        <is>
          <t>No</t>
        </is>
      </c>
      <c r="K237" s="145" t="inlineStr">
        <is>
          <t>None</t>
        </is>
      </c>
      <c r="L237" s="145" t="inlineStr">
        <is>
          <t>#000000</t>
        </is>
      </c>
      <c r="M237" s="145" t="inlineStr">
        <is>
          <t>General</t>
        </is>
      </c>
      <c r="N237" s="145" t="inlineStr">
        <is>
          <t>Center</t>
        </is>
      </c>
      <c r="O237" s="145" t="inlineStr">
        <is>
          <t>No</t>
        </is>
      </c>
      <c r="P237" s="145" t="inlineStr">
        <is>
          <t xml:space="preserve">_ * #,##0_ ;_ * -#,##0_ ;_ * "-"??_ ;_ @_ </t>
        </is>
      </c>
      <c r="Q237" s="145" t="inlineStr">
        <is>
          <t>Text</t>
        </is>
      </c>
      <c r="R237" s="145" t="n"/>
      <c r="S237" s="145" t="n"/>
      <c r="T237" s="145" t="n"/>
      <c r="U237" s="145" t="n"/>
      <c r="V237" s="145" t="n"/>
      <c r="W237" s="145" t="n"/>
      <c r="X237" s="145" t="inlineStr">
        <is>
          <t>Detailed format sample from top 5 used rows</t>
        </is>
      </c>
    </row>
    <row r="238" ht="23.85" customHeight="1" s="79">
      <c r="A238" s="145" t="inlineStr">
        <is>
          <t>REGULAR_DEPT</t>
        </is>
      </c>
      <c r="B238" s="145" t="inlineStr">
        <is>
          <t>Top-Row Cell Format</t>
        </is>
      </c>
      <c r="C238" s="145" t="inlineStr">
        <is>
          <t>AM3</t>
        </is>
      </c>
      <c r="D238" s="145" t="inlineStr">
        <is>
          <t>REGULAR_DEPT!A1:AS193</t>
        </is>
      </c>
      <c r="E238" s="145" t="inlineStr">
        <is>
          <t>Normal</t>
        </is>
      </c>
      <c r="F238" s="145" t="inlineStr">
        <is>
          <t>#F8CBAD</t>
        </is>
      </c>
      <c r="G238" s="145" t="inlineStr">
        <is>
          <t>Aptos</t>
        </is>
      </c>
      <c r="H238" s="145" t="n">
        <v>8</v>
      </c>
      <c r="I238" s="145" t="inlineStr">
        <is>
          <t>Yes</t>
        </is>
      </c>
      <c r="J238" s="145" t="inlineStr">
        <is>
          <t>No</t>
        </is>
      </c>
      <c r="K238" s="145" t="inlineStr">
        <is>
          <t>None</t>
        </is>
      </c>
      <c r="L238" s="145" t="inlineStr">
        <is>
          <t>#000000</t>
        </is>
      </c>
      <c r="M238" s="145" t="inlineStr">
        <is>
          <t>Center</t>
        </is>
      </c>
      <c r="N238" s="145" t="inlineStr">
        <is>
          <t>Center</t>
        </is>
      </c>
      <c r="O238" s="145" t="inlineStr">
        <is>
          <t>Yes</t>
        </is>
      </c>
      <c r="P238" s="145" t="inlineStr">
        <is>
          <t>General</t>
        </is>
      </c>
      <c r="Q238" s="145" t="inlineStr">
        <is>
          <t>General</t>
        </is>
      </c>
      <c r="R238" s="145" t="n"/>
      <c r="S238" s="145" t="n"/>
      <c r="T238" s="145" t="n"/>
      <c r="U238" s="145" t="n"/>
      <c r="V238" s="145" t="n"/>
      <c r="W238" s="145" t="n"/>
      <c r="X238" s="145" t="inlineStr">
        <is>
          <t>Detailed format sample from top 5 used rows</t>
        </is>
      </c>
    </row>
    <row r="239" ht="23.85" customHeight="1" s="79">
      <c r="A239" s="145" t="inlineStr">
        <is>
          <t>REGULAR_DEPT</t>
        </is>
      </c>
      <c r="B239" s="145" t="inlineStr">
        <is>
          <t>Top-Row Cell Format</t>
        </is>
      </c>
      <c r="C239" s="145" t="inlineStr">
        <is>
          <t>AM4</t>
        </is>
      </c>
      <c r="D239" s="145" t="inlineStr">
        <is>
          <t>REGULAR_DEPT!A1:AS193</t>
        </is>
      </c>
      <c r="E239" s="145" t="inlineStr">
        <is>
          <t>Normal</t>
        </is>
      </c>
      <c r="F239" s="145" t="inlineStr">
        <is>
          <t>#F8CBAD</t>
        </is>
      </c>
      <c r="G239" s="145" t="inlineStr">
        <is>
          <t>Aptos</t>
        </is>
      </c>
      <c r="H239" s="145" t="n">
        <v>8</v>
      </c>
      <c r="I239" s="145" t="inlineStr">
        <is>
          <t>No</t>
        </is>
      </c>
      <c r="J239" s="145" t="inlineStr">
        <is>
          <t>No</t>
        </is>
      </c>
      <c r="K239" s="145" t="inlineStr">
        <is>
          <t>None</t>
        </is>
      </c>
      <c r="L239" s="145" t="inlineStr">
        <is>
          <t>#000000</t>
        </is>
      </c>
      <c r="M239" s="145" t="inlineStr">
        <is>
          <t>General</t>
        </is>
      </c>
      <c r="N239" s="145" t="inlineStr">
        <is>
          <t>Center</t>
        </is>
      </c>
      <c r="O239" s="145" t="inlineStr">
        <is>
          <t>No</t>
        </is>
      </c>
      <c r="P239" s="145" t="inlineStr">
        <is>
          <t>General</t>
        </is>
      </c>
      <c r="Q239" s="145" t="inlineStr">
        <is>
          <t>General</t>
        </is>
      </c>
      <c r="R239" s="145" t="n"/>
      <c r="S239" s="145" t="n"/>
      <c r="T239" s="145" t="n"/>
      <c r="U239" s="145" t="n"/>
      <c r="V239" s="145" t="n"/>
      <c r="W239" s="145" t="n"/>
      <c r="X239" s="145" t="inlineStr">
        <is>
          <t>Detailed format sample from top 5 used rows</t>
        </is>
      </c>
    </row>
    <row r="240" ht="23.85" customHeight="1" s="79">
      <c r="A240" s="145" t="inlineStr">
        <is>
          <t>REGULAR_DEPT</t>
        </is>
      </c>
      <c r="B240" s="145" t="inlineStr">
        <is>
          <t>Top-Row Cell Format</t>
        </is>
      </c>
      <c r="C240" s="145" t="inlineStr">
        <is>
          <t>AM5</t>
        </is>
      </c>
      <c r="D240" s="145" t="inlineStr">
        <is>
          <t>REGULAR_DEPT!A1:AS193</t>
        </is>
      </c>
      <c r="E240" s="145" t="inlineStr">
        <is>
          <t>Comma</t>
        </is>
      </c>
      <c r="F240" s="145" t="n"/>
      <c r="G240" s="145" t="inlineStr">
        <is>
          <t>Aptos</t>
        </is>
      </c>
      <c r="H240" s="145" t="n">
        <v>8</v>
      </c>
      <c r="I240" s="145" t="inlineStr">
        <is>
          <t>No</t>
        </is>
      </c>
      <c r="J240" s="145" t="inlineStr">
        <is>
          <t>No</t>
        </is>
      </c>
      <c r="K240" s="145" t="inlineStr">
        <is>
          <t>None</t>
        </is>
      </c>
      <c r="L240" s="145" t="inlineStr">
        <is>
          <t>#000000</t>
        </is>
      </c>
      <c r="M240" s="145" t="inlineStr">
        <is>
          <t>General</t>
        </is>
      </c>
      <c r="N240" s="145" t="inlineStr">
        <is>
          <t>Center</t>
        </is>
      </c>
      <c r="O240" s="145" t="inlineStr">
        <is>
          <t>No</t>
        </is>
      </c>
      <c r="P240" s="145" t="inlineStr">
        <is>
          <t xml:space="preserve">_ * #,##0_ ;_ * -#,##0_ ;_ * "-"??_ ;_ @_ </t>
        </is>
      </c>
      <c r="Q240" s="145" t="inlineStr">
        <is>
          <t>Text</t>
        </is>
      </c>
      <c r="R240" s="145" t="n"/>
      <c r="S240" s="145" t="n"/>
      <c r="T240" s="145" t="n"/>
      <c r="U240" s="145" t="n"/>
      <c r="V240" s="145" t="n"/>
      <c r="W240" s="145" t="n"/>
      <c r="X240" s="145" t="inlineStr">
        <is>
          <t>Detailed format sample from top 5 used rows</t>
        </is>
      </c>
    </row>
    <row r="241" ht="35.05" customHeight="1" s="79">
      <c r="A241" s="145" t="inlineStr">
        <is>
          <t>REGULAR_DEPT</t>
        </is>
      </c>
      <c r="B241" s="145" t="inlineStr">
        <is>
          <t>Column Format</t>
        </is>
      </c>
      <c r="C241" s="145" t="inlineStr">
        <is>
          <t>AN:AN</t>
        </is>
      </c>
      <c r="D241" s="145" t="inlineStr">
        <is>
          <t>REGULAR_DEPT!A1:AS193</t>
        </is>
      </c>
      <c r="E241" s="145" t="inlineStr">
        <is>
          <t>Mixed</t>
        </is>
      </c>
      <c r="F241" s="145" t="inlineStr">
        <is>
          <t>Mixed</t>
        </is>
      </c>
      <c r="G241" s="145" t="inlineStr">
        <is>
          <t>Aptos</t>
        </is>
      </c>
      <c r="H241" s="145" t="n">
        <v>8</v>
      </c>
      <c r="I241" s="145" t="inlineStr">
        <is>
          <t>Mixed</t>
        </is>
      </c>
      <c r="J241" s="145" t="inlineStr">
        <is>
          <t>No</t>
        </is>
      </c>
      <c r="K241" s="145" t="inlineStr">
        <is>
          <t>None</t>
        </is>
      </c>
      <c r="L241" s="145" t="inlineStr">
        <is>
          <t>#000000</t>
        </is>
      </c>
      <c r="M241" s="145" t="inlineStr">
        <is>
          <t>Mixed</t>
        </is>
      </c>
      <c r="N241" s="145" t="inlineStr">
        <is>
          <t>Center</t>
        </is>
      </c>
      <c r="O241" s="145" t="inlineStr">
        <is>
          <t>Mixed</t>
        </is>
      </c>
      <c r="P241" s="145" t="n"/>
      <c r="Q241" s="145" t="n"/>
      <c r="R241" s="145" t="inlineStr">
        <is>
          <t>EdgeBottom:Continuous/Thin/#000000; EdgeRight:Continuous/Thin/#000000</t>
        </is>
      </c>
      <c r="S241" s="145" t="n">
        <v>0</v>
      </c>
      <c r="T241" s="145" t="n"/>
      <c r="U241" s="145" t="inlineStr">
        <is>
          <t>Yes</t>
        </is>
      </c>
      <c r="V241" s="145" t="inlineStr">
        <is>
          <t>Hidden column (possible outline/group)</t>
        </is>
      </c>
      <c r="W241" s="145" t="n"/>
      <c r="X241" s="145" t="inlineStr">
        <is>
          <t>Mixed styles within used column</t>
        </is>
      </c>
    </row>
    <row r="242" ht="23.85" customHeight="1" s="79">
      <c r="A242" s="145" t="inlineStr">
        <is>
          <t>REGULAR_DEPT</t>
        </is>
      </c>
      <c r="B242" s="145" t="inlineStr">
        <is>
          <t>Top-Row Cell Format</t>
        </is>
      </c>
      <c r="C242" s="145" t="inlineStr">
        <is>
          <t>AN1</t>
        </is>
      </c>
      <c r="D242" s="145" t="inlineStr">
        <is>
          <t>REGULAR_DEPT!A1:AS193</t>
        </is>
      </c>
      <c r="E242" s="145" t="inlineStr">
        <is>
          <t>Normal</t>
        </is>
      </c>
      <c r="F242" s="145" t="n"/>
      <c r="G242" s="145" t="inlineStr">
        <is>
          <t>Aptos</t>
        </is>
      </c>
      <c r="H242" s="145" t="n">
        <v>8</v>
      </c>
      <c r="I242" s="145" t="inlineStr">
        <is>
          <t>No</t>
        </is>
      </c>
      <c r="J242" s="145" t="inlineStr">
        <is>
          <t>No</t>
        </is>
      </c>
      <c r="K242" s="145" t="inlineStr">
        <is>
          <t>None</t>
        </is>
      </c>
      <c r="L242" s="145" t="inlineStr">
        <is>
          <t>#000000</t>
        </is>
      </c>
      <c r="M242" s="145" t="inlineStr">
        <is>
          <t>General</t>
        </is>
      </c>
      <c r="N242" s="145" t="inlineStr">
        <is>
          <t>Center</t>
        </is>
      </c>
      <c r="O242" s="145" t="inlineStr">
        <is>
          <t>No</t>
        </is>
      </c>
      <c r="P242" s="145" t="inlineStr">
        <is>
          <t>General</t>
        </is>
      </c>
      <c r="Q242" s="145" t="inlineStr">
        <is>
          <t>General</t>
        </is>
      </c>
      <c r="R242" s="145" t="n"/>
      <c r="S242" s="145" t="n"/>
      <c r="T242" s="145" t="n"/>
      <c r="U242" s="145" t="n"/>
      <c r="V242" s="145" t="n"/>
      <c r="W242" s="145" t="n"/>
      <c r="X242" s="145" t="inlineStr">
        <is>
          <t>Detailed format sample from top 5 used rows</t>
        </is>
      </c>
    </row>
    <row r="243" ht="23.85" customHeight="1" s="79">
      <c r="A243" s="145" t="inlineStr">
        <is>
          <t>REGULAR_DEPT</t>
        </is>
      </c>
      <c r="B243" s="145" t="inlineStr">
        <is>
          <t>Top-Row Cell Format</t>
        </is>
      </c>
      <c r="C243" s="145" t="inlineStr">
        <is>
          <t>AN2</t>
        </is>
      </c>
      <c r="D243" s="145" t="inlineStr">
        <is>
          <t>REGULAR_DEPT!A1:AS193</t>
        </is>
      </c>
      <c r="E243" s="145" t="inlineStr">
        <is>
          <t>Comma</t>
        </is>
      </c>
      <c r="F243" s="145" t="inlineStr">
        <is>
          <t>#B4C6E7</t>
        </is>
      </c>
      <c r="G243" s="145" t="inlineStr">
        <is>
          <t>Aptos</t>
        </is>
      </c>
      <c r="H243" s="145" t="n">
        <v>8</v>
      </c>
      <c r="I243" s="145" t="inlineStr">
        <is>
          <t>Yes</t>
        </is>
      </c>
      <c r="J243" s="145" t="inlineStr">
        <is>
          <t>No</t>
        </is>
      </c>
      <c r="K243" s="145" t="inlineStr">
        <is>
          <t>None</t>
        </is>
      </c>
      <c r="L243" s="145" t="inlineStr">
        <is>
          <t>#000000</t>
        </is>
      </c>
      <c r="M243" s="145" t="inlineStr">
        <is>
          <t>General</t>
        </is>
      </c>
      <c r="N243" s="145" t="inlineStr">
        <is>
          <t>Center</t>
        </is>
      </c>
      <c r="O243" s="145" t="inlineStr">
        <is>
          <t>No</t>
        </is>
      </c>
      <c r="P243" s="145" t="inlineStr">
        <is>
          <t xml:space="preserve">_ * #,##0_ ;_ * -#,##0_ ;_ * "-"??_ ;_ @_ </t>
        </is>
      </c>
      <c r="Q243" s="145" t="inlineStr">
        <is>
          <t>Text</t>
        </is>
      </c>
      <c r="R243" s="145" t="n"/>
      <c r="S243" s="145" t="n"/>
      <c r="T243" s="145" t="n"/>
      <c r="U243" s="145" t="n"/>
      <c r="V243" s="145" t="n"/>
      <c r="W243" s="145" t="n"/>
      <c r="X243" s="145" t="inlineStr">
        <is>
          <t>Detailed format sample from top 5 used rows</t>
        </is>
      </c>
    </row>
    <row r="244" ht="23.85" customHeight="1" s="79">
      <c r="A244" s="145" t="inlineStr">
        <is>
          <t>REGULAR_DEPT</t>
        </is>
      </c>
      <c r="B244" s="145" t="inlineStr">
        <is>
          <t>Top-Row Cell Format</t>
        </is>
      </c>
      <c r="C244" s="145" t="inlineStr">
        <is>
          <t>AN3</t>
        </is>
      </c>
      <c r="D244" s="145" t="inlineStr">
        <is>
          <t>REGULAR_DEPT!A1:AS193</t>
        </is>
      </c>
      <c r="E244" s="145" t="inlineStr">
        <is>
          <t>Normal</t>
        </is>
      </c>
      <c r="F244" s="145" t="inlineStr">
        <is>
          <t>#F8CBAD</t>
        </is>
      </c>
      <c r="G244" s="145" t="inlineStr">
        <is>
          <t>Aptos</t>
        </is>
      </c>
      <c r="H244" s="145" t="n">
        <v>8</v>
      </c>
      <c r="I244" s="145" t="inlineStr">
        <is>
          <t>Yes</t>
        </is>
      </c>
      <c r="J244" s="145" t="inlineStr">
        <is>
          <t>No</t>
        </is>
      </c>
      <c r="K244" s="145" t="inlineStr">
        <is>
          <t>None</t>
        </is>
      </c>
      <c r="L244" s="145" t="inlineStr">
        <is>
          <t>#000000</t>
        </is>
      </c>
      <c r="M244" s="145" t="inlineStr">
        <is>
          <t>Center</t>
        </is>
      </c>
      <c r="N244" s="145" t="inlineStr">
        <is>
          <t>Center</t>
        </is>
      </c>
      <c r="O244" s="145" t="inlineStr">
        <is>
          <t>Yes</t>
        </is>
      </c>
      <c r="P244" s="145" t="inlineStr">
        <is>
          <t>General</t>
        </is>
      </c>
      <c r="Q244" s="145" t="inlineStr">
        <is>
          <t>General</t>
        </is>
      </c>
      <c r="R244" s="145" t="n"/>
      <c r="S244" s="145" t="n"/>
      <c r="T244" s="145" t="n"/>
      <c r="U244" s="145" t="n"/>
      <c r="V244" s="145" t="n"/>
      <c r="W244" s="145" t="n"/>
      <c r="X244" s="145" t="inlineStr">
        <is>
          <t>Detailed format sample from top 5 used rows</t>
        </is>
      </c>
    </row>
    <row r="245" ht="23.85" customHeight="1" s="79">
      <c r="A245" s="145" t="inlineStr">
        <is>
          <t>REGULAR_DEPT</t>
        </is>
      </c>
      <c r="B245" s="145" t="inlineStr">
        <is>
          <t>Top-Row Cell Format</t>
        </is>
      </c>
      <c r="C245" s="145" t="inlineStr">
        <is>
          <t>AN4</t>
        </is>
      </c>
      <c r="D245" s="145" t="inlineStr">
        <is>
          <t>REGULAR_DEPT!A1:AS193</t>
        </is>
      </c>
      <c r="E245" s="145" t="inlineStr">
        <is>
          <t>Normal</t>
        </is>
      </c>
      <c r="F245" s="145" t="inlineStr">
        <is>
          <t>#F8CBAD</t>
        </is>
      </c>
      <c r="G245" s="145" t="inlineStr">
        <is>
          <t>Aptos</t>
        </is>
      </c>
      <c r="H245" s="145" t="n">
        <v>8</v>
      </c>
      <c r="I245" s="145" t="inlineStr">
        <is>
          <t>No</t>
        </is>
      </c>
      <c r="J245" s="145" t="inlineStr">
        <is>
          <t>No</t>
        </is>
      </c>
      <c r="K245" s="145" t="inlineStr">
        <is>
          <t>None</t>
        </is>
      </c>
      <c r="L245" s="145" t="inlineStr">
        <is>
          <t>#000000</t>
        </is>
      </c>
      <c r="M245" s="145" t="inlineStr">
        <is>
          <t>General</t>
        </is>
      </c>
      <c r="N245" s="145" t="inlineStr">
        <is>
          <t>Center</t>
        </is>
      </c>
      <c r="O245" s="145" t="inlineStr">
        <is>
          <t>No</t>
        </is>
      </c>
      <c r="P245" s="145" t="inlineStr">
        <is>
          <t>General</t>
        </is>
      </c>
      <c r="Q245" s="145" t="inlineStr">
        <is>
          <t>General</t>
        </is>
      </c>
      <c r="R245" s="145" t="n"/>
      <c r="S245" s="145" t="n"/>
      <c r="T245" s="145" t="n"/>
      <c r="U245" s="145" t="n"/>
      <c r="V245" s="145" t="n"/>
      <c r="W245" s="145" t="n"/>
      <c r="X245" s="145" t="inlineStr">
        <is>
          <t>Detailed format sample from top 5 used rows</t>
        </is>
      </c>
    </row>
    <row r="246" ht="23.85" customHeight="1" s="79">
      <c r="A246" s="145" t="inlineStr">
        <is>
          <t>REGULAR_DEPT</t>
        </is>
      </c>
      <c r="B246" s="145" t="inlineStr">
        <is>
          <t>Top-Row Cell Format</t>
        </is>
      </c>
      <c r="C246" s="145" t="inlineStr">
        <is>
          <t>AN5</t>
        </is>
      </c>
      <c r="D246" s="145" t="inlineStr">
        <is>
          <t>REGULAR_DEPT!A1:AS193</t>
        </is>
      </c>
      <c r="E246" s="145" t="inlineStr">
        <is>
          <t>Comma</t>
        </is>
      </c>
      <c r="F246" s="145" t="n"/>
      <c r="G246" s="145" t="inlineStr">
        <is>
          <t>Aptos</t>
        </is>
      </c>
      <c r="H246" s="145" t="n">
        <v>8</v>
      </c>
      <c r="I246" s="145" t="inlineStr">
        <is>
          <t>No</t>
        </is>
      </c>
      <c r="J246" s="145" t="inlineStr">
        <is>
          <t>No</t>
        </is>
      </c>
      <c r="K246" s="145" t="inlineStr">
        <is>
          <t>None</t>
        </is>
      </c>
      <c r="L246" s="145" t="inlineStr">
        <is>
          <t>#000000</t>
        </is>
      </c>
      <c r="M246" s="145" t="inlineStr">
        <is>
          <t>General</t>
        </is>
      </c>
      <c r="N246" s="145" t="inlineStr">
        <is>
          <t>Center</t>
        </is>
      </c>
      <c r="O246" s="145" t="inlineStr">
        <is>
          <t>No</t>
        </is>
      </c>
      <c r="P246" s="145" t="inlineStr">
        <is>
          <t xml:space="preserve">_ * #,##0_ ;_ * -#,##0_ ;_ * "-"??_ ;_ @_ </t>
        </is>
      </c>
      <c r="Q246" s="145" t="inlineStr">
        <is>
          <t>Text</t>
        </is>
      </c>
      <c r="R246" s="145" t="n"/>
      <c r="S246" s="145" t="n"/>
      <c r="T246" s="145" t="n"/>
      <c r="U246" s="145" t="n"/>
      <c r="V246" s="145" t="n"/>
      <c r="W246" s="145" t="n"/>
      <c r="X246" s="145" t="inlineStr">
        <is>
          <t>Detailed format sample from top 5 used rows</t>
        </is>
      </c>
    </row>
    <row r="247" ht="35.05" customHeight="1" s="79">
      <c r="A247" s="145" t="inlineStr">
        <is>
          <t>REGULAR_DEPT</t>
        </is>
      </c>
      <c r="B247" s="145" t="inlineStr">
        <is>
          <t>Column Format</t>
        </is>
      </c>
      <c r="C247" s="145" t="inlineStr">
        <is>
          <t>AO:AO</t>
        </is>
      </c>
      <c r="D247" s="145" t="inlineStr">
        <is>
          <t>REGULAR_DEPT!A1:AS193</t>
        </is>
      </c>
      <c r="E247" s="145" t="inlineStr">
        <is>
          <t>Mixed</t>
        </is>
      </c>
      <c r="F247" s="145" t="inlineStr">
        <is>
          <t>Mixed</t>
        </is>
      </c>
      <c r="G247" s="145" t="inlineStr">
        <is>
          <t>Aptos</t>
        </is>
      </c>
      <c r="H247" s="145" t="n">
        <v>8</v>
      </c>
      <c r="I247" s="145" t="inlineStr">
        <is>
          <t>Mixed</t>
        </is>
      </c>
      <c r="J247" s="145" t="inlineStr">
        <is>
          <t>No</t>
        </is>
      </c>
      <c r="K247" s="145" t="inlineStr">
        <is>
          <t>None</t>
        </is>
      </c>
      <c r="L247" s="145" t="inlineStr">
        <is>
          <t>#000000</t>
        </is>
      </c>
      <c r="M247" s="145" t="inlineStr">
        <is>
          <t>Mixed</t>
        </is>
      </c>
      <c r="N247" s="145" t="inlineStr">
        <is>
          <t>Center</t>
        </is>
      </c>
      <c r="O247" s="145" t="inlineStr">
        <is>
          <t>Mixed</t>
        </is>
      </c>
      <c r="P247" s="145" t="n"/>
      <c r="Q247" s="145" t="n"/>
      <c r="R247" s="145" t="inlineStr">
        <is>
          <t>EdgeBottom:Continuous/Thin/#000000; EdgeRight:Continuous/Thin/#000000</t>
        </is>
      </c>
      <c r="S247" s="145" t="n">
        <v>0</v>
      </c>
      <c r="T247" s="145" t="n"/>
      <c r="U247" s="145" t="inlineStr">
        <is>
          <t>Yes</t>
        </is>
      </c>
      <c r="V247" s="145" t="inlineStr">
        <is>
          <t>Hidden column (possible outline/group)</t>
        </is>
      </c>
      <c r="W247" s="145" t="n"/>
      <c r="X247" s="145" t="inlineStr">
        <is>
          <t>Mixed styles within used column</t>
        </is>
      </c>
    </row>
    <row r="248" ht="23.85" customHeight="1" s="79">
      <c r="A248" s="145" t="inlineStr">
        <is>
          <t>REGULAR_DEPT</t>
        </is>
      </c>
      <c r="B248" s="145" t="inlineStr">
        <is>
          <t>Top-Row Cell Format</t>
        </is>
      </c>
      <c r="C248" s="145" t="inlineStr">
        <is>
          <t>AO1</t>
        </is>
      </c>
      <c r="D248" s="145" t="inlineStr">
        <is>
          <t>REGULAR_DEPT!A1:AS193</t>
        </is>
      </c>
      <c r="E248" s="145" t="inlineStr">
        <is>
          <t>Normal</t>
        </is>
      </c>
      <c r="F248" s="145" t="n"/>
      <c r="G248" s="145" t="inlineStr">
        <is>
          <t>Aptos</t>
        </is>
      </c>
      <c r="H248" s="145" t="n">
        <v>8</v>
      </c>
      <c r="I248" s="145" t="inlineStr">
        <is>
          <t>No</t>
        </is>
      </c>
      <c r="J248" s="145" t="inlineStr">
        <is>
          <t>No</t>
        </is>
      </c>
      <c r="K248" s="145" t="inlineStr">
        <is>
          <t>None</t>
        </is>
      </c>
      <c r="L248" s="145" t="inlineStr">
        <is>
          <t>#000000</t>
        </is>
      </c>
      <c r="M248" s="145" t="inlineStr">
        <is>
          <t>General</t>
        </is>
      </c>
      <c r="N248" s="145" t="inlineStr">
        <is>
          <t>Center</t>
        </is>
      </c>
      <c r="O248" s="145" t="inlineStr">
        <is>
          <t>No</t>
        </is>
      </c>
      <c r="P248" s="145" t="inlineStr">
        <is>
          <t>General</t>
        </is>
      </c>
      <c r="Q248" s="145" t="inlineStr">
        <is>
          <t>General</t>
        </is>
      </c>
      <c r="R248" s="145" t="n"/>
      <c r="S248" s="145" t="n"/>
      <c r="T248" s="145" t="n"/>
      <c r="U248" s="145" t="n"/>
      <c r="V248" s="145" t="n"/>
      <c r="W248" s="145" t="n"/>
      <c r="X248" s="145" t="inlineStr">
        <is>
          <t>Detailed format sample from top 5 used rows</t>
        </is>
      </c>
    </row>
    <row r="249" ht="23.85" customHeight="1" s="79">
      <c r="A249" s="145" t="inlineStr">
        <is>
          <t>REGULAR_DEPT</t>
        </is>
      </c>
      <c r="B249" s="145" t="inlineStr">
        <is>
          <t>Top-Row Cell Format</t>
        </is>
      </c>
      <c r="C249" s="145" t="inlineStr">
        <is>
          <t>AO2</t>
        </is>
      </c>
      <c r="D249" s="145" t="inlineStr">
        <is>
          <t>REGULAR_DEPT!A1:AS193</t>
        </is>
      </c>
      <c r="E249" s="145" t="inlineStr">
        <is>
          <t>Comma</t>
        </is>
      </c>
      <c r="F249" s="145" t="inlineStr">
        <is>
          <t>#B4C6E7</t>
        </is>
      </c>
      <c r="G249" s="145" t="inlineStr">
        <is>
          <t>Aptos</t>
        </is>
      </c>
      <c r="H249" s="145" t="n">
        <v>8</v>
      </c>
      <c r="I249" s="145" t="inlineStr">
        <is>
          <t>Yes</t>
        </is>
      </c>
      <c r="J249" s="145" t="inlineStr">
        <is>
          <t>No</t>
        </is>
      </c>
      <c r="K249" s="145" t="inlineStr">
        <is>
          <t>None</t>
        </is>
      </c>
      <c r="L249" s="145" t="inlineStr">
        <is>
          <t>#000000</t>
        </is>
      </c>
      <c r="M249" s="145" t="inlineStr">
        <is>
          <t>General</t>
        </is>
      </c>
      <c r="N249" s="145" t="inlineStr">
        <is>
          <t>Center</t>
        </is>
      </c>
      <c r="O249" s="145" t="inlineStr">
        <is>
          <t>No</t>
        </is>
      </c>
      <c r="P249" s="145" t="inlineStr">
        <is>
          <t xml:space="preserve">_ * #,##0_ ;_ * -#,##0_ ;_ * "-"??_ ;_ @_ </t>
        </is>
      </c>
      <c r="Q249" s="145" t="inlineStr">
        <is>
          <t>Text</t>
        </is>
      </c>
      <c r="R249" s="145" t="n"/>
      <c r="S249" s="145" t="n"/>
      <c r="T249" s="145" t="n"/>
      <c r="U249" s="145" t="n"/>
      <c r="V249" s="145" t="n"/>
      <c r="W249" s="145" t="n"/>
      <c r="X249" s="145" t="inlineStr">
        <is>
          <t>Detailed format sample from top 5 used rows</t>
        </is>
      </c>
    </row>
    <row r="250" ht="23.85" customHeight="1" s="79">
      <c r="A250" s="145" t="inlineStr">
        <is>
          <t>REGULAR_DEPT</t>
        </is>
      </c>
      <c r="B250" s="145" t="inlineStr">
        <is>
          <t>Top-Row Cell Format</t>
        </is>
      </c>
      <c r="C250" s="145" t="inlineStr">
        <is>
          <t>AO3</t>
        </is>
      </c>
      <c r="D250" s="145" t="inlineStr">
        <is>
          <t>REGULAR_DEPT!A1:AS193</t>
        </is>
      </c>
      <c r="E250" s="145" t="inlineStr">
        <is>
          <t>Normal</t>
        </is>
      </c>
      <c r="F250" s="145" t="inlineStr">
        <is>
          <t>#F8CBAD</t>
        </is>
      </c>
      <c r="G250" s="145" t="inlineStr">
        <is>
          <t>Aptos</t>
        </is>
      </c>
      <c r="H250" s="145" t="n">
        <v>8</v>
      </c>
      <c r="I250" s="145" t="inlineStr">
        <is>
          <t>Yes</t>
        </is>
      </c>
      <c r="J250" s="145" t="inlineStr">
        <is>
          <t>No</t>
        </is>
      </c>
      <c r="K250" s="145" t="inlineStr">
        <is>
          <t>None</t>
        </is>
      </c>
      <c r="L250" s="145" t="inlineStr">
        <is>
          <t>#000000</t>
        </is>
      </c>
      <c r="M250" s="145" t="inlineStr">
        <is>
          <t>Center</t>
        </is>
      </c>
      <c r="N250" s="145" t="inlineStr">
        <is>
          <t>Center</t>
        </is>
      </c>
      <c r="O250" s="145" t="inlineStr">
        <is>
          <t>Yes</t>
        </is>
      </c>
      <c r="P250" s="145" t="inlineStr">
        <is>
          <t>General</t>
        </is>
      </c>
      <c r="Q250" s="145" t="inlineStr">
        <is>
          <t>General</t>
        </is>
      </c>
      <c r="R250" s="145" t="n"/>
      <c r="S250" s="145" t="n"/>
      <c r="T250" s="145" t="n"/>
      <c r="U250" s="145" t="n"/>
      <c r="V250" s="145" t="n"/>
      <c r="W250" s="145" t="n"/>
      <c r="X250" s="145" t="inlineStr">
        <is>
          <t>Detailed format sample from top 5 used rows</t>
        </is>
      </c>
    </row>
    <row r="251" ht="23.85" customHeight="1" s="79">
      <c r="A251" s="145" t="inlineStr">
        <is>
          <t>REGULAR_DEPT</t>
        </is>
      </c>
      <c r="B251" s="145" t="inlineStr">
        <is>
          <t>Top-Row Cell Format</t>
        </is>
      </c>
      <c r="C251" s="145" t="inlineStr">
        <is>
          <t>AO4</t>
        </is>
      </c>
      <c r="D251" s="145" t="inlineStr">
        <is>
          <t>REGULAR_DEPT!A1:AS193</t>
        </is>
      </c>
      <c r="E251" s="145" t="inlineStr">
        <is>
          <t>Normal</t>
        </is>
      </c>
      <c r="F251" s="145" t="inlineStr">
        <is>
          <t>#F8CBAD</t>
        </is>
      </c>
      <c r="G251" s="145" t="inlineStr">
        <is>
          <t>Aptos</t>
        </is>
      </c>
      <c r="H251" s="145" t="n">
        <v>8</v>
      </c>
      <c r="I251" s="145" t="inlineStr">
        <is>
          <t>No</t>
        </is>
      </c>
      <c r="J251" s="145" t="inlineStr">
        <is>
          <t>No</t>
        </is>
      </c>
      <c r="K251" s="145" t="inlineStr">
        <is>
          <t>None</t>
        </is>
      </c>
      <c r="L251" s="145" t="inlineStr">
        <is>
          <t>#000000</t>
        </is>
      </c>
      <c r="M251" s="145" t="inlineStr">
        <is>
          <t>General</t>
        </is>
      </c>
      <c r="N251" s="145" t="inlineStr">
        <is>
          <t>Center</t>
        </is>
      </c>
      <c r="O251" s="145" t="inlineStr">
        <is>
          <t>No</t>
        </is>
      </c>
      <c r="P251" s="145" t="inlineStr">
        <is>
          <t>General</t>
        </is>
      </c>
      <c r="Q251" s="145" t="inlineStr">
        <is>
          <t>General</t>
        </is>
      </c>
      <c r="R251" s="145" t="n"/>
      <c r="S251" s="145" t="n"/>
      <c r="T251" s="145" t="n"/>
      <c r="U251" s="145" t="n"/>
      <c r="V251" s="145" t="n"/>
      <c r="W251" s="145" t="n"/>
      <c r="X251" s="145" t="inlineStr">
        <is>
          <t>Detailed format sample from top 5 used rows</t>
        </is>
      </c>
    </row>
    <row r="252" ht="23.85" customHeight="1" s="79">
      <c r="A252" s="145" t="inlineStr">
        <is>
          <t>REGULAR_DEPT</t>
        </is>
      </c>
      <c r="B252" s="145" t="inlineStr">
        <is>
          <t>Top-Row Cell Format</t>
        </is>
      </c>
      <c r="C252" s="145" t="inlineStr">
        <is>
          <t>AO5</t>
        </is>
      </c>
      <c r="D252" s="145" t="inlineStr">
        <is>
          <t>REGULAR_DEPT!A1:AS193</t>
        </is>
      </c>
      <c r="E252" s="145" t="inlineStr">
        <is>
          <t>Comma</t>
        </is>
      </c>
      <c r="F252" s="145" t="n"/>
      <c r="G252" s="145" t="inlineStr">
        <is>
          <t>Aptos</t>
        </is>
      </c>
      <c r="H252" s="145" t="n">
        <v>8</v>
      </c>
      <c r="I252" s="145" t="inlineStr">
        <is>
          <t>No</t>
        </is>
      </c>
      <c r="J252" s="145" t="inlineStr">
        <is>
          <t>No</t>
        </is>
      </c>
      <c r="K252" s="145" t="inlineStr">
        <is>
          <t>None</t>
        </is>
      </c>
      <c r="L252" s="145" t="inlineStr">
        <is>
          <t>#000000</t>
        </is>
      </c>
      <c r="M252" s="145" t="inlineStr">
        <is>
          <t>General</t>
        </is>
      </c>
      <c r="N252" s="145" t="inlineStr">
        <is>
          <t>Center</t>
        </is>
      </c>
      <c r="O252" s="145" t="inlineStr">
        <is>
          <t>No</t>
        </is>
      </c>
      <c r="P252" s="145" t="inlineStr">
        <is>
          <t xml:space="preserve">_ * #,##0_ ;_ * -#,##0_ ;_ * "-"??_ ;_ @_ </t>
        </is>
      </c>
      <c r="Q252" s="145" t="inlineStr">
        <is>
          <t>Text</t>
        </is>
      </c>
      <c r="R252" s="145" t="n"/>
      <c r="S252" s="145" t="n"/>
      <c r="T252" s="145" t="n"/>
      <c r="U252" s="145" t="n"/>
      <c r="V252" s="145" t="n"/>
      <c r="W252" s="145" t="n"/>
      <c r="X252" s="145" t="inlineStr">
        <is>
          <t>Detailed format sample from top 5 used rows</t>
        </is>
      </c>
    </row>
    <row r="253" ht="35.05" customHeight="1" s="79">
      <c r="A253" s="145" t="inlineStr">
        <is>
          <t>REGULAR_DEPT</t>
        </is>
      </c>
      <c r="B253" s="145" t="inlineStr">
        <is>
          <t>Column Format</t>
        </is>
      </c>
      <c r="C253" s="145" t="inlineStr">
        <is>
          <t>AP:AP</t>
        </is>
      </c>
      <c r="D253" s="145" t="inlineStr">
        <is>
          <t>REGULAR_DEPT!A1:AS193</t>
        </is>
      </c>
      <c r="E253" s="145" t="inlineStr">
        <is>
          <t>Mixed</t>
        </is>
      </c>
      <c r="F253" s="145" t="inlineStr">
        <is>
          <t>Mixed</t>
        </is>
      </c>
      <c r="G253" s="145" t="inlineStr">
        <is>
          <t>Aptos</t>
        </is>
      </c>
      <c r="H253" s="145" t="n">
        <v>8</v>
      </c>
      <c r="I253" s="145" t="inlineStr">
        <is>
          <t>Mixed</t>
        </is>
      </c>
      <c r="J253" s="145" t="inlineStr">
        <is>
          <t>No</t>
        </is>
      </c>
      <c r="K253" s="145" t="inlineStr">
        <is>
          <t>None</t>
        </is>
      </c>
      <c r="L253" s="145" t="inlineStr">
        <is>
          <t>#000000</t>
        </is>
      </c>
      <c r="M253" s="145" t="inlineStr">
        <is>
          <t>Mixed</t>
        </is>
      </c>
      <c r="N253" s="145" t="inlineStr">
        <is>
          <t>Center</t>
        </is>
      </c>
      <c r="O253" s="145" t="inlineStr">
        <is>
          <t>Mixed</t>
        </is>
      </c>
      <c r="P253" s="145" t="n"/>
      <c r="Q253" s="145" t="n"/>
      <c r="R253" s="145" t="inlineStr">
        <is>
          <t>EdgeBottom:Continuous/Thin/#000000; EdgeRight:Continuous/Thin/#000000</t>
        </is>
      </c>
      <c r="S253" s="145" t="n">
        <v>0</v>
      </c>
      <c r="T253" s="145" t="n"/>
      <c r="U253" s="145" t="inlineStr">
        <is>
          <t>Yes</t>
        </is>
      </c>
      <c r="V253" s="145" t="inlineStr">
        <is>
          <t>Hidden column (possible outline/group)</t>
        </is>
      </c>
      <c r="W253" s="145" t="n"/>
      <c r="X253" s="145" t="inlineStr">
        <is>
          <t>Mixed styles within used column</t>
        </is>
      </c>
    </row>
    <row r="254" ht="23.85" customHeight="1" s="79">
      <c r="A254" s="145" t="inlineStr">
        <is>
          <t>REGULAR_DEPT</t>
        </is>
      </c>
      <c r="B254" s="145" t="inlineStr">
        <is>
          <t>Top-Row Cell Format</t>
        </is>
      </c>
      <c r="C254" s="145" t="inlineStr">
        <is>
          <t>AP1</t>
        </is>
      </c>
      <c r="D254" s="145" t="inlineStr">
        <is>
          <t>REGULAR_DEPT!A1:AS193</t>
        </is>
      </c>
      <c r="E254" s="145" t="inlineStr">
        <is>
          <t>Normal</t>
        </is>
      </c>
      <c r="F254" s="145" t="n"/>
      <c r="G254" s="145" t="inlineStr">
        <is>
          <t>Aptos</t>
        </is>
      </c>
      <c r="H254" s="145" t="n">
        <v>8</v>
      </c>
      <c r="I254" s="145" t="inlineStr">
        <is>
          <t>No</t>
        </is>
      </c>
      <c r="J254" s="145" t="inlineStr">
        <is>
          <t>No</t>
        </is>
      </c>
      <c r="K254" s="145" t="inlineStr">
        <is>
          <t>None</t>
        </is>
      </c>
      <c r="L254" s="145" t="inlineStr">
        <is>
          <t>#000000</t>
        </is>
      </c>
      <c r="M254" s="145" t="inlineStr">
        <is>
          <t>General</t>
        </is>
      </c>
      <c r="N254" s="145" t="inlineStr">
        <is>
          <t>Center</t>
        </is>
      </c>
      <c r="O254" s="145" t="inlineStr">
        <is>
          <t>No</t>
        </is>
      </c>
      <c r="P254" s="145" t="inlineStr">
        <is>
          <t>General</t>
        </is>
      </c>
      <c r="Q254" s="145" t="inlineStr">
        <is>
          <t>General</t>
        </is>
      </c>
      <c r="R254" s="145" t="n"/>
      <c r="S254" s="145" t="n"/>
      <c r="T254" s="145" t="n"/>
      <c r="U254" s="145" t="n"/>
      <c r="V254" s="145" t="n"/>
      <c r="W254" s="145" t="n"/>
      <c r="X254" s="145" t="inlineStr">
        <is>
          <t>Detailed format sample from top 5 used rows</t>
        </is>
      </c>
    </row>
    <row r="255" ht="23.85" customHeight="1" s="79">
      <c r="A255" s="145" t="inlineStr">
        <is>
          <t>REGULAR_DEPT</t>
        </is>
      </c>
      <c r="B255" s="145" t="inlineStr">
        <is>
          <t>Top-Row Cell Format</t>
        </is>
      </c>
      <c r="C255" s="145" t="inlineStr">
        <is>
          <t>AP2</t>
        </is>
      </c>
      <c r="D255" s="145" t="inlineStr">
        <is>
          <t>REGULAR_DEPT!A1:AS193</t>
        </is>
      </c>
      <c r="E255" s="145" t="inlineStr">
        <is>
          <t>Comma</t>
        </is>
      </c>
      <c r="F255" s="145" t="inlineStr">
        <is>
          <t>#B4C6E7</t>
        </is>
      </c>
      <c r="G255" s="145" t="inlineStr">
        <is>
          <t>Aptos</t>
        </is>
      </c>
      <c r="H255" s="145" t="n">
        <v>8</v>
      </c>
      <c r="I255" s="145" t="inlineStr">
        <is>
          <t>Yes</t>
        </is>
      </c>
      <c r="J255" s="145" t="inlineStr">
        <is>
          <t>No</t>
        </is>
      </c>
      <c r="K255" s="145" t="inlineStr">
        <is>
          <t>None</t>
        </is>
      </c>
      <c r="L255" s="145" t="inlineStr">
        <is>
          <t>#000000</t>
        </is>
      </c>
      <c r="M255" s="145" t="inlineStr">
        <is>
          <t>General</t>
        </is>
      </c>
      <c r="N255" s="145" t="inlineStr">
        <is>
          <t>Center</t>
        </is>
      </c>
      <c r="O255" s="145" t="inlineStr">
        <is>
          <t>No</t>
        </is>
      </c>
      <c r="P255" s="145" t="inlineStr">
        <is>
          <t xml:space="preserve">_ * #,##0_ ;_ * -#,##0_ ;_ * "-"??_ ;_ @_ </t>
        </is>
      </c>
      <c r="Q255" s="145" t="inlineStr">
        <is>
          <t>Text</t>
        </is>
      </c>
      <c r="R255" s="145" t="n"/>
      <c r="S255" s="145" t="n"/>
      <c r="T255" s="145" t="n"/>
      <c r="U255" s="145" t="n"/>
      <c r="V255" s="145" t="n"/>
      <c r="W255" s="145" t="n"/>
      <c r="X255" s="145" t="inlineStr">
        <is>
          <t>Detailed format sample from top 5 used rows</t>
        </is>
      </c>
    </row>
    <row r="256" ht="23.85" customHeight="1" s="79">
      <c r="A256" s="145" t="inlineStr">
        <is>
          <t>REGULAR_DEPT</t>
        </is>
      </c>
      <c r="B256" s="145" t="inlineStr">
        <is>
          <t>Top-Row Cell Format</t>
        </is>
      </c>
      <c r="C256" s="145" t="inlineStr">
        <is>
          <t>AP3</t>
        </is>
      </c>
      <c r="D256" s="145" t="inlineStr">
        <is>
          <t>REGULAR_DEPT!A1:AS193</t>
        </is>
      </c>
      <c r="E256" s="145" t="inlineStr">
        <is>
          <t>Normal</t>
        </is>
      </c>
      <c r="F256" s="145" t="inlineStr">
        <is>
          <t>#F8CBAD</t>
        </is>
      </c>
      <c r="G256" s="145" t="inlineStr">
        <is>
          <t>Aptos</t>
        </is>
      </c>
      <c r="H256" s="145" t="n">
        <v>8</v>
      </c>
      <c r="I256" s="145" t="inlineStr">
        <is>
          <t>Yes</t>
        </is>
      </c>
      <c r="J256" s="145" t="inlineStr">
        <is>
          <t>No</t>
        </is>
      </c>
      <c r="K256" s="145" t="inlineStr">
        <is>
          <t>None</t>
        </is>
      </c>
      <c r="L256" s="145" t="inlineStr">
        <is>
          <t>#000000</t>
        </is>
      </c>
      <c r="M256" s="145" t="inlineStr">
        <is>
          <t>Center</t>
        </is>
      </c>
      <c r="N256" s="145" t="inlineStr">
        <is>
          <t>Center</t>
        </is>
      </c>
      <c r="O256" s="145" t="inlineStr">
        <is>
          <t>Yes</t>
        </is>
      </c>
      <c r="P256" s="145" t="inlineStr">
        <is>
          <t>General</t>
        </is>
      </c>
      <c r="Q256" s="145" t="inlineStr">
        <is>
          <t>General</t>
        </is>
      </c>
      <c r="R256" s="145" t="n"/>
      <c r="S256" s="145" t="n"/>
      <c r="T256" s="145" t="n"/>
      <c r="U256" s="145" t="n"/>
      <c r="V256" s="145" t="n"/>
      <c r="W256" s="145" t="n"/>
      <c r="X256" s="145" t="inlineStr">
        <is>
          <t>Detailed format sample from top 5 used rows</t>
        </is>
      </c>
    </row>
    <row r="257" ht="23.85" customHeight="1" s="79">
      <c r="A257" s="145" t="inlineStr">
        <is>
          <t>REGULAR_DEPT</t>
        </is>
      </c>
      <c r="B257" s="145" t="inlineStr">
        <is>
          <t>Top-Row Cell Format</t>
        </is>
      </c>
      <c r="C257" s="145" t="inlineStr">
        <is>
          <t>AP4</t>
        </is>
      </c>
      <c r="D257" s="145" t="inlineStr">
        <is>
          <t>REGULAR_DEPT!A1:AS193</t>
        </is>
      </c>
      <c r="E257" s="145" t="inlineStr">
        <is>
          <t>Normal</t>
        </is>
      </c>
      <c r="F257" s="145" t="inlineStr">
        <is>
          <t>#F8CBAD</t>
        </is>
      </c>
      <c r="G257" s="145" t="inlineStr">
        <is>
          <t>Aptos</t>
        </is>
      </c>
      <c r="H257" s="145" t="n">
        <v>8</v>
      </c>
      <c r="I257" s="145" t="inlineStr">
        <is>
          <t>No</t>
        </is>
      </c>
      <c r="J257" s="145" t="inlineStr">
        <is>
          <t>No</t>
        </is>
      </c>
      <c r="K257" s="145" t="inlineStr">
        <is>
          <t>None</t>
        </is>
      </c>
      <c r="L257" s="145" t="inlineStr">
        <is>
          <t>#000000</t>
        </is>
      </c>
      <c r="M257" s="145" t="inlineStr">
        <is>
          <t>General</t>
        </is>
      </c>
      <c r="N257" s="145" t="inlineStr">
        <is>
          <t>Center</t>
        </is>
      </c>
      <c r="O257" s="145" t="inlineStr">
        <is>
          <t>No</t>
        </is>
      </c>
      <c r="P257" s="145" t="inlineStr">
        <is>
          <t>General</t>
        </is>
      </c>
      <c r="Q257" s="145" t="inlineStr">
        <is>
          <t>General</t>
        </is>
      </c>
      <c r="R257" s="145" t="n"/>
      <c r="S257" s="145" t="n"/>
      <c r="T257" s="145" t="n"/>
      <c r="U257" s="145" t="n"/>
      <c r="V257" s="145" t="n"/>
      <c r="W257" s="145" t="n"/>
      <c r="X257" s="145" t="inlineStr">
        <is>
          <t>Detailed format sample from top 5 used rows</t>
        </is>
      </c>
    </row>
    <row r="258" ht="23.85" customHeight="1" s="79">
      <c r="A258" s="145" t="inlineStr">
        <is>
          <t>REGULAR_DEPT</t>
        </is>
      </c>
      <c r="B258" s="145" t="inlineStr">
        <is>
          <t>Top-Row Cell Format</t>
        </is>
      </c>
      <c r="C258" s="145" t="inlineStr">
        <is>
          <t>AP5</t>
        </is>
      </c>
      <c r="D258" s="145" t="inlineStr">
        <is>
          <t>REGULAR_DEPT!A1:AS193</t>
        </is>
      </c>
      <c r="E258" s="145" t="inlineStr">
        <is>
          <t>Comma</t>
        </is>
      </c>
      <c r="F258" s="145" t="n"/>
      <c r="G258" s="145" t="inlineStr">
        <is>
          <t>Aptos</t>
        </is>
      </c>
      <c r="H258" s="145" t="n">
        <v>8</v>
      </c>
      <c r="I258" s="145" t="inlineStr">
        <is>
          <t>No</t>
        </is>
      </c>
      <c r="J258" s="145" t="inlineStr">
        <is>
          <t>No</t>
        </is>
      </c>
      <c r="K258" s="145" t="inlineStr">
        <is>
          <t>None</t>
        </is>
      </c>
      <c r="L258" s="145" t="inlineStr">
        <is>
          <t>#000000</t>
        </is>
      </c>
      <c r="M258" s="145" t="inlineStr">
        <is>
          <t>General</t>
        </is>
      </c>
      <c r="N258" s="145" t="inlineStr">
        <is>
          <t>Center</t>
        </is>
      </c>
      <c r="O258" s="145" t="inlineStr">
        <is>
          <t>No</t>
        </is>
      </c>
      <c r="P258" s="145" t="inlineStr">
        <is>
          <t xml:space="preserve">_ * #,##0_ ;_ * -#,##0_ ;_ * "-"??_ ;_ @_ </t>
        </is>
      </c>
      <c r="Q258" s="145" t="inlineStr">
        <is>
          <t>Text</t>
        </is>
      </c>
      <c r="R258" s="145" t="n"/>
      <c r="S258" s="145" t="n"/>
      <c r="T258" s="145" t="n"/>
      <c r="U258" s="145" t="n"/>
      <c r="V258" s="145" t="n"/>
      <c r="W258" s="145" t="n"/>
      <c r="X258" s="145" t="inlineStr">
        <is>
          <t>Detailed format sample from top 5 used rows</t>
        </is>
      </c>
    </row>
    <row r="259" ht="23.85" customHeight="1" s="79">
      <c r="A259" s="145" t="inlineStr">
        <is>
          <t>REGULAR_DEPT</t>
        </is>
      </c>
      <c r="B259" s="145" t="inlineStr">
        <is>
          <t>Column Format</t>
        </is>
      </c>
      <c r="C259" s="145" t="inlineStr">
        <is>
          <t>AQ:AQ</t>
        </is>
      </c>
      <c r="D259" s="145" t="inlineStr">
        <is>
          <t>REGULAR_DEPT!A1:AS193</t>
        </is>
      </c>
      <c r="E259" s="145" t="inlineStr">
        <is>
          <t>Mixed</t>
        </is>
      </c>
      <c r="F259" s="145" t="inlineStr">
        <is>
          <t>Mixed</t>
        </is>
      </c>
      <c r="G259" s="145" t="inlineStr">
        <is>
          <t>Aptos</t>
        </is>
      </c>
      <c r="H259" s="145" t="n">
        <v>8</v>
      </c>
      <c r="I259" s="145" t="inlineStr">
        <is>
          <t>Mixed</t>
        </is>
      </c>
      <c r="J259" s="145" t="inlineStr">
        <is>
          <t>No</t>
        </is>
      </c>
      <c r="K259" s="145" t="inlineStr">
        <is>
          <t>None</t>
        </is>
      </c>
      <c r="L259" s="145" t="inlineStr">
        <is>
          <t>#000000</t>
        </is>
      </c>
      <c r="M259" s="145" t="inlineStr">
        <is>
          <t>Mixed</t>
        </is>
      </c>
      <c r="N259" s="145" t="inlineStr">
        <is>
          <t>Center</t>
        </is>
      </c>
      <c r="O259" s="145" t="inlineStr">
        <is>
          <t>Mixed</t>
        </is>
      </c>
      <c r="P259" s="145" t="n"/>
      <c r="Q259" s="145" t="n"/>
      <c r="R259" s="145" t="inlineStr">
        <is>
          <t>EdgeBottom:Continuous/Thin/#000000; EdgeRight:Continuous/Thin/#000000</t>
        </is>
      </c>
      <c r="S259" s="145" t="n">
        <v>47.2835820895522</v>
      </c>
      <c r="T259" s="145" t="n"/>
      <c r="U259" s="145" t="inlineStr">
        <is>
          <t>No</t>
        </is>
      </c>
      <c r="V259" s="145" t="inlineStr">
        <is>
          <t>Visible</t>
        </is>
      </c>
      <c r="W259" s="145" t="n"/>
      <c r="X259" s="145" t="inlineStr">
        <is>
          <t>Mixed styles within used column</t>
        </is>
      </c>
    </row>
    <row r="260" ht="23.85" customHeight="1" s="79">
      <c r="A260" s="145" t="inlineStr">
        <is>
          <t>REGULAR_DEPT</t>
        </is>
      </c>
      <c r="B260" s="145" t="inlineStr">
        <is>
          <t>Top-Row Cell Format</t>
        </is>
      </c>
      <c r="C260" s="145" t="inlineStr">
        <is>
          <t>AQ1</t>
        </is>
      </c>
      <c r="D260" s="145" t="inlineStr">
        <is>
          <t>REGULAR_DEPT!A1:AS193</t>
        </is>
      </c>
      <c r="E260" s="145" t="inlineStr">
        <is>
          <t>Normal</t>
        </is>
      </c>
      <c r="F260" s="145" t="n"/>
      <c r="G260" s="145" t="inlineStr">
        <is>
          <t>Aptos</t>
        </is>
      </c>
      <c r="H260" s="145" t="n">
        <v>8</v>
      </c>
      <c r="I260" s="145" t="inlineStr">
        <is>
          <t>No</t>
        </is>
      </c>
      <c r="J260" s="145" t="inlineStr">
        <is>
          <t>No</t>
        </is>
      </c>
      <c r="K260" s="145" t="inlineStr">
        <is>
          <t>None</t>
        </is>
      </c>
      <c r="L260" s="145" t="inlineStr">
        <is>
          <t>#000000</t>
        </is>
      </c>
      <c r="M260" s="145" t="inlineStr">
        <is>
          <t>General</t>
        </is>
      </c>
      <c r="N260" s="145" t="inlineStr">
        <is>
          <t>Center</t>
        </is>
      </c>
      <c r="O260" s="145" t="inlineStr">
        <is>
          <t>No</t>
        </is>
      </c>
      <c r="P260" s="145" t="inlineStr">
        <is>
          <t>General</t>
        </is>
      </c>
      <c r="Q260" s="145" t="inlineStr">
        <is>
          <t>General</t>
        </is>
      </c>
      <c r="R260" s="145" t="n"/>
      <c r="S260" s="145" t="n"/>
      <c r="T260" s="145" t="n"/>
      <c r="U260" s="145" t="n"/>
      <c r="V260" s="145" t="n"/>
      <c r="W260" s="145" t="n"/>
      <c r="X260" s="145" t="inlineStr">
        <is>
          <t>Detailed format sample from top 5 used rows</t>
        </is>
      </c>
    </row>
    <row r="261" ht="23.85" customHeight="1" s="79">
      <c r="A261" s="145" t="inlineStr">
        <is>
          <t>REGULAR_DEPT</t>
        </is>
      </c>
      <c r="B261" s="145" t="inlineStr">
        <is>
          <t>Top-Row Cell Format</t>
        </is>
      </c>
      <c r="C261" s="145" t="inlineStr">
        <is>
          <t>AQ2</t>
        </is>
      </c>
      <c r="D261" s="145" t="inlineStr">
        <is>
          <t>REGULAR_DEPT!A1:AS193</t>
        </is>
      </c>
      <c r="E261" s="145" t="inlineStr">
        <is>
          <t>Comma</t>
        </is>
      </c>
      <c r="F261" s="145" t="inlineStr">
        <is>
          <t>#B4C6E7</t>
        </is>
      </c>
      <c r="G261" s="145" t="inlineStr">
        <is>
          <t>Aptos</t>
        </is>
      </c>
      <c r="H261" s="145" t="n">
        <v>8</v>
      </c>
      <c r="I261" s="145" t="inlineStr">
        <is>
          <t>Yes</t>
        </is>
      </c>
      <c r="J261" s="145" t="inlineStr">
        <is>
          <t>No</t>
        </is>
      </c>
      <c r="K261" s="145" t="inlineStr">
        <is>
          <t>None</t>
        </is>
      </c>
      <c r="L261" s="145" t="inlineStr">
        <is>
          <t>#000000</t>
        </is>
      </c>
      <c r="M261" s="145" t="inlineStr">
        <is>
          <t>General</t>
        </is>
      </c>
      <c r="N261" s="145" t="inlineStr">
        <is>
          <t>Center</t>
        </is>
      </c>
      <c r="O261" s="145" t="inlineStr">
        <is>
          <t>No</t>
        </is>
      </c>
      <c r="P261" s="145" t="inlineStr">
        <is>
          <t xml:space="preserve">_ * #,##0_ ;_ * -#,##0_ ;_ * "-"??_ ;_ @_ </t>
        </is>
      </c>
      <c r="Q261" s="145" t="inlineStr">
        <is>
          <t>Text</t>
        </is>
      </c>
      <c r="R261" s="145" t="n"/>
      <c r="S261" s="145" t="n"/>
      <c r="T261" s="145" t="n"/>
      <c r="U261" s="145" t="n"/>
      <c r="V261" s="145" t="n"/>
      <c r="W261" s="145" t="n"/>
      <c r="X261" s="145" t="inlineStr">
        <is>
          <t>Detailed format sample from top 5 used rows</t>
        </is>
      </c>
    </row>
    <row r="262" ht="23.85" customHeight="1" s="79">
      <c r="A262" s="145" t="inlineStr">
        <is>
          <t>REGULAR_DEPT</t>
        </is>
      </c>
      <c r="B262" s="145" t="inlineStr">
        <is>
          <t>Top-Row Cell Format</t>
        </is>
      </c>
      <c r="C262" s="145" t="inlineStr">
        <is>
          <t>AQ3</t>
        </is>
      </c>
      <c r="D262" s="145" t="inlineStr">
        <is>
          <t>REGULAR_DEPT!A1:AS193</t>
        </is>
      </c>
      <c r="E262" s="145" t="inlineStr">
        <is>
          <t>Normal</t>
        </is>
      </c>
      <c r="F262" s="145" t="inlineStr">
        <is>
          <t>#F8CBAD</t>
        </is>
      </c>
      <c r="G262" s="145" t="inlineStr">
        <is>
          <t>Aptos</t>
        </is>
      </c>
      <c r="H262" s="145" t="n">
        <v>8</v>
      </c>
      <c r="I262" s="145" t="inlineStr">
        <is>
          <t>Yes</t>
        </is>
      </c>
      <c r="J262" s="145" t="inlineStr">
        <is>
          <t>No</t>
        </is>
      </c>
      <c r="K262" s="145" t="inlineStr">
        <is>
          <t>None</t>
        </is>
      </c>
      <c r="L262" s="145" t="inlineStr">
        <is>
          <t>#000000</t>
        </is>
      </c>
      <c r="M262" s="145" t="inlineStr">
        <is>
          <t>Center</t>
        </is>
      </c>
      <c r="N262" s="145" t="inlineStr">
        <is>
          <t>Center</t>
        </is>
      </c>
      <c r="O262" s="145" t="inlineStr">
        <is>
          <t>Yes</t>
        </is>
      </c>
      <c r="P262" s="145" t="inlineStr">
        <is>
          <t>General</t>
        </is>
      </c>
      <c r="Q262" s="145" t="inlineStr">
        <is>
          <t>General</t>
        </is>
      </c>
      <c r="R262" s="145" t="n"/>
      <c r="S262" s="145" t="n"/>
      <c r="T262" s="145" t="n"/>
      <c r="U262" s="145" t="n"/>
      <c r="V262" s="145" t="n"/>
      <c r="W262" s="145" t="n"/>
      <c r="X262" s="145" t="inlineStr">
        <is>
          <t>Detailed format sample from top 5 used rows</t>
        </is>
      </c>
    </row>
    <row r="263" ht="23.85" customHeight="1" s="79">
      <c r="A263" s="145" t="inlineStr">
        <is>
          <t>REGULAR_DEPT</t>
        </is>
      </c>
      <c r="B263" s="145" t="inlineStr">
        <is>
          <t>Top-Row Cell Format</t>
        </is>
      </c>
      <c r="C263" s="145" t="inlineStr">
        <is>
          <t>AQ4</t>
        </is>
      </c>
      <c r="D263" s="145" t="inlineStr">
        <is>
          <t>REGULAR_DEPT!A1:AS193</t>
        </is>
      </c>
      <c r="E263" s="145" t="inlineStr">
        <is>
          <t>Normal</t>
        </is>
      </c>
      <c r="F263" s="145" t="inlineStr">
        <is>
          <t>#F8CBAD</t>
        </is>
      </c>
      <c r="G263" s="145" t="inlineStr">
        <is>
          <t>Aptos</t>
        </is>
      </c>
      <c r="H263" s="145" t="n">
        <v>8</v>
      </c>
      <c r="I263" s="145" t="inlineStr">
        <is>
          <t>No</t>
        </is>
      </c>
      <c r="J263" s="145" t="inlineStr">
        <is>
          <t>No</t>
        </is>
      </c>
      <c r="K263" s="145" t="inlineStr">
        <is>
          <t>None</t>
        </is>
      </c>
      <c r="L263" s="145" t="inlineStr">
        <is>
          <t>#000000</t>
        </is>
      </c>
      <c r="M263" s="145" t="inlineStr">
        <is>
          <t>General</t>
        </is>
      </c>
      <c r="N263" s="145" t="inlineStr">
        <is>
          <t>Center</t>
        </is>
      </c>
      <c r="O263" s="145" t="inlineStr">
        <is>
          <t>No</t>
        </is>
      </c>
      <c r="P263" s="145" t="inlineStr">
        <is>
          <t>General</t>
        </is>
      </c>
      <c r="Q263" s="145" t="inlineStr">
        <is>
          <t>General</t>
        </is>
      </c>
      <c r="R263" s="145" t="n"/>
      <c r="S263" s="145" t="n"/>
      <c r="T263" s="145" t="n"/>
      <c r="U263" s="145" t="n"/>
      <c r="V263" s="145" t="n"/>
      <c r="W263" s="145" t="n"/>
      <c r="X263" s="145" t="inlineStr">
        <is>
          <t>Detailed format sample from top 5 used rows</t>
        </is>
      </c>
    </row>
    <row r="264" ht="23.85" customHeight="1" s="79">
      <c r="A264" s="145" t="inlineStr">
        <is>
          <t>REGULAR_DEPT</t>
        </is>
      </c>
      <c r="B264" s="145" t="inlineStr">
        <is>
          <t>Top-Row Cell Format</t>
        </is>
      </c>
      <c r="C264" s="145" t="inlineStr">
        <is>
          <t>AQ5</t>
        </is>
      </c>
      <c r="D264" s="145" t="inlineStr">
        <is>
          <t>REGULAR_DEPT!A1:AS193</t>
        </is>
      </c>
      <c r="E264" s="145" t="inlineStr">
        <is>
          <t>Comma</t>
        </is>
      </c>
      <c r="F264" s="145" t="n"/>
      <c r="G264" s="145" t="inlineStr">
        <is>
          <t>Aptos</t>
        </is>
      </c>
      <c r="H264" s="145" t="n">
        <v>8</v>
      </c>
      <c r="I264" s="145" t="inlineStr">
        <is>
          <t>No</t>
        </is>
      </c>
      <c r="J264" s="145" t="inlineStr">
        <is>
          <t>No</t>
        </is>
      </c>
      <c r="K264" s="145" t="inlineStr">
        <is>
          <t>None</t>
        </is>
      </c>
      <c r="L264" s="145" t="inlineStr">
        <is>
          <t>#000000</t>
        </is>
      </c>
      <c r="M264" s="145" t="inlineStr">
        <is>
          <t>General</t>
        </is>
      </c>
      <c r="N264" s="145" t="inlineStr">
        <is>
          <t>Center</t>
        </is>
      </c>
      <c r="O264" s="145" t="inlineStr">
        <is>
          <t>No</t>
        </is>
      </c>
      <c r="P264" s="145" t="inlineStr">
        <is>
          <t xml:space="preserve">_ * #,##0_ ;_ * -#,##0_ ;_ * "-"??_ ;_ @_ </t>
        </is>
      </c>
      <c r="Q264" s="145" t="inlineStr">
        <is>
          <t>Text</t>
        </is>
      </c>
      <c r="R264" s="145" t="n"/>
      <c r="S264" s="145" t="n"/>
      <c r="T264" s="145" t="n"/>
      <c r="U264" s="145" t="n"/>
      <c r="V264" s="145" t="n"/>
      <c r="W264" s="145" t="n"/>
      <c r="X264" s="145" t="inlineStr">
        <is>
          <t>Detailed format sample from top 5 used rows</t>
        </is>
      </c>
    </row>
    <row r="265" ht="23.85" customHeight="1" s="79">
      <c r="A265" s="145" t="inlineStr">
        <is>
          <t>REGULAR_DEPT</t>
        </is>
      </c>
      <c r="B265" s="145" t="inlineStr">
        <is>
          <t>Column Format</t>
        </is>
      </c>
      <c r="C265" s="145" t="inlineStr">
        <is>
          <t>AR:AR</t>
        </is>
      </c>
      <c r="D265" s="145" t="inlineStr">
        <is>
          <t>REGULAR_DEPT!A1:AS193</t>
        </is>
      </c>
      <c r="E265" s="145" t="inlineStr">
        <is>
          <t>Mixed</t>
        </is>
      </c>
      <c r="F265" s="145" t="inlineStr">
        <is>
          <t>Mixed</t>
        </is>
      </c>
      <c r="G265" s="145" t="inlineStr">
        <is>
          <t>Aptos</t>
        </is>
      </c>
      <c r="H265" s="145" t="n">
        <v>8</v>
      </c>
      <c r="I265" s="145" t="inlineStr">
        <is>
          <t>Mixed</t>
        </is>
      </c>
      <c r="J265" s="145" t="inlineStr">
        <is>
          <t>No</t>
        </is>
      </c>
      <c r="K265" s="145" t="inlineStr">
        <is>
          <t>None</t>
        </is>
      </c>
      <c r="L265" s="145" t="inlineStr">
        <is>
          <t>#000000</t>
        </is>
      </c>
      <c r="M265" s="145" t="inlineStr">
        <is>
          <t>Mixed</t>
        </is>
      </c>
      <c r="N265" s="145" t="inlineStr">
        <is>
          <t>Center</t>
        </is>
      </c>
      <c r="O265" s="145" t="inlineStr">
        <is>
          <t>Mixed</t>
        </is>
      </c>
      <c r="P265" s="145" t="n"/>
      <c r="Q265" s="145" t="n"/>
      <c r="R265" s="145" t="inlineStr">
        <is>
          <t>EdgeBottom:Continuous/Thin/#000000; EdgeRight:Continuous/Thin/#000000</t>
        </is>
      </c>
      <c r="S265" s="145" t="n">
        <v>58.0298507462687</v>
      </c>
      <c r="T265" s="145" t="n"/>
      <c r="U265" s="145" t="inlineStr">
        <is>
          <t>No</t>
        </is>
      </c>
      <c r="V265" s="145" t="inlineStr">
        <is>
          <t>Visible</t>
        </is>
      </c>
      <c r="W265" s="145" t="n"/>
      <c r="X265" s="145" t="inlineStr">
        <is>
          <t>Mixed styles within used column</t>
        </is>
      </c>
    </row>
    <row r="266" ht="23.85" customHeight="1" s="79">
      <c r="A266" s="145" t="inlineStr">
        <is>
          <t>REGULAR_DEPT</t>
        </is>
      </c>
      <c r="B266" s="145" t="inlineStr">
        <is>
          <t>Top-Row Cell Format</t>
        </is>
      </c>
      <c r="C266" s="145" t="inlineStr">
        <is>
          <t>AR1</t>
        </is>
      </c>
      <c r="D266" s="145" t="inlineStr">
        <is>
          <t>REGULAR_DEPT!A1:AS193</t>
        </is>
      </c>
      <c r="E266" s="145" t="inlineStr">
        <is>
          <t>Normal</t>
        </is>
      </c>
      <c r="F266" s="145" t="n"/>
      <c r="G266" s="145" t="inlineStr">
        <is>
          <t>Aptos</t>
        </is>
      </c>
      <c r="H266" s="145" t="n">
        <v>8</v>
      </c>
      <c r="I266" s="145" t="inlineStr">
        <is>
          <t>No</t>
        </is>
      </c>
      <c r="J266" s="145" t="inlineStr">
        <is>
          <t>No</t>
        </is>
      </c>
      <c r="K266" s="145" t="inlineStr">
        <is>
          <t>None</t>
        </is>
      </c>
      <c r="L266" s="145" t="inlineStr">
        <is>
          <t>#000000</t>
        </is>
      </c>
      <c r="M266" s="145" t="inlineStr">
        <is>
          <t>General</t>
        </is>
      </c>
      <c r="N266" s="145" t="inlineStr">
        <is>
          <t>Center</t>
        </is>
      </c>
      <c r="O266" s="145" t="inlineStr">
        <is>
          <t>No</t>
        </is>
      </c>
      <c r="P266" s="145" t="inlineStr">
        <is>
          <t>General</t>
        </is>
      </c>
      <c r="Q266" s="145" t="inlineStr">
        <is>
          <t>General</t>
        </is>
      </c>
      <c r="R266" s="145" t="n"/>
      <c r="S266" s="145" t="n"/>
      <c r="T266" s="145" t="n"/>
      <c r="U266" s="145" t="n"/>
      <c r="V266" s="145" t="n"/>
      <c r="W266" s="145" t="n"/>
      <c r="X266" s="145" t="inlineStr">
        <is>
          <t>Detailed format sample from top 5 used rows</t>
        </is>
      </c>
    </row>
    <row r="267" ht="23.85" customHeight="1" s="79">
      <c r="A267" s="145" t="inlineStr">
        <is>
          <t>REGULAR_DEPT</t>
        </is>
      </c>
      <c r="B267" s="145" t="inlineStr">
        <is>
          <t>Top-Row Cell Format</t>
        </is>
      </c>
      <c r="C267" s="145" t="inlineStr">
        <is>
          <t>AR2</t>
        </is>
      </c>
      <c r="D267" s="145" t="inlineStr">
        <is>
          <t>REGULAR_DEPT!A1:AS193</t>
        </is>
      </c>
      <c r="E267" s="145" t="inlineStr">
        <is>
          <t>Normal</t>
        </is>
      </c>
      <c r="F267" s="145" t="n"/>
      <c r="G267" s="145" t="inlineStr">
        <is>
          <t>Aptos</t>
        </is>
      </c>
      <c r="H267" s="145" t="n">
        <v>8</v>
      </c>
      <c r="I267" s="145" t="inlineStr">
        <is>
          <t>No</t>
        </is>
      </c>
      <c r="J267" s="145" t="inlineStr">
        <is>
          <t>No</t>
        </is>
      </c>
      <c r="K267" s="145" t="inlineStr">
        <is>
          <t>None</t>
        </is>
      </c>
      <c r="L267" s="145" t="inlineStr">
        <is>
          <t>#000000</t>
        </is>
      </c>
      <c r="M267" s="145" t="inlineStr">
        <is>
          <t>General</t>
        </is>
      </c>
      <c r="N267" s="145" t="inlineStr">
        <is>
          <t>Center</t>
        </is>
      </c>
      <c r="O267" s="145" t="inlineStr">
        <is>
          <t>No</t>
        </is>
      </c>
      <c r="P267" s="145" t="inlineStr">
        <is>
          <t xml:space="preserve">_ * #,##0_ ;_ * -#,##0_ ;_ * "-"??_ ;_ @_ </t>
        </is>
      </c>
      <c r="Q267" s="145" t="inlineStr">
        <is>
          <t>Text</t>
        </is>
      </c>
      <c r="R267" s="145" t="n"/>
      <c r="S267" s="145" t="n"/>
      <c r="T267" s="145" t="n"/>
      <c r="U267" s="145" t="n"/>
      <c r="V267" s="145" t="n"/>
      <c r="W267" s="145" t="n"/>
      <c r="X267" s="145" t="inlineStr">
        <is>
          <t>Detailed format sample from top 5 used rows</t>
        </is>
      </c>
    </row>
    <row r="268" ht="23.85" customHeight="1" s="79">
      <c r="A268" s="145" t="inlineStr">
        <is>
          <t>REGULAR_DEPT</t>
        </is>
      </c>
      <c r="B268" s="145" t="inlineStr">
        <is>
          <t>Top-Row Cell Format</t>
        </is>
      </c>
      <c r="C268" s="145" t="inlineStr">
        <is>
          <t>AR3</t>
        </is>
      </c>
      <c r="D268" s="145" t="inlineStr">
        <is>
          <t>REGULAR_DEPT!A1:AS193</t>
        </is>
      </c>
      <c r="E268" s="145" t="inlineStr">
        <is>
          <t>Normal</t>
        </is>
      </c>
      <c r="F268" s="145" t="inlineStr">
        <is>
          <t>#F8CBAD</t>
        </is>
      </c>
      <c r="G268" s="145" t="inlineStr">
        <is>
          <t>Aptos</t>
        </is>
      </c>
      <c r="H268" s="145" t="n">
        <v>8</v>
      </c>
      <c r="I268" s="145" t="inlineStr">
        <is>
          <t>Yes</t>
        </is>
      </c>
      <c r="J268" s="145" t="inlineStr">
        <is>
          <t>No</t>
        </is>
      </c>
      <c r="K268" s="145" t="inlineStr">
        <is>
          <t>None</t>
        </is>
      </c>
      <c r="L268" s="145" t="inlineStr">
        <is>
          <t>#000000</t>
        </is>
      </c>
      <c r="M268" s="145" t="inlineStr">
        <is>
          <t>Center</t>
        </is>
      </c>
      <c r="N268" s="145" t="inlineStr">
        <is>
          <t>Center</t>
        </is>
      </c>
      <c r="O268" s="145" t="inlineStr">
        <is>
          <t>Yes</t>
        </is>
      </c>
      <c r="P268" s="145" t="inlineStr">
        <is>
          <t>General</t>
        </is>
      </c>
      <c r="Q268" s="145" t="inlineStr">
        <is>
          <t>General</t>
        </is>
      </c>
      <c r="R268" s="145" t="n"/>
      <c r="S268" s="145" t="n"/>
      <c r="T268" s="145" t="n"/>
      <c r="U268" s="145" t="n"/>
      <c r="V268" s="145" t="n"/>
      <c r="W268" s="145" t="n"/>
      <c r="X268" s="145" t="inlineStr">
        <is>
          <t>Detailed format sample from top 5 used rows</t>
        </is>
      </c>
    </row>
    <row r="269" ht="23.85" customHeight="1" s="79">
      <c r="A269" s="145" t="inlineStr">
        <is>
          <t>REGULAR_DEPT</t>
        </is>
      </c>
      <c r="B269" s="145" t="inlineStr">
        <is>
          <t>Top-Row Cell Format</t>
        </is>
      </c>
      <c r="C269" s="145" t="inlineStr">
        <is>
          <t>AR4</t>
        </is>
      </c>
      <c r="D269" s="145" t="inlineStr">
        <is>
          <t>REGULAR_DEPT!A1:AS193</t>
        </is>
      </c>
      <c r="E269" s="145" t="inlineStr">
        <is>
          <t>Normal</t>
        </is>
      </c>
      <c r="F269" s="145" t="inlineStr">
        <is>
          <t>#F8CBAD</t>
        </is>
      </c>
      <c r="G269" s="145" t="inlineStr">
        <is>
          <t>Aptos</t>
        </is>
      </c>
      <c r="H269" s="145" t="n">
        <v>8</v>
      </c>
      <c r="I269" s="145" t="inlineStr">
        <is>
          <t>No</t>
        </is>
      </c>
      <c r="J269" s="145" t="inlineStr">
        <is>
          <t>No</t>
        </is>
      </c>
      <c r="K269" s="145" t="inlineStr">
        <is>
          <t>None</t>
        </is>
      </c>
      <c r="L269" s="145" t="inlineStr">
        <is>
          <t>#000000</t>
        </is>
      </c>
      <c r="M269" s="145" t="inlineStr">
        <is>
          <t>General</t>
        </is>
      </c>
      <c r="N269" s="145" t="inlineStr">
        <is>
          <t>Center</t>
        </is>
      </c>
      <c r="O269" s="145" t="inlineStr">
        <is>
          <t>No</t>
        </is>
      </c>
      <c r="P269" s="145" t="inlineStr">
        <is>
          <t>General</t>
        </is>
      </c>
      <c r="Q269" s="145" t="inlineStr">
        <is>
          <t>General</t>
        </is>
      </c>
      <c r="R269" s="145" t="n"/>
      <c r="S269" s="145" t="n"/>
      <c r="T269" s="145" t="n"/>
      <c r="U269" s="145" t="n"/>
      <c r="V269" s="145" t="n"/>
      <c r="W269" s="145" t="n"/>
      <c r="X269" s="145" t="inlineStr">
        <is>
          <t>Detailed format sample from top 5 used rows</t>
        </is>
      </c>
    </row>
    <row r="270" ht="23.85" customHeight="1" s="79">
      <c r="A270" s="145" t="inlineStr">
        <is>
          <t>REGULAR_DEPT</t>
        </is>
      </c>
      <c r="B270" s="145" t="inlineStr">
        <is>
          <t>Top-Row Cell Format</t>
        </is>
      </c>
      <c r="C270" s="145" t="inlineStr">
        <is>
          <t>AR5</t>
        </is>
      </c>
      <c r="D270" s="145" t="inlineStr">
        <is>
          <t>REGULAR_DEPT!A1:AS193</t>
        </is>
      </c>
      <c r="E270" s="145" t="inlineStr">
        <is>
          <t>Comma</t>
        </is>
      </c>
      <c r="F270" s="145" t="n"/>
      <c r="G270" s="145" t="inlineStr">
        <is>
          <t>Aptos</t>
        </is>
      </c>
      <c r="H270" s="145" t="n">
        <v>8</v>
      </c>
      <c r="I270" s="145" t="inlineStr">
        <is>
          <t>No</t>
        </is>
      </c>
      <c r="J270" s="145" t="inlineStr">
        <is>
          <t>No</t>
        </is>
      </c>
      <c r="K270" s="145" t="inlineStr">
        <is>
          <t>None</t>
        </is>
      </c>
      <c r="L270" s="145" t="inlineStr">
        <is>
          <t>#000000</t>
        </is>
      </c>
      <c r="M270" s="145" t="inlineStr">
        <is>
          <t>General</t>
        </is>
      </c>
      <c r="N270" s="145" t="inlineStr">
        <is>
          <t>Center</t>
        </is>
      </c>
      <c r="O270" s="145" t="inlineStr">
        <is>
          <t>No</t>
        </is>
      </c>
      <c r="P270" s="145" t="inlineStr">
        <is>
          <t xml:space="preserve">_ * #,##0_ ;_ * -#,##0_ ;_ * "-"??_ ;_ @_ </t>
        </is>
      </c>
      <c r="Q270" s="145" t="inlineStr">
        <is>
          <t>Text</t>
        </is>
      </c>
      <c r="R270" s="145" t="n"/>
      <c r="S270" s="145" t="n"/>
      <c r="T270" s="145" t="n"/>
      <c r="U270" s="145" t="n"/>
      <c r="V270" s="145" t="n"/>
      <c r="W270" s="145" t="n"/>
      <c r="X270" s="145" t="inlineStr">
        <is>
          <t>Detailed format sample from top 5 used rows</t>
        </is>
      </c>
    </row>
    <row r="271" ht="23.85" customHeight="1" s="79">
      <c r="A271" s="145" t="inlineStr">
        <is>
          <t>REGULAR_DEPT</t>
        </is>
      </c>
      <c r="B271" s="145" t="inlineStr">
        <is>
          <t>Column Format</t>
        </is>
      </c>
      <c r="C271" s="145" t="inlineStr">
        <is>
          <t>AS:AS</t>
        </is>
      </c>
      <c r="D271" s="145" t="inlineStr">
        <is>
          <t>REGULAR_DEPT!A1:AS193</t>
        </is>
      </c>
      <c r="E271" s="145" t="inlineStr">
        <is>
          <t>Mixed</t>
        </is>
      </c>
      <c r="F271" s="145" t="inlineStr">
        <is>
          <t>Mixed</t>
        </is>
      </c>
      <c r="G271" s="145" t="inlineStr">
        <is>
          <t>Aptos</t>
        </is>
      </c>
      <c r="H271" s="145" t="n">
        <v>8</v>
      </c>
      <c r="I271" s="145" t="inlineStr">
        <is>
          <t>Mixed</t>
        </is>
      </c>
      <c r="J271" s="145" t="inlineStr">
        <is>
          <t>No</t>
        </is>
      </c>
      <c r="K271" s="145" t="inlineStr">
        <is>
          <t>None</t>
        </is>
      </c>
      <c r="L271" s="145" t="inlineStr">
        <is>
          <t>#000000</t>
        </is>
      </c>
      <c r="M271" s="145" t="inlineStr">
        <is>
          <t>Mixed</t>
        </is>
      </c>
      <c r="N271" s="145" t="inlineStr">
        <is>
          <t>Center</t>
        </is>
      </c>
      <c r="O271" s="145" t="inlineStr">
        <is>
          <t>Mixed</t>
        </is>
      </c>
      <c r="P271" s="145" t="n"/>
      <c r="Q271" s="145" t="n"/>
      <c r="R271" s="145" t="inlineStr">
        <is>
          <t>EdgeBottom:Continuous/Thin/#000000; EdgeRight:Continuous/Thin/#000000</t>
        </is>
      </c>
      <c r="S271" s="145" t="n">
        <v>66.08955223880599</v>
      </c>
      <c r="T271" s="145" t="n"/>
      <c r="U271" s="145" t="inlineStr">
        <is>
          <t>No</t>
        </is>
      </c>
      <c r="V271" s="145" t="inlineStr">
        <is>
          <t>Visible</t>
        </is>
      </c>
      <c r="W271" s="145" t="n"/>
      <c r="X271" s="145" t="inlineStr">
        <is>
          <t>Mixed styles within used column</t>
        </is>
      </c>
    </row>
    <row r="272" ht="23.85" customHeight="1" s="79">
      <c r="A272" s="145" t="inlineStr">
        <is>
          <t>REGULAR_DEPT</t>
        </is>
      </c>
      <c r="B272" s="145" t="inlineStr">
        <is>
          <t>Top-Row Cell Format</t>
        </is>
      </c>
      <c r="C272" s="145" t="inlineStr">
        <is>
          <t>AS1</t>
        </is>
      </c>
      <c r="D272" s="145" t="inlineStr">
        <is>
          <t>REGULAR_DEPT!A1:AS193</t>
        </is>
      </c>
      <c r="E272" s="145" t="inlineStr">
        <is>
          <t>Normal</t>
        </is>
      </c>
      <c r="F272" s="145" t="n"/>
      <c r="G272" s="145" t="inlineStr">
        <is>
          <t>Aptos</t>
        </is>
      </c>
      <c r="H272" s="145" t="n">
        <v>8</v>
      </c>
      <c r="I272" s="145" t="inlineStr">
        <is>
          <t>No</t>
        </is>
      </c>
      <c r="J272" s="145" t="inlineStr">
        <is>
          <t>No</t>
        </is>
      </c>
      <c r="K272" s="145" t="inlineStr">
        <is>
          <t>None</t>
        </is>
      </c>
      <c r="L272" s="145" t="inlineStr">
        <is>
          <t>#000000</t>
        </is>
      </c>
      <c r="M272" s="145" t="inlineStr">
        <is>
          <t>General</t>
        </is>
      </c>
      <c r="N272" s="145" t="inlineStr">
        <is>
          <t>Center</t>
        </is>
      </c>
      <c r="O272" s="145" t="inlineStr">
        <is>
          <t>No</t>
        </is>
      </c>
      <c r="P272" s="145" t="inlineStr">
        <is>
          <t>General</t>
        </is>
      </c>
      <c r="Q272" s="145" t="inlineStr">
        <is>
          <t>General</t>
        </is>
      </c>
      <c r="R272" s="145" t="n"/>
      <c r="S272" s="145" t="n"/>
      <c r="T272" s="145" t="n"/>
      <c r="U272" s="145" t="n"/>
      <c r="V272" s="145" t="n"/>
      <c r="W272" s="145" t="n"/>
      <c r="X272" s="145" t="inlineStr">
        <is>
          <t>Detailed format sample from top 5 used rows</t>
        </is>
      </c>
    </row>
    <row r="273" ht="23.85" customHeight="1" s="79">
      <c r="A273" s="145" t="inlineStr">
        <is>
          <t>REGULAR_DEPT</t>
        </is>
      </c>
      <c r="B273" s="145" t="inlineStr">
        <is>
          <t>Top-Row Cell Format</t>
        </is>
      </c>
      <c r="C273" s="145" t="inlineStr">
        <is>
          <t>AS2</t>
        </is>
      </c>
      <c r="D273" s="145" t="inlineStr">
        <is>
          <t>REGULAR_DEPT!A1:AS193</t>
        </is>
      </c>
      <c r="E273" s="145" t="inlineStr">
        <is>
          <t>Normal</t>
        </is>
      </c>
      <c r="F273" s="145" t="n"/>
      <c r="G273" s="145" t="inlineStr">
        <is>
          <t>Aptos</t>
        </is>
      </c>
      <c r="H273" s="145" t="n">
        <v>8</v>
      </c>
      <c r="I273" s="145" t="inlineStr">
        <is>
          <t>No</t>
        </is>
      </c>
      <c r="J273" s="145" t="inlineStr">
        <is>
          <t>No</t>
        </is>
      </c>
      <c r="K273" s="145" t="inlineStr">
        <is>
          <t>None</t>
        </is>
      </c>
      <c r="L273" s="145" t="inlineStr">
        <is>
          <t>#000000</t>
        </is>
      </c>
      <c r="M273" s="145" t="inlineStr">
        <is>
          <t>General</t>
        </is>
      </c>
      <c r="N273" s="145" t="inlineStr">
        <is>
          <t>Center</t>
        </is>
      </c>
      <c r="O273" s="145" t="inlineStr">
        <is>
          <t>No</t>
        </is>
      </c>
      <c r="P273" s="145" t="inlineStr">
        <is>
          <t>General</t>
        </is>
      </c>
      <c r="Q273" s="145" t="inlineStr">
        <is>
          <t>General</t>
        </is>
      </c>
      <c r="R273" s="145" t="n"/>
      <c r="S273" s="145" t="n"/>
      <c r="T273" s="145" t="n"/>
      <c r="U273" s="145" t="n"/>
      <c r="V273" s="145" t="n"/>
      <c r="W273" s="145" t="n"/>
      <c r="X273" s="145" t="inlineStr">
        <is>
          <t>Detailed format sample from top 5 used rows</t>
        </is>
      </c>
    </row>
    <row r="274" ht="23.85" customHeight="1" s="79">
      <c r="A274" s="145" t="inlineStr">
        <is>
          <t>REGULAR_DEPT</t>
        </is>
      </c>
      <c r="B274" s="145" t="inlineStr">
        <is>
          <t>Top-Row Cell Format</t>
        </is>
      </c>
      <c r="C274" s="145" t="inlineStr">
        <is>
          <t>AS3</t>
        </is>
      </c>
      <c r="D274" s="145" t="inlineStr">
        <is>
          <t>REGULAR_DEPT!A1:AS193</t>
        </is>
      </c>
      <c r="E274" s="145" t="inlineStr">
        <is>
          <t>Normal</t>
        </is>
      </c>
      <c r="F274" s="145" t="inlineStr">
        <is>
          <t>#F8CBAD</t>
        </is>
      </c>
      <c r="G274" s="145" t="inlineStr">
        <is>
          <t>Aptos</t>
        </is>
      </c>
      <c r="H274" s="145" t="n">
        <v>8</v>
      </c>
      <c r="I274" s="145" t="inlineStr">
        <is>
          <t>Yes</t>
        </is>
      </c>
      <c r="J274" s="145" t="inlineStr">
        <is>
          <t>No</t>
        </is>
      </c>
      <c r="K274" s="145" t="inlineStr">
        <is>
          <t>None</t>
        </is>
      </c>
      <c r="L274" s="145" t="inlineStr">
        <is>
          <t>#000000</t>
        </is>
      </c>
      <c r="M274" s="145" t="inlineStr">
        <is>
          <t>Center</t>
        </is>
      </c>
      <c r="N274" s="145" t="inlineStr">
        <is>
          <t>Center</t>
        </is>
      </c>
      <c r="O274" s="145" t="inlineStr">
        <is>
          <t>Yes</t>
        </is>
      </c>
      <c r="P274" s="145" t="inlineStr">
        <is>
          <t>General</t>
        </is>
      </c>
      <c r="Q274" s="145" t="inlineStr">
        <is>
          <t>General</t>
        </is>
      </c>
      <c r="R274" s="145" t="n"/>
      <c r="S274" s="145" t="n"/>
      <c r="T274" s="145" t="n"/>
      <c r="U274" s="145" t="n"/>
      <c r="V274" s="145" t="n"/>
      <c r="W274" s="145" t="n"/>
      <c r="X274" s="145" t="inlineStr">
        <is>
          <t>Detailed format sample from top 5 used rows</t>
        </is>
      </c>
    </row>
    <row r="275" ht="23.85" customHeight="1" s="79">
      <c r="A275" s="145" t="inlineStr">
        <is>
          <t>REGULAR_DEPT</t>
        </is>
      </c>
      <c r="B275" s="145" t="inlineStr">
        <is>
          <t>Top-Row Cell Format</t>
        </is>
      </c>
      <c r="C275" s="145" t="inlineStr">
        <is>
          <t>AS4</t>
        </is>
      </c>
      <c r="D275" s="145" t="inlineStr">
        <is>
          <t>REGULAR_DEPT!A1:AS193</t>
        </is>
      </c>
      <c r="E275" s="145" t="inlineStr">
        <is>
          <t>Normal</t>
        </is>
      </c>
      <c r="F275" s="145" t="inlineStr">
        <is>
          <t>#F8CBAD</t>
        </is>
      </c>
      <c r="G275" s="145" t="inlineStr">
        <is>
          <t>Aptos</t>
        </is>
      </c>
      <c r="H275" s="145" t="n">
        <v>8</v>
      </c>
      <c r="I275" s="145" t="inlineStr">
        <is>
          <t>No</t>
        </is>
      </c>
      <c r="J275" s="145" t="inlineStr">
        <is>
          <t>No</t>
        </is>
      </c>
      <c r="K275" s="145" t="inlineStr">
        <is>
          <t>None</t>
        </is>
      </c>
      <c r="L275" s="145" t="inlineStr">
        <is>
          <t>#000000</t>
        </is>
      </c>
      <c r="M275" s="145" t="inlineStr">
        <is>
          <t>General</t>
        </is>
      </c>
      <c r="N275" s="145" t="inlineStr">
        <is>
          <t>Center</t>
        </is>
      </c>
      <c r="O275" s="145" t="inlineStr">
        <is>
          <t>No</t>
        </is>
      </c>
      <c r="P275" s="145" t="inlineStr">
        <is>
          <t>General</t>
        </is>
      </c>
      <c r="Q275" s="145" t="inlineStr">
        <is>
          <t>General</t>
        </is>
      </c>
      <c r="R275" s="145" t="n"/>
      <c r="S275" s="145" t="n"/>
      <c r="T275" s="145" t="n"/>
      <c r="U275" s="145" t="n"/>
      <c r="V275" s="145" t="n"/>
      <c r="W275" s="145" t="n"/>
      <c r="X275" s="145" t="inlineStr">
        <is>
          <t>Detailed format sample from top 5 used rows</t>
        </is>
      </c>
    </row>
    <row r="276" ht="23.85" customHeight="1" s="79">
      <c r="A276" s="145" t="inlineStr">
        <is>
          <t>REGULAR_DEPT</t>
        </is>
      </c>
      <c r="B276" s="145" t="inlineStr">
        <is>
          <t>Top-Row Cell Format</t>
        </is>
      </c>
      <c r="C276" s="145" t="inlineStr">
        <is>
          <t>AS5</t>
        </is>
      </c>
      <c r="D276" s="145" t="inlineStr">
        <is>
          <t>REGULAR_DEPT!A1:AS193</t>
        </is>
      </c>
      <c r="E276" s="145" t="inlineStr">
        <is>
          <t>Comma</t>
        </is>
      </c>
      <c r="F276" s="145" t="n"/>
      <c r="G276" s="145" t="inlineStr">
        <is>
          <t>Aptos</t>
        </is>
      </c>
      <c r="H276" s="145" t="n">
        <v>8</v>
      </c>
      <c r="I276" s="145" t="inlineStr">
        <is>
          <t>No</t>
        </is>
      </c>
      <c r="J276" s="145" t="inlineStr">
        <is>
          <t>No</t>
        </is>
      </c>
      <c r="K276" s="145" t="inlineStr">
        <is>
          <t>None</t>
        </is>
      </c>
      <c r="L276" s="145" t="inlineStr">
        <is>
          <t>#000000</t>
        </is>
      </c>
      <c r="M276" s="145" t="inlineStr">
        <is>
          <t>General</t>
        </is>
      </c>
      <c r="N276" s="145" t="inlineStr">
        <is>
          <t>Center</t>
        </is>
      </c>
      <c r="O276" s="145" t="inlineStr">
        <is>
          <t>No</t>
        </is>
      </c>
      <c r="P276" s="145" t="inlineStr">
        <is>
          <t xml:space="preserve">_ * #,##0_ ;_ * -#,##0_ ;_ * "-"??_ ;_ @_ </t>
        </is>
      </c>
      <c r="Q276" s="145" t="inlineStr">
        <is>
          <t>Text</t>
        </is>
      </c>
      <c r="R276" s="145" t="n"/>
      <c r="S276" s="145" t="n"/>
      <c r="T276" s="145" t="n"/>
      <c r="U276" s="145" t="n"/>
      <c r="V276" s="145" t="n"/>
      <c r="W276" s="145" t="n"/>
      <c r="X276" s="145" t="inlineStr">
        <is>
          <t>Detailed format sample from top 5 used rows</t>
        </is>
      </c>
    </row>
    <row r="277" ht="23.85" customHeight="1" s="79">
      <c r="A277" s="145" t="inlineStr">
        <is>
          <t>REGULAR_DEPT</t>
        </is>
      </c>
      <c r="B277" s="145" t="inlineStr">
        <is>
          <t>Row Dimensions</t>
        </is>
      </c>
      <c r="C277" s="147" t="n">
        <v>0.04305555555555556</v>
      </c>
      <c r="D277" s="145" t="inlineStr">
        <is>
          <t>REGULAR_DEPT!A1:AS193</t>
        </is>
      </c>
      <c r="E277" s="145" t="n"/>
      <c r="F277" s="145" t="n"/>
      <c r="G277" s="145" t="n"/>
      <c r="H277" s="145" t="n"/>
      <c r="I277" s="145" t="n"/>
      <c r="J277" s="145" t="n"/>
      <c r="K277" s="145" t="n"/>
      <c r="L277" s="145" t="n"/>
      <c r="M277" s="145" t="n"/>
      <c r="N277" s="145" t="n"/>
      <c r="O277" s="145" t="n"/>
      <c r="P277" s="145" t="n"/>
      <c r="Q277" s="145" t="n"/>
      <c r="R277" s="145" t="n"/>
      <c r="S277" s="145" t="n"/>
      <c r="T277" s="145" t="n">
        <v>10.75</v>
      </c>
      <c r="U277" s="145" t="inlineStr">
        <is>
          <t>No</t>
        </is>
      </c>
      <c r="V277" s="145" t="inlineStr">
        <is>
          <t>Visible</t>
        </is>
      </c>
      <c r="W277" s="145" t="n"/>
      <c r="X277" s="145" t="inlineStr">
        <is>
          <t>Contiguous rows share height/hidden status</t>
        </is>
      </c>
    </row>
    <row r="278" ht="23.85" customHeight="1" s="79">
      <c r="A278" s="145" t="inlineStr">
        <is>
          <t>REGULAR_DEPT</t>
        </is>
      </c>
      <c r="B278" s="145" t="inlineStr">
        <is>
          <t>Row Dimensions</t>
        </is>
      </c>
      <c r="C278" s="147" t="n">
        <v>0.1270833333333333</v>
      </c>
      <c r="D278" s="145" t="inlineStr">
        <is>
          <t>REGULAR_DEPT!A1:AS193</t>
        </is>
      </c>
      <c r="E278" s="145" t="n"/>
      <c r="F278" s="145" t="n"/>
      <c r="G278" s="145" t="n"/>
      <c r="H278" s="145" t="n"/>
      <c r="I278" s="145" t="n"/>
      <c r="J278" s="145" t="n"/>
      <c r="K278" s="145" t="n"/>
      <c r="L278" s="145" t="n"/>
      <c r="M278" s="145" t="n"/>
      <c r="N278" s="145" t="n"/>
      <c r="O278" s="145" t="n"/>
      <c r="P278" s="145" t="n"/>
      <c r="Q278" s="145" t="n"/>
      <c r="R278" s="145" t="n"/>
      <c r="S278" s="145" t="n"/>
      <c r="T278" s="145" t="n">
        <v>25</v>
      </c>
      <c r="U278" s="145" t="inlineStr">
        <is>
          <t>No</t>
        </is>
      </c>
      <c r="V278" s="145" t="inlineStr">
        <is>
          <t>Visible</t>
        </is>
      </c>
      <c r="W278" s="145" t="n"/>
      <c r="X278" s="145" t="inlineStr">
        <is>
          <t>Single row</t>
        </is>
      </c>
    </row>
    <row r="279" ht="23.85" customHeight="1" s="79">
      <c r="A279" s="145" t="inlineStr">
        <is>
          <t>REGULAR_DEPT</t>
        </is>
      </c>
      <c r="B279" s="145" t="inlineStr">
        <is>
          <t>Row Dimensions</t>
        </is>
      </c>
      <c r="C279" s="147" t="n">
        <v>0.1694444444444445</v>
      </c>
      <c r="D279" s="145" t="inlineStr">
        <is>
          <t>REGULAR_DEPT!A1:AS193</t>
        </is>
      </c>
      <c r="E279" s="145" t="n"/>
      <c r="F279" s="145" t="n"/>
      <c r="G279" s="145" t="n"/>
      <c r="H279" s="145" t="n"/>
      <c r="I279" s="145" t="n"/>
      <c r="J279" s="145" t="n"/>
      <c r="K279" s="145" t="n"/>
      <c r="L279" s="145" t="n"/>
      <c r="M279" s="145" t="n"/>
      <c r="N279" s="145" t="n"/>
      <c r="O279" s="145" t="n"/>
      <c r="P279" s="145" t="n"/>
      <c r="Q279" s="145" t="n"/>
      <c r="R279" s="145" t="n"/>
      <c r="S279" s="145" t="n"/>
      <c r="T279" s="145" t="n">
        <v>11.25</v>
      </c>
      <c r="U279" s="145" t="inlineStr">
        <is>
          <t>No</t>
        </is>
      </c>
      <c r="V279" s="145" t="inlineStr">
        <is>
          <t>Visible</t>
        </is>
      </c>
      <c r="W279" s="145" t="n"/>
      <c r="X279" s="145" t="inlineStr">
        <is>
          <t>Single row</t>
        </is>
      </c>
    </row>
    <row r="280" ht="23.85" customHeight="1" s="79">
      <c r="A280" s="145" t="inlineStr">
        <is>
          <t>REGULAR_DEPT</t>
        </is>
      </c>
      <c r="B280" s="145" t="inlineStr">
        <is>
          <t>Row Dimensions</t>
        </is>
      </c>
      <c r="C280" s="145" t="n">
        <v>0.342361111111111</v>
      </c>
      <c r="D280" s="145" t="inlineStr">
        <is>
          <t>REGULAR_DEPT!A1:AS193</t>
        </is>
      </c>
      <c r="E280" s="145" t="n"/>
      <c r="F280" s="145" t="n"/>
      <c r="G280" s="145" t="n"/>
      <c r="H280" s="145" t="n"/>
      <c r="I280" s="145" t="n"/>
      <c r="J280" s="145" t="n"/>
      <c r="K280" s="145" t="n"/>
      <c r="L280" s="145" t="n"/>
      <c r="M280" s="145" t="n"/>
      <c r="N280" s="145" t="n"/>
      <c r="O280" s="145" t="n"/>
      <c r="P280" s="145" t="n"/>
      <c r="Q280" s="145" t="n"/>
      <c r="R280" s="145" t="n"/>
      <c r="S280" s="145" t="n"/>
      <c r="T280" s="145" t="n">
        <v>10.75</v>
      </c>
      <c r="U280" s="145" t="inlineStr">
        <is>
          <t>No</t>
        </is>
      </c>
      <c r="V280" s="145" t="inlineStr">
        <is>
          <t>Visible</t>
        </is>
      </c>
      <c r="W280" s="145" t="n"/>
      <c r="X280" s="145" t="inlineStr">
        <is>
          <t>Contiguous rows share height/hidden status</t>
        </is>
      </c>
    </row>
    <row r="281" ht="23.85" customHeight="1" s="79">
      <c r="A281" s="145" t="inlineStr">
        <is>
          <t>REGULAR_ART</t>
        </is>
      </c>
      <c r="B281" s="145" t="inlineStr">
        <is>
          <t>Sheet Summary</t>
        </is>
      </c>
      <c r="C281" s="145" t="inlineStr">
        <is>
          <t>REGULAR_ART</t>
        </is>
      </c>
      <c r="D281" s="145" t="inlineStr">
        <is>
          <t>REGULAR_ART!A1:AT410</t>
        </is>
      </c>
      <c r="E281" s="145" t="n"/>
      <c r="F281" s="145" t="n"/>
      <c r="G281" s="145" t="n"/>
      <c r="H281" s="145" t="n"/>
      <c r="I281" s="145" t="n"/>
      <c r="J281" s="145" t="n"/>
      <c r="K281" s="145" t="n"/>
      <c r="L281" s="145" t="n"/>
      <c r="M281" s="145" t="n"/>
      <c r="N281" s="145" t="n"/>
      <c r="O281" s="145" t="n"/>
      <c r="P281" s="145" t="n"/>
      <c r="Q281" s="145" t="n"/>
      <c r="R281" s="145" t="n"/>
      <c r="S281" s="145" t="n"/>
      <c r="T281" s="145" t="n"/>
      <c r="U281" s="145" t="inlineStr">
        <is>
          <t>No</t>
        </is>
      </c>
      <c r="V281" s="145" t="inlineStr">
        <is>
          <t>Visible</t>
        </is>
      </c>
      <c r="W281" s="145" t="inlineStr">
        <is>
          <t>No worksheet AutoFilter</t>
        </is>
      </c>
      <c r="X281" s="145" t="inlineStr">
        <is>
          <t>Used rows: 410; used columns: 46</t>
        </is>
      </c>
    </row>
    <row r="282" ht="57.45" customHeight="1" s="79">
      <c r="A282" s="145" t="inlineStr">
        <is>
          <t>REGULAR_ART</t>
        </is>
      </c>
      <c r="B282" s="145" t="inlineStr">
        <is>
          <t>Column Format</t>
        </is>
      </c>
      <c r="C282" s="145" t="inlineStr">
        <is>
          <t>A:A</t>
        </is>
      </c>
      <c r="D282" s="145" t="inlineStr">
        <is>
          <t>REGULAR_ART!A1:AT410</t>
        </is>
      </c>
      <c r="E282" s="145" t="inlineStr">
        <is>
          <t>Mixed</t>
        </is>
      </c>
      <c r="F282" s="145" t="inlineStr">
        <is>
          <t>Mixed</t>
        </is>
      </c>
      <c r="G282" s="145" t="inlineStr">
        <is>
          <t>Aptos</t>
        </is>
      </c>
      <c r="H282" s="145" t="n">
        <v>8</v>
      </c>
      <c r="I282" s="145" t="inlineStr">
        <is>
          <t>Mixed</t>
        </is>
      </c>
      <c r="J282" s="145" t="inlineStr">
        <is>
          <t>No</t>
        </is>
      </c>
      <c r="K282" s="145" t="inlineStr">
        <is>
          <t>None</t>
        </is>
      </c>
      <c r="L282" s="145" t="inlineStr">
        <is>
          <t>#000000</t>
        </is>
      </c>
      <c r="M282" s="145" t="inlineStr">
        <is>
          <t>Mixed</t>
        </is>
      </c>
      <c r="N282" s="145" t="inlineStr">
        <is>
          <t>Center</t>
        </is>
      </c>
      <c r="O282" s="145" t="inlineStr">
        <is>
          <t>Mixed</t>
        </is>
      </c>
      <c r="P282" s="145" t="n"/>
      <c r="Q282" s="145" t="n"/>
      <c r="R282" s="145" t="inlineStr">
        <is>
          <t>EdgeTop:Continuous/Thin/#000000; EdgeBottom:Continuous/Thin/#000000; EdgeLeft:Continuous/Thin/#000000; EdgeRight:Continuous/Thin/#000000; InsideHorizontal:Continuous/Thin/#000000</t>
        </is>
      </c>
      <c r="S282" s="145" t="n">
        <v>0</v>
      </c>
      <c r="T282" s="145" t="n"/>
      <c r="U282" s="145" t="inlineStr">
        <is>
          <t>Yes</t>
        </is>
      </c>
      <c r="V282" s="145" t="inlineStr">
        <is>
          <t>Hidden column (possible outline/group)</t>
        </is>
      </c>
      <c r="W282" s="145" t="n"/>
      <c r="X282" s="145" t="inlineStr">
        <is>
          <t>Mixed styles within used column</t>
        </is>
      </c>
    </row>
    <row r="283" ht="23.85" customHeight="1" s="79">
      <c r="A283" s="145" t="inlineStr">
        <is>
          <t>REGULAR_ART</t>
        </is>
      </c>
      <c r="B283" s="145" t="inlineStr">
        <is>
          <t>Top-Row Cell Format</t>
        </is>
      </c>
      <c r="C283" s="145" t="inlineStr">
        <is>
          <t>A1</t>
        </is>
      </c>
      <c r="D283" s="145" t="inlineStr">
        <is>
          <t>REGULAR_ART!A1:AT410</t>
        </is>
      </c>
      <c r="E283" s="145" t="inlineStr">
        <is>
          <t>Normal</t>
        </is>
      </c>
      <c r="F283" s="145" t="inlineStr">
        <is>
          <t>#C9C9C9</t>
        </is>
      </c>
      <c r="G283" s="145" t="inlineStr">
        <is>
          <t>Aptos</t>
        </is>
      </c>
      <c r="H283" s="145" t="n">
        <v>8</v>
      </c>
      <c r="I283" s="145" t="inlineStr">
        <is>
          <t>Yes</t>
        </is>
      </c>
      <c r="J283" s="145" t="inlineStr">
        <is>
          <t>No</t>
        </is>
      </c>
      <c r="K283" s="145" t="inlineStr">
        <is>
          <t>None</t>
        </is>
      </c>
      <c r="L283" s="145" t="inlineStr">
        <is>
          <t>#000000</t>
        </is>
      </c>
      <c r="M283" s="145" t="inlineStr">
        <is>
          <t>Center</t>
        </is>
      </c>
      <c r="N283" s="145" t="inlineStr">
        <is>
          <t>Center</t>
        </is>
      </c>
      <c r="O283" s="145" t="inlineStr">
        <is>
          <t>No</t>
        </is>
      </c>
      <c r="P283" s="145" t="inlineStr">
        <is>
          <t>General</t>
        </is>
      </c>
      <c r="Q283" s="145" t="inlineStr">
        <is>
          <t>General</t>
        </is>
      </c>
      <c r="R283" s="145" t="n"/>
      <c r="S283" s="145" t="n"/>
      <c r="T283" s="145" t="n"/>
      <c r="U283" s="145" t="n"/>
      <c r="V283" s="145" t="n"/>
      <c r="W283" s="145" t="n"/>
      <c r="X283" s="145" t="inlineStr">
        <is>
          <t>Detailed format sample from top 5 used rows</t>
        </is>
      </c>
    </row>
    <row r="284" ht="23.85" customHeight="1" s="79">
      <c r="A284" s="145" t="inlineStr">
        <is>
          <t>REGULAR_ART</t>
        </is>
      </c>
      <c r="B284" s="145" t="inlineStr">
        <is>
          <t>Top-Row Cell Format</t>
        </is>
      </c>
      <c r="C284" s="145" t="inlineStr">
        <is>
          <t>A2</t>
        </is>
      </c>
      <c r="D284" s="145" t="inlineStr">
        <is>
          <t>REGULAR_ART!A1:AT410</t>
        </is>
      </c>
      <c r="E284" s="145" t="inlineStr">
        <is>
          <t>Comma</t>
        </is>
      </c>
      <c r="F284" s="145" t="inlineStr">
        <is>
          <t>#B4C6E7</t>
        </is>
      </c>
      <c r="G284" s="145" t="inlineStr">
        <is>
          <t>Aptos</t>
        </is>
      </c>
      <c r="H284" s="145" t="n">
        <v>8</v>
      </c>
      <c r="I284" s="145" t="inlineStr">
        <is>
          <t>Yes</t>
        </is>
      </c>
      <c r="J284" s="145" t="inlineStr">
        <is>
          <t>No</t>
        </is>
      </c>
      <c r="K284" s="145" t="inlineStr">
        <is>
          <t>None</t>
        </is>
      </c>
      <c r="L284" s="145" t="inlineStr">
        <is>
          <t>#000000</t>
        </is>
      </c>
      <c r="M284" s="145" t="inlineStr">
        <is>
          <t>General</t>
        </is>
      </c>
      <c r="N284" s="145" t="inlineStr">
        <is>
          <t>Center</t>
        </is>
      </c>
      <c r="O284" s="145" t="inlineStr">
        <is>
          <t>No</t>
        </is>
      </c>
      <c r="P284" s="145" t="inlineStr">
        <is>
          <t xml:space="preserve">_ * #,##0_ ;_ * -#,##0_ ;_ * "-"??_ ;_ @_ </t>
        </is>
      </c>
      <c r="Q284" s="145" t="inlineStr">
        <is>
          <t>Text</t>
        </is>
      </c>
      <c r="R284" s="145" t="n"/>
      <c r="S284" s="145" t="n"/>
      <c r="T284" s="145" t="n"/>
      <c r="U284" s="145" t="n"/>
      <c r="V284" s="145" t="n"/>
      <c r="W284" s="145" t="n"/>
      <c r="X284" s="145" t="inlineStr">
        <is>
          <t>Detailed format sample from top 5 used rows</t>
        </is>
      </c>
    </row>
    <row r="285" ht="23.85" customHeight="1" s="79">
      <c r="A285" s="145" t="inlineStr">
        <is>
          <t>REGULAR_ART</t>
        </is>
      </c>
      <c r="B285" s="145" t="inlineStr">
        <is>
          <t>Top-Row Cell Format</t>
        </is>
      </c>
      <c r="C285" s="145" t="inlineStr">
        <is>
          <t>A3</t>
        </is>
      </c>
      <c r="D285" s="145" t="inlineStr">
        <is>
          <t>REGULAR_ART!A1:AT410</t>
        </is>
      </c>
      <c r="E285" s="145" t="inlineStr">
        <is>
          <t>Normal</t>
        </is>
      </c>
      <c r="F285" s="145" t="inlineStr">
        <is>
          <t>#FFD966</t>
        </is>
      </c>
      <c r="G285" s="145" t="inlineStr">
        <is>
          <t>Aptos</t>
        </is>
      </c>
      <c r="H285" s="145" t="n">
        <v>8</v>
      </c>
      <c r="I285" s="145" t="inlineStr">
        <is>
          <t>Yes</t>
        </is>
      </c>
      <c r="J285" s="145" t="inlineStr">
        <is>
          <t>No</t>
        </is>
      </c>
      <c r="K285" s="145" t="inlineStr">
        <is>
          <t>None</t>
        </is>
      </c>
      <c r="L285" s="145" t="inlineStr">
        <is>
          <t>#000000</t>
        </is>
      </c>
      <c r="M285" s="145" t="inlineStr">
        <is>
          <t>Center</t>
        </is>
      </c>
      <c r="N285" s="145" t="inlineStr">
        <is>
          <t>Center</t>
        </is>
      </c>
      <c r="O285" s="145" t="inlineStr">
        <is>
          <t>Yes</t>
        </is>
      </c>
      <c r="P285" s="145" t="inlineStr">
        <is>
          <t>General</t>
        </is>
      </c>
      <c r="Q285" s="145" t="inlineStr">
        <is>
          <t>General</t>
        </is>
      </c>
      <c r="R285" s="145" t="n"/>
      <c r="S285" s="145" t="n"/>
      <c r="T285" s="145" t="n"/>
      <c r="U285" s="145" t="n"/>
      <c r="V285" s="145" t="n"/>
      <c r="W285" s="145" t="n"/>
      <c r="X285" s="145" t="inlineStr">
        <is>
          <t>Detailed format sample from top 5 used rows</t>
        </is>
      </c>
    </row>
    <row r="286" ht="23.85" customHeight="1" s="79">
      <c r="A286" s="145" t="inlineStr">
        <is>
          <t>REGULAR_ART</t>
        </is>
      </c>
      <c r="B286" s="145" t="inlineStr">
        <is>
          <t>Top-Row Cell Format</t>
        </is>
      </c>
      <c r="C286" s="145" t="inlineStr">
        <is>
          <t>A4</t>
        </is>
      </c>
      <c r="D286" s="145" t="inlineStr">
        <is>
          <t>REGULAR_ART!A1:AT410</t>
        </is>
      </c>
      <c r="E286" s="145" t="inlineStr">
        <is>
          <t>Normal</t>
        </is>
      </c>
      <c r="F286" s="145" t="inlineStr">
        <is>
          <t>#FFD966</t>
        </is>
      </c>
      <c r="G286" s="145" t="inlineStr">
        <is>
          <t>Aptos</t>
        </is>
      </c>
      <c r="H286" s="145" t="n">
        <v>8</v>
      </c>
      <c r="I286" s="145" t="inlineStr">
        <is>
          <t>No</t>
        </is>
      </c>
      <c r="J286" s="145" t="inlineStr">
        <is>
          <t>No</t>
        </is>
      </c>
      <c r="K286" s="145" t="inlineStr">
        <is>
          <t>None</t>
        </is>
      </c>
      <c r="L286" s="145" t="inlineStr">
        <is>
          <t>#000000</t>
        </is>
      </c>
      <c r="M286" s="145" t="inlineStr">
        <is>
          <t>General</t>
        </is>
      </c>
      <c r="N286" s="145" t="inlineStr">
        <is>
          <t>Center</t>
        </is>
      </c>
      <c r="O286" s="145" t="inlineStr">
        <is>
          <t>No</t>
        </is>
      </c>
      <c r="P286" s="145" t="inlineStr">
        <is>
          <t>General</t>
        </is>
      </c>
      <c r="Q286" s="145" t="inlineStr">
        <is>
          <t>General</t>
        </is>
      </c>
      <c r="R286" s="145" t="n"/>
      <c r="S286" s="145" t="n"/>
      <c r="T286" s="145" t="n"/>
      <c r="U286" s="145" t="n"/>
      <c r="V286" s="145" t="n"/>
      <c r="W286" s="145" t="n"/>
      <c r="X286" s="145" t="inlineStr">
        <is>
          <t>Detailed format sample from top 5 used rows</t>
        </is>
      </c>
    </row>
    <row r="287" ht="23.85" customHeight="1" s="79">
      <c r="A287" s="145" t="inlineStr">
        <is>
          <t>REGULAR_ART</t>
        </is>
      </c>
      <c r="B287" s="145" t="inlineStr">
        <is>
          <t>Top-Row Cell Format</t>
        </is>
      </c>
      <c r="C287" s="145" t="inlineStr">
        <is>
          <t>A5</t>
        </is>
      </c>
      <c r="D287" s="145" t="inlineStr">
        <is>
          <t>REGULAR_ART!A1:AT410</t>
        </is>
      </c>
      <c r="E287" s="145" t="inlineStr">
        <is>
          <t>Comma</t>
        </is>
      </c>
      <c r="F287" s="145" t="n"/>
      <c r="G287" s="145" t="inlineStr">
        <is>
          <t>Aptos</t>
        </is>
      </c>
      <c r="H287" s="145" t="n">
        <v>8</v>
      </c>
      <c r="I287" s="145" t="inlineStr">
        <is>
          <t>No</t>
        </is>
      </c>
      <c r="J287" s="145" t="inlineStr">
        <is>
          <t>No</t>
        </is>
      </c>
      <c r="K287" s="145" t="inlineStr">
        <is>
          <t>None</t>
        </is>
      </c>
      <c r="L287" s="145" t="inlineStr">
        <is>
          <t>#000000</t>
        </is>
      </c>
      <c r="M287" s="145" t="inlineStr">
        <is>
          <t>General</t>
        </is>
      </c>
      <c r="N287" s="145" t="inlineStr">
        <is>
          <t>Center</t>
        </is>
      </c>
      <c r="O287" s="145" t="inlineStr">
        <is>
          <t>No</t>
        </is>
      </c>
      <c r="P287" s="145" t="inlineStr">
        <is>
          <t xml:space="preserve">_ * #,##0_ ;_ * -#,##0_ ;_ * "-"??_ ;_ @_ </t>
        </is>
      </c>
      <c r="Q287" s="145" t="inlineStr">
        <is>
          <t>Text</t>
        </is>
      </c>
      <c r="R287" s="145" t="n"/>
      <c r="S287" s="145" t="n"/>
      <c r="T287" s="145" t="n"/>
      <c r="U287" s="145" t="n"/>
      <c r="V287" s="145" t="n"/>
      <c r="W287" s="145" t="n"/>
      <c r="X287" s="145" t="inlineStr">
        <is>
          <t>Detailed format sample from top 5 used rows</t>
        </is>
      </c>
    </row>
    <row r="288" ht="57.45" customHeight="1" s="79">
      <c r="A288" s="145" t="inlineStr">
        <is>
          <t>REGULAR_ART</t>
        </is>
      </c>
      <c r="B288" s="145" t="inlineStr">
        <is>
          <t>Column Format</t>
        </is>
      </c>
      <c r="C288" s="145" t="inlineStr">
        <is>
          <t>B:B</t>
        </is>
      </c>
      <c r="D288" s="145" t="inlineStr">
        <is>
          <t>REGULAR_ART!A1:AT410</t>
        </is>
      </c>
      <c r="E288" s="145" t="inlineStr">
        <is>
          <t>Mixed</t>
        </is>
      </c>
      <c r="F288" s="145" t="inlineStr">
        <is>
          <t>Mixed</t>
        </is>
      </c>
      <c r="G288" s="145" t="inlineStr">
        <is>
          <t>Aptos</t>
        </is>
      </c>
      <c r="H288" s="145" t="n">
        <v>8</v>
      </c>
      <c r="I288" s="145" t="inlineStr">
        <is>
          <t>Mixed</t>
        </is>
      </c>
      <c r="J288" s="145" t="inlineStr">
        <is>
          <t>No</t>
        </is>
      </c>
      <c r="K288" s="145" t="inlineStr">
        <is>
          <t>None</t>
        </is>
      </c>
      <c r="L288" s="145" t="inlineStr">
        <is>
          <t>#000000</t>
        </is>
      </c>
      <c r="M288" s="145" t="inlineStr">
        <is>
          <t>Mixed</t>
        </is>
      </c>
      <c r="N288" s="145" t="inlineStr">
        <is>
          <t>Center</t>
        </is>
      </c>
      <c r="O288" s="145" t="inlineStr">
        <is>
          <t>Mixed</t>
        </is>
      </c>
      <c r="P288" s="145" t="n"/>
      <c r="Q288" s="145" t="n"/>
      <c r="R288" s="145" t="inlineStr">
        <is>
          <t>EdgeTop:Continuous/Thin/#000000; EdgeBottom:Continuous/Thin/#000000; EdgeLeft:Continuous/Thin/#000000; EdgeRight:Continuous/Thin/#000000; InsideHorizontal:Continuous/Thin/#000000</t>
        </is>
      </c>
      <c r="S288" s="145" t="n">
        <v>0</v>
      </c>
      <c r="T288" s="145" t="n"/>
      <c r="U288" s="145" t="inlineStr">
        <is>
          <t>Yes</t>
        </is>
      </c>
      <c r="V288" s="145" t="inlineStr">
        <is>
          <t>Hidden column (possible outline/group)</t>
        </is>
      </c>
      <c r="W288" s="145" t="n"/>
      <c r="X288" s="145" t="inlineStr">
        <is>
          <t>Mixed styles within used column</t>
        </is>
      </c>
    </row>
    <row r="289" ht="23.85" customHeight="1" s="79">
      <c r="A289" s="145" t="inlineStr">
        <is>
          <t>REGULAR_ART</t>
        </is>
      </c>
      <c r="B289" s="145" t="inlineStr">
        <is>
          <t>Top-Row Cell Format</t>
        </is>
      </c>
      <c r="C289" s="145" t="inlineStr">
        <is>
          <t>B1</t>
        </is>
      </c>
      <c r="D289" s="145" t="inlineStr">
        <is>
          <t>REGULAR_ART!A1:AT410</t>
        </is>
      </c>
      <c r="E289" s="145" t="inlineStr">
        <is>
          <t>Normal</t>
        </is>
      </c>
      <c r="F289" s="145" t="inlineStr">
        <is>
          <t>#C9C9C9</t>
        </is>
      </c>
      <c r="G289" s="145" t="inlineStr">
        <is>
          <t>Aptos</t>
        </is>
      </c>
      <c r="H289" s="145" t="n">
        <v>8</v>
      </c>
      <c r="I289" s="145" t="inlineStr">
        <is>
          <t>Yes</t>
        </is>
      </c>
      <c r="J289" s="145" t="inlineStr">
        <is>
          <t>No</t>
        </is>
      </c>
      <c r="K289" s="145" t="inlineStr">
        <is>
          <t>None</t>
        </is>
      </c>
      <c r="L289" s="145" t="inlineStr">
        <is>
          <t>#000000</t>
        </is>
      </c>
      <c r="M289" s="145" t="inlineStr">
        <is>
          <t>Center</t>
        </is>
      </c>
      <c r="N289" s="145" t="inlineStr">
        <is>
          <t>Center</t>
        </is>
      </c>
      <c r="O289" s="145" t="inlineStr">
        <is>
          <t>No</t>
        </is>
      </c>
      <c r="P289" s="145" t="inlineStr">
        <is>
          <t>General</t>
        </is>
      </c>
      <c r="Q289" s="145" t="inlineStr">
        <is>
          <t>General</t>
        </is>
      </c>
      <c r="R289" s="145" t="n"/>
      <c r="S289" s="145" t="n"/>
      <c r="T289" s="145" t="n"/>
      <c r="U289" s="145" t="n"/>
      <c r="V289" s="145" t="n"/>
      <c r="W289" s="145" t="n"/>
      <c r="X289" s="145" t="inlineStr">
        <is>
          <t>Detailed format sample from top 5 used rows</t>
        </is>
      </c>
    </row>
    <row r="290" ht="23.85" customHeight="1" s="79">
      <c r="A290" s="145" t="inlineStr">
        <is>
          <t>REGULAR_ART</t>
        </is>
      </c>
      <c r="B290" s="145" t="inlineStr">
        <is>
          <t>Top-Row Cell Format</t>
        </is>
      </c>
      <c r="C290" s="145" t="inlineStr">
        <is>
          <t>B2</t>
        </is>
      </c>
      <c r="D290" s="145" t="inlineStr">
        <is>
          <t>REGULAR_ART!A1:AT410</t>
        </is>
      </c>
      <c r="E290" s="145" t="inlineStr">
        <is>
          <t>Comma</t>
        </is>
      </c>
      <c r="F290" s="145" t="inlineStr">
        <is>
          <t>#B4C6E7</t>
        </is>
      </c>
      <c r="G290" s="145" t="inlineStr">
        <is>
          <t>Aptos</t>
        </is>
      </c>
      <c r="H290" s="145" t="n">
        <v>8</v>
      </c>
      <c r="I290" s="145" t="inlineStr">
        <is>
          <t>Yes</t>
        </is>
      </c>
      <c r="J290" s="145" t="inlineStr">
        <is>
          <t>No</t>
        </is>
      </c>
      <c r="K290" s="145" t="inlineStr">
        <is>
          <t>None</t>
        </is>
      </c>
      <c r="L290" s="145" t="inlineStr">
        <is>
          <t>#000000</t>
        </is>
      </c>
      <c r="M290" s="145" t="inlineStr">
        <is>
          <t>General</t>
        </is>
      </c>
      <c r="N290" s="145" t="inlineStr">
        <is>
          <t>Center</t>
        </is>
      </c>
      <c r="O290" s="145" t="inlineStr">
        <is>
          <t>No</t>
        </is>
      </c>
      <c r="P290" s="145" t="inlineStr">
        <is>
          <t xml:space="preserve">_ * #,##0_ ;_ * -#,##0_ ;_ * "-"??_ ;_ @_ </t>
        </is>
      </c>
      <c r="Q290" s="145" t="inlineStr">
        <is>
          <t>Text</t>
        </is>
      </c>
      <c r="R290" s="145" t="n"/>
      <c r="S290" s="145" t="n"/>
      <c r="T290" s="145" t="n"/>
      <c r="U290" s="145" t="n"/>
      <c r="V290" s="145" t="n"/>
      <c r="W290" s="145" t="n"/>
      <c r="X290" s="145" t="inlineStr">
        <is>
          <t>Detailed format sample from top 5 used rows</t>
        </is>
      </c>
    </row>
    <row r="291" ht="23.85" customHeight="1" s="79">
      <c r="A291" s="145" t="inlineStr">
        <is>
          <t>REGULAR_ART</t>
        </is>
      </c>
      <c r="B291" s="145" t="inlineStr">
        <is>
          <t>Top-Row Cell Format</t>
        </is>
      </c>
      <c r="C291" s="145" t="inlineStr">
        <is>
          <t>B3</t>
        </is>
      </c>
      <c r="D291" s="145" t="inlineStr">
        <is>
          <t>REGULAR_ART!A1:AT410</t>
        </is>
      </c>
      <c r="E291" s="145" t="inlineStr">
        <is>
          <t>Normal</t>
        </is>
      </c>
      <c r="F291" s="145" t="inlineStr">
        <is>
          <t>#FFD966</t>
        </is>
      </c>
      <c r="G291" s="145" t="inlineStr">
        <is>
          <t>Aptos</t>
        </is>
      </c>
      <c r="H291" s="145" t="n">
        <v>8</v>
      </c>
      <c r="I291" s="145" t="inlineStr">
        <is>
          <t>Yes</t>
        </is>
      </c>
      <c r="J291" s="145" t="inlineStr">
        <is>
          <t>No</t>
        </is>
      </c>
      <c r="K291" s="145" t="inlineStr">
        <is>
          <t>None</t>
        </is>
      </c>
      <c r="L291" s="145" t="inlineStr">
        <is>
          <t>#000000</t>
        </is>
      </c>
      <c r="M291" s="145" t="inlineStr">
        <is>
          <t>Center</t>
        </is>
      </c>
      <c r="N291" s="145" t="inlineStr">
        <is>
          <t>Center</t>
        </is>
      </c>
      <c r="O291" s="145" t="inlineStr">
        <is>
          <t>Yes</t>
        </is>
      </c>
      <c r="P291" s="145" t="inlineStr">
        <is>
          <t>General</t>
        </is>
      </c>
      <c r="Q291" s="145" t="inlineStr">
        <is>
          <t>General</t>
        </is>
      </c>
      <c r="R291" s="145" t="n"/>
      <c r="S291" s="145" t="n"/>
      <c r="T291" s="145" t="n"/>
      <c r="U291" s="145" t="n"/>
      <c r="V291" s="145" t="n"/>
      <c r="W291" s="145" t="n"/>
      <c r="X291" s="145" t="inlineStr">
        <is>
          <t>Detailed format sample from top 5 used rows</t>
        </is>
      </c>
    </row>
    <row r="292" ht="23.85" customHeight="1" s="79">
      <c r="A292" s="145" t="inlineStr">
        <is>
          <t>REGULAR_ART</t>
        </is>
      </c>
      <c r="B292" s="145" t="inlineStr">
        <is>
          <t>Top-Row Cell Format</t>
        </is>
      </c>
      <c r="C292" s="145" t="inlineStr">
        <is>
          <t>B4</t>
        </is>
      </c>
      <c r="D292" s="145" t="inlineStr">
        <is>
          <t>REGULAR_ART!A1:AT410</t>
        </is>
      </c>
      <c r="E292" s="145" t="inlineStr">
        <is>
          <t>Normal</t>
        </is>
      </c>
      <c r="F292" s="145" t="inlineStr">
        <is>
          <t>#FFD966</t>
        </is>
      </c>
      <c r="G292" s="145" t="inlineStr">
        <is>
          <t>Aptos</t>
        </is>
      </c>
      <c r="H292" s="145" t="n">
        <v>8</v>
      </c>
      <c r="I292" s="145" t="inlineStr">
        <is>
          <t>No</t>
        </is>
      </c>
      <c r="J292" s="145" t="inlineStr">
        <is>
          <t>No</t>
        </is>
      </c>
      <c r="K292" s="145" t="inlineStr">
        <is>
          <t>None</t>
        </is>
      </c>
      <c r="L292" s="145" t="inlineStr">
        <is>
          <t>#000000</t>
        </is>
      </c>
      <c r="M292" s="145" t="inlineStr">
        <is>
          <t>General</t>
        </is>
      </c>
      <c r="N292" s="145" t="inlineStr">
        <is>
          <t>Center</t>
        </is>
      </c>
      <c r="O292" s="145" t="inlineStr">
        <is>
          <t>No</t>
        </is>
      </c>
      <c r="P292" s="145" t="inlineStr">
        <is>
          <t>General</t>
        </is>
      </c>
      <c r="Q292" s="145" t="inlineStr">
        <is>
          <t>General</t>
        </is>
      </c>
      <c r="R292" s="145" t="n"/>
      <c r="S292" s="145" t="n"/>
      <c r="T292" s="145" t="n"/>
      <c r="U292" s="145" t="n"/>
      <c r="V292" s="145" t="n"/>
      <c r="W292" s="145" t="n"/>
      <c r="X292" s="145" t="inlineStr">
        <is>
          <t>Detailed format sample from top 5 used rows</t>
        </is>
      </c>
    </row>
    <row r="293" ht="23.85" customHeight="1" s="79">
      <c r="A293" s="145" t="inlineStr">
        <is>
          <t>REGULAR_ART</t>
        </is>
      </c>
      <c r="B293" s="145" t="inlineStr">
        <is>
          <t>Top-Row Cell Format</t>
        </is>
      </c>
      <c r="C293" s="145" t="inlineStr">
        <is>
          <t>B5</t>
        </is>
      </c>
      <c r="D293" s="145" t="inlineStr">
        <is>
          <t>REGULAR_ART!A1:AT410</t>
        </is>
      </c>
      <c r="E293" s="145" t="inlineStr">
        <is>
          <t>Comma</t>
        </is>
      </c>
      <c r="F293" s="145" t="n"/>
      <c r="G293" s="145" t="inlineStr">
        <is>
          <t>Aptos</t>
        </is>
      </c>
      <c r="H293" s="145" t="n">
        <v>8</v>
      </c>
      <c r="I293" s="145" t="inlineStr">
        <is>
          <t>No</t>
        </is>
      </c>
      <c r="J293" s="145" t="inlineStr">
        <is>
          <t>No</t>
        </is>
      </c>
      <c r="K293" s="145" t="inlineStr">
        <is>
          <t>None</t>
        </is>
      </c>
      <c r="L293" s="145" t="inlineStr">
        <is>
          <t>#000000</t>
        </is>
      </c>
      <c r="M293" s="145" t="inlineStr">
        <is>
          <t>General</t>
        </is>
      </c>
      <c r="N293" s="145" t="inlineStr">
        <is>
          <t>Center</t>
        </is>
      </c>
      <c r="O293" s="145" t="inlineStr">
        <is>
          <t>No</t>
        </is>
      </c>
      <c r="P293" s="145" t="inlineStr">
        <is>
          <t xml:space="preserve">_ * #,##0_ ;_ * -#,##0_ ;_ * "-"??_ ;_ @_ </t>
        </is>
      </c>
      <c r="Q293" s="145" t="inlineStr">
        <is>
          <t>Text</t>
        </is>
      </c>
      <c r="R293" s="145" t="n"/>
      <c r="S293" s="145" t="n"/>
      <c r="T293" s="145" t="n"/>
      <c r="U293" s="145" t="n"/>
      <c r="V293" s="145" t="n"/>
      <c r="W293" s="145" t="n"/>
      <c r="X293" s="145" t="inlineStr">
        <is>
          <t>Detailed format sample from top 5 used rows</t>
        </is>
      </c>
    </row>
    <row r="294" ht="57.45" customHeight="1" s="79">
      <c r="A294" s="145" t="inlineStr">
        <is>
          <t>REGULAR_ART</t>
        </is>
      </c>
      <c r="B294" s="145" t="inlineStr">
        <is>
          <t>Column Format</t>
        </is>
      </c>
      <c r="C294" s="145" t="inlineStr">
        <is>
          <t>C:C</t>
        </is>
      </c>
      <c r="D294" s="145" t="inlineStr">
        <is>
          <t>REGULAR_ART!A1:AT410</t>
        </is>
      </c>
      <c r="E294" s="145" t="inlineStr">
        <is>
          <t>Mixed</t>
        </is>
      </c>
      <c r="F294" s="145" t="inlineStr">
        <is>
          <t>Mixed</t>
        </is>
      </c>
      <c r="G294" s="145" t="inlineStr">
        <is>
          <t>Aptos</t>
        </is>
      </c>
      <c r="H294" s="145" t="n">
        <v>8</v>
      </c>
      <c r="I294" s="145" t="inlineStr">
        <is>
          <t>Mixed</t>
        </is>
      </c>
      <c r="J294" s="145" t="inlineStr">
        <is>
          <t>No</t>
        </is>
      </c>
      <c r="K294" s="145" t="inlineStr">
        <is>
          <t>None</t>
        </is>
      </c>
      <c r="L294" s="145" t="inlineStr">
        <is>
          <t>#000000</t>
        </is>
      </c>
      <c r="M294" s="145" t="inlineStr">
        <is>
          <t>Mixed</t>
        </is>
      </c>
      <c r="N294" s="145" t="inlineStr">
        <is>
          <t>Center</t>
        </is>
      </c>
      <c r="O294" s="145" t="inlineStr">
        <is>
          <t>Mixed</t>
        </is>
      </c>
      <c r="P294" s="145" t="n"/>
      <c r="Q294" s="145" t="n"/>
      <c r="R294" s="145" t="inlineStr">
        <is>
          <t>EdgeTop:Continuous/Thin/#000000; EdgeBottom:Continuous/Thin/#000000; EdgeLeft:Continuous/Thin/#000000; EdgeRight:Continuous/Thin/#000000; InsideHorizontal:Continuous/Thin/#000000</t>
        </is>
      </c>
      <c r="S294" s="145" t="n">
        <v>0</v>
      </c>
      <c r="T294" s="145" t="n"/>
      <c r="U294" s="145" t="inlineStr">
        <is>
          <t>Yes</t>
        </is>
      </c>
      <c r="V294" s="145" t="inlineStr">
        <is>
          <t>Hidden column (possible outline/group)</t>
        </is>
      </c>
      <c r="W294" s="145" t="n"/>
      <c r="X294" s="145" t="inlineStr">
        <is>
          <t>Mixed styles within used column</t>
        </is>
      </c>
    </row>
    <row r="295" ht="23.85" customHeight="1" s="79">
      <c r="A295" s="145" t="inlineStr">
        <is>
          <t>REGULAR_ART</t>
        </is>
      </c>
      <c r="B295" s="145" t="inlineStr">
        <is>
          <t>Top-Row Cell Format</t>
        </is>
      </c>
      <c r="C295" s="145" t="inlineStr">
        <is>
          <t>C1</t>
        </is>
      </c>
      <c r="D295" s="145" t="inlineStr">
        <is>
          <t>REGULAR_ART!A1:AT410</t>
        </is>
      </c>
      <c r="E295" s="145" t="inlineStr">
        <is>
          <t>Normal</t>
        </is>
      </c>
      <c r="F295" s="145" t="inlineStr">
        <is>
          <t>#C9C9C9</t>
        </is>
      </c>
      <c r="G295" s="145" t="inlineStr">
        <is>
          <t>Aptos</t>
        </is>
      </c>
      <c r="H295" s="145" t="n">
        <v>8</v>
      </c>
      <c r="I295" s="145" t="inlineStr">
        <is>
          <t>Yes</t>
        </is>
      </c>
      <c r="J295" s="145" t="inlineStr">
        <is>
          <t>No</t>
        </is>
      </c>
      <c r="K295" s="145" t="inlineStr">
        <is>
          <t>None</t>
        </is>
      </c>
      <c r="L295" s="145" t="inlineStr">
        <is>
          <t>#000000</t>
        </is>
      </c>
      <c r="M295" s="145" t="inlineStr">
        <is>
          <t>Center</t>
        </is>
      </c>
      <c r="N295" s="145" t="inlineStr">
        <is>
          <t>Center</t>
        </is>
      </c>
      <c r="O295" s="145" t="inlineStr">
        <is>
          <t>No</t>
        </is>
      </c>
      <c r="P295" s="145" t="inlineStr">
        <is>
          <t>General</t>
        </is>
      </c>
      <c r="Q295" s="145" t="inlineStr">
        <is>
          <t>General</t>
        </is>
      </c>
      <c r="R295" s="145" t="n"/>
      <c r="S295" s="145" t="n"/>
      <c r="T295" s="145" t="n"/>
      <c r="U295" s="145" t="n"/>
      <c r="V295" s="145" t="n"/>
      <c r="W295" s="145" t="n"/>
      <c r="X295" s="145" t="inlineStr">
        <is>
          <t>Detailed format sample from top 5 used rows</t>
        </is>
      </c>
    </row>
    <row r="296" ht="23.85" customHeight="1" s="79">
      <c r="A296" s="145" t="inlineStr">
        <is>
          <t>REGULAR_ART</t>
        </is>
      </c>
      <c r="B296" s="145" t="inlineStr">
        <is>
          <t>Top-Row Cell Format</t>
        </is>
      </c>
      <c r="C296" s="145" t="inlineStr">
        <is>
          <t>C2</t>
        </is>
      </c>
      <c r="D296" s="145" t="inlineStr">
        <is>
          <t>REGULAR_ART!A1:AT410</t>
        </is>
      </c>
      <c r="E296" s="145" t="inlineStr">
        <is>
          <t>Comma</t>
        </is>
      </c>
      <c r="F296" s="145" t="inlineStr">
        <is>
          <t>#B4C6E7</t>
        </is>
      </c>
      <c r="G296" s="145" t="inlineStr">
        <is>
          <t>Aptos</t>
        </is>
      </c>
      <c r="H296" s="145" t="n">
        <v>8</v>
      </c>
      <c r="I296" s="145" t="inlineStr">
        <is>
          <t>Yes</t>
        </is>
      </c>
      <c r="J296" s="145" t="inlineStr">
        <is>
          <t>No</t>
        </is>
      </c>
      <c r="K296" s="145" t="inlineStr">
        <is>
          <t>None</t>
        </is>
      </c>
      <c r="L296" s="145" t="inlineStr">
        <is>
          <t>#000000</t>
        </is>
      </c>
      <c r="M296" s="145" t="inlineStr">
        <is>
          <t>General</t>
        </is>
      </c>
      <c r="N296" s="145" t="inlineStr">
        <is>
          <t>Center</t>
        </is>
      </c>
      <c r="O296" s="145" t="inlineStr">
        <is>
          <t>No</t>
        </is>
      </c>
      <c r="P296" s="145" t="inlineStr">
        <is>
          <t xml:space="preserve">_ * #,##0_ ;_ * -#,##0_ ;_ * "-"??_ ;_ @_ </t>
        </is>
      </c>
      <c r="Q296" s="145" t="inlineStr">
        <is>
          <t>Text</t>
        </is>
      </c>
      <c r="R296" s="145" t="n"/>
      <c r="S296" s="145" t="n"/>
      <c r="T296" s="145" t="n"/>
      <c r="U296" s="145" t="n"/>
      <c r="V296" s="145" t="n"/>
      <c r="W296" s="145" t="n"/>
      <c r="X296" s="145" t="inlineStr">
        <is>
          <t>Detailed format sample from top 5 used rows</t>
        </is>
      </c>
    </row>
    <row r="297" ht="23.85" customHeight="1" s="79">
      <c r="A297" s="145" t="inlineStr">
        <is>
          <t>REGULAR_ART</t>
        </is>
      </c>
      <c r="B297" s="145" t="inlineStr">
        <is>
          <t>Top-Row Cell Format</t>
        </is>
      </c>
      <c r="C297" s="145" t="inlineStr">
        <is>
          <t>C3</t>
        </is>
      </c>
      <c r="D297" s="145" t="inlineStr">
        <is>
          <t>REGULAR_ART!A1:AT410</t>
        </is>
      </c>
      <c r="E297" s="145" t="inlineStr">
        <is>
          <t>Normal</t>
        </is>
      </c>
      <c r="F297" s="145" t="inlineStr">
        <is>
          <t>#FFD966</t>
        </is>
      </c>
      <c r="G297" s="145" t="inlineStr">
        <is>
          <t>Aptos</t>
        </is>
      </c>
      <c r="H297" s="145" t="n">
        <v>8</v>
      </c>
      <c r="I297" s="145" t="inlineStr">
        <is>
          <t>Yes</t>
        </is>
      </c>
      <c r="J297" s="145" t="inlineStr">
        <is>
          <t>No</t>
        </is>
      </c>
      <c r="K297" s="145" t="inlineStr">
        <is>
          <t>None</t>
        </is>
      </c>
      <c r="L297" s="145" t="inlineStr">
        <is>
          <t>#000000</t>
        </is>
      </c>
      <c r="M297" s="145" t="inlineStr">
        <is>
          <t>Center</t>
        </is>
      </c>
      <c r="N297" s="145" t="inlineStr">
        <is>
          <t>Center</t>
        </is>
      </c>
      <c r="O297" s="145" t="inlineStr">
        <is>
          <t>Yes</t>
        </is>
      </c>
      <c r="P297" s="145" t="inlineStr">
        <is>
          <t>General</t>
        </is>
      </c>
      <c r="Q297" s="145" t="inlineStr">
        <is>
          <t>General</t>
        </is>
      </c>
      <c r="R297" s="145" t="n"/>
      <c r="S297" s="145" t="n"/>
      <c r="T297" s="145" t="n"/>
      <c r="U297" s="145" t="n"/>
      <c r="V297" s="145" t="n"/>
      <c r="W297" s="145" t="n"/>
      <c r="X297" s="145" t="inlineStr">
        <is>
          <t>Detailed format sample from top 5 used rows</t>
        </is>
      </c>
    </row>
    <row r="298" ht="23.85" customHeight="1" s="79">
      <c r="A298" s="145" t="inlineStr">
        <is>
          <t>REGULAR_ART</t>
        </is>
      </c>
      <c r="B298" s="145" t="inlineStr">
        <is>
          <t>Top-Row Cell Format</t>
        </is>
      </c>
      <c r="C298" s="145" t="inlineStr">
        <is>
          <t>C4</t>
        </is>
      </c>
      <c r="D298" s="145" t="inlineStr">
        <is>
          <t>REGULAR_ART!A1:AT410</t>
        </is>
      </c>
      <c r="E298" s="145" t="inlineStr">
        <is>
          <t>Normal</t>
        </is>
      </c>
      <c r="F298" s="145" t="inlineStr">
        <is>
          <t>#FFD966</t>
        </is>
      </c>
      <c r="G298" s="145" t="inlineStr">
        <is>
          <t>Aptos</t>
        </is>
      </c>
      <c r="H298" s="145" t="n">
        <v>8</v>
      </c>
      <c r="I298" s="145" t="inlineStr">
        <is>
          <t>No</t>
        </is>
      </c>
      <c r="J298" s="145" t="inlineStr">
        <is>
          <t>No</t>
        </is>
      </c>
      <c r="K298" s="145" t="inlineStr">
        <is>
          <t>None</t>
        </is>
      </c>
      <c r="L298" s="145" t="inlineStr">
        <is>
          <t>#000000</t>
        </is>
      </c>
      <c r="M298" s="145" t="inlineStr">
        <is>
          <t>General</t>
        </is>
      </c>
      <c r="N298" s="145" t="inlineStr">
        <is>
          <t>Center</t>
        </is>
      </c>
      <c r="O298" s="145" t="inlineStr">
        <is>
          <t>No</t>
        </is>
      </c>
      <c r="P298" s="145" t="inlineStr">
        <is>
          <t>General</t>
        </is>
      </c>
      <c r="Q298" s="145" t="inlineStr">
        <is>
          <t>General</t>
        </is>
      </c>
      <c r="R298" s="145" t="n"/>
      <c r="S298" s="145" t="n"/>
      <c r="T298" s="145" t="n"/>
      <c r="U298" s="145" t="n"/>
      <c r="V298" s="145" t="n"/>
      <c r="W298" s="145" t="n"/>
      <c r="X298" s="145" t="inlineStr">
        <is>
          <t>Detailed format sample from top 5 used rows</t>
        </is>
      </c>
    </row>
    <row r="299" ht="23.85" customHeight="1" s="79">
      <c r="A299" s="145" t="inlineStr">
        <is>
          <t>REGULAR_ART</t>
        </is>
      </c>
      <c r="B299" s="145" t="inlineStr">
        <is>
          <t>Top-Row Cell Format</t>
        </is>
      </c>
      <c r="C299" s="145" t="inlineStr">
        <is>
          <t>C5</t>
        </is>
      </c>
      <c r="D299" s="145" t="inlineStr">
        <is>
          <t>REGULAR_ART!A1:AT410</t>
        </is>
      </c>
      <c r="E299" s="145" t="inlineStr">
        <is>
          <t>Comma</t>
        </is>
      </c>
      <c r="F299" s="145" t="n"/>
      <c r="G299" s="145" t="inlineStr">
        <is>
          <t>Aptos</t>
        </is>
      </c>
      <c r="H299" s="145" t="n">
        <v>8</v>
      </c>
      <c r="I299" s="145" t="inlineStr">
        <is>
          <t>No</t>
        </is>
      </c>
      <c r="J299" s="145" t="inlineStr">
        <is>
          <t>No</t>
        </is>
      </c>
      <c r="K299" s="145" t="inlineStr">
        <is>
          <t>None</t>
        </is>
      </c>
      <c r="L299" s="145" t="inlineStr">
        <is>
          <t>#000000</t>
        </is>
      </c>
      <c r="M299" s="145" t="inlineStr">
        <is>
          <t>General</t>
        </is>
      </c>
      <c r="N299" s="145" t="inlineStr">
        <is>
          <t>Center</t>
        </is>
      </c>
      <c r="O299" s="145" t="inlineStr">
        <is>
          <t>No</t>
        </is>
      </c>
      <c r="P299" s="145" t="inlineStr">
        <is>
          <t xml:space="preserve">_ * #,##0_ ;_ * -#,##0_ ;_ * "-"??_ ;_ @_ </t>
        </is>
      </c>
      <c r="Q299" s="145" t="inlineStr">
        <is>
          <t>Text</t>
        </is>
      </c>
      <c r="R299" s="145" t="n"/>
      <c r="S299" s="145" t="n"/>
      <c r="T299" s="145" t="n"/>
      <c r="U299" s="145" t="n"/>
      <c r="V299" s="145" t="n"/>
      <c r="W299" s="145" t="n"/>
      <c r="X299" s="145" t="inlineStr">
        <is>
          <t>Detailed format sample from top 5 used rows</t>
        </is>
      </c>
    </row>
    <row r="300" ht="57.45" customHeight="1" s="79">
      <c r="A300" s="145" t="inlineStr">
        <is>
          <t>REGULAR_ART</t>
        </is>
      </c>
      <c r="B300" s="145" t="inlineStr">
        <is>
          <t>Column Format</t>
        </is>
      </c>
      <c r="C300" s="145" t="inlineStr">
        <is>
          <t>D:D</t>
        </is>
      </c>
      <c r="D300" s="145" t="inlineStr">
        <is>
          <t>REGULAR_ART!A1:AT410</t>
        </is>
      </c>
      <c r="E300" s="145" t="inlineStr">
        <is>
          <t>Mixed</t>
        </is>
      </c>
      <c r="F300" s="145" t="inlineStr">
        <is>
          <t>Mixed</t>
        </is>
      </c>
      <c r="G300" s="145" t="inlineStr">
        <is>
          <t>Aptos</t>
        </is>
      </c>
      <c r="H300" s="145" t="n">
        <v>8</v>
      </c>
      <c r="I300" s="145" t="inlineStr">
        <is>
          <t>Mixed</t>
        </is>
      </c>
      <c r="J300" s="145" t="inlineStr">
        <is>
          <t>No</t>
        </is>
      </c>
      <c r="K300" s="145" t="inlineStr">
        <is>
          <t>None</t>
        </is>
      </c>
      <c r="L300" s="145" t="inlineStr">
        <is>
          <t>#000000</t>
        </is>
      </c>
      <c r="M300" s="145" t="inlineStr">
        <is>
          <t>Mixed</t>
        </is>
      </c>
      <c r="N300" s="145" t="inlineStr">
        <is>
          <t>Center</t>
        </is>
      </c>
      <c r="O300" s="145" t="inlineStr">
        <is>
          <t>Mixed</t>
        </is>
      </c>
      <c r="P300" s="145" t="n"/>
      <c r="Q300" s="145" t="n"/>
      <c r="R300" s="145" t="inlineStr">
        <is>
          <t>EdgeTop:Continuous/Thin/#000000; EdgeBottom:Continuous/Thin/#000000; EdgeLeft:Continuous/Thin/#000000; EdgeRight:Continuous/Thin/#000000; InsideHorizontal:Continuous/Thin/#000000</t>
        </is>
      </c>
      <c r="S300" s="145" t="n">
        <v>0</v>
      </c>
      <c r="T300" s="145" t="n"/>
      <c r="U300" s="145" t="inlineStr">
        <is>
          <t>Yes</t>
        </is>
      </c>
      <c r="V300" s="145" t="inlineStr">
        <is>
          <t>Hidden column (possible outline/group)</t>
        </is>
      </c>
      <c r="W300" s="145" t="n"/>
      <c r="X300" s="145" t="inlineStr">
        <is>
          <t>Mixed styles within used column</t>
        </is>
      </c>
    </row>
    <row r="301" ht="23.85" customHeight="1" s="79">
      <c r="A301" s="145" t="inlineStr">
        <is>
          <t>REGULAR_ART</t>
        </is>
      </c>
      <c r="B301" s="145" t="inlineStr">
        <is>
          <t>Top-Row Cell Format</t>
        </is>
      </c>
      <c r="C301" s="145" t="inlineStr">
        <is>
          <t>D1</t>
        </is>
      </c>
      <c r="D301" s="145" t="inlineStr">
        <is>
          <t>REGULAR_ART!A1:AT410</t>
        </is>
      </c>
      <c r="E301" s="145" t="inlineStr">
        <is>
          <t>Normal</t>
        </is>
      </c>
      <c r="F301" s="145" t="inlineStr">
        <is>
          <t>#C9C9C9</t>
        </is>
      </c>
      <c r="G301" s="145" t="inlineStr">
        <is>
          <t>Aptos</t>
        </is>
      </c>
      <c r="H301" s="145" t="n">
        <v>8</v>
      </c>
      <c r="I301" s="145" t="inlineStr">
        <is>
          <t>Yes</t>
        </is>
      </c>
      <c r="J301" s="145" t="inlineStr">
        <is>
          <t>No</t>
        </is>
      </c>
      <c r="K301" s="145" t="inlineStr">
        <is>
          <t>None</t>
        </is>
      </c>
      <c r="L301" s="145" t="inlineStr">
        <is>
          <t>#000000</t>
        </is>
      </c>
      <c r="M301" s="145" t="inlineStr">
        <is>
          <t>Center</t>
        </is>
      </c>
      <c r="N301" s="145" t="inlineStr">
        <is>
          <t>Center</t>
        </is>
      </c>
      <c r="O301" s="145" t="inlineStr">
        <is>
          <t>No</t>
        </is>
      </c>
      <c r="P301" s="145" t="inlineStr">
        <is>
          <t>General</t>
        </is>
      </c>
      <c r="Q301" s="145" t="inlineStr">
        <is>
          <t>General</t>
        </is>
      </c>
      <c r="R301" s="145" t="n"/>
      <c r="S301" s="145" t="n"/>
      <c r="T301" s="145" t="n"/>
      <c r="U301" s="145" t="n"/>
      <c r="V301" s="145" t="n"/>
      <c r="W301" s="145" t="n"/>
      <c r="X301" s="145" t="inlineStr">
        <is>
          <t>Detailed format sample from top 5 used rows</t>
        </is>
      </c>
    </row>
    <row r="302" ht="23.85" customHeight="1" s="79">
      <c r="A302" s="145" t="inlineStr">
        <is>
          <t>REGULAR_ART</t>
        </is>
      </c>
      <c r="B302" s="145" t="inlineStr">
        <is>
          <t>Top-Row Cell Format</t>
        </is>
      </c>
      <c r="C302" s="145" t="inlineStr">
        <is>
          <t>D2</t>
        </is>
      </c>
      <c r="D302" s="145" t="inlineStr">
        <is>
          <t>REGULAR_ART!A1:AT410</t>
        </is>
      </c>
      <c r="E302" s="145" t="inlineStr">
        <is>
          <t>Comma</t>
        </is>
      </c>
      <c r="F302" s="145" t="inlineStr">
        <is>
          <t>#B4C6E7</t>
        </is>
      </c>
      <c r="G302" s="145" t="inlineStr">
        <is>
          <t>Aptos</t>
        </is>
      </c>
      <c r="H302" s="145" t="n">
        <v>8</v>
      </c>
      <c r="I302" s="145" t="inlineStr">
        <is>
          <t>Yes</t>
        </is>
      </c>
      <c r="J302" s="145" t="inlineStr">
        <is>
          <t>No</t>
        </is>
      </c>
      <c r="K302" s="145" t="inlineStr">
        <is>
          <t>None</t>
        </is>
      </c>
      <c r="L302" s="145" t="inlineStr">
        <is>
          <t>#000000</t>
        </is>
      </c>
      <c r="M302" s="145" t="inlineStr">
        <is>
          <t>General</t>
        </is>
      </c>
      <c r="N302" s="145" t="inlineStr">
        <is>
          <t>Center</t>
        </is>
      </c>
      <c r="O302" s="145" t="inlineStr">
        <is>
          <t>No</t>
        </is>
      </c>
      <c r="P302" s="145" t="inlineStr">
        <is>
          <t xml:space="preserve">_ * #,##0_ ;_ * -#,##0_ ;_ * "-"??_ ;_ @_ </t>
        </is>
      </c>
      <c r="Q302" s="145" t="inlineStr">
        <is>
          <t>Text</t>
        </is>
      </c>
      <c r="R302" s="145" t="n"/>
      <c r="S302" s="145" t="n"/>
      <c r="T302" s="145" t="n"/>
      <c r="U302" s="145" t="n"/>
      <c r="V302" s="145" t="n"/>
      <c r="W302" s="145" t="n"/>
      <c r="X302" s="145" t="inlineStr">
        <is>
          <t>Detailed format sample from top 5 used rows</t>
        </is>
      </c>
    </row>
    <row r="303" ht="23.85" customHeight="1" s="79">
      <c r="A303" s="145" t="inlineStr">
        <is>
          <t>REGULAR_ART</t>
        </is>
      </c>
      <c r="B303" s="145" t="inlineStr">
        <is>
          <t>Top-Row Cell Format</t>
        </is>
      </c>
      <c r="C303" s="145" t="inlineStr">
        <is>
          <t>D3</t>
        </is>
      </c>
      <c r="D303" s="145" t="inlineStr">
        <is>
          <t>REGULAR_ART!A1:AT410</t>
        </is>
      </c>
      <c r="E303" s="145" t="inlineStr">
        <is>
          <t>Normal</t>
        </is>
      </c>
      <c r="F303" s="145" t="inlineStr">
        <is>
          <t>#FFD966</t>
        </is>
      </c>
      <c r="G303" s="145" t="inlineStr">
        <is>
          <t>Aptos</t>
        </is>
      </c>
      <c r="H303" s="145" t="n">
        <v>8</v>
      </c>
      <c r="I303" s="145" t="inlineStr">
        <is>
          <t>Yes</t>
        </is>
      </c>
      <c r="J303" s="145" t="inlineStr">
        <is>
          <t>No</t>
        </is>
      </c>
      <c r="K303" s="145" t="inlineStr">
        <is>
          <t>None</t>
        </is>
      </c>
      <c r="L303" s="145" t="inlineStr">
        <is>
          <t>#000000</t>
        </is>
      </c>
      <c r="M303" s="145" t="inlineStr">
        <is>
          <t>Center</t>
        </is>
      </c>
      <c r="N303" s="145" t="inlineStr">
        <is>
          <t>Center</t>
        </is>
      </c>
      <c r="O303" s="145" t="inlineStr">
        <is>
          <t>Yes</t>
        </is>
      </c>
      <c r="P303" s="145" t="inlineStr">
        <is>
          <t>General</t>
        </is>
      </c>
      <c r="Q303" s="145" t="inlineStr">
        <is>
          <t>General</t>
        </is>
      </c>
      <c r="R303" s="145" t="n"/>
      <c r="S303" s="145" t="n"/>
      <c r="T303" s="145" t="n"/>
      <c r="U303" s="145" t="n"/>
      <c r="V303" s="145" t="n"/>
      <c r="W303" s="145" t="n"/>
      <c r="X303" s="145" t="inlineStr">
        <is>
          <t>Detailed format sample from top 5 used rows</t>
        </is>
      </c>
    </row>
    <row r="304" ht="23.85" customHeight="1" s="79">
      <c r="A304" s="145" t="inlineStr">
        <is>
          <t>REGULAR_ART</t>
        </is>
      </c>
      <c r="B304" s="145" t="inlineStr">
        <is>
          <t>Top-Row Cell Format</t>
        </is>
      </c>
      <c r="C304" s="145" t="inlineStr">
        <is>
          <t>D4</t>
        </is>
      </c>
      <c r="D304" s="145" t="inlineStr">
        <is>
          <t>REGULAR_ART!A1:AT410</t>
        </is>
      </c>
      <c r="E304" s="145" t="inlineStr">
        <is>
          <t>Normal</t>
        </is>
      </c>
      <c r="F304" s="145" t="inlineStr">
        <is>
          <t>#FFD966</t>
        </is>
      </c>
      <c r="G304" s="145" t="inlineStr">
        <is>
          <t>Aptos</t>
        </is>
      </c>
      <c r="H304" s="145" t="n">
        <v>8</v>
      </c>
      <c r="I304" s="145" t="inlineStr">
        <is>
          <t>No</t>
        </is>
      </c>
      <c r="J304" s="145" t="inlineStr">
        <is>
          <t>No</t>
        </is>
      </c>
      <c r="K304" s="145" t="inlineStr">
        <is>
          <t>None</t>
        </is>
      </c>
      <c r="L304" s="145" t="inlineStr">
        <is>
          <t>#000000</t>
        </is>
      </c>
      <c r="M304" s="145" t="inlineStr">
        <is>
          <t>General</t>
        </is>
      </c>
      <c r="N304" s="145" t="inlineStr">
        <is>
          <t>Center</t>
        </is>
      </c>
      <c r="O304" s="145" t="inlineStr">
        <is>
          <t>No</t>
        </is>
      </c>
      <c r="P304" s="145" t="inlineStr">
        <is>
          <t>General</t>
        </is>
      </c>
      <c r="Q304" s="145" t="inlineStr">
        <is>
          <t>General</t>
        </is>
      </c>
      <c r="R304" s="145" t="n"/>
      <c r="S304" s="145" t="n"/>
      <c r="T304" s="145" t="n"/>
      <c r="U304" s="145" t="n"/>
      <c r="V304" s="145" t="n"/>
      <c r="W304" s="145" t="n"/>
      <c r="X304" s="145" t="inlineStr">
        <is>
          <t>Detailed format sample from top 5 used rows</t>
        </is>
      </c>
    </row>
    <row r="305" ht="23.85" customHeight="1" s="79">
      <c r="A305" s="145" t="inlineStr">
        <is>
          <t>REGULAR_ART</t>
        </is>
      </c>
      <c r="B305" s="145" t="inlineStr">
        <is>
          <t>Top-Row Cell Format</t>
        </is>
      </c>
      <c r="C305" s="145" t="inlineStr">
        <is>
          <t>D5</t>
        </is>
      </c>
      <c r="D305" s="145" t="inlineStr">
        <is>
          <t>REGULAR_ART!A1:AT410</t>
        </is>
      </c>
      <c r="E305" s="145" t="inlineStr">
        <is>
          <t>Comma</t>
        </is>
      </c>
      <c r="F305" s="145" t="n"/>
      <c r="G305" s="145" t="inlineStr">
        <is>
          <t>Aptos</t>
        </is>
      </c>
      <c r="H305" s="145" t="n">
        <v>8</v>
      </c>
      <c r="I305" s="145" t="inlineStr">
        <is>
          <t>No</t>
        </is>
      </c>
      <c r="J305" s="145" t="inlineStr">
        <is>
          <t>No</t>
        </is>
      </c>
      <c r="K305" s="145" t="inlineStr">
        <is>
          <t>None</t>
        </is>
      </c>
      <c r="L305" s="145" t="inlineStr">
        <is>
          <t>#000000</t>
        </is>
      </c>
      <c r="M305" s="145" t="inlineStr">
        <is>
          <t>General</t>
        </is>
      </c>
      <c r="N305" s="145" t="inlineStr">
        <is>
          <t>Center</t>
        </is>
      </c>
      <c r="O305" s="145" t="inlineStr">
        <is>
          <t>No</t>
        </is>
      </c>
      <c r="P305" s="145" t="inlineStr">
        <is>
          <t xml:space="preserve">_ * #,##0_ ;_ * -#,##0_ ;_ * "-"??_ ;_ @_ </t>
        </is>
      </c>
      <c r="Q305" s="145" t="inlineStr">
        <is>
          <t>Text</t>
        </is>
      </c>
      <c r="R305" s="145" t="n"/>
      <c r="S305" s="145" t="n"/>
      <c r="T305" s="145" t="n"/>
      <c r="U305" s="145" t="n"/>
      <c r="V305" s="145" t="n"/>
      <c r="W305" s="145" t="n"/>
      <c r="X305" s="145" t="inlineStr">
        <is>
          <t>Detailed format sample from top 5 used rows</t>
        </is>
      </c>
    </row>
    <row r="306" ht="57.45" customHeight="1" s="79">
      <c r="A306" s="145" t="inlineStr">
        <is>
          <t>REGULAR_ART</t>
        </is>
      </c>
      <c r="B306" s="145" t="inlineStr">
        <is>
          <t>Column Format</t>
        </is>
      </c>
      <c r="C306" s="145" t="inlineStr">
        <is>
          <t>E:E</t>
        </is>
      </c>
      <c r="D306" s="145" t="inlineStr">
        <is>
          <t>REGULAR_ART!A1:AT410</t>
        </is>
      </c>
      <c r="E306" s="145" t="inlineStr">
        <is>
          <t>Mixed</t>
        </is>
      </c>
      <c r="F306" s="145" t="inlineStr">
        <is>
          <t>Mixed</t>
        </is>
      </c>
      <c r="G306" s="145" t="inlineStr">
        <is>
          <t>Aptos</t>
        </is>
      </c>
      <c r="H306" s="145" t="n">
        <v>8</v>
      </c>
      <c r="I306" s="145" t="inlineStr">
        <is>
          <t>Mixed</t>
        </is>
      </c>
      <c r="J306" s="145" t="inlineStr">
        <is>
          <t>No</t>
        </is>
      </c>
      <c r="K306" s="145" t="inlineStr">
        <is>
          <t>None</t>
        </is>
      </c>
      <c r="L306" s="145" t="inlineStr">
        <is>
          <t>#000000</t>
        </is>
      </c>
      <c r="M306" s="145" t="inlineStr">
        <is>
          <t>Mixed</t>
        </is>
      </c>
      <c r="N306" s="145" t="inlineStr">
        <is>
          <t>Center</t>
        </is>
      </c>
      <c r="O306" s="145" t="inlineStr">
        <is>
          <t>Mixed</t>
        </is>
      </c>
      <c r="P306" s="145" t="n"/>
      <c r="Q306" s="145" t="n"/>
      <c r="R306" s="145" t="inlineStr">
        <is>
          <t>EdgeTop:Continuous/Thin/#000000; EdgeBottom:Continuous/Thin/#000000; EdgeLeft:Continuous/Thin/#000000; EdgeRight:Continuous/Thin/#000000; InsideHorizontal:Continuous/Thin/#000000</t>
        </is>
      </c>
      <c r="S306" s="145" t="n">
        <v>0</v>
      </c>
      <c r="T306" s="145" t="n"/>
      <c r="U306" s="145" t="inlineStr">
        <is>
          <t>Yes</t>
        </is>
      </c>
      <c r="V306" s="145" t="inlineStr">
        <is>
          <t>Hidden column (possible outline/group)</t>
        </is>
      </c>
      <c r="W306" s="145" t="n"/>
      <c r="X306" s="145" t="inlineStr">
        <is>
          <t>Mixed styles within used column</t>
        </is>
      </c>
    </row>
    <row r="307" ht="23.85" customHeight="1" s="79">
      <c r="A307" s="145" t="inlineStr">
        <is>
          <t>REGULAR_ART</t>
        </is>
      </c>
      <c r="B307" s="145" t="inlineStr">
        <is>
          <t>Top-Row Cell Format</t>
        </is>
      </c>
      <c r="C307" s="145" t="inlineStr">
        <is>
          <t>E1</t>
        </is>
      </c>
      <c r="D307" s="145" t="inlineStr">
        <is>
          <t>REGULAR_ART!A1:AT410</t>
        </is>
      </c>
      <c r="E307" s="145" t="inlineStr">
        <is>
          <t>Normal</t>
        </is>
      </c>
      <c r="F307" s="145" t="inlineStr">
        <is>
          <t>#C9C9C9</t>
        </is>
      </c>
      <c r="G307" s="145" t="inlineStr">
        <is>
          <t>Aptos</t>
        </is>
      </c>
      <c r="H307" s="145" t="n">
        <v>8</v>
      </c>
      <c r="I307" s="145" t="inlineStr">
        <is>
          <t>Yes</t>
        </is>
      </c>
      <c r="J307" s="145" t="inlineStr">
        <is>
          <t>No</t>
        </is>
      </c>
      <c r="K307" s="145" t="inlineStr">
        <is>
          <t>None</t>
        </is>
      </c>
      <c r="L307" s="145" t="inlineStr">
        <is>
          <t>#000000</t>
        </is>
      </c>
      <c r="M307" s="145" t="inlineStr">
        <is>
          <t>Center</t>
        </is>
      </c>
      <c r="N307" s="145" t="inlineStr">
        <is>
          <t>Center</t>
        </is>
      </c>
      <c r="O307" s="145" t="inlineStr">
        <is>
          <t>No</t>
        </is>
      </c>
      <c r="P307" s="145" t="inlineStr">
        <is>
          <t>General</t>
        </is>
      </c>
      <c r="Q307" s="145" t="inlineStr">
        <is>
          <t>General</t>
        </is>
      </c>
      <c r="R307" s="145" t="n"/>
      <c r="S307" s="145" t="n"/>
      <c r="T307" s="145" t="n"/>
      <c r="U307" s="145" t="n"/>
      <c r="V307" s="145" t="n"/>
      <c r="W307" s="145" t="n"/>
      <c r="X307" s="145" t="inlineStr">
        <is>
          <t>Detailed format sample from top 5 used rows</t>
        </is>
      </c>
    </row>
    <row r="308" ht="23.85" customHeight="1" s="79">
      <c r="A308" s="145" t="inlineStr">
        <is>
          <t>REGULAR_ART</t>
        </is>
      </c>
      <c r="B308" s="145" t="inlineStr">
        <is>
          <t>Top-Row Cell Format</t>
        </is>
      </c>
      <c r="C308" s="145" t="inlineStr">
        <is>
          <t>E2</t>
        </is>
      </c>
      <c r="D308" s="145" t="inlineStr">
        <is>
          <t>REGULAR_ART!A1:AT410</t>
        </is>
      </c>
      <c r="E308" s="145" t="inlineStr">
        <is>
          <t>Comma</t>
        </is>
      </c>
      <c r="F308" s="145" t="inlineStr">
        <is>
          <t>#B4C6E7</t>
        </is>
      </c>
      <c r="G308" s="145" t="inlineStr">
        <is>
          <t>Aptos</t>
        </is>
      </c>
      <c r="H308" s="145" t="n">
        <v>8</v>
      </c>
      <c r="I308" s="145" t="inlineStr">
        <is>
          <t>Yes</t>
        </is>
      </c>
      <c r="J308" s="145" t="inlineStr">
        <is>
          <t>No</t>
        </is>
      </c>
      <c r="K308" s="145" t="inlineStr">
        <is>
          <t>None</t>
        </is>
      </c>
      <c r="L308" s="145" t="inlineStr">
        <is>
          <t>#000000</t>
        </is>
      </c>
      <c r="M308" s="145" t="inlineStr">
        <is>
          <t>General</t>
        </is>
      </c>
      <c r="N308" s="145" t="inlineStr">
        <is>
          <t>Center</t>
        </is>
      </c>
      <c r="O308" s="145" t="inlineStr">
        <is>
          <t>No</t>
        </is>
      </c>
      <c r="P308" s="145" t="inlineStr">
        <is>
          <t xml:space="preserve">_ * #,##0_ ;_ * -#,##0_ ;_ * "-"??_ ;_ @_ </t>
        </is>
      </c>
      <c r="Q308" s="145" t="inlineStr">
        <is>
          <t>Text</t>
        </is>
      </c>
      <c r="R308" s="145" t="n"/>
      <c r="S308" s="145" t="n"/>
      <c r="T308" s="145" t="n"/>
      <c r="U308" s="145" t="n"/>
      <c r="V308" s="145" t="n"/>
      <c r="W308" s="145" t="n"/>
      <c r="X308" s="145" t="inlineStr">
        <is>
          <t>Detailed format sample from top 5 used rows</t>
        </is>
      </c>
    </row>
    <row r="309" ht="23.85" customHeight="1" s="79">
      <c r="A309" s="145" t="inlineStr">
        <is>
          <t>REGULAR_ART</t>
        </is>
      </c>
      <c r="B309" s="145" t="inlineStr">
        <is>
          <t>Top-Row Cell Format</t>
        </is>
      </c>
      <c r="C309" s="145" t="inlineStr">
        <is>
          <t>E3</t>
        </is>
      </c>
      <c r="D309" s="145" t="inlineStr">
        <is>
          <t>REGULAR_ART!A1:AT410</t>
        </is>
      </c>
      <c r="E309" s="145" t="inlineStr">
        <is>
          <t>Normal</t>
        </is>
      </c>
      <c r="F309" s="145" t="inlineStr">
        <is>
          <t>#FFD966</t>
        </is>
      </c>
      <c r="G309" s="145" t="inlineStr">
        <is>
          <t>Aptos</t>
        </is>
      </c>
      <c r="H309" s="145" t="n">
        <v>8</v>
      </c>
      <c r="I309" s="145" t="inlineStr">
        <is>
          <t>Yes</t>
        </is>
      </c>
      <c r="J309" s="145" t="inlineStr">
        <is>
          <t>No</t>
        </is>
      </c>
      <c r="K309" s="145" t="inlineStr">
        <is>
          <t>None</t>
        </is>
      </c>
      <c r="L309" s="145" t="inlineStr">
        <is>
          <t>#000000</t>
        </is>
      </c>
      <c r="M309" s="145" t="inlineStr">
        <is>
          <t>Center</t>
        </is>
      </c>
      <c r="N309" s="145" t="inlineStr">
        <is>
          <t>Center</t>
        </is>
      </c>
      <c r="O309" s="145" t="inlineStr">
        <is>
          <t>Yes</t>
        </is>
      </c>
      <c r="P309" s="145" t="inlineStr">
        <is>
          <t>General</t>
        </is>
      </c>
      <c r="Q309" s="145" t="inlineStr">
        <is>
          <t>General</t>
        </is>
      </c>
      <c r="R309" s="145" t="n"/>
      <c r="S309" s="145" t="n"/>
      <c r="T309" s="145" t="n"/>
      <c r="U309" s="145" t="n"/>
      <c r="V309" s="145" t="n"/>
      <c r="W309" s="145" t="n"/>
      <c r="X309" s="145" t="inlineStr">
        <is>
          <t>Detailed format sample from top 5 used rows</t>
        </is>
      </c>
    </row>
    <row r="310" ht="23.85" customHeight="1" s="79">
      <c r="A310" s="145" t="inlineStr">
        <is>
          <t>REGULAR_ART</t>
        </is>
      </c>
      <c r="B310" s="145" t="inlineStr">
        <is>
          <t>Top-Row Cell Format</t>
        </is>
      </c>
      <c r="C310" s="145" t="inlineStr">
        <is>
          <t>E4</t>
        </is>
      </c>
      <c r="D310" s="145" t="inlineStr">
        <is>
          <t>REGULAR_ART!A1:AT410</t>
        </is>
      </c>
      <c r="E310" s="145" t="inlineStr">
        <is>
          <t>Normal</t>
        </is>
      </c>
      <c r="F310" s="145" t="inlineStr">
        <is>
          <t>#FFD966</t>
        </is>
      </c>
      <c r="G310" s="145" t="inlineStr">
        <is>
          <t>Aptos</t>
        </is>
      </c>
      <c r="H310" s="145" t="n">
        <v>8</v>
      </c>
      <c r="I310" s="145" t="inlineStr">
        <is>
          <t>No</t>
        </is>
      </c>
      <c r="J310" s="145" t="inlineStr">
        <is>
          <t>No</t>
        </is>
      </c>
      <c r="K310" s="145" t="inlineStr">
        <is>
          <t>None</t>
        </is>
      </c>
      <c r="L310" s="145" t="inlineStr">
        <is>
          <t>#000000</t>
        </is>
      </c>
      <c r="M310" s="145" t="inlineStr">
        <is>
          <t>General</t>
        </is>
      </c>
      <c r="N310" s="145" t="inlineStr">
        <is>
          <t>Center</t>
        </is>
      </c>
      <c r="O310" s="145" t="inlineStr">
        <is>
          <t>No</t>
        </is>
      </c>
      <c r="P310" s="145" t="inlineStr">
        <is>
          <t>General</t>
        </is>
      </c>
      <c r="Q310" s="145" t="inlineStr">
        <is>
          <t>General</t>
        </is>
      </c>
      <c r="R310" s="145" t="n"/>
      <c r="S310" s="145" t="n"/>
      <c r="T310" s="145" t="n"/>
      <c r="U310" s="145" t="n"/>
      <c r="V310" s="145" t="n"/>
      <c r="W310" s="145" t="n"/>
      <c r="X310" s="145" t="inlineStr">
        <is>
          <t>Detailed format sample from top 5 used rows</t>
        </is>
      </c>
    </row>
    <row r="311" ht="23.85" customHeight="1" s="79">
      <c r="A311" s="145" t="inlineStr">
        <is>
          <t>REGULAR_ART</t>
        </is>
      </c>
      <c r="B311" s="145" t="inlineStr">
        <is>
          <t>Top-Row Cell Format</t>
        </is>
      </c>
      <c r="C311" s="145" t="inlineStr">
        <is>
          <t>E5</t>
        </is>
      </c>
      <c r="D311" s="145" t="inlineStr">
        <is>
          <t>REGULAR_ART!A1:AT410</t>
        </is>
      </c>
      <c r="E311" s="145" t="inlineStr">
        <is>
          <t>Comma</t>
        </is>
      </c>
      <c r="F311" s="145" t="n"/>
      <c r="G311" s="145" t="inlineStr">
        <is>
          <t>Aptos</t>
        </is>
      </c>
      <c r="H311" s="145" t="n">
        <v>8</v>
      </c>
      <c r="I311" s="145" t="inlineStr">
        <is>
          <t>No</t>
        </is>
      </c>
      <c r="J311" s="145" t="inlineStr">
        <is>
          <t>No</t>
        </is>
      </c>
      <c r="K311" s="145" t="inlineStr">
        <is>
          <t>None</t>
        </is>
      </c>
      <c r="L311" s="145" t="inlineStr">
        <is>
          <t>#000000</t>
        </is>
      </c>
      <c r="M311" s="145" t="inlineStr">
        <is>
          <t>General</t>
        </is>
      </c>
      <c r="N311" s="145" t="inlineStr">
        <is>
          <t>Center</t>
        </is>
      </c>
      <c r="O311" s="145" t="inlineStr">
        <is>
          <t>No</t>
        </is>
      </c>
      <c r="P311" s="145" t="inlineStr">
        <is>
          <t xml:space="preserve">_ * #,##0_ ;_ * -#,##0_ ;_ * "-"??_ ;_ @_ </t>
        </is>
      </c>
      <c r="Q311" s="145" t="inlineStr">
        <is>
          <t>Text</t>
        </is>
      </c>
      <c r="R311" s="145" t="n"/>
      <c r="S311" s="145" t="n"/>
      <c r="T311" s="145" t="n"/>
      <c r="U311" s="145" t="n"/>
      <c r="V311" s="145" t="n"/>
      <c r="W311" s="145" t="n"/>
      <c r="X311" s="145" t="inlineStr">
        <is>
          <t>Detailed format sample from top 5 used rows</t>
        </is>
      </c>
    </row>
    <row r="312" ht="57.45" customHeight="1" s="79">
      <c r="A312" s="145" t="inlineStr">
        <is>
          <t>REGULAR_ART</t>
        </is>
      </c>
      <c r="B312" s="145" t="inlineStr">
        <is>
          <t>Column Format</t>
        </is>
      </c>
      <c r="C312" s="145" t="inlineStr">
        <is>
          <t>F:F</t>
        </is>
      </c>
      <c r="D312" s="145" t="inlineStr">
        <is>
          <t>REGULAR_ART!A1:AT410</t>
        </is>
      </c>
      <c r="E312" s="145" t="inlineStr">
        <is>
          <t>Mixed</t>
        </is>
      </c>
      <c r="F312" s="145" t="inlineStr">
        <is>
          <t>Mixed</t>
        </is>
      </c>
      <c r="G312" s="145" t="inlineStr">
        <is>
          <t>Aptos</t>
        </is>
      </c>
      <c r="H312" s="145" t="n">
        <v>8</v>
      </c>
      <c r="I312" s="145" t="inlineStr">
        <is>
          <t>Mixed</t>
        </is>
      </c>
      <c r="J312" s="145" t="inlineStr">
        <is>
          <t>No</t>
        </is>
      </c>
      <c r="K312" s="145" t="inlineStr">
        <is>
          <t>None</t>
        </is>
      </c>
      <c r="L312" s="145" t="inlineStr">
        <is>
          <t>#000000</t>
        </is>
      </c>
      <c r="M312" s="145" t="inlineStr">
        <is>
          <t>Mixed</t>
        </is>
      </c>
      <c r="N312" s="145" t="inlineStr">
        <is>
          <t>Center</t>
        </is>
      </c>
      <c r="O312" s="145" t="inlineStr">
        <is>
          <t>Mixed</t>
        </is>
      </c>
      <c r="P312" s="145" t="n"/>
      <c r="Q312" s="145" t="n"/>
      <c r="R312" s="145" t="inlineStr">
        <is>
          <t>EdgeTop:Continuous/Thin/#000000; EdgeBottom:Continuous/Thin/#000000; EdgeLeft:Continuous/Thin/#000000; EdgeRight:Continuous/Thin/#000000; InsideHorizontal:Continuous/Thin/#000000</t>
        </is>
      </c>
      <c r="S312" s="145" t="n">
        <v>0</v>
      </c>
      <c r="T312" s="145" t="n"/>
      <c r="U312" s="145" t="inlineStr">
        <is>
          <t>Yes</t>
        </is>
      </c>
      <c r="V312" s="145" t="inlineStr">
        <is>
          <t>Hidden column (possible outline/group)</t>
        </is>
      </c>
      <c r="W312" s="145" t="n"/>
      <c r="X312" s="145" t="inlineStr">
        <is>
          <t>Mixed styles within used column</t>
        </is>
      </c>
    </row>
    <row r="313" ht="23.85" customHeight="1" s="79">
      <c r="A313" s="145" t="inlineStr">
        <is>
          <t>REGULAR_ART</t>
        </is>
      </c>
      <c r="B313" s="145" t="inlineStr">
        <is>
          <t>Top-Row Cell Format</t>
        </is>
      </c>
      <c r="C313" s="145" t="inlineStr">
        <is>
          <t>F1</t>
        </is>
      </c>
      <c r="D313" s="145" t="inlineStr">
        <is>
          <t>REGULAR_ART!A1:AT410</t>
        </is>
      </c>
      <c r="E313" s="145" t="inlineStr">
        <is>
          <t>Normal</t>
        </is>
      </c>
      <c r="F313" s="145" t="inlineStr">
        <is>
          <t>#C9C9C9</t>
        </is>
      </c>
      <c r="G313" s="145" t="inlineStr">
        <is>
          <t>Aptos</t>
        </is>
      </c>
      <c r="H313" s="145" t="n">
        <v>8</v>
      </c>
      <c r="I313" s="145" t="inlineStr">
        <is>
          <t>Yes</t>
        </is>
      </c>
      <c r="J313" s="145" t="inlineStr">
        <is>
          <t>No</t>
        </is>
      </c>
      <c r="K313" s="145" t="inlineStr">
        <is>
          <t>None</t>
        </is>
      </c>
      <c r="L313" s="145" t="inlineStr">
        <is>
          <t>#000000</t>
        </is>
      </c>
      <c r="M313" s="145" t="inlineStr">
        <is>
          <t>Center</t>
        </is>
      </c>
      <c r="N313" s="145" t="inlineStr">
        <is>
          <t>Center</t>
        </is>
      </c>
      <c r="O313" s="145" t="inlineStr">
        <is>
          <t>No</t>
        </is>
      </c>
      <c r="P313" s="145" t="inlineStr">
        <is>
          <t>General</t>
        </is>
      </c>
      <c r="Q313" s="145" t="inlineStr">
        <is>
          <t>General</t>
        </is>
      </c>
      <c r="R313" s="145" t="n"/>
      <c r="S313" s="145" t="n"/>
      <c r="T313" s="145" t="n"/>
      <c r="U313" s="145" t="n"/>
      <c r="V313" s="145" t="n"/>
      <c r="W313" s="145" t="n"/>
      <c r="X313" s="145" t="inlineStr">
        <is>
          <t>Detailed format sample from top 5 used rows</t>
        </is>
      </c>
    </row>
    <row r="314" ht="23.85" customHeight="1" s="79">
      <c r="A314" s="145" t="inlineStr">
        <is>
          <t>REGULAR_ART</t>
        </is>
      </c>
      <c r="B314" s="145" t="inlineStr">
        <is>
          <t>Top-Row Cell Format</t>
        </is>
      </c>
      <c r="C314" s="145" t="inlineStr">
        <is>
          <t>F2</t>
        </is>
      </c>
      <c r="D314" s="145" t="inlineStr">
        <is>
          <t>REGULAR_ART!A1:AT410</t>
        </is>
      </c>
      <c r="E314" s="145" t="inlineStr">
        <is>
          <t>Comma</t>
        </is>
      </c>
      <c r="F314" s="145" t="inlineStr">
        <is>
          <t>#B4C6E7</t>
        </is>
      </c>
      <c r="G314" s="145" t="inlineStr">
        <is>
          <t>Aptos</t>
        </is>
      </c>
      <c r="H314" s="145" t="n">
        <v>8</v>
      </c>
      <c r="I314" s="145" t="inlineStr">
        <is>
          <t>Yes</t>
        </is>
      </c>
      <c r="J314" s="145" t="inlineStr">
        <is>
          <t>No</t>
        </is>
      </c>
      <c r="K314" s="145" t="inlineStr">
        <is>
          <t>None</t>
        </is>
      </c>
      <c r="L314" s="145" t="inlineStr">
        <is>
          <t>#000000</t>
        </is>
      </c>
      <c r="M314" s="145" t="inlineStr">
        <is>
          <t>General</t>
        </is>
      </c>
      <c r="N314" s="145" t="inlineStr">
        <is>
          <t>Center</t>
        </is>
      </c>
      <c r="O314" s="145" t="inlineStr">
        <is>
          <t>No</t>
        </is>
      </c>
      <c r="P314" s="145" t="inlineStr">
        <is>
          <t xml:space="preserve">_ * #,##0_ ;_ * -#,##0_ ;_ * "-"??_ ;_ @_ </t>
        </is>
      </c>
      <c r="Q314" s="145" t="inlineStr">
        <is>
          <t>Text</t>
        </is>
      </c>
      <c r="R314" s="145" t="n"/>
      <c r="S314" s="145" t="n"/>
      <c r="T314" s="145" t="n"/>
      <c r="U314" s="145" t="n"/>
      <c r="V314" s="145" t="n"/>
      <c r="W314" s="145" t="n"/>
      <c r="X314" s="145" t="inlineStr">
        <is>
          <t>Detailed format sample from top 5 used rows</t>
        </is>
      </c>
    </row>
    <row r="315" ht="23.85" customHeight="1" s="79">
      <c r="A315" s="145" t="inlineStr">
        <is>
          <t>REGULAR_ART</t>
        </is>
      </c>
      <c r="B315" s="145" t="inlineStr">
        <is>
          <t>Top-Row Cell Format</t>
        </is>
      </c>
      <c r="C315" s="145" t="inlineStr">
        <is>
          <t>F3</t>
        </is>
      </c>
      <c r="D315" s="145" t="inlineStr">
        <is>
          <t>REGULAR_ART!A1:AT410</t>
        </is>
      </c>
      <c r="E315" s="145" t="inlineStr">
        <is>
          <t>Normal</t>
        </is>
      </c>
      <c r="F315" s="145" t="inlineStr">
        <is>
          <t>#FFD966</t>
        </is>
      </c>
      <c r="G315" s="145" t="inlineStr">
        <is>
          <t>Aptos</t>
        </is>
      </c>
      <c r="H315" s="145" t="n">
        <v>8</v>
      </c>
      <c r="I315" s="145" t="inlineStr">
        <is>
          <t>Yes</t>
        </is>
      </c>
      <c r="J315" s="145" t="inlineStr">
        <is>
          <t>No</t>
        </is>
      </c>
      <c r="K315" s="145" t="inlineStr">
        <is>
          <t>None</t>
        </is>
      </c>
      <c r="L315" s="145" t="inlineStr">
        <is>
          <t>#000000</t>
        </is>
      </c>
      <c r="M315" s="145" t="inlineStr">
        <is>
          <t>Center</t>
        </is>
      </c>
      <c r="N315" s="145" t="inlineStr">
        <is>
          <t>Center</t>
        </is>
      </c>
      <c r="O315" s="145" t="inlineStr">
        <is>
          <t>Yes</t>
        </is>
      </c>
      <c r="P315" s="145" t="inlineStr">
        <is>
          <t>General</t>
        </is>
      </c>
      <c r="Q315" s="145" t="inlineStr">
        <is>
          <t>General</t>
        </is>
      </c>
      <c r="R315" s="145" t="n"/>
      <c r="S315" s="145" t="n"/>
      <c r="T315" s="145" t="n"/>
      <c r="U315" s="145" t="n"/>
      <c r="V315" s="145" t="n"/>
      <c r="W315" s="145" t="n"/>
      <c r="X315" s="145" t="inlineStr">
        <is>
          <t>Detailed format sample from top 5 used rows</t>
        </is>
      </c>
    </row>
    <row r="316" ht="23.85" customHeight="1" s="79">
      <c r="A316" s="145" t="inlineStr">
        <is>
          <t>REGULAR_ART</t>
        </is>
      </c>
      <c r="B316" s="145" t="inlineStr">
        <is>
          <t>Top-Row Cell Format</t>
        </is>
      </c>
      <c r="C316" s="145" t="inlineStr">
        <is>
          <t>F4</t>
        </is>
      </c>
      <c r="D316" s="145" t="inlineStr">
        <is>
          <t>REGULAR_ART!A1:AT410</t>
        </is>
      </c>
      <c r="E316" s="145" t="inlineStr">
        <is>
          <t>Normal</t>
        </is>
      </c>
      <c r="F316" s="145" t="inlineStr">
        <is>
          <t>#FFD966</t>
        </is>
      </c>
      <c r="G316" s="145" t="inlineStr">
        <is>
          <t>Aptos</t>
        </is>
      </c>
      <c r="H316" s="145" t="n">
        <v>8</v>
      </c>
      <c r="I316" s="145" t="inlineStr">
        <is>
          <t>No</t>
        </is>
      </c>
      <c r="J316" s="145" t="inlineStr">
        <is>
          <t>No</t>
        </is>
      </c>
      <c r="K316" s="145" t="inlineStr">
        <is>
          <t>None</t>
        </is>
      </c>
      <c r="L316" s="145" t="inlineStr">
        <is>
          <t>#000000</t>
        </is>
      </c>
      <c r="M316" s="145" t="inlineStr">
        <is>
          <t>General</t>
        </is>
      </c>
      <c r="N316" s="145" t="inlineStr">
        <is>
          <t>Center</t>
        </is>
      </c>
      <c r="O316" s="145" t="inlineStr">
        <is>
          <t>No</t>
        </is>
      </c>
      <c r="P316" s="145" t="inlineStr">
        <is>
          <t>General</t>
        </is>
      </c>
      <c r="Q316" s="145" t="inlineStr">
        <is>
          <t>General</t>
        </is>
      </c>
      <c r="R316" s="145" t="n"/>
      <c r="S316" s="145" t="n"/>
      <c r="T316" s="145" t="n"/>
      <c r="U316" s="145" t="n"/>
      <c r="V316" s="145" t="n"/>
      <c r="W316" s="145" t="n"/>
      <c r="X316" s="145" t="inlineStr">
        <is>
          <t>Detailed format sample from top 5 used rows</t>
        </is>
      </c>
    </row>
    <row r="317" ht="23.85" customHeight="1" s="79">
      <c r="A317" s="145" t="inlineStr">
        <is>
          <t>REGULAR_ART</t>
        </is>
      </c>
      <c r="B317" s="145" t="inlineStr">
        <is>
          <t>Top-Row Cell Format</t>
        </is>
      </c>
      <c r="C317" s="145" t="inlineStr">
        <is>
          <t>F5</t>
        </is>
      </c>
      <c r="D317" s="145" t="inlineStr">
        <is>
          <t>REGULAR_ART!A1:AT410</t>
        </is>
      </c>
      <c r="E317" s="145" t="inlineStr">
        <is>
          <t>Comma</t>
        </is>
      </c>
      <c r="F317" s="145" t="n"/>
      <c r="G317" s="145" t="inlineStr">
        <is>
          <t>Aptos</t>
        </is>
      </c>
      <c r="H317" s="145" t="n">
        <v>8</v>
      </c>
      <c r="I317" s="145" t="inlineStr">
        <is>
          <t>No</t>
        </is>
      </c>
      <c r="J317" s="145" t="inlineStr">
        <is>
          <t>No</t>
        </is>
      </c>
      <c r="K317" s="145" t="inlineStr">
        <is>
          <t>None</t>
        </is>
      </c>
      <c r="L317" s="145" t="inlineStr">
        <is>
          <t>#000000</t>
        </is>
      </c>
      <c r="M317" s="145" t="inlineStr">
        <is>
          <t>General</t>
        </is>
      </c>
      <c r="N317" s="145" t="inlineStr">
        <is>
          <t>Center</t>
        </is>
      </c>
      <c r="O317" s="145" t="inlineStr">
        <is>
          <t>No</t>
        </is>
      </c>
      <c r="P317" s="145" t="inlineStr">
        <is>
          <t xml:space="preserve">_ * #,##0_ ;_ * -#,##0_ ;_ * "-"??_ ;_ @_ </t>
        </is>
      </c>
      <c r="Q317" s="145" t="inlineStr">
        <is>
          <t>Text</t>
        </is>
      </c>
      <c r="R317" s="145" t="n"/>
      <c r="S317" s="145" t="n"/>
      <c r="T317" s="145" t="n"/>
      <c r="U317" s="145" t="n"/>
      <c r="V317" s="145" t="n"/>
      <c r="W317" s="145" t="n"/>
      <c r="X317" s="145" t="inlineStr">
        <is>
          <t>Detailed format sample from top 5 used rows</t>
        </is>
      </c>
    </row>
    <row r="318" ht="57.45" customHeight="1" s="79">
      <c r="A318" s="145" t="inlineStr">
        <is>
          <t>REGULAR_ART</t>
        </is>
      </c>
      <c r="B318" s="145" t="inlineStr">
        <is>
          <t>Column Format</t>
        </is>
      </c>
      <c r="C318" s="145" t="inlineStr">
        <is>
          <t>G:G</t>
        </is>
      </c>
      <c r="D318" s="145" t="inlineStr">
        <is>
          <t>REGULAR_ART!A1:AT410</t>
        </is>
      </c>
      <c r="E318" s="145" t="inlineStr">
        <is>
          <t>Mixed</t>
        </is>
      </c>
      <c r="F318" s="145" t="inlineStr">
        <is>
          <t>Mixed</t>
        </is>
      </c>
      <c r="G318" s="145" t="inlineStr">
        <is>
          <t>Aptos</t>
        </is>
      </c>
      <c r="H318" s="145" t="n">
        <v>8</v>
      </c>
      <c r="I318" s="145" t="inlineStr">
        <is>
          <t>Mixed</t>
        </is>
      </c>
      <c r="J318" s="145" t="inlineStr">
        <is>
          <t>No</t>
        </is>
      </c>
      <c r="K318" s="145" t="inlineStr">
        <is>
          <t>None</t>
        </is>
      </c>
      <c r="L318" s="145" t="inlineStr">
        <is>
          <t>#000000</t>
        </is>
      </c>
      <c r="M318" s="145" t="inlineStr">
        <is>
          <t>Mixed</t>
        </is>
      </c>
      <c r="N318" s="145" t="inlineStr">
        <is>
          <t>Center</t>
        </is>
      </c>
      <c r="O318" s="145" t="inlineStr">
        <is>
          <t>Mixed</t>
        </is>
      </c>
      <c r="P318" s="145" t="n"/>
      <c r="Q318" s="145" t="n"/>
      <c r="R318" s="145" t="inlineStr">
        <is>
          <t>EdgeTop:Continuous/Thin/#000000; EdgeBottom:Continuous/Thin/#000000; EdgeLeft:Continuous/Thin/#000000; EdgeRight:Continuous/Thin/#000000; InsideHorizontal:Continuous/Thin/#000000</t>
        </is>
      </c>
      <c r="S318" s="145" t="n">
        <v>0</v>
      </c>
      <c r="T318" s="145" t="n"/>
      <c r="U318" s="145" t="inlineStr">
        <is>
          <t>Yes</t>
        </is>
      </c>
      <c r="V318" s="145" t="inlineStr">
        <is>
          <t>Hidden column (possible outline/group)</t>
        </is>
      </c>
      <c r="W318" s="145" t="n"/>
      <c r="X318" s="145" t="inlineStr">
        <is>
          <t>Mixed styles within used column</t>
        </is>
      </c>
    </row>
    <row r="319" ht="23.85" customHeight="1" s="79">
      <c r="A319" s="145" t="inlineStr">
        <is>
          <t>REGULAR_ART</t>
        </is>
      </c>
      <c r="B319" s="145" t="inlineStr">
        <is>
          <t>Top-Row Cell Format</t>
        </is>
      </c>
      <c r="C319" s="145" t="inlineStr">
        <is>
          <t>G1</t>
        </is>
      </c>
      <c r="D319" s="145" t="inlineStr">
        <is>
          <t>REGULAR_ART!A1:AT410</t>
        </is>
      </c>
      <c r="E319" s="145" t="inlineStr">
        <is>
          <t>Normal</t>
        </is>
      </c>
      <c r="F319" s="145" t="inlineStr">
        <is>
          <t>#C9C9C9</t>
        </is>
      </c>
      <c r="G319" s="145" t="inlineStr">
        <is>
          <t>Aptos</t>
        </is>
      </c>
      <c r="H319" s="145" t="n">
        <v>8</v>
      </c>
      <c r="I319" s="145" t="inlineStr">
        <is>
          <t>Yes</t>
        </is>
      </c>
      <c r="J319" s="145" t="inlineStr">
        <is>
          <t>No</t>
        </is>
      </c>
      <c r="K319" s="145" t="inlineStr">
        <is>
          <t>None</t>
        </is>
      </c>
      <c r="L319" s="145" t="inlineStr">
        <is>
          <t>#000000</t>
        </is>
      </c>
      <c r="M319" s="145" t="inlineStr">
        <is>
          <t>Center</t>
        </is>
      </c>
      <c r="N319" s="145" t="inlineStr">
        <is>
          <t>Center</t>
        </is>
      </c>
      <c r="O319" s="145" t="inlineStr">
        <is>
          <t>No</t>
        </is>
      </c>
      <c r="P319" s="145" t="inlineStr">
        <is>
          <t>General</t>
        </is>
      </c>
      <c r="Q319" s="145" t="inlineStr">
        <is>
          <t>General</t>
        </is>
      </c>
      <c r="R319" s="145" t="n"/>
      <c r="S319" s="145" t="n"/>
      <c r="T319" s="145" t="n"/>
      <c r="U319" s="145" t="n"/>
      <c r="V319" s="145" t="n"/>
      <c r="W319" s="145" t="n"/>
      <c r="X319" s="145" t="inlineStr">
        <is>
          <t>Detailed format sample from top 5 used rows</t>
        </is>
      </c>
    </row>
    <row r="320" ht="23.85" customHeight="1" s="79">
      <c r="A320" s="145" t="inlineStr">
        <is>
          <t>REGULAR_ART</t>
        </is>
      </c>
      <c r="B320" s="145" t="inlineStr">
        <is>
          <t>Top-Row Cell Format</t>
        </is>
      </c>
      <c r="C320" s="145" t="inlineStr">
        <is>
          <t>G2</t>
        </is>
      </c>
      <c r="D320" s="145" t="inlineStr">
        <is>
          <t>REGULAR_ART!A1:AT410</t>
        </is>
      </c>
      <c r="E320" s="145" t="inlineStr">
        <is>
          <t>Comma</t>
        </is>
      </c>
      <c r="F320" s="145" t="inlineStr">
        <is>
          <t>#B4C6E7</t>
        </is>
      </c>
      <c r="G320" s="145" t="inlineStr">
        <is>
          <t>Aptos</t>
        </is>
      </c>
      <c r="H320" s="145" t="n">
        <v>8</v>
      </c>
      <c r="I320" s="145" t="inlineStr">
        <is>
          <t>Yes</t>
        </is>
      </c>
      <c r="J320" s="145" t="inlineStr">
        <is>
          <t>No</t>
        </is>
      </c>
      <c r="K320" s="145" t="inlineStr">
        <is>
          <t>None</t>
        </is>
      </c>
      <c r="L320" s="145" t="inlineStr">
        <is>
          <t>#000000</t>
        </is>
      </c>
      <c r="M320" s="145" t="inlineStr">
        <is>
          <t>General</t>
        </is>
      </c>
      <c r="N320" s="145" t="inlineStr">
        <is>
          <t>Center</t>
        </is>
      </c>
      <c r="O320" s="145" t="inlineStr">
        <is>
          <t>No</t>
        </is>
      </c>
      <c r="P320" s="145" t="inlineStr">
        <is>
          <t xml:space="preserve">_ * #,##0_ ;_ * -#,##0_ ;_ * "-"??_ ;_ @_ </t>
        </is>
      </c>
      <c r="Q320" s="145" t="inlineStr">
        <is>
          <t>Text</t>
        </is>
      </c>
      <c r="R320" s="145" t="n"/>
      <c r="S320" s="145" t="n"/>
      <c r="T320" s="145" t="n"/>
      <c r="U320" s="145" t="n"/>
      <c r="V320" s="145" t="n"/>
      <c r="W320" s="145" t="n"/>
      <c r="X320" s="145" t="inlineStr">
        <is>
          <t>Detailed format sample from top 5 used rows</t>
        </is>
      </c>
    </row>
    <row r="321" ht="23.85" customHeight="1" s="79">
      <c r="A321" s="145" t="inlineStr">
        <is>
          <t>REGULAR_ART</t>
        </is>
      </c>
      <c r="B321" s="145" t="inlineStr">
        <is>
          <t>Top-Row Cell Format</t>
        </is>
      </c>
      <c r="C321" s="145" t="inlineStr">
        <is>
          <t>G3</t>
        </is>
      </c>
      <c r="D321" s="145" t="inlineStr">
        <is>
          <t>REGULAR_ART!A1:AT410</t>
        </is>
      </c>
      <c r="E321" s="145" t="inlineStr">
        <is>
          <t>Normal</t>
        </is>
      </c>
      <c r="F321" s="145" t="inlineStr">
        <is>
          <t>#FFD966</t>
        </is>
      </c>
      <c r="G321" s="145" t="inlineStr">
        <is>
          <t>Aptos</t>
        </is>
      </c>
      <c r="H321" s="145" t="n">
        <v>8</v>
      </c>
      <c r="I321" s="145" t="inlineStr">
        <is>
          <t>Yes</t>
        </is>
      </c>
      <c r="J321" s="145" t="inlineStr">
        <is>
          <t>No</t>
        </is>
      </c>
      <c r="K321" s="145" t="inlineStr">
        <is>
          <t>None</t>
        </is>
      </c>
      <c r="L321" s="145" t="inlineStr">
        <is>
          <t>#000000</t>
        </is>
      </c>
      <c r="M321" s="145" t="inlineStr">
        <is>
          <t>Center</t>
        </is>
      </c>
      <c r="N321" s="145" t="inlineStr">
        <is>
          <t>Center</t>
        </is>
      </c>
      <c r="O321" s="145" t="inlineStr">
        <is>
          <t>Yes</t>
        </is>
      </c>
      <c r="P321" s="145" t="inlineStr">
        <is>
          <t>General</t>
        </is>
      </c>
      <c r="Q321" s="145" t="inlineStr">
        <is>
          <t>General</t>
        </is>
      </c>
      <c r="R321" s="145" t="n"/>
      <c r="S321" s="145" t="n"/>
      <c r="T321" s="145" t="n"/>
      <c r="U321" s="145" t="n"/>
      <c r="V321" s="145" t="n"/>
      <c r="W321" s="145" t="n"/>
      <c r="X321" s="145" t="inlineStr">
        <is>
          <t>Detailed format sample from top 5 used rows</t>
        </is>
      </c>
    </row>
    <row r="322" ht="23.85" customHeight="1" s="79">
      <c r="A322" s="145" t="inlineStr">
        <is>
          <t>REGULAR_ART</t>
        </is>
      </c>
      <c r="B322" s="145" t="inlineStr">
        <is>
          <t>Top-Row Cell Format</t>
        </is>
      </c>
      <c r="C322" s="145" t="inlineStr">
        <is>
          <t>G4</t>
        </is>
      </c>
      <c r="D322" s="145" t="inlineStr">
        <is>
          <t>REGULAR_ART!A1:AT410</t>
        </is>
      </c>
      <c r="E322" s="145" t="inlineStr">
        <is>
          <t>Normal</t>
        </is>
      </c>
      <c r="F322" s="145" t="inlineStr">
        <is>
          <t>#FFD966</t>
        </is>
      </c>
      <c r="G322" s="145" t="inlineStr">
        <is>
          <t>Aptos</t>
        </is>
      </c>
      <c r="H322" s="145" t="n">
        <v>8</v>
      </c>
      <c r="I322" s="145" t="inlineStr">
        <is>
          <t>No</t>
        </is>
      </c>
      <c r="J322" s="145" t="inlineStr">
        <is>
          <t>No</t>
        </is>
      </c>
      <c r="K322" s="145" t="inlineStr">
        <is>
          <t>None</t>
        </is>
      </c>
      <c r="L322" s="145" t="inlineStr">
        <is>
          <t>#000000</t>
        </is>
      </c>
      <c r="M322" s="145" t="inlineStr">
        <is>
          <t>General</t>
        </is>
      </c>
      <c r="N322" s="145" t="inlineStr">
        <is>
          <t>Center</t>
        </is>
      </c>
      <c r="O322" s="145" t="inlineStr">
        <is>
          <t>No</t>
        </is>
      </c>
      <c r="P322" s="145" t="inlineStr">
        <is>
          <t>General</t>
        </is>
      </c>
      <c r="Q322" s="145" t="inlineStr">
        <is>
          <t>General</t>
        </is>
      </c>
      <c r="R322" s="145" t="n"/>
      <c r="S322" s="145" t="n"/>
      <c r="T322" s="145" t="n"/>
      <c r="U322" s="145" t="n"/>
      <c r="V322" s="145" t="n"/>
      <c r="W322" s="145" t="n"/>
      <c r="X322" s="145" t="inlineStr">
        <is>
          <t>Detailed format sample from top 5 used rows</t>
        </is>
      </c>
    </row>
    <row r="323" ht="23.85" customHeight="1" s="79">
      <c r="A323" s="145" t="inlineStr">
        <is>
          <t>REGULAR_ART</t>
        </is>
      </c>
      <c r="B323" s="145" t="inlineStr">
        <is>
          <t>Top-Row Cell Format</t>
        </is>
      </c>
      <c r="C323" s="145" t="inlineStr">
        <is>
          <t>G5</t>
        </is>
      </c>
      <c r="D323" s="145" t="inlineStr">
        <is>
          <t>REGULAR_ART!A1:AT410</t>
        </is>
      </c>
      <c r="E323" s="145" t="inlineStr">
        <is>
          <t>Comma</t>
        </is>
      </c>
      <c r="F323" s="145" t="n"/>
      <c r="G323" s="145" t="inlineStr">
        <is>
          <t>Aptos</t>
        </is>
      </c>
      <c r="H323" s="145" t="n">
        <v>8</v>
      </c>
      <c r="I323" s="145" t="inlineStr">
        <is>
          <t>No</t>
        </is>
      </c>
      <c r="J323" s="145" t="inlineStr">
        <is>
          <t>No</t>
        </is>
      </c>
      <c r="K323" s="145" t="inlineStr">
        <is>
          <t>None</t>
        </is>
      </c>
      <c r="L323" s="145" t="inlineStr">
        <is>
          <t>#000000</t>
        </is>
      </c>
      <c r="M323" s="145" t="inlineStr">
        <is>
          <t>General</t>
        </is>
      </c>
      <c r="N323" s="145" t="inlineStr">
        <is>
          <t>Center</t>
        </is>
      </c>
      <c r="O323" s="145" t="inlineStr">
        <is>
          <t>No</t>
        </is>
      </c>
      <c r="P323" s="145" t="inlineStr">
        <is>
          <t xml:space="preserve">_ * #,##0_ ;_ * -#,##0_ ;_ * "-"??_ ;_ @_ </t>
        </is>
      </c>
      <c r="Q323" s="145" t="inlineStr">
        <is>
          <t>Text</t>
        </is>
      </c>
      <c r="R323" s="145" t="n"/>
      <c r="S323" s="145" t="n"/>
      <c r="T323" s="145" t="n"/>
      <c r="U323" s="145" t="n"/>
      <c r="V323" s="145" t="n"/>
      <c r="W323" s="145" t="n"/>
      <c r="X323" s="145" t="inlineStr">
        <is>
          <t>Detailed format sample from top 5 used rows</t>
        </is>
      </c>
    </row>
    <row r="324" ht="57.45" customHeight="1" s="79">
      <c r="A324" s="145" t="inlineStr">
        <is>
          <t>REGULAR_ART</t>
        </is>
      </c>
      <c r="B324" s="145" t="inlineStr">
        <is>
          <t>Column Format</t>
        </is>
      </c>
      <c r="C324" s="145" t="inlineStr">
        <is>
          <t>H:H</t>
        </is>
      </c>
      <c r="D324" s="145" t="inlineStr">
        <is>
          <t>REGULAR_ART!A1:AT410</t>
        </is>
      </c>
      <c r="E324" s="145" t="inlineStr">
        <is>
          <t>Mixed</t>
        </is>
      </c>
      <c r="F324" s="145" t="inlineStr">
        <is>
          <t>Mixed</t>
        </is>
      </c>
      <c r="G324" s="145" t="inlineStr">
        <is>
          <t>Aptos</t>
        </is>
      </c>
      <c r="H324" s="145" t="n">
        <v>8</v>
      </c>
      <c r="I324" s="145" t="inlineStr">
        <is>
          <t>Mixed</t>
        </is>
      </c>
      <c r="J324" s="145" t="inlineStr">
        <is>
          <t>No</t>
        </is>
      </c>
      <c r="K324" s="145" t="inlineStr">
        <is>
          <t>None</t>
        </is>
      </c>
      <c r="L324" s="145" t="inlineStr">
        <is>
          <t>#000000</t>
        </is>
      </c>
      <c r="M324" s="145" t="inlineStr">
        <is>
          <t>Mixed</t>
        </is>
      </c>
      <c r="N324" s="145" t="inlineStr">
        <is>
          <t>Center</t>
        </is>
      </c>
      <c r="O324" s="145" t="inlineStr">
        <is>
          <t>Mixed</t>
        </is>
      </c>
      <c r="P324" s="145" t="n"/>
      <c r="Q324" s="145" t="n"/>
      <c r="R324" s="145" t="inlineStr">
        <is>
          <t>EdgeTop:Continuous/Thin/#000000; EdgeBottom:Continuous/Thin/#000000; EdgeLeft:Continuous/Thin/#000000; EdgeRight:Continuous/Thin/#000000; InsideHorizontal:Continuous/Thin/#000000</t>
        </is>
      </c>
      <c r="S324" s="145" t="n">
        <v>0</v>
      </c>
      <c r="T324" s="145" t="n"/>
      <c r="U324" s="145" t="inlineStr">
        <is>
          <t>Yes</t>
        </is>
      </c>
      <c r="V324" s="145" t="inlineStr">
        <is>
          <t>Hidden column (possible outline/group)</t>
        </is>
      </c>
      <c r="W324" s="145" t="n"/>
      <c r="X324" s="145" t="inlineStr">
        <is>
          <t>Mixed styles within used column</t>
        </is>
      </c>
    </row>
    <row r="325" ht="23.85" customHeight="1" s="79">
      <c r="A325" s="145" t="inlineStr">
        <is>
          <t>REGULAR_ART</t>
        </is>
      </c>
      <c r="B325" s="145" t="inlineStr">
        <is>
          <t>Top-Row Cell Format</t>
        </is>
      </c>
      <c r="C325" s="145" t="inlineStr">
        <is>
          <t>H1</t>
        </is>
      </c>
      <c r="D325" s="145" t="inlineStr">
        <is>
          <t>REGULAR_ART!A1:AT410</t>
        </is>
      </c>
      <c r="E325" s="145" t="inlineStr">
        <is>
          <t>Normal</t>
        </is>
      </c>
      <c r="F325" s="145" t="inlineStr">
        <is>
          <t>#C9C9C9</t>
        </is>
      </c>
      <c r="G325" s="145" t="inlineStr">
        <is>
          <t>Aptos</t>
        </is>
      </c>
      <c r="H325" s="145" t="n">
        <v>8</v>
      </c>
      <c r="I325" s="145" t="inlineStr">
        <is>
          <t>Yes</t>
        </is>
      </c>
      <c r="J325" s="145" t="inlineStr">
        <is>
          <t>No</t>
        </is>
      </c>
      <c r="K325" s="145" t="inlineStr">
        <is>
          <t>None</t>
        </is>
      </c>
      <c r="L325" s="145" t="inlineStr">
        <is>
          <t>#000000</t>
        </is>
      </c>
      <c r="M325" s="145" t="inlineStr">
        <is>
          <t>Center</t>
        </is>
      </c>
      <c r="N325" s="145" t="inlineStr">
        <is>
          <t>Center</t>
        </is>
      </c>
      <c r="O325" s="145" t="inlineStr">
        <is>
          <t>No</t>
        </is>
      </c>
      <c r="P325" s="145" t="inlineStr">
        <is>
          <t>General</t>
        </is>
      </c>
      <c r="Q325" s="145" t="inlineStr">
        <is>
          <t>General</t>
        </is>
      </c>
      <c r="R325" s="145" t="n"/>
      <c r="S325" s="145" t="n"/>
      <c r="T325" s="145" t="n"/>
      <c r="U325" s="145" t="n"/>
      <c r="V325" s="145" t="n"/>
      <c r="W325" s="145" t="n"/>
      <c r="X325" s="145" t="inlineStr">
        <is>
          <t>Detailed format sample from top 5 used rows</t>
        </is>
      </c>
    </row>
    <row r="326" ht="23.85" customHeight="1" s="79">
      <c r="A326" s="145" t="inlineStr">
        <is>
          <t>REGULAR_ART</t>
        </is>
      </c>
      <c r="B326" s="145" t="inlineStr">
        <is>
          <t>Top-Row Cell Format</t>
        </is>
      </c>
      <c r="C326" s="145" t="inlineStr">
        <is>
          <t>H2</t>
        </is>
      </c>
      <c r="D326" s="145" t="inlineStr">
        <is>
          <t>REGULAR_ART!A1:AT410</t>
        </is>
      </c>
      <c r="E326" s="145" t="inlineStr">
        <is>
          <t>Comma</t>
        </is>
      </c>
      <c r="F326" s="145" t="inlineStr">
        <is>
          <t>#B4C6E7</t>
        </is>
      </c>
      <c r="G326" s="145" t="inlineStr">
        <is>
          <t>Aptos</t>
        </is>
      </c>
      <c r="H326" s="145" t="n">
        <v>8</v>
      </c>
      <c r="I326" s="145" t="inlineStr">
        <is>
          <t>Yes</t>
        </is>
      </c>
      <c r="J326" s="145" t="inlineStr">
        <is>
          <t>No</t>
        </is>
      </c>
      <c r="K326" s="145" t="inlineStr">
        <is>
          <t>None</t>
        </is>
      </c>
      <c r="L326" s="145" t="inlineStr">
        <is>
          <t>#000000</t>
        </is>
      </c>
      <c r="M326" s="145" t="inlineStr">
        <is>
          <t>General</t>
        </is>
      </c>
      <c r="N326" s="145" t="inlineStr">
        <is>
          <t>Center</t>
        </is>
      </c>
      <c r="O326" s="145" t="inlineStr">
        <is>
          <t>No</t>
        </is>
      </c>
      <c r="P326" s="145" t="inlineStr">
        <is>
          <t xml:space="preserve">_ * #,##0_ ;_ * -#,##0_ ;_ * "-"??_ ;_ @_ </t>
        </is>
      </c>
      <c r="Q326" s="145" t="inlineStr">
        <is>
          <t>Text</t>
        </is>
      </c>
      <c r="R326" s="145" t="n"/>
      <c r="S326" s="145" t="n"/>
      <c r="T326" s="145" t="n"/>
      <c r="U326" s="145" t="n"/>
      <c r="V326" s="145" t="n"/>
      <c r="W326" s="145" t="n"/>
      <c r="X326" s="145" t="inlineStr">
        <is>
          <t>Detailed format sample from top 5 used rows</t>
        </is>
      </c>
    </row>
    <row r="327" ht="23.85" customHeight="1" s="79">
      <c r="A327" s="145" t="inlineStr">
        <is>
          <t>REGULAR_ART</t>
        </is>
      </c>
      <c r="B327" s="145" t="inlineStr">
        <is>
          <t>Top-Row Cell Format</t>
        </is>
      </c>
      <c r="C327" s="145" t="inlineStr">
        <is>
          <t>H3</t>
        </is>
      </c>
      <c r="D327" s="145" t="inlineStr">
        <is>
          <t>REGULAR_ART!A1:AT410</t>
        </is>
      </c>
      <c r="E327" s="145" t="inlineStr">
        <is>
          <t>Normal</t>
        </is>
      </c>
      <c r="F327" s="145" t="inlineStr">
        <is>
          <t>#FFD966</t>
        </is>
      </c>
      <c r="G327" s="145" t="inlineStr">
        <is>
          <t>Aptos</t>
        </is>
      </c>
      <c r="H327" s="145" t="n">
        <v>8</v>
      </c>
      <c r="I327" s="145" t="inlineStr">
        <is>
          <t>Yes</t>
        </is>
      </c>
      <c r="J327" s="145" t="inlineStr">
        <is>
          <t>No</t>
        </is>
      </c>
      <c r="K327" s="145" t="inlineStr">
        <is>
          <t>None</t>
        </is>
      </c>
      <c r="L327" s="145" t="inlineStr">
        <is>
          <t>#000000</t>
        </is>
      </c>
      <c r="M327" s="145" t="inlineStr">
        <is>
          <t>Center</t>
        </is>
      </c>
      <c r="N327" s="145" t="inlineStr">
        <is>
          <t>Center</t>
        </is>
      </c>
      <c r="O327" s="145" t="inlineStr">
        <is>
          <t>Yes</t>
        </is>
      </c>
      <c r="P327" s="145" t="inlineStr">
        <is>
          <t>General</t>
        </is>
      </c>
      <c r="Q327" s="145" t="inlineStr">
        <is>
          <t>General</t>
        </is>
      </c>
      <c r="R327" s="145" t="n"/>
      <c r="S327" s="145" t="n"/>
      <c r="T327" s="145" t="n"/>
      <c r="U327" s="145" t="n"/>
      <c r="V327" s="145" t="n"/>
      <c r="W327" s="145" t="n"/>
      <c r="X327" s="145" t="inlineStr">
        <is>
          <t>Detailed format sample from top 5 used rows</t>
        </is>
      </c>
    </row>
    <row r="328" ht="23.85" customHeight="1" s="79">
      <c r="A328" s="145" t="inlineStr">
        <is>
          <t>REGULAR_ART</t>
        </is>
      </c>
      <c r="B328" s="145" t="inlineStr">
        <is>
          <t>Top-Row Cell Format</t>
        </is>
      </c>
      <c r="C328" s="145" t="inlineStr">
        <is>
          <t>H4</t>
        </is>
      </c>
      <c r="D328" s="145" t="inlineStr">
        <is>
          <t>REGULAR_ART!A1:AT410</t>
        </is>
      </c>
      <c r="E328" s="145" t="inlineStr">
        <is>
          <t>Normal</t>
        </is>
      </c>
      <c r="F328" s="145" t="inlineStr">
        <is>
          <t>#FFD966</t>
        </is>
      </c>
      <c r="G328" s="145" t="inlineStr">
        <is>
          <t>Aptos</t>
        </is>
      </c>
      <c r="H328" s="145" t="n">
        <v>8</v>
      </c>
      <c r="I328" s="145" t="inlineStr">
        <is>
          <t>No</t>
        </is>
      </c>
      <c r="J328" s="145" t="inlineStr">
        <is>
          <t>No</t>
        </is>
      </c>
      <c r="K328" s="145" t="inlineStr">
        <is>
          <t>None</t>
        </is>
      </c>
      <c r="L328" s="145" t="inlineStr">
        <is>
          <t>#000000</t>
        </is>
      </c>
      <c r="M328" s="145" t="inlineStr">
        <is>
          <t>General</t>
        </is>
      </c>
      <c r="N328" s="145" t="inlineStr">
        <is>
          <t>Center</t>
        </is>
      </c>
      <c r="O328" s="145" t="inlineStr">
        <is>
          <t>No</t>
        </is>
      </c>
      <c r="P328" s="145" t="inlineStr">
        <is>
          <t>General</t>
        </is>
      </c>
      <c r="Q328" s="145" t="inlineStr">
        <is>
          <t>General</t>
        </is>
      </c>
      <c r="R328" s="145" t="n"/>
      <c r="S328" s="145" t="n"/>
      <c r="T328" s="145" t="n"/>
      <c r="U328" s="145" t="n"/>
      <c r="V328" s="145" t="n"/>
      <c r="W328" s="145" t="n"/>
      <c r="X328" s="145" t="inlineStr">
        <is>
          <t>Detailed format sample from top 5 used rows</t>
        </is>
      </c>
    </row>
    <row r="329" ht="23.85" customHeight="1" s="79">
      <c r="A329" s="145" t="inlineStr">
        <is>
          <t>REGULAR_ART</t>
        </is>
      </c>
      <c r="B329" s="145" t="inlineStr">
        <is>
          <t>Top-Row Cell Format</t>
        </is>
      </c>
      <c r="C329" s="145" t="inlineStr">
        <is>
          <t>H5</t>
        </is>
      </c>
      <c r="D329" s="145" t="inlineStr">
        <is>
          <t>REGULAR_ART!A1:AT410</t>
        </is>
      </c>
      <c r="E329" s="145" t="inlineStr">
        <is>
          <t>Comma</t>
        </is>
      </c>
      <c r="F329" s="145" t="n"/>
      <c r="G329" s="145" t="inlineStr">
        <is>
          <t>Aptos</t>
        </is>
      </c>
      <c r="H329" s="145" t="n">
        <v>8</v>
      </c>
      <c r="I329" s="145" t="inlineStr">
        <is>
          <t>No</t>
        </is>
      </c>
      <c r="J329" s="145" t="inlineStr">
        <is>
          <t>No</t>
        </is>
      </c>
      <c r="K329" s="145" t="inlineStr">
        <is>
          <t>None</t>
        </is>
      </c>
      <c r="L329" s="145" t="inlineStr">
        <is>
          <t>#000000</t>
        </is>
      </c>
      <c r="M329" s="145" t="inlineStr">
        <is>
          <t>General</t>
        </is>
      </c>
      <c r="N329" s="145" t="inlineStr">
        <is>
          <t>Center</t>
        </is>
      </c>
      <c r="O329" s="145" t="inlineStr">
        <is>
          <t>No</t>
        </is>
      </c>
      <c r="P329" s="145" t="inlineStr">
        <is>
          <t xml:space="preserve">_ * #,##0_ ;_ * -#,##0_ ;_ * "-"??_ ;_ @_ </t>
        </is>
      </c>
      <c r="Q329" s="145" t="inlineStr">
        <is>
          <t>Text</t>
        </is>
      </c>
      <c r="R329" s="145" t="n"/>
      <c r="S329" s="145" t="n"/>
      <c r="T329" s="145" t="n"/>
      <c r="U329" s="145" t="n"/>
      <c r="V329" s="145" t="n"/>
      <c r="W329" s="145" t="n"/>
      <c r="X329" s="145" t="inlineStr">
        <is>
          <t>Detailed format sample from top 5 used rows</t>
        </is>
      </c>
    </row>
    <row r="330" ht="35.05" customHeight="1" s="79">
      <c r="A330" s="145" t="inlineStr">
        <is>
          <t>REGULAR_ART</t>
        </is>
      </c>
      <c r="B330" s="145" t="inlineStr">
        <is>
          <t>Column Format</t>
        </is>
      </c>
      <c r="C330" s="145" t="inlineStr">
        <is>
          <t>I:I</t>
        </is>
      </c>
      <c r="D330" s="145" t="inlineStr">
        <is>
          <t>REGULAR_ART!A1:AT410</t>
        </is>
      </c>
      <c r="E330" s="145" t="inlineStr">
        <is>
          <t>Normal</t>
        </is>
      </c>
      <c r="F330" s="145" t="inlineStr">
        <is>
          <t>Mixed</t>
        </is>
      </c>
      <c r="G330" s="145" t="inlineStr">
        <is>
          <t>Aptos</t>
        </is>
      </c>
      <c r="H330" s="145" t="n">
        <v>8</v>
      </c>
      <c r="I330" s="145" t="inlineStr">
        <is>
          <t>Mixed</t>
        </is>
      </c>
      <c r="J330" s="145" t="inlineStr">
        <is>
          <t>No</t>
        </is>
      </c>
      <c r="K330" s="145" t="inlineStr">
        <is>
          <t>None</t>
        </is>
      </c>
      <c r="L330" s="145" t="inlineStr">
        <is>
          <t>#000000</t>
        </is>
      </c>
      <c r="M330" s="145" t="inlineStr">
        <is>
          <t>General</t>
        </is>
      </c>
      <c r="N330" s="145" t="inlineStr">
        <is>
          <t>Center</t>
        </is>
      </c>
      <c r="O330" s="145" t="inlineStr">
        <is>
          <t>No</t>
        </is>
      </c>
      <c r="P330" s="145" t="n"/>
      <c r="Q330" s="145" t="n"/>
      <c r="R330" s="145" t="inlineStr">
        <is>
          <t>EdgeBottom:Continuous/Thin/#000000; EdgeLeft:Continuous/Thin/#000000; EdgeRight:Continuous/Thin/#000000</t>
        </is>
      </c>
      <c r="S330" s="145" t="n">
        <v>57.4925373134328</v>
      </c>
      <c r="T330" s="145" t="n"/>
      <c r="U330" s="145" t="inlineStr">
        <is>
          <t>No</t>
        </is>
      </c>
      <c r="V330" s="145" t="inlineStr">
        <is>
          <t>Visible</t>
        </is>
      </c>
      <c r="W330" s="145" t="n"/>
      <c r="X330" s="145" t="inlineStr">
        <is>
          <t>Mixed styles within used column</t>
        </is>
      </c>
    </row>
    <row r="331" ht="23.85" customHeight="1" s="79">
      <c r="A331" s="145" t="inlineStr">
        <is>
          <t>REGULAR_ART</t>
        </is>
      </c>
      <c r="B331" s="145" t="inlineStr">
        <is>
          <t>Top-Row Cell Format</t>
        </is>
      </c>
      <c r="C331" s="145" t="inlineStr">
        <is>
          <t>I1</t>
        </is>
      </c>
      <c r="D331" s="145" t="inlineStr">
        <is>
          <t>REGULAR_ART!A1:AT410</t>
        </is>
      </c>
      <c r="E331" s="145" t="inlineStr">
        <is>
          <t>Normal</t>
        </is>
      </c>
      <c r="F331" s="145" t="n"/>
      <c r="G331" s="145" t="inlineStr">
        <is>
          <t>Aptos</t>
        </is>
      </c>
      <c r="H331" s="145" t="n">
        <v>8</v>
      </c>
      <c r="I331" s="145" t="inlineStr">
        <is>
          <t>No</t>
        </is>
      </c>
      <c r="J331" s="145" t="inlineStr">
        <is>
          <t>No</t>
        </is>
      </c>
      <c r="K331" s="145" t="inlineStr">
        <is>
          <t>None</t>
        </is>
      </c>
      <c r="L331" s="145" t="inlineStr">
        <is>
          <t>#000000</t>
        </is>
      </c>
      <c r="M331" s="145" t="inlineStr">
        <is>
          <t>General</t>
        </is>
      </c>
      <c r="N331" s="145" t="inlineStr">
        <is>
          <t>Center</t>
        </is>
      </c>
      <c r="O331" s="145" t="inlineStr">
        <is>
          <t>No</t>
        </is>
      </c>
      <c r="P331" s="145" t="inlineStr">
        <is>
          <t>General</t>
        </is>
      </c>
      <c r="Q331" s="145" t="inlineStr">
        <is>
          <t>General</t>
        </is>
      </c>
      <c r="R331" s="145" t="n"/>
      <c r="S331" s="145" t="n"/>
      <c r="T331" s="145" t="n"/>
      <c r="U331" s="145" t="n"/>
      <c r="V331" s="145" t="n"/>
      <c r="W331" s="145" t="n"/>
      <c r="X331" s="145" t="inlineStr">
        <is>
          <t>Detailed format sample from top 5 used rows</t>
        </is>
      </c>
    </row>
    <row r="332" ht="23.85" customHeight="1" s="79">
      <c r="A332" s="145" t="inlineStr">
        <is>
          <t>REGULAR_ART</t>
        </is>
      </c>
      <c r="B332" s="145" t="inlineStr">
        <is>
          <t>Top-Row Cell Format</t>
        </is>
      </c>
      <c r="C332" s="145" t="inlineStr">
        <is>
          <t>I2</t>
        </is>
      </c>
      <c r="D332" s="145" t="inlineStr">
        <is>
          <t>REGULAR_ART!A1:AT410</t>
        </is>
      </c>
      <c r="E332" s="145" t="inlineStr">
        <is>
          <t>Normal</t>
        </is>
      </c>
      <c r="F332" s="145" t="n"/>
      <c r="G332" s="145" t="inlineStr">
        <is>
          <t>Aptos</t>
        </is>
      </c>
      <c r="H332" s="145" t="n">
        <v>8</v>
      </c>
      <c r="I332" s="145" t="inlineStr">
        <is>
          <t>No</t>
        </is>
      </c>
      <c r="J332" s="145" t="inlineStr">
        <is>
          <t>No</t>
        </is>
      </c>
      <c r="K332" s="145" t="inlineStr">
        <is>
          <t>None</t>
        </is>
      </c>
      <c r="L332" s="145" t="inlineStr">
        <is>
          <t>#000000</t>
        </is>
      </c>
      <c r="M332" s="145" t="inlineStr">
        <is>
          <t>General</t>
        </is>
      </c>
      <c r="N332" s="145" t="inlineStr">
        <is>
          <t>Center</t>
        </is>
      </c>
      <c r="O332" s="145" t="inlineStr">
        <is>
          <t>No</t>
        </is>
      </c>
      <c r="P332" s="145" t="inlineStr">
        <is>
          <t>General</t>
        </is>
      </c>
      <c r="Q332" s="145" t="inlineStr">
        <is>
          <t>General</t>
        </is>
      </c>
      <c r="R332" s="145" t="n"/>
      <c r="S332" s="145" t="n"/>
      <c r="T332" s="145" t="n"/>
      <c r="U332" s="145" t="n"/>
      <c r="V332" s="145" t="n"/>
      <c r="W332" s="145" t="n"/>
      <c r="X332" s="145" t="inlineStr">
        <is>
          <t>Detailed format sample from top 5 used rows</t>
        </is>
      </c>
    </row>
    <row r="333" ht="23.85" customHeight="1" s="79">
      <c r="A333" s="145" t="inlineStr">
        <is>
          <t>REGULAR_ART</t>
        </is>
      </c>
      <c r="B333" s="145" t="inlineStr">
        <is>
          <t>Top-Row Cell Format</t>
        </is>
      </c>
      <c r="C333" s="145" t="inlineStr">
        <is>
          <t>I3</t>
        </is>
      </c>
      <c r="D333" s="145" t="inlineStr">
        <is>
          <t>REGULAR_ART!A1:AT410</t>
        </is>
      </c>
      <c r="E333" s="145" t="inlineStr">
        <is>
          <t>Normal</t>
        </is>
      </c>
      <c r="F333" s="145" t="inlineStr">
        <is>
          <t>#F8CBAD</t>
        </is>
      </c>
      <c r="G333" s="145" t="inlineStr">
        <is>
          <t>Aptos</t>
        </is>
      </c>
      <c r="H333" s="145" t="n">
        <v>8</v>
      </c>
      <c r="I333" s="145" t="inlineStr">
        <is>
          <t>Yes</t>
        </is>
      </c>
      <c r="J333" s="145" t="inlineStr">
        <is>
          <t>No</t>
        </is>
      </c>
      <c r="K333" s="145" t="inlineStr">
        <is>
          <t>None</t>
        </is>
      </c>
      <c r="L333" s="145" t="inlineStr">
        <is>
          <t>#000000</t>
        </is>
      </c>
      <c r="M333" s="145" t="inlineStr">
        <is>
          <t>General</t>
        </is>
      </c>
      <c r="N333" s="145" t="inlineStr">
        <is>
          <t>Center</t>
        </is>
      </c>
      <c r="O333" s="145" t="inlineStr">
        <is>
          <t>No</t>
        </is>
      </c>
      <c r="P333" s="145" t="inlineStr">
        <is>
          <t>General</t>
        </is>
      </c>
      <c r="Q333" s="145" t="inlineStr">
        <is>
          <t>General</t>
        </is>
      </c>
      <c r="R333" s="145" t="n"/>
      <c r="S333" s="145" t="n"/>
      <c r="T333" s="145" t="n"/>
      <c r="U333" s="145" t="n"/>
      <c r="V333" s="145" t="n"/>
      <c r="W333" s="145" t="n"/>
      <c r="X333" s="145" t="inlineStr">
        <is>
          <t>Detailed format sample from top 5 used rows</t>
        </is>
      </c>
    </row>
    <row r="334" ht="23.85" customHeight="1" s="79">
      <c r="A334" s="145" t="inlineStr">
        <is>
          <t>REGULAR_ART</t>
        </is>
      </c>
      <c r="B334" s="145" t="inlineStr">
        <is>
          <t>Top-Row Cell Format</t>
        </is>
      </c>
      <c r="C334" s="145" t="inlineStr">
        <is>
          <t>I4</t>
        </is>
      </c>
      <c r="D334" s="145" t="inlineStr">
        <is>
          <t>REGULAR_ART!A1:AT410</t>
        </is>
      </c>
      <c r="E334" s="145" t="inlineStr">
        <is>
          <t>Normal</t>
        </is>
      </c>
      <c r="F334" s="145" t="inlineStr">
        <is>
          <t>#F8CBAD</t>
        </is>
      </c>
      <c r="G334" s="145" t="inlineStr">
        <is>
          <t>Aptos</t>
        </is>
      </c>
      <c r="H334" s="145" t="n">
        <v>8</v>
      </c>
      <c r="I334" s="145" t="inlineStr">
        <is>
          <t>No</t>
        </is>
      </c>
      <c r="J334" s="145" t="inlineStr">
        <is>
          <t>No</t>
        </is>
      </c>
      <c r="K334" s="145" t="inlineStr">
        <is>
          <t>None</t>
        </is>
      </c>
      <c r="L334" s="145" t="inlineStr">
        <is>
          <t>#000000</t>
        </is>
      </c>
      <c r="M334" s="145" t="inlineStr">
        <is>
          <t>General</t>
        </is>
      </c>
      <c r="N334" s="145" t="inlineStr">
        <is>
          <t>Center</t>
        </is>
      </c>
      <c r="O334" s="145" t="inlineStr">
        <is>
          <t>No</t>
        </is>
      </c>
      <c r="P334" s="145" t="inlineStr">
        <is>
          <t>General</t>
        </is>
      </c>
      <c r="Q334" s="145" t="inlineStr">
        <is>
          <t>General</t>
        </is>
      </c>
      <c r="R334" s="145" t="n"/>
      <c r="S334" s="145" t="n"/>
      <c r="T334" s="145" t="n"/>
      <c r="U334" s="145" t="n"/>
      <c r="V334" s="145" t="n"/>
      <c r="W334" s="145" t="n"/>
      <c r="X334" s="145" t="inlineStr">
        <is>
          <t>Detailed format sample from top 5 used rows</t>
        </is>
      </c>
    </row>
    <row r="335" ht="23.85" customHeight="1" s="79">
      <c r="A335" s="145" t="inlineStr">
        <is>
          <t>REGULAR_ART</t>
        </is>
      </c>
      <c r="B335" s="145" t="inlineStr">
        <is>
          <t>Top-Row Cell Format</t>
        </is>
      </c>
      <c r="C335" s="145" t="inlineStr">
        <is>
          <t>I5</t>
        </is>
      </c>
      <c r="D335" s="145" t="inlineStr">
        <is>
          <t>REGULAR_ART!A1:AT410</t>
        </is>
      </c>
      <c r="E335" s="145" t="inlineStr">
        <is>
          <t>Normal</t>
        </is>
      </c>
      <c r="F335" s="145" t="n"/>
      <c r="G335" s="145" t="inlineStr">
        <is>
          <t>Aptos</t>
        </is>
      </c>
      <c r="H335" s="145" t="n">
        <v>8</v>
      </c>
      <c r="I335" s="145" t="inlineStr">
        <is>
          <t>No</t>
        </is>
      </c>
      <c r="J335" s="145" t="inlineStr">
        <is>
          <t>No</t>
        </is>
      </c>
      <c r="K335" s="145" t="inlineStr">
        <is>
          <t>None</t>
        </is>
      </c>
      <c r="L335" s="145" t="inlineStr">
        <is>
          <t>#000000</t>
        </is>
      </c>
      <c r="M335" s="145" t="inlineStr">
        <is>
          <t>General</t>
        </is>
      </c>
      <c r="N335" s="145" t="inlineStr">
        <is>
          <t>Center</t>
        </is>
      </c>
      <c r="O335" s="145" t="inlineStr">
        <is>
          <t>No</t>
        </is>
      </c>
      <c r="P335" s="145" t="inlineStr">
        <is>
          <t>General</t>
        </is>
      </c>
      <c r="Q335" s="145" t="inlineStr">
        <is>
          <t>General</t>
        </is>
      </c>
      <c r="R335" s="145" t="n"/>
      <c r="S335" s="145" t="n"/>
      <c r="T335" s="145" t="n"/>
      <c r="U335" s="145" t="n"/>
      <c r="V335" s="145" t="n"/>
      <c r="W335" s="145" t="n"/>
      <c r="X335" s="145" t="inlineStr">
        <is>
          <t>Detailed format sample from top 5 used rows</t>
        </is>
      </c>
    </row>
    <row r="336" ht="23.85" customHeight="1" s="79">
      <c r="A336" s="145" t="inlineStr">
        <is>
          <t>REGULAR_ART</t>
        </is>
      </c>
      <c r="B336" s="145" t="inlineStr">
        <is>
          <t>Column Format</t>
        </is>
      </c>
      <c r="C336" s="145" t="inlineStr">
        <is>
          <t>J:J</t>
        </is>
      </c>
      <c r="D336" s="145" t="inlineStr">
        <is>
          <t>REGULAR_ART!A1:AT410</t>
        </is>
      </c>
      <c r="E336" s="145" t="inlineStr">
        <is>
          <t>Normal</t>
        </is>
      </c>
      <c r="F336" s="145" t="inlineStr">
        <is>
          <t>Mixed</t>
        </is>
      </c>
      <c r="G336" s="145" t="inlineStr">
        <is>
          <t>Aptos</t>
        </is>
      </c>
      <c r="H336" s="145" t="n">
        <v>8</v>
      </c>
      <c r="I336" s="145" t="inlineStr">
        <is>
          <t>Mixed</t>
        </is>
      </c>
      <c r="J336" s="145" t="inlineStr">
        <is>
          <t>No</t>
        </is>
      </c>
      <c r="K336" s="145" t="inlineStr">
        <is>
          <t>None</t>
        </is>
      </c>
      <c r="L336" s="145" t="inlineStr">
        <is>
          <t>#000000</t>
        </is>
      </c>
      <c r="M336" s="145" t="inlineStr">
        <is>
          <t>General</t>
        </is>
      </c>
      <c r="N336" s="145" t="inlineStr">
        <is>
          <t>Center</t>
        </is>
      </c>
      <c r="O336" s="145" t="inlineStr">
        <is>
          <t>No</t>
        </is>
      </c>
      <c r="P336" s="145" t="n"/>
      <c r="Q336" s="145" t="n"/>
      <c r="R336" s="145" t="inlineStr">
        <is>
          <t>EdgeBottom:Continuous/Thin/#000000</t>
        </is>
      </c>
      <c r="S336" s="145" t="n">
        <v>44.0597014925373</v>
      </c>
      <c r="T336" s="145" t="n"/>
      <c r="U336" s="145" t="inlineStr">
        <is>
          <t>No</t>
        </is>
      </c>
      <c r="V336" s="145" t="inlineStr">
        <is>
          <t>Visible</t>
        </is>
      </c>
      <c r="W336" s="145" t="n"/>
      <c r="X336" s="145" t="inlineStr">
        <is>
          <t>Mixed styles within used column</t>
        </is>
      </c>
    </row>
    <row r="337" ht="23.85" customHeight="1" s="79">
      <c r="A337" s="145" t="inlineStr">
        <is>
          <t>REGULAR_ART</t>
        </is>
      </c>
      <c r="B337" s="145" t="inlineStr">
        <is>
          <t>Top-Row Cell Format</t>
        </is>
      </c>
      <c r="C337" s="145" t="inlineStr">
        <is>
          <t>J1</t>
        </is>
      </c>
      <c r="D337" s="145" t="inlineStr">
        <is>
          <t>REGULAR_ART!A1:AT410</t>
        </is>
      </c>
      <c r="E337" s="145" t="inlineStr">
        <is>
          <t>Normal</t>
        </is>
      </c>
      <c r="F337" s="145" t="n"/>
      <c r="G337" s="145" t="inlineStr">
        <is>
          <t>Aptos</t>
        </is>
      </c>
      <c r="H337" s="145" t="n">
        <v>8</v>
      </c>
      <c r="I337" s="145" t="inlineStr">
        <is>
          <t>No</t>
        </is>
      </c>
      <c r="J337" s="145" t="inlineStr">
        <is>
          <t>No</t>
        </is>
      </c>
      <c r="K337" s="145" t="inlineStr">
        <is>
          <t>None</t>
        </is>
      </c>
      <c r="L337" s="145" t="inlineStr">
        <is>
          <t>#000000</t>
        </is>
      </c>
      <c r="M337" s="145" t="inlineStr">
        <is>
          <t>General</t>
        </is>
      </c>
      <c r="N337" s="145" t="inlineStr">
        <is>
          <t>Center</t>
        </is>
      </c>
      <c r="O337" s="145" t="inlineStr">
        <is>
          <t>No</t>
        </is>
      </c>
      <c r="P337" s="145" t="inlineStr">
        <is>
          <t>General</t>
        </is>
      </c>
      <c r="Q337" s="145" t="inlineStr">
        <is>
          <t>General</t>
        </is>
      </c>
      <c r="R337" s="145" t="n"/>
      <c r="S337" s="145" t="n"/>
      <c r="T337" s="145" t="n"/>
      <c r="U337" s="145" t="n"/>
      <c r="V337" s="145" t="n"/>
      <c r="W337" s="145" t="n"/>
      <c r="X337" s="145" t="inlineStr">
        <is>
          <t>Detailed format sample from top 5 used rows</t>
        </is>
      </c>
    </row>
    <row r="338" ht="23.85" customHeight="1" s="79">
      <c r="A338" s="145" t="inlineStr">
        <is>
          <t>REGULAR_ART</t>
        </is>
      </c>
      <c r="B338" s="145" t="inlineStr">
        <is>
          <t>Top-Row Cell Format</t>
        </is>
      </c>
      <c r="C338" s="145" t="inlineStr">
        <is>
          <t>J2</t>
        </is>
      </c>
      <c r="D338" s="145" t="inlineStr">
        <is>
          <t>REGULAR_ART!A1:AT410</t>
        </is>
      </c>
      <c r="E338" s="145" t="inlineStr">
        <is>
          <t>Normal</t>
        </is>
      </c>
      <c r="F338" s="145" t="n"/>
      <c r="G338" s="145" t="inlineStr">
        <is>
          <t>Aptos</t>
        </is>
      </c>
      <c r="H338" s="145" t="n">
        <v>8</v>
      </c>
      <c r="I338" s="145" t="inlineStr">
        <is>
          <t>No</t>
        </is>
      </c>
      <c r="J338" s="145" t="inlineStr">
        <is>
          <t>No</t>
        </is>
      </c>
      <c r="K338" s="145" t="inlineStr">
        <is>
          <t>None</t>
        </is>
      </c>
      <c r="L338" s="145" t="inlineStr">
        <is>
          <t>#000000</t>
        </is>
      </c>
      <c r="M338" s="145" t="inlineStr">
        <is>
          <t>General</t>
        </is>
      </c>
      <c r="N338" s="145" t="inlineStr">
        <is>
          <t>Center</t>
        </is>
      </c>
      <c r="O338" s="145" t="inlineStr">
        <is>
          <t>No</t>
        </is>
      </c>
      <c r="P338" s="145" t="inlineStr">
        <is>
          <t>General</t>
        </is>
      </c>
      <c r="Q338" s="145" t="inlineStr">
        <is>
          <t>General</t>
        </is>
      </c>
      <c r="R338" s="145" t="n"/>
      <c r="S338" s="145" t="n"/>
      <c r="T338" s="145" t="n"/>
      <c r="U338" s="145" t="n"/>
      <c r="V338" s="145" t="n"/>
      <c r="W338" s="145" t="n"/>
      <c r="X338" s="145" t="inlineStr">
        <is>
          <t>Detailed format sample from top 5 used rows</t>
        </is>
      </c>
    </row>
    <row r="339" ht="23.85" customHeight="1" s="79">
      <c r="A339" s="145" t="inlineStr">
        <is>
          <t>REGULAR_ART</t>
        </is>
      </c>
      <c r="B339" s="145" t="inlineStr">
        <is>
          <t>Top-Row Cell Format</t>
        </is>
      </c>
      <c r="C339" s="145" t="inlineStr">
        <is>
          <t>J3</t>
        </is>
      </c>
      <c r="D339" s="145" t="inlineStr">
        <is>
          <t>REGULAR_ART!A1:AT410</t>
        </is>
      </c>
      <c r="E339" s="145" t="inlineStr">
        <is>
          <t>Normal</t>
        </is>
      </c>
      <c r="F339" s="145" t="inlineStr">
        <is>
          <t>#F8CBAD</t>
        </is>
      </c>
      <c r="G339" s="145" t="inlineStr">
        <is>
          <t>Aptos</t>
        </is>
      </c>
      <c r="H339" s="145" t="n">
        <v>8</v>
      </c>
      <c r="I339" s="145" t="inlineStr">
        <is>
          <t>Yes</t>
        </is>
      </c>
      <c r="J339" s="145" t="inlineStr">
        <is>
          <t>No</t>
        </is>
      </c>
      <c r="K339" s="145" t="inlineStr">
        <is>
          <t>None</t>
        </is>
      </c>
      <c r="L339" s="145" t="inlineStr">
        <is>
          <t>#000000</t>
        </is>
      </c>
      <c r="M339" s="145" t="inlineStr">
        <is>
          <t>General</t>
        </is>
      </c>
      <c r="N339" s="145" t="inlineStr">
        <is>
          <t>Center</t>
        </is>
      </c>
      <c r="O339" s="145" t="inlineStr">
        <is>
          <t>No</t>
        </is>
      </c>
      <c r="P339" s="145" t="inlineStr">
        <is>
          <t>General</t>
        </is>
      </c>
      <c r="Q339" s="145" t="inlineStr">
        <is>
          <t>General</t>
        </is>
      </c>
      <c r="R339" s="145" t="n"/>
      <c r="S339" s="145" t="n"/>
      <c r="T339" s="145" t="n"/>
      <c r="U339" s="145" t="n"/>
      <c r="V339" s="145" t="n"/>
      <c r="W339" s="145" t="n"/>
      <c r="X339" s="145" t="inlineStr">
        <is>
          <t>Detailed format sample from top 5 used rows</t>
        </is>
      </c>
    </row>
    <row r="340" ht="23.85" customHeight="1" s="79">
      <c r="A340" s="145" t="inlineStr">
        <is>
          <t>REGULAR_ART</t>
        </is>
      </c>
      <c r="B340" s="145" t="inlineStr">
        <is>
          <t>Top-Row Cell Format</t>
        </is>
      </c>
      <c r="C340" s="145" t="inlineStr">
        <is>
          <t>J4</t>
        </is>
      </c>
      <c r="D340" s="145" t="inlineStr">
        <is>
          <t>REGULAR_ART!A1:AT410</t>
        </is>
      </c>
      <c r="E340" s="145" t="inlineStr">
        <is>
          <t>Normal</t>
        </is>
      </c>
      <c r="F340" s="145" t="inlineStr">
        <is>
          <t>#F8CBAD</t>
        </is>
      </c>
      <c r="G340" s="145" t="inlineStr">
        <is>
          <t>Aptos</t>
        </is>
      </c>
      <c r="H340" s="145" t="n">
        <v>8</v>
      </c>
      <c r="I340" s="145" t="inlineStr">
        <is>
          <t>No</t>
        </is>
      </c>
      <c r="J340" s="145" t="inlineStr">
        <is>
          <t>No</t>
        </is>
      </c>
      <c r="K340" s="145" t="inlineStr">
        <is>
          <t>None</t>
        </is>
      </c>
      <c r="L340" s="145" t="inlineStr">
        <is>
          <t>#000000</t>
        </is>
      </c>
      <c r="M340" s="145" t="inlineStr">
        <is>
          <t>General</t>
        </is>
      </c>
      <c r="N340" s="145" t="inlineStr">
        <is>
          <t>Center</t>
        </is>
      </c>
      <c r="O340" s="145" t="inlineStr">
        <is>
          <t>No</t>
        </is>
      </c>
      <c r="P340" s="145" t="inlineStr">
        <is>
          <t>General</t>
        </is>
      </c>
      <c r="Q340" s="145" t="inlineStr">
        <is>
          <t>General</t>
        </is>
      </c>
      <c r="R340" s="145" t="n"/>
      <c r="S340" s="145" t="n"/>
      <c r="T340" s="145" t="n"/>
      <c r="U340" s="145" t="n"/>
      <c r="V340" s="145" t="n"/>
      <c r="W340" s="145" t="n"/>
      <c r="X340" s="145" t="inlineStr">
        <is>
          <t>Detailed format sample from top 5 used rows</t>
        </is>
      </c>
    </row>
    <row r="341" ht="23.85" customHeight="1" s="79">
      <c r="A341" s="145" t="inlineStr">
        <is>
          <t>REGULAR_ART</t>
        </is>
      </c>
      <c r="B341" s="145" t="inlineStr">
        <is>
          <t>Top-Row Cell Format</t>
        </is>
      </c>
      <c r="C341" s="145" t="inlineStr">
        <is>
          <t>J5</t>
        </is>
      </c>
      <c r="D341" s="145" t="inlineStr">
        <is>
          <t>REGULAR_ART!A1:AT410</t>
        </is>
      </c>
      <c r="E341" s="145" t="inlineStr">
        <is>
          <t>Normal</t>
        </is>
      </c>
      <c r="F341" s="145" t="n"/>
      <c r="G341" s="145" t="inlineStr">
        <is>
          <t>Aptos</t>
        </is>
      </c>
      <c r="H341" s="145" t="n">
        <v>8</v>
      </c>
      <c r="I341" s="145" t="inlineStr">
        <is>
          <t>No</t>
        </is>
      </c>
      <c r="J341" s="145" t="inlineStr">
        <is>
          <t>No</t>
        </is>
      </c>
      <c r="K341" s="145" t="inlineStr">
        <is>
          <t>None</t>
        </is>
      </c>
      <c r="L341" s="145" t="inlineStr">
        <is>
          <t>#000000</t>
        </is>
      </c>
      <c r="M341" s="145" t="inlineStr">
        <is>
          <t>General</t>
        </is>
      </c>
      <c r="N341" s="145" t="inlineStr">
        <is>
          <t>Center</t>
        </is>
      </c>
      <c r="O341" s="145" t="inlineStr">
        <is>
          <t>No</t>
        </is>
      </c>
      <c r="P341" s="145" t="inlineStr">
        <is>
          <t>General</t>
        </is>
      </c>
      <c r="Q341" s="145" t="inlineStr">
        <is>
          <t>General</t>
        </is>
      </c>
      <c r="R341" s="145" t="n"/>
      <c r="S341" s="145" t="n"/>
      <c r="T341" s="145" t="n"/>
      <c r="U341" s="145" t="n"/>
      <c r="V341" s="145" t="n"/>
      <c r="W341" s="145" t="n"/>
      <c r="X341" s="145" t="inlineStr">
        <is>
          <t>Detailed format sample from top 5 used rows</t>
        </is>
      </c>
    </row>
    <row r="342" ht="23.85" customHeight="1" s="79">
      <c r="A342" s="145" t="inlineStr">
        <is>
          <t>REGULAR_ART</t>
        </is>
      </c>
      <c r="B342" s="145" t="inlineStr">
        <is>
          <t>Column Format</t>
        </is>
      </c>
      <c r="C342" s="145" t="inlineStr">
        <is>
          <t>K:K</t>
        </is>
      </c>
      <c r="D342" s="145" t="inlineStr">
        <is>
          <t>REGULAR_ART!A1:AT410</t>
        </is>
      </c>
      <c r="E342" s="145" t="inlineStr">
        <is>
          <t>Normal</t>
        </is>
      </c>
      <c r="F342" s="145" t="inlineStr">
        <is>
          <t>Mixed</t>
        </is>
      </c>
      <c r="G342" s="145" t="inlineStr">
        <is>
          <t>Aptos</t>
        </is>
      </c>
      <c r="H342" s="145" t="n">
        <v>8</v>
      </c>
      <c r="I342" s="145" t="inlineStr">
        <is>
          <t>Mixed</t>
        </is>
      </c>
      <c r="J342" s="145" t="inlineStr">
        <is>
          <t>No</t>
        </is>
      </c>
      <c r="K342" s="145" t="inlineStr">
        <is>
          <t>None</t>
        </is>
      </c>
      <c r="L342" s="145" t="inlineStr">
        <is>
          <t>#000000</t>
        </is>
      </c>
      <c r="M342" s="145" t="inlineStr">
        <is>
          <t>General</t>
        </is>
      </c>
      <c r="N342" s="145" t="inlineStr">
        <is>
          <t>Center</t>
        </is>
      </c>
      <c r="O342" s="145" t="inlineStr">
        <is>
          <t>No</t>
        </is>
      </c>
      <c r="P342" s="145" t="n"/>
      <c r="Q342" s="145" t="n"/>
      <c r="R342" s="145" t="inlineStr">
        <is>
          <t>EdgeBottom:Continuous/Thin/#000000</t>
        </is>
      </c>
      <c r="S342" s="145" t="n">
        <v>46.7462686567164</v>
      </c>
      <c r="T342" s="145" t="n"/>
      <c r="U342" s="145" t="inlineStr">
        <is>
          <t>No</t>
        </is>
      </c>
      <c r="V342" s="145" t="inlineStr">
        <is>
          <t>Visible</t>
        </is>
      </c>
      <c r="W342" s="145" t="n"/>
      <c r="X342" s="145" t="inlineStr">
        <is>
          <t>Mixed styles within used column</t>
        </is>
      </c>
    </row>
    <row r="343" ht="23.85" customHeight="1" s="79">
      <c r="A343" s="145" t="inlineStr">
        <is>
          <t>REGULAR_ART</t>
        </is>
      </c>
      <c r="B343" s="145" t="inlineStr">
        <is>
          <t>Top-Row Cell Format</t>
        </is>
      </c>
      <c r="C343" s="145" t="inlineStr">
        <is>
          <t>K1</t>
        </is>
      </c>
      <c r="D343" s="145" t="inlineStr">
        <is>
          <t>REGULAR_ART!A1:AT410</t>
        </is>
      </c>
      <c r="E343" s="145" t="inlineStr">
        <is>
          <t>Normal</t>
        </is>
      </c>
      <c r="F343" s="145" t="n"/>
      <c r="G343" s="145" t="inlineStr">
        <is>
          <t>Aptos</t>
        </is>
      </c>
      <c r="H343" s="145" t="n">
        <v>8</v>
      </c>
      <c r="I343" s="145" t="inlineStr">
        <is>
          <t>No</t>
        </is>
      </c>
      <c r="J343" s="145" t="inlineStr">
        <is>
          <t>No</t>
        </is>
      </c>
      <c r="K343" s="145" t="inlineStr">
        <is>
          <t>None</t>
        </is>
      </c>
      <c r="L343" s="145" t="inlineStr">
        <is>
          <t>#000000</t>
        </is>
      </c>
      <c r="M343" s="145" t="inlineStr">
        <is>
          <t>General</t>
        </is>
      </c>
      <c r="N343" s="145" t="inlineStr">
        <is>
          <t>Center</t>
        </is>
      </c>
      <c r="O343" s="145" t="inlineStr">
        <is>
          <t>No</t>
        </is>
      </c>
      <c r="P343" s="145" t="inlineStr">
        <is>
          <t>General</t>
        </is>
      </c>
      <c r="Q343" s="145" t="inlineStr">
        <is>
          <t>General</t>
        </is>
      </c>
      <c r="R343" s="145" t="n"/>
      <c r="S343" s="145" t="n"/>
      <c r="T343" s="145" t="n"/>
      <c r="U343" s="145" t="n"/>
      <c r="V343" s="145" t="n"/>
      <c r="W343" s="145" t="n"/>
      <c r="X343" s="145" t="inlineStr">
        <is>
          <t>Detailed format sample from top 5 used rows</t>
        </is>
      </c>
    </row>
    <row r="344" ht="23.85" customHeight="1" s="79">
      <c r="A344" s="145" t="inlineStr">
        <is>
          <t>REGULAR_ART</t>
        </is>
      </c>
      <c r="B344" s="145" t="inlineStr">
        <is>
          <t>Top-Row Cell Format</t>
        </is>
      </c>
      <c r="C344" s="145" t="inlineStr">
        <is>
          <t>K2</t>
        </is>
      </c>
      <c r="D344" s="145" t="inlineStr">
        <is>
          <t>REGULAR_ART!A1:AT410</t>
        </is>
      </c>
      <c r="E344" s="145" t="inlineStr">
        <is>
          <t>Normal</t>
        </is>
      </c>
      <c r="F344" s="145" t="n"/>
      <c r="G344" s="145" t="inlineStr">
        <is>
          <t>Aptos</t>
        </is>
      </c>
      <c r="H344" s="145" t="n">
        <v>8</v>
      </c>
      <c r="I344" s="145" t="inlineStr">
        <is>
          <t>No</t>
        </is>
      </c>
      <c r="J344" s="145" t="inlineStr">
        <is>
          <t>No</t>
        </is>
      </c>
      <c r="K344" s="145" t="inlineStr">
        <is>
          <t>None</t>
        </is>
      </c>
      <c r="L344" s="145" t="inlineStr">
        <is>
          <t>#000000</t>
        </is>
      </c>
      <c r="M344" s="145" t="inlineStr">
        <is>
          <t>General</t>
        </is>
      </c>
      <c r="N344" s="145" t="inlineStr">
        <is>
          <t>Center</t>
        </is>
      </c>
      <c r="O344" s="145" t="inlineStr">
        <is>
          <t>No</t>
        </is>
      </c>
      <c r="P344" s="145" t="inlineStr">
        <is>
          <t>General</t>
        </is>
      </c>
      <c r="Q344" s="145" t="inlineStr">
        <is>
          <t>General</t>
        </is>
      </c>
      <c r="R344" s="145" t="n"/>
      <c r="S344" s="145" t="n"/>
      <c r="T344" s="145" t="n"/>
      <c r="U344" s="145" t="n"/>
      <c r="V344" s="145" t="n"/>
      <c r="W344" s="145" t="n"/>
      <c r="X344" s="145" t="inlineStr">
        <is>
          <t>Detailed format sample from top 5 used rows</t>
        </is>
      </c>
    </row>
    <row r="345" ht="23.85" customHeight="1" s="79">
      <c r="A345" s="145" t="inlineStr">
        <is>
          <t>REGULAR_ART</t>
        </is>
      </c>
      <c r="B345" s="145" t="inlineStr">
        <is>
          <t>Top-Row Cell Format</t>
        </is>
      </c>
      <c r="C345" s="145" t="inlineStr">
        <is>
          <t>K3</t>
        </is>
      </c>
      <c r="D345" s="145" t="inlineStr">
        <is>
          <t>REGULAR_ART!A1:AT410</t>
        </is>
      </c>
      <c r="E345" s="145" t="inlineStr">
        <is>
          <t>Normal</t>
        </is>
      </c>
      <c r="F345" s="145" t="inlineStr">
        <is>
          <t>#F8CBAD</t>
        </is>
      </c>
      <c r="G345" s="145" t="inlineStr">
        <is>
          <t>Aptos</t>
        </is>
      </c>
      <c r="H345" s="145" t="n">
        <v>8</v>
      </c>
      <c r="I345" s="145" t="inlineStr">
        <is>
          <t>Yes</t>
        </is>
      </c>
      <c r="J345" s="145" t="inlineStr">
        <is>
          <t>No</t>
        </is>
      </c>
      <c r="K345" s="145" t="inlineStr">
        <is>
          <t>None</t>
        </is>
      </c>
      <c r="L345" s="145" t="inlineStr">
        <is>
          <t>#000000</t>
        </is>
      </c>
      <c r="M345" s="145" t="inlineStr">
        <is>
          <t>General</t>
        </is>
      </c>
      <c r="N345" s="145" t="inlineStr">
        <is>
          <t>Center</t>
        </is>
      </c>
      <c r="O345" s="145" t="inlineStr">
        <is>
          <t>No</t>
        </is>
      </c>
      <c r="P345" s="145" t="inlineStr">
        <is>
          <t>General</t>
        </is>
      </c>
      <c r="Q345" s="145" t="inlineStr">
        <is>
          <t>General</t>
        </is>
      </c>
      <c r="R345" s="145" t="n"/>
      <c r="S345" s="145" t="n"/>
      <c r="T345" s="145" t="n"/>
      <c r="U345" s="145" t="n"/>
      <c r="V345" s="145" t="n"/>
      <c r="W345" s="145" t="n"/>
      <c r="X345" s="145" t="inlineStr">
        <is>
          <t>Detailed format sample from top 5 used rows</t>
        </is>
      </c>
    </row>
    <row r="346" ht="23.85" customHeight="1" s="79">
      <c r="A346" s="145" t="inlineStr">
        <is>
          <t>REGULAR_ART</t>
        </is>
      </c>
      <c r="B346" s="145" t="inlineStr">
        <is>
          <t>Top-Row Cell Format</t>
        </is>
      </c>
      <c r="C346" s="145" t="inlineStr">
        <is>
          <t>K4</t>
        </is>
      </c>
      <c r="D346" s="145" t="inlineStr">
        <is>
          <t>REGULAR_ART!A1:AT410</t>
        </is>
      </c>
      <c r="E346" s="145" t="inlineStr">
        <is>
          <t>Normal</t>
        </is>
      </c>
      <c r="F346" s="145" t="inlineStr">
        <is>
          <t>#F8CBAD</t>
        </is>
      </c>
      <c r="G346" s="145" t="inlineStr">
        <is>
          <t>Aptos</t>
        </is>
      </c>
      <c r="H346" s="145" t="n">
        <v>8</v>
      </c>
      <c r="I346" s="145" t="inlineStr">
        <is>
          <t>No</t>
        </is>
      </c>
      <c r="J346" s="145" t="inlineStr">
        <is>
          <t>No</t>
        </is>
      </c>
      <c r="K346" s="145" t="inlineStr">
        <is>
          <t>None</t>
        </is>
      </c>
      <c r="L346" s="145" t="inlineStr">
        <is>
          <t>#000000</t>
        </is>
      </c>
      <c r="M346" s="145" t="inlineStr">
        <is>
          <t>General</t>
        </is>
      </c>
      <c r="N346" s="145" t="inlineStr">
        <is>
          <t>Center</t>
        </is>
      </c>
      <c r="O346" s="145" t="inlineStr">
        <is>
          <t>No</t>
        </is>
      </c>
      <c r="P346" s="145" t="inlineStr">
        <is>
          <t>General</t>
        </is>
      </c>
      <c r="Q346" s="145" t="inlineStr">
        <is>
          <t>General</t>
        </is>
      </c>
      <c r="R346" s="145" t="n"/>
      <c r="S346" s="145" t="n"/>
      <c r="T346" s="145" t="n"/>
      <c r="U346" s="145" t="n"/>
      <c r="V346" s="145" t="n"/>
      <c r="W346" s="145" t="n"/>
      <c r="X346" s="145" t="inlineStr">
        <is>
          <t>Detailed format sample from top 5 used rows</t>
        </is>
      </c>
    </row>
    <row r="347" ht="23.85" customHeight="1" s="79">
      <c r="A347" s="145" t="inlineStr">
        <is>
          <t>REGULAR_ART</t>
        </is>
      </c>
      <c r="B347" s="145" t="inlineStr">
        <is>
          <t>Top-Row Cell Format</t>
        </is>
      </c>
      <c r="C347" s="145" t="inlineStr">
        <is>
          <t>K5</t>
        </is>
      </c>
      <c r="D347" s="145" t="inlineStr">
        <is>
          <t>REGULAR_ART!A1:AT410</t>
        </is>
      </c>
      <c r="E347" s="145" t="inlineStr">
        <is>
          <t>Normal</t>
        </is>
      </c>
      <c r="F347" s="145" t="n"/>
      <c r="G347" s="145" t="inlineStr">
        <is>
          <t>Aptos</t>
        </is>
      </c>
      <c r="H347" s="145" t="n">
        <v>8</v>
      </c>
      <c r="I347" s="145" t="inlineStr">
        <is>
          <t>No</t>
        </is>
      </c>
      <c r="J347" s="145" t="inlineStr">
        <is>
          <t>No</t>
        </is>
      </c>
      <c r="K347" s="145" t="inlineStr">
        <is>
          <t>None</t>
        </is>
      </c>
      <c r="L347" s="145" t="inlineStr">
        <is>
          <t>#000000</t>
        </is>
      </c>
      <c r="M347" s="145" t="inlineStr">
        <is>
          <t>General</t>
        </is>
      </c>
      <c r="N347" s="145" t="inlineStr">
        <is>
          <t>Center</t>
        </is>
      </c>
      <c r="O347" s="145" t="inlineStr">
        <is>
          <t>No</t>
        </is>
      </c>
      <c r="P347" s="145" t="inlineStr">
        <is>
          <t>General</t>
        </is>
      </c>
      <c r="Q347" s="145" t="inlineStr">
        <is>
          <t>General</t>
        </is>
      </c>
      <c r="R347" s="145" t="n"/>
      <c r="S347" s="145" t="n"/>
      <c r="T347" s="145" t="n"/>
      <c r="U347" s="145" t="n"/>
      <c r="V347" s="145" t="n"/>
      <c r="W347" s="145" t="n"/>
      <c r="X347" s="145" t="inlineStr">
        <is>
          <t>Detailed format sample from top 5 used rows</t>
        </is>
      </c>
    </row>
    <row r="348" ht="23.85" customHeight="1" s="79">
      <c r="A348" s="145" t="inlineStr">
        <is>
          <t>REGULAR_ART</t>
        </is>
      </c>
      <c r="B348" s="145" t="inlineStr">
        <is>
          <t>Column Format</t>
        </is>
      </c>
      <c r="C348" s="145" t="inlineStr">
        <is>
          <t>L:L</t>
        </is>
      </c>
      <c r="D348" s="145" t="inlineStr">
        <is>
          <t>REGULAR_ART!A1:AT410</t>
        </is>
      </c>
      <c r="E348" s="145" t="inlineStr">
        <is>
          <t>Normal</t>
        </is>
      </c>
      <c r="F348" s="145" t="inlineStr">
        <is>
          <t>Mixed</t>
        </is>
      </c>
      <c r="G348" s="145" t="inlineStr">
        <is>
          <t>Aptos</t>
        </is>
      </c>
      <c r="H348" s="145" t="n">
        <v>8</v>
      </c>
      <c r="I348" s="145" t="inlineStr">
        <is>
          <t>Mixed</t>
        </is>
      </c>
      <c r="J348" s="145" t="inlineStr">
        <is>
          <t>No</t>
        </is>
      </c>
      <c r="K348" s="145" t="inlineStr">
        <is>
          <t>None</t>
        </is>
      </c>
      <c r="L348" s="145" t="inlineStr">
        <is>
          <t>#000000</t>
        </is>
      </c>
      <c r="M348" s="145" t="inlineStr">
        <is>
          <t>General</t>
        </is>
      </c>
      <c r="N348" s="145" t="inlineStr">
        <is>
          <t>Center</t>
        </is>
      </c>
      <c r="O348" s="145" t="inlineStr">
        <is>
          <t>No</t>
        </is>
      </c>
      <c r="P348" s="145" t="n"/>
      <c r="Q348" s="145" t="n"/>
      <c r="R348" s="145" t="inlineStr">
        <is>
          <t>EdgeBottom:Continuous/Thin/#000000</t>
        </is>
      </c>
      <c r="S348" s="145" t="n">
        <v>56.4179104477612</v>
      </c>
      <c r="T348" s="145" t="n"/>
      <c r="U348" s="145" t="inlineStr">
        <is>
          <t>No</t>
        </is>
      </c>
      <c r="V348" s="145" t="inlineStr">
        <is>
          <t>Visible</t>
        </is>
      </c>
      <c r="W348" s="145" t="n"/>
      <c r="X348" s="145" t="inlineStr">
        <is>
          <t>Mixed styles within used column</t>
        </is>
      </c>
    </row>
    <row r="349" ht="23.85" customHeight="1" s="79">
      <c r="A349" s="145" t="inlineStr">
        <is>
          <t>REGULAR_ART</t>
        </is>
      </c>
      <c r="B349" s="145" t="inlineStr">
        <is>
          <t>Top-Row Cell Format</t>
        </is>
      </c>
      <c r="C349" s="145" t="inlineStr">
        <is>
          <t>L1</t>
        </is>
      </c>
      <c r="D349" s="145" t="inlineStr">
        <is>
          <t>REGULAR_ART!A1:AT410</t>
        </is>
      </c>
      <c r="E349" s="145" t="inlineStr">
        <is>
          <t>Normal</t>
        </is>
      </c>
      <c r="F349" s="145" t="n"/>
      <c r="G349" s="145" t="inlineStr">
        <is>
          <t>Aptos</t>
        </is>
      </c>
      <c r="H349" s="145" t="n">
        <v>8</v>
      </c>
      <c r="I349" s="145" t="inlineStr">
        <is>
          <t>No</t>
        </is>
      </c>
      <c r="J349" s="145" t="inlineStr">
        <is>
          <t>No</t>
        </is>
      </c>
      <c r="K349" s="145" t="inlineStr">
        <is>
          <t>None</t>
        </is>
      </c>
      <c r="L349" s="145" t="inlineStr">
        <is>
          <t>#000000</t>
        </is>
      </c>
      <c r="M349" s="145" t="inlineStr">
        <is>
          <t>General</t>
        </is>
      </c>
      <c r="N349" s="145" t="inlineStr">
        <is>
          <t>Center</t>
        </is>
      </c>
      <c r="O349" s="145" t="inlineStr">
        <is>
          <t>No</t>
        </is>
      </c>
      <c r="P349" s="145" t="inlineStr">
        <is>
          <t>General</t>
        </is>
      </c>
      <c r="Q349" s="145" t="inlineStr">
        <is>
          <t>General</t>
        </is>
      </c>
      <c r="R349" s="145" t="n"/>
      <c r="S349" s="145" t="n"/>
      <c r="T349" s="145" t="n"/>
      <c r="U349" s="145" t="n"/>
      <c r="V349" s="145" t="n"/>
      <c r="W349" s="145" t="n"/>
      <c r="X349" s="145" t="inlineStr">
        <is>
          <t>Detailed format sample from top 5 used rows</t>
        </is>
      </c>
    </row>
    <row r="350" ht="23.85" customHeight="1" s="79">
      <c r="A350" s="145" t="inlineStr">
        <is>
          <t>REGULAR_ART</t>
        </is>
      </c>
      <c r="B350" s="145" t="inlineStr">
        <is>
          <t>Top-Row Cell Format</t>
        </is>
      </c>
      <c r="C350" s="145" t="inlineStr">
        <is>
          <t>L2</t>
        </is>
      </c>
      <c r="D350" s="145" t="inlineStr">
        <is>
          <t>REGULAR_ART!A1:AT410</t>
        </is>
      </c>
      <c r="E350" s="145" t="inlineStr">
        <is>
          <t>Normal</t>
        </is>
      </c>
      <c r="F350" s="145" t="n"/>
      <c r="G350" s="145" t="inlineStr">
        <is>
          <t>Aptos</t>
        </is>
      </c>
      <c r="H350" s="145" t="n">
        <v>8</v>
      </c>
      <c r="I350" s="145" t="inlineStr">
        <is>
          <t>No</t>
        </is>
      </c>
      <c r="J350" s="145" t="inlineStr">
        <is>
          <t>No</t>
        </is>
      </c>
      <c r="K350" s="145" t="inlineStr">
        <is>
          <t>None</t>
        </is>
      </c>
      <c r="L350" s="145" t="inlineStr">
        <is>
          <t>#000000</t>
        </is>
      </c>
      <c r="M350" s="145" t="inlineStr">
        <is>
          <t>General</t>
        </is>
      </c>
      <c r="N350" s="145" t="inlineStr">
        <is>
          <t>Center</t>
        </is>
      </c>
      <c r="O350" s="145" t="inlineStr">
        <is>
          <t>No</t>
        </is>
      </c>
      <c r="P350" s="145" t="inlineStr">
        <is>
          <t>General</t>
        </is>
      </c>
      <c r="Q350" s="145" t="inlineStr">
        <is>
          <t>General</t>
        </is>
      </c>
      <c r="R350" s="145" t="n"/>
      <c r="S350" s="145" t="n"/>
      <c r="T350" s="145" t="n"/>
      <c r="U350" s="145" t="n"/>
      <c r="V350" s="145" t="n"/>
      <c r="W350" s="145" t="n"/>
      <c r="X350" s="145" t="inlineStr">
        <is>
          <t>Detailed format sample from top 5 used rows</t>
        </is>
      </c>
    </row>
    <row r="351" ht="23.85" customHeight="1" s="79">
      <c r="A351" s="145" t="inlineStr">
        <is>
          <t>REGULAR_ART</t>
        </is>
      </c>
      <c r="B351" s="145" t="inlineStr">
        <is>
          <t>Top-Row Cell Format</t>
        </is>
      </c>
      <c r="C351" s="145" t="inlineStr">
        <is>
          <t>L3</t>
        </is>
      </c>
      <c r="D351" s="145" t="inlineStr">
        <is>
          <t>REGULAR_ART!A1:AT410</t>
        </is>
      </c>
      <c r="E351" s="145" t="inlineStr">
        <is>
          <t>Normal</t>
        </is>
      </c>
      <c r="F351" s="145" t="inlineStr">
        <is>
          <t>#F8CBAD</t>
        </is>
      </c>
      <c r="G351" s="145" t="inlineStr">
        <is>
          <t>Aptos</t>
        </is>
      </c>
      <c r="H351" s="145" t="n">
        <v>8</v>
      </c>
      <c r="I351" s="145" t="inlineStr">
        <is>
          <t>Yes</t>
        </is>
      </c>
      <c r="J351" s="145" t="inlineStr">
        <is>
          <t>No</t>
        </is>
      </c>
      <c r="K351" s="145" t="inlineStr">
        <is>
          <t>None</t>
        </is>
      </c>
      <c r="L351" s="145" t="inlineStr">
        <is>
          <t>#000000</t>
        </is>
      </c>
      <c r="M351" s="145" t="inlineStr">
        <is>
          <t>General</t>
        </is>
      </c>
      <c r="N351" s="145" t="inlineStr">
        <is>
          <t>Center</t>
        </is>
      </c>
      <c r="O351" s="145" t="inlineStr">
        <is>
          <t>No</t>
        </is>
      </c>
      <c r="P351" s="145" t="inlineStr">
        <is>
          <t>General</t>
        </is>
      </c>
      <c r="Q351" s="145" t="inlineStr">
        <is>
          <t>General</t>
        </is>
      </c>
      <c r="R351" s="145" t="n"/>
      <c r="S351" s="145" t="n"/>
      <c r="T351" s="145" t="n"/>
      <c r="U351" s="145" t="n"/>
      <c r="V351" s="145" t="n"/>
      <c r="W351" s="145" t="n"/>
      <c r="X351" s="145" t="inlineStr">
        <is>
          <t>Detailed format sample from top 5 used rows</t>
        </is>
      </c>
    </row>
    <row r="352" ht="23.85" customHeight="1" s="79">
      <c r="A352" s="145" t="inlineStr">
        <is>
          <t>REGULAR_ART</t>
        </is>
      </c>
      <c r="B352" s="145" t="inlineStr">
        <is>
          <t>Top-Row Cell Format</t>
        </is>
      </c>
      <c r="C352" s="145" t="inlineStr">
        <is>
          <t>L4</t>
        </is>
      </c>
      <c r="D352" s="145" t="inlineStr">
        <is>
          <t>REGULAR_ART!A1:AT410</t>
        </is>
      </c>
      <c r="E352" s="145" t="inlineStr">
        <is>
          <t>Normal</t>
        </is>
      </c>
      <c r="F352" s="145" t="inlineStr">
        <is>
          <t>#F8CBAD</t>
        </is>
      </c>
      <c r="G352" s="145" t="inlineStr">
        <is>
          <t>Aptos</t>
        </is>
      </c>
      <c r="H352" s="145" t="n">
        <v>8</v>
      </c>
      <c r="I352" s="145" t="inlineStr">
        <is>
          <t>No</t>
        </is>
      </c>
      <c r="J352" s="145" t="inlineStr">
        <is>
          <t>No</t>
        </is>
      </c>
      <c r="K352" s="145" t="inlineStr">
        <is>
          <t>None</t>
        </is>
      </c>
      <c r="L352" s="145" t="inlineStr">
        <is>
          <t>#000000</t>
        </is>
      </c>
      <c r="M352" s="145" t="inlineStr">
        <is>
          <t>General</t>
        </is>
      </c>
      <c r="N352" s="145" t="inlineStr">
        <is>
          <t>Center</t>
        </is>
      </c>
      <c r="O352" s="145" t="inlineStr">
        <is>
          <t>No</t>
        </is>
      </c>
      <c r="P352" s="145" t="inlineStr">
        <is>
          <t>General</t>
        </is>
      </c>
      <c r="Q352" s="145" t="inlineStr">
        <is>
          <t>General</t>
        </is>
      </c>
      <c r="R352" s="145" t="n"/>
      <c r="S352" s="145" t="n"/>
      <c r="T352" s="145" t="n"/>
      <c r="U352" s="145" t="n"/>
      <c r="V352" s="145" t="n"/>
      <c r="W352" s="145" t="n"/>
      <c r="X352" s="145" t="inlineStr">
        <is>
          <t>Detailed format sample from top 5 used rows</t>
        </is>
      </c>
    </row>
    <row r="353" ht="23.85" customHeight="1" s="79">
      <c r="A353" s="145" t="inlineStr">
        <is>
          <t>REGULAR_ART</t>
        </is>
      </c>
      <c r="B353" s="145" t="inlineStr">
        <is>
          <t>Top-Row Cell Format</t>
        </is>
      </c>
      <c r="C353" s="145" t="inlineStr">
        <is>
          <t>L5</t>
        </is>
      </c>
      <c r="D353" s="145" t="inlineStr">
        <is>
          <t>REGULAR_ART!A1:AT410</t>
        </is>
      </c>
      <c r="E353" s="145" t="inlineStr">
        <is>
          <t>Normal</t>
        </is>
      </c>
      <c r="F353" s="145" t="n"/>
      <c r="G353" s="145" t="inlineStr">
        <is>
          <t>Aptos</t>
        </is>
      </c>
      <c r="H353" s="145" t="n">
        <v>8</v>
      </c>
      <c r="I353" s="145" t="inlineStr">
        <is>
          <t>No</t>
        </is>
      </c>
      <c r="J353" s="145" t="inlineStr">
        <is>
          <t>No</t>
        </is>
      </c>
      <c r="K353" s="145" t="inlineStr">
        <is>
          <t>None</t>
        </is>
      </c>
      <c r="L353" s="145" t="inlineStr">
        <is>
          <t>#000000</t>
        </is>
      </c>
      <c r="M353" s="145" t="inlineStr">
        <is>
          <t>General</t>
        </is>
      </c>
      <c r="N353" s="145" t="inlineStr">
        <is>
          <t>Center</t>
        </is>
      </c>
      <c r="O353" s="145" t="inlineStr">
        <is>
          <t>No</t>
        </is>
      </c>
      <c r="P353" s="145" t="inlineStr">
        <is>
          <t>General</t>
        </is>
      </c>
      <c r="Q353" s="145" t="inlineStr">
        <is>
          <t>General</t>
        </is>
      </c>
      <c r="R353" s="145" t="n"/>
      <c r="S353" s="145" t="n"/>
      <c r="T353" s="145" t="n"/>
      <c r="U353" s="145" t="n"/>
      <c r="V353" s="145" t="n"/>
      <c r="W353" s="145" t="n"/>
      <c r="X353" s="145" t="inlineStr">
        <is>
          <t>Detailed format sample from top 5 used rows</t>
        </is>
      </c>
    </row>
    <row r="354" ht="23.85" customHeight="1" s="79">
      <c r="A354" s="145" t="inlineStr">
        <is>
          <t>REGULAR_ART</t>
        </is>
      </c>
      <c r="B354" s="145" t="inlineStr">
        <is>
          <t>Column Format</t>
        </is>
      </c>
      <c r="C354" s="145" t="inlineStr">
        <is>
          <t>M:M</t>
        </is>
      </c>
      <c r="D354" s="145" t="inlineStr">
        <is>
          <t>REGULAR_ART!A1:AT410</t>
        </is>
      </c>
      <c r="E354" s="145" t="inlineStr">
        <is>
          <t>Normal</t>
        </is>
      </c>
      <c r="F354" s="145" t="inlineStr">
        <is>
          <t>Mixed</t>
        </is>
      </c>
      <c r="G354" s="145" t="inlineStr">
        <is>
          <t>Aptos</t>
        </is>
      </c>
      <c r="H354" s="145" t="n">
        <v>8</v>
      </c>
      <c r="I354" s="145" t="inlineStr">
        <is>
          <t>Mixed</t>
        </is>
      </c>
      <c r="J354" s="145" t="inlineStr">
        <is>
          <t>No</t>
        </is>
      </c>
      <c r="K354" s="145" t="inlineStr">
        <is>
          <t>None</t>
        </is>
      </c>
      <c r="L354" s="145" t="inlineStr">
        <is>
          <t>#000000</t>
        </is>
      </c>
      <c r="M354" s="145" t="inlineStr">
        <is>
          <t>General</t>
        </is>
      </c>
      <c r="N354" s="145" t="inlineStr">
        <is>
          <t>Center</t>
        </is>
      </c>
      <c r="O354" s="145" t="inlineStr">
        <is>
          <t>No</t>
        </is>
      </c>
      <c r="P354" s="145" t="n"/>
      <c r="Q354" s="145" t="n"/>
      <c r="R354" s="145" t="inlineStr">
        <is>
          <t>EdgeBottom:Continuous/Thin/#000000</t>
        </is>
      </c>
      <c r="S354" s="145" t="n">
        <v>59.1044776119403</v>
      </c>
      <c r="T354" s="145" t="n"/>
      <c r="U354" s="145" t="inlineStr">
        <is>
          <t>No</t>
        </is>
      </c>
      <c r="V354" s="145" t="inlineStr">
        <is>
          <t>Visible</t>
        </is>
      </c>
      <c r="W354" s="145" t="n"/>
      <c r="X354" s="145" t="inlineStr">
        <is>
          <t>Mixed styles within used column</t>
        </is>
      </c>
    </row>
    <row r="355" ht="23.85" customHeight="1" s="79">
      <c r="A355" s="145" t="inlineStr">
        <is>
          <t>REGULAR_ART</t>
        </is>
      </c>
      <c r="B355" s="145" t="inlineStr">
        <is>
          <t>Top-Row Cell Format</t>
        </is>
      </c>
      <c r="C355" s="145" t="inlineStr">
        <is>
          <t>M1</t>
        </is>
      </c>
      <c r="D355" s="145" t="inlineStr">
        <is>
          <t>REGULAR_ART!A1:AT410</t>
        </is>
      </c>
      <c r="E355" s="145" t="inlineStr">
        <is>
          <t>Normal</t>
        </is>
      </c>
      <c r="F355" s="145" t="n"/>
      <c r="G355" s="145" t="inlineStr">
        <is>
          <t>Aptos</t>
        </is>
      </c>
      <c r="H355" s="145" t="n">
        <v>8</v>
      </c>
      <c r="I355" s="145" t="inlineStr">
        <is>
          <t>No</t>
        </is>
      </c>
      <c r="J355" s="145" t="inlineStr">
        <is>
          <t>No</t>
        </is>
      </c>
      <c r="K355" s="145" t="inlineStr">
        <is>
          <t>None</t>
        </is>
      </c>
      <c r="L355" s="145" t="inlineStr">
        <is>
          <t>#000000</t>
        </is>
      </c>
      <c r="M355" s="145" t="inlineStr">
        <is>
          <t>General</t>
        </is>
      </c>
      <c r="N355" s="145" t="inlineStr">
        <is>
          <t>Center</t>
        </is>
      </c>
      <c r="O355" s="145" t="inlineStr">
        <is>
          <t>No</t>
        </is>
      </c>
      <c r="P355" s="145" t="inlineStr">
        <is>
          <t>General</t>
        </is>
      </c>
      <c r="Q355" s="145" t="inlineStr">
        <is>
          <t>General</t>
        </is>
      </c>
      <c r="R355" s="145" t="n"/>
      <c r="S355" s="145" t="n"/>
      <c r="T355" s="145" t="n"/>
      <c r="U355" s="145" t="n"/>
      <c r="V355" s="145" t="n"/>
      <c r="W355" s="145" t="n"/>
      <c r="X355" s="145" t="inlineStr">
        <is>
          <t>Detailed format sample from top 5 used rows</t>
        </is>
      </c>
    </row>
    <row r="356" ht="23.85" customHeight="1" s="79">
      <c r="A356" s="145" t="inlineStr">
        <is>
          <t>REGULAR_ART</t>
        </is>
      </c>
      <c r="B356" s="145" t="inlineStr">
        <is>
          <t>Top-Row Cell Format</t>
        </is>
      </c>
      <c r="C356" s="145" t="inlineStr">
        <is>
          <t>M2</t>
        </is>
      </c>
      <c r="D356" s="145" t="inlineStr">
        <is>
          <t>REGULAR_ART!A1:AT410</t>
        </is>
      </c>
      <c r="E356" s="145" t="inlineStr">
        <is>
          <t>Normal</t>
        </is>
      </c>
      <c r="F356" s="145" t="n"/>
      <c r="G356" s="145" t="inlineStr">
        <is>
          <t>Aptos</t>
        </is>
      </c>
      <c r="H356" s="145" t="n">
        <v>8</v>
      </c>
      <c r="I356" s="145" t="inlineStr">
        <is>
          <t>No</t>
        </is>
      </c>
      <c r="J356" s="145" t="inlineStr">
        <is>
          <t>No</t>
        </is>
      </c>
      <c r="K356" s="145" t="inlineStr">
        <is>
          <t>None</t>
        </is>
      </c>
      <c r="L356" s="145" t="inlineStr">
        <is>
          <t>#000000</t>
        </is>
      </c>
      <c r="M356" s="145" t="inlineStr">
        <is>
          <t>General</t>
        </is>
      </c>
      <c r="N356" s="145" t="inlineStr">
        <is>
          <t>Center</t>
        </is>
      </c>
      <c r="O356" s="145" t="inlineStr">
        <is>
          <t>No</t>
        </is>
      </c>
      <c r="P356" s="145" t="inlineStr">
        <is>
          <t>General</t>
        </is>
      </c>
      <c r="Q356" s="145" t="inlineStr">
        <is>
          <t>General</t>
        </is>
      </c>
      <c r="R356" s="145" t="n"/>
      <c r="S356" s="145" t="n"/>
      <c r="T356" s="145" t="n"/>
      <c r="U356" s="145" t="n"/>
      <c r="V356" s="145" t="n"/>
      <c r="W356" s="145" t="n"/>
      <c r="X356" s="145" t="inlineStr">
        <is>
          <t>Detailed format sample from top 5 used rows</t>
        </is>
      </c>
    </row>
    <row r="357" ht="23.85" customHeight="1" s="79">
      <c r="A357" s="145" t="inlineStr">
        <is>
          <t>REGULAR_ART</t>
        </is>
      </c>
      <c r="B357" s="145" t="inlineStr">
        <is>
          <t>Top-Row Cell Format</t>
        </is>
      </c>
      <c r="C357" s="145" t="inlineStr">
        <is>
          <t>M3</t>
        </is>
      </c>
      <c r="D357" s="145" t="inlineStr">
        <is>
          <t>REGULAR_ART!A1:AT410</t>
        </is>
      </c>
      <c r="E357" s="145" t="inlineStr">
        <is>
          <t>Normal</t>
        </is>
      </c>
      <c r="F357" s="145" t="inlineStr">
        <is>
          <t>#F8CBAD</t>
        </is>
      </c>
      <c r="G357" s="145" t="inlineStr">
        <is>
          <t>Aptos</t>
        </is>
      </c>
      <c r="H357" s="145" t="n">
        <v>8</v>
      </c>
      <c r="I357" s="145" t="inlineStr">
        <is>
          <t>Yes</t>
        </is>
      </c>
      <c r="J357" s="145" t="inlineStr">
        <is>
          <t>No</t>
        </is>
      </c>
      <c r="K357" s="145" t="inlineStr">
        <is>
          <t>None</t>
        </is>
      </c>
      <c r="L357" s="145" t="inlineStr">
        <is>
          <t>#000000</t>
        </is>
      </c>
      <c r="M357" s="145" t="inlineStr">
        <is>
          <t>General</t>
        </is>
      </c>
      <c r="N357" s="145" t="inlineStr">
        <is>
          <t>Center</t>
        </is>
      </c>
      <c r="O357" s="145" t="inlineStr">
        <is>
          <t>No</t>
        </is>
      </c>
      <c r="P357" s="145" t="inlineStr">
        <is>
          <t>General</t>
        </is>
      </c>
      <c r="Q357" s="145" t="inlineStr">
        <is>
          <t>General</t>
        </is>
      </c>
      <c r="R357" s="145" t="n"/>
      <c r="S357" s="145" t="n"/>
      <c r="T357" s="145" t="n"/>
      <c r="U357" s="145" t="n"/>
      <c r="V357" s="145" t="n"/>
      <c r="W357" s="145" t="n"/>
      <c r="X357" s="145" t="inlineStr">
        <is>
          <t>Detailed format sample from top 5 used rows</t>
        </is>
      </c>
    </row>
    <row r="358" ht="23.85" customHeight="1" s="79">
      <c r="A358" s="145" t="inlineStr">
        <is>
          <t>REGULAR_ART</t>
        </is>
      </c>
      <c r="B358" s="145" t="inlineStr">
        <is>
          <t>Top-Row Cell Format</t>
        </is>
      </c>
      <c r="C358" s="145" t="inlineStr">
        <is>
          <t>M4</t>
        </is>
      </c>
      <c r="D358" s="145" t="inlineStr">
        <is>
          <t>REGULAR_ART!A1:AT410</t>
        </is>
      </c>
      <c r="E358" s="145" t="inlineStr">
        <is>
          <t>Normal</t>
        </is>
      </c>
      <c r="F358" s="145" t="inlineStr">
        <is>
          <t>#F8CBAD</t>
        </is>
      </c>
      <c r="G358" s="145" t="inlineStr">
        <is>
          <t>Aptos</t>
        </is>
      </c>
      <c r="H358" s="145" t="n">
        <v>8</v>
      </c>
      <c r="I358" s="145" t="inlineStr">
        <is>
          <t>No</t>
        </is>
      </c>
      <c r="J358" s="145" t="inlineStr">
        <is>
          <t>No</t>
        </is>
      </c>
      <c r="K358" s="145" t="inlineStr">
        <is>
          <t>None</t>
        </is>
      </c>
      <c r="L358" s="145" t="inlineStr">
        <is>
          <t>#000000</t>
        </is>
      </c>
      <c r="M358" s="145" t="inlineStr">
        <is>
          <t>General</t>
        </is>
      </c>
      <c r="N358" s="145" t="inlineStr">
        <is>
          <t>Center</t>
        </is>
      </c>
      <c r="O358" s="145" t="inlineStr">
        <is>
          <t>No</t>
        </is>
      </c>
      <c r="P358" s="145" t="inlineStr">
        <is>
          <t>General</t>
        </is>
      </c>
      <c r="Q358" s="145" t="inlineStr">
        <is>
          <t>General</t>
        </is>
      </c>
      <c r="R358" s="145" t="n"/>
      <c r="S358" s="145" t="n"/>
      <c r="T358" s="145" t="n"/>
      <c r="U358" s="145" t="n"/>
      <c r="V358" s="145" t="n"/>
      <c r="W358" s="145" t="n"/>
      <c r="X358" s="145" t="inlineStr">
        <is>
          <t>Detailed format sample from top 5 used rows</t>
        </is>
      </c>
    </row>
    <row r="359" ht="23.85" customHeight="1" s="79">
      <c r="A359" s="145" t="inlineStr">
        <is>
          <t>REGULAR_ART</t>
        </is>
      </c>
      <c r="B359" s="145" t="inlineStr">
        <is>
          <t>Top-Row Cell Format</t>
        </is>
      </c>
      <c r="C359" s="145" t="inlineStr">
        <is>
          <t>M5</t>
        </is>
      </c>
      <c r="D359" s="145" t="inlineStr">
        <is>
          <t>REGULAR_ART!A1:AT410</t>
        </is>
      </c>
      <c r="E359" s="145" t="inlineStr">
        <is>
          <t>Normal</t>
        </is>
      </c>
      <c r="F359" s="145" t="n"/>
      <c r="G359" s="145" t="inlineStr">
        <is>
          <t>Aptos</t>
        </is>
      </c>
      <c r="H359" s="145" t="n">
        <v>8</v>
      </c>
      <c r="I359" s="145" t="inlineStr">
        <is>
          <t>No</t>
        </is>
      </c>
      <c r="J359" s="145" t="inlineStr">
        <is>
          <t>No</t>
        </is>
      </c>
      <c r="K359" s="145" t="inlineStr">
        <is>
          <t>None</t>
        </is>
      </c>
      <c r="L359" s="145" t="inlineStr">
        <is>
          <t>#000000</t>
        </is>
      </c>
      <c r="M359" s="145" t="inlineStr">
        <is>
          <t>General</t>
        </is>
      </c>
      <c r="N359" s="145" t="inlineStr">
        <is>
          <t>Center</t>
        </is>
      </c>
      <c r="O359" s="145" t="inlineStr">
        <is>
          <t>No</t>
        </is>
      </c>
      <c r="P359" s="145" t="inlineStr">
        <is>
          <t>General</t>
        </is>
      </c>
      <c r="Q359" s="145" t="inlineStr">
        <is>
          <t>General</t>
        </is>
      </c>
      <c r="R359" s="145" t="n"/>
      <c r="S359" s="145" t="n"/>
      <c r="T359" s="145" t="n"/>
      <c r="U359" s="145" t="n"/>
      <c r="V359" s="145" t="n"/>
      <c r="W359" s="145" t="n"/>
      <c r="X359" s="145" t="inlineStr">
        <is>
          <t>Detailed format sample from top 5 used rows</t>
        </is>
      </c>
    </row>
    <row r="360" ht="23.85" customHeight="1" s="79">
      <c r="A360" s="145" t="inlineStr">
        <is>
          <t>REGULAR_ART</t>
        </is>
      </c>
      <c r="B360" s="145" t="inlineStr">
        <is>
          <t>Column Format</t>
        </is>
      </c>
      <c r="C360" s="145" t="inlineStr">
        <is>
          <t>N:N</t>
        </is>
      </c>
      <c r="D360" s="145" t="inlineStr">
        <is>
          <t>REGULAR_ART!A1:AT410</t>
        </is>
      </c>
      <c r="E360" s="145" t="inlineStr">
        <is>
          <t>Normal</t>
        </is>
      </c>
      <c r="F360" s="145" t="inlineStr">
        <is>
          <t>Mixed</t>
        </is>
      </c>
      <c r="G360" s="145" t="inlineStr">
        <is>
          <t>Aptos</t>
        </is>
      </c>
      <c r="H360" s="145" t="n">
        <v>8</v>
      </c>
      <c r="I360" s="145" t="inlineStr">
        <is>
          <t>Mixed</t>
        </is>
      </c>
      <c r="J360" s="145" t="inlineStr">
        <is>
          <t>No</t>
        </is>
      </c>
      <c r="K360" s="145" t="inlineStr">
        <is>
          <t>None</t>
        </is>
      </c>
      <c r="L360" s="145" t="inlineStr">
        <is>
          <t>#000000</t>
        </is>
      </c>
      <c r="M360" s="145" t="inlineStr">
        <is>
          <t>General</t>
        </is>
      </c>
      <c r="N360" s="145" t="inlineStr">
        <is>
          <t>Center</t>
        </is>
      </c>
      <c r="O360" s="145" t="inlineStr">
        <is>
          <t>No</t>
        </is>
      </c>
      <c r="P360" s="145" t="n"/>
      <c r="Q360" s="145" t="n"/>
      <c r="R360" s="145" t="inlineStr">
        <is>
          <t>EdgeBottom:Continuous/Thin/#000000; EdgeRight:Continuous/Thin/#000000</t>
        </is>
      </c>
      <c r="S360" s="145" t="n">
        <v>51.044776119403</v>
      </c>
      <c r="T360" s="145" t="n"/>
      <c r="U360" s="145" t="inlineStr">
        <is>
          <t>No</t>
        </is>
      </c>
      <c r="V360" s="145" t="inlineStr">
        <is>
          <t>Visible</t>
        </is>
      </c>
      <c r="W360" s="145" t="n"/>
      <c r="X360" s="145" t="inlineStr">
        <is>
          <t>Mixed styles within used column</t>
        </is>
      </c>
    </row>
    <row r="361" ht="23.85" customHeight="1" s="79">
      <c r="A361" s="145" t="inlineStr">
        <is>
          <t>REGULAR_ART</t>
        </is>
      </c>
      <c r="B361" s="145" t="inlineStr">
        <is>
          <t>Top-Row Cell Format</t>
        </is>
      </c>
      <c r="C361" s="145" t="inlineStr">
        <is>
          <t>N1</t>
        </is>
      </c>
      <c r="D361" s="145" t="inlineStr">
        <is>
          <t>REGULAR_ART!A1:AT410</t>
        </is>
      </c>
      <c r="E361" s="145" t="inlineStr">
        <is>
          <t>Normal</t>
        </is>
      </c>
      <c r="F361" s="145" t="n"/>
      <c r="G361" s="145" t="inlineStr">
        <is>
          <t>Aptos</t>
        </is>
      </c>
      <c r="H361" s="145" t="n">
        <v>8</v>
      </c>
      <c r="I361" s="145" t="inlineStr">
        <is>
          <t>No</t>
        </is>
      </c>
      <c r="J361" s="145" t="inlineStr">
        <is>
          <t>No</t>
        </is>
      </c>
      <c r="K361" s="145" t="inlineStr">
        <is>
          <t>None</t>
        </is>
      </c>
      <c r="L361" s="145" t="inlineStr">
        <is>
          <t>#000000</t>
        </is>
      </c>
      <c r="M361" s="145" t="inlineStr">
        <is>
          <t>General</t>
        </is>
      </c>
      <c r="N361" s="145" t="inlineStr">
        <is>
          <t>Center</t>
        </is>
      </c>
      <c r="O361" s="145" t="inlineStr">
        <is>
          <t>No</t>
        </is>
      </c>
      <c r="P361" s="145" t="inlineStr">
        <is>
          <t>General</t>
        </is>
      </c>
      <c r="Q361" s="145" t="inlineStr">
        <is>
          <t>General</t>
        </is>
      </c>
      <c r="R361" s="145" t="n"/>
      <c r="S361" s="145" t="n"/>
      <c r="T361" s="145" t="n"/>
      <c r="U361" s="145" t="n"/>
      <c r="V361" s="145" t="n"/>
      <c r="W361" s="145" t="n"/>
      <c r="X361" s="145" t="inlineStr">
        <is>
          <t>Detailed format sample from top 5 used rows</t>
        </is>
      </c>
    </row>
    <row r="362" ht="23.85" customHeight="1" s="79">
      <c r="A362" s="145" t="inlineStr">
        <is>
          <t>REGULAR_ART</t>
        </is>
      </c>
      <c r="B362" s="145" t="inlineStr">
        <is>
          <t>Top-Row Cell Format</t>
        </is>
      </c>
      <c r="C362" s="145" t="inlineStr">
        <is>
          <t>N2</t>
        </is>
      </c>
      <c r="D362" s="145" t="inlineStr">
        <is>
          <t>REGULAR_ART!A1:AT410</t>
        </is>
      </c>
      <c r="E362" s="145" t="inlineStr">
        <is>
          <t>Normal</t>
        </is>
      </c>
      <c r="F362" s="145" t="n"/>
      <c r="G362" s="145" t="inlineStr">
        <is>
          <t>Aptos</t>
        </is>
      </c>
      <c r="H362" s="145" t="n">
        <v>8</v>
      </c>
      <c r="I362" s="145" t="inlineStr">
        <is>
          <t>No</t>
        </is>
      </c>
      <c r="J362" s="145" t="inlineStr">
        <is>
          <t>No</t>
        </is>
      </c>
      <c r="K362" s="145" t="inlineStr">
        <is>
          <t>None</t>
        </is>
      </c>
      <c r="L362" s="145" t="inlineStr">
        <is>
          <t>#000000</t>
        </is>
      </c>
      <c r="M362" s="145" t="inlineStr">
        <is>
          <t>General</t>
        </is>
      </c>
      <c r="N362" s="145" t="inlineStr">
        <is>
          <t>Center</t>
        </is>
      </c>
      <c r="O362" s="145" t="inlineStr">
        <is>
          <t>No</t>
        </is>
      </c>
      <c r="P362" s="145" t="inlineStr">
        <is>
          <t>General</t>
        </is>
      </c>
      <c r="Q362" s="145" t="inlineStr">
        <is>
          <t>General</t>
        </is>
      </c>
      <c r="R362" s="145" t="n"/>
      <c r="S362" s="145" t="n"/>
      <c r="T362" s="145" t="n"/>
      <c r="U362" s="145" t="n"/>
      <c r="V362" s="145" t="n"/>
      <c r="W362" s="145" t="n"/>
      <c r="X362" s="145" t="inlineStr">
        <is>
          <t>Detailed format sample from top 5 used rows</t>
        </is>
      </c>
    </row>
    <row r="363" ht="23.85" customHeight="1" s="79">
      <c r="A363" s="145" t="inlineStr">
        <is>
          <t>REGULAR_ART</t>
        </is>
      </c>
      <c r="B363" s="145" t="inlineStr">
        <is>
          <t>Top-Row Cell Format</t>
        </is>
      </c>
      <c r="C363" s="145" t="inlineStr">
        <is>
          <t>N3</t>
        </is>
      </c>
      <c r="D363" s="145" t="inlineStr">
        <is>
          <t>REGULAR_ART!A1:AT410</t>
        </is>
      </c>
      <c r="E363" s="145" t="inlineStr">
        <is>
          <t>Normal</t>
        </is>
      </c>
      <c r="F363" s="145" t="inlineStr">
        <is>
          <t>#F8CBAD</t>
        </is>
      </c>
      <c r="G363" s="145" t="inlineStr">
        <is>
          <t>Aptos</t>
        </is>
      </c>
      <c r="H363" s="145" t="n">
        <v>8</v>
      </c>
      <c r="I363" s="145" t="inlineStr">
        <is>
          <t>Yes</t>
        </is>
      </c>
      <c r="J363" s="145" t="inlineStr">
        <is>
          <t>No</t>
        </is>
      </c>
      <c r="K363" s="145" t="inlineStr">
        <is>
          <t>None</t>
        </is>
      </c>
      <c r="L363" s="145" t="inlineStr">
        <is>
          <t>#000000</t>
        </is>
      </c>
      <c r="M363" s="145" t="inlineStr">
        <is>
          <t>General</t>
        </is>
      </c>
      <c r="N363" s="145" t="inlineStr">
        <is>
          <t>Center</t>
        </is>
      </c>
      <c r="O363" s="145" t="inlineStr">
        <is>
          <t>No</t>
        </is>
      </c>
      <c r="P363" s="145" t="inlineStr">
        <is>
          <t>General</t>
        </is>
      </c>
      <c r="Q363" s="145" t="inlineStr">
        <is>
          <t>General</t>
        </is>
      </c>
      <c r="R363" s="145" t="n"/>
      <c r="S363" s="145" t="n"/>
      <c r="T363" s="145" t="n"/>
      <c r="U363" s="145" t="n"/>
      <c r="V363" s="145" t="n"/>
      <c r="W363" s="145" t="n"/>
      <c r="X363" s="145" t="inlineStr">
        <is>
          <t>Detailed format sample from top 5 used rows</t>
        </is>
      </c>
    </row>
    <row r="364" ht="23.85" customHeight="1" s="79">
      <c r="A364" s="145" t="inlineStr">
        <is>
          <t>REGULAR_ART</t>
        </is>
      </c>
      <c r="B364" s="145" t="inlineStr">
        <is>
          <t>Top-Row Cell Format</t>
        </is>
      </c>
      <c r="C364" s="145" t="inlineStr">
        <is>
          <t>N4</t>
        </is>
      </c>
      <c r="D364" s="145" t="inlineStr">
        <is>
          <t>REGULAR_ART!A1:AT410</t>
        </is>
      </c>
      <c r="E364" s="145" t="inlineStr">
        <is>
          <t>Normal</t>
        </is>
      </c>
      <c r="F364" s="145" t="inlineStr">
        <is>
          <t>#F8CBAD</t>
        </is>
      </c>
      <c r="G364" s="145" t="inlineStr">
        <is>
          <t>Aptos</t>
        </is>
      </c>
      <c r="H364" s="145" t="n">
        <v>8</v>
      </c>
      <c r="I364" s="145" t="inlineStr">
        <is>
          <t>No</t>
        </is>
      </c>
      <c r="J364" s="145" t="inlineStr">
        <is>
          <t>No</t>
        </is>
      </c>
      <c r="K364" s="145" t="inlineStr">
        <is>
          <t>None</t>
        </is>
      </c>
      <c r="L364" s="145" t="inlineStr">
        <is>
          <t>#000000</t>
        </is>
      </c>
      <c r="M364" s="145" t="inlineStr">
        <is>
          <t>General</t>
        </is>
      </c>
      <c r="N364" s="145" t="inlineStr">
        <is>
          <t>Center</t>
        </is>
      </c>
      <c r="O364" s="145" t="inlineStr">
        <is>
          <t>No</t>
        </is>
      </c>
      <c r="P364" s="145" t="inlineStr">
        <is>
          <t>General</t>
        </is>
      </c>
      <c r="Q364" s="145" t="inlineStr">
        <is>
          <t>General</t>
        </is>
      </c>
      <c r="R364" s="145" t="n"/>
      <c r="S364" s="145" t="n"/>
      <c r="T364" s="145" t="n"/>
      <c r="U364" s="145" t="n"/>
      <c r="V364" s="145" t="n"/>
      <c r="W364" s="145" t="n"/>
      <c r="X364" s="145" t="inlineStr">
        <is>
          <t>Detailed format sample from top 5 used rows</t>
        </is>
      </c>
    </row>
    <row r="365" ht="23.85" customHeight="1" s="79">
      <c r="A365" s="145" t="inlineStr">
        <is>
          <t>REGULAR_ART</t>
        </is>
      </c>
      <c r="B365" s="145" t="inlineStr">
        <is>
          <t>Top-Row Cell Format</t>
        </is>
      </c>
      <c r="C365" s="145" t="inlineStr">
        <is>
          <t>N5</t>
        </is>
      </c>
      <c r="D365" s="145" t="inlineStr">
        <is>
          <t>REGULAR_ART!A1:AT410</t>
        </is>
      </c>
      <c r="E365" s="145" t="inlineStr">
        <is>
          <t>Normal</t>
        </is>
      </c>
      <c r="F365" s="145" t="n"/>
      <c r="G365" s="145" t="inlineStr">
        <is>
          <t>Aptos</t>
        </is>
      </c>
      <c r="H365" s="145" t="n">
        <v>8</v>
      </c>
      <c r="I365" s="145" t="inlineStr">
        <is>
          <t>No</t>
        </is>
      </c>
      <c r="J365" s="145" t="inlineStr">
        <is>
          <t>No</t>
        </is>
      </c>
      <c r="K365" s="145" t="inlineStr">
        <is>
          <t>None</t>
        </is>
      </c>
      <c r="L365" s="145" t="inlineStr">
        <is>
          <t>#000000</t>
        </is>
      </c>
      <c r="M365" s="145" t="inlineStr">
        <is>
          <t>General</t>
        </is>
      </c>
      <c r="N365" s="145" t="inlineStr">
        <is>
          <t>Center</t>
        </is>
      </c>
      <c r="O365" s="145" t="inlineStr">
        <is>
          <t>No</t>
        </is>
      </c>
      <c r="P365" s="145" t="inlineStr">
        <is>
          <t>General</t>
        </is>
      </c>
      <c r="Q365" s="145" t="inlineStr">
        <is>
          <t>General</t>
        </is>
      </c>
      <c r="R365" s="145" t="n"/>
      <c r="S365" s="145" t="n"/>
      <c r="T365" s="145" t="n"/>
      <c r="U365" s="145" t="n"/>
      <c r="V365" s="145" t="n"/>
      <c r="W365" s="145" t="n"/>
      <c r="X365" s="145" t="inlineStr">
        <is>
          <t>Detailed format sample from top 5 used rows</t>
        </is>
      </c>
    </row>
    <row r="366" ht="23.85" customHeight="1" s="79">
      <c r="A366" s="145" t="inlineStr">
        <is>
          <t>REGULAR_ART</t>
        </is>
      </c>
      <c r="B366" s="145" t="inlineStr">
        <is>
          <t>Column Format</t>
        </is>
      </c>
      <c r="C366" s="145" t="inlineStr">
        <is>
          <t>O:O</t>
        </is>
      </c>
      <c r="D366" s="145" t="inlineStr">
        <is>
          <t>REGULAR_ART!A1:AT410</t>
        </is>
      </c>
      <c r="E366" s="145" t="inlineStr">
        <is>
          <t>Normal</t>
        </is>
      </c>
      <c r="F366" s="145" t="inlineStr">
        <is>
          <t>Mixed</t>
        </is>
      </c>
      <c r="G366" s="145" t="inlineStr">
        <is>
          <t>Aptos</t>
        </is>
      </c>
      <c r="H366" s="145" t="n">
        <v>8</v>
      </c>
      <c r="I366" s="145" t="inlineStr">
        <is>
          <t>Mixed</t>
        </is>
      </c>
      <c r="J366" s="145" t="inlineStr">
        <is>
          <t>No</t>
        </is>
      </c>
      <c r="K366" s="145" t="inlineStr">
        <is>
          <t>None</t>
        </is>
      </c>
      <c r="L366" s="145" t="inlineStr">
        <is>
          <t>#000000</t>
        </is>
      </c>
      <c r="M366" s="145" t="inlineStr">
        <is>
          <t>Mixed</t>
        </is>
      </c>
      <c r="N366" s="145" t="inlineStr">
        <is>
          <t>Center</t>
        </is>
      </c>
      <c r="O366" s="145" t="inlineStr">
        <is>
          <t>Mixed</t>
        </is>
      </c>
      <c r="P366" s="145" t="n"/>
      <c r="Q366" s="145" t="n"/>
      <c r="R366" s="145" t="inlineStr">
        <is>
          <t>EdgeBottom:Continuous/Thin/#000000; EdgeRight:Continuous/Thin/#000000</t>
        </is>
      </c>
      <c r="S366" s="145" t="n">
        <v>34.9253731343284</v>
      </c>
      <c r="T366" s="145" t="n"/>
      <c r="U366" s="145" t="inlineStr">
        <is>
          <t>No</t>
        </is>
      </c>
      <c r="V366" s="145" t="inlineStr">
        <is>
          <t>Visible</t>
        </is>
      </c>
      <c r="W366" s="145" t="n"/>
      <c r="X366" s="145" t="inlineStr">
        <is>
          <t>Mixed styles within used column</t>
        </is>
      </c>
    </row>
    <row r="367" ht="23.85" customHeight="1" s="79">
      <c r="A367" s="145" t="inlineStr">
        <is>
          <t>REGULAR_ART</t>
        </is>
      </c>
      <c r="B367" s="145" t="inlineStr">
        <is>
          <t>Top-Row Cell Format</t>
        </is>
      </c>
      <c r="C367" s="145" t="inlineStr">
        <is>
          <t>O1</t>
        </is>
      </c>
      <c r="D367" s="145" t="inlineStr">
        <is>
          <t>REGULAR_ART!A1:AT410</t>
        </is>
      </c>
      <c r="E367" s="145" t="inlineStr">
        <is>
          <t>Normal</t>
        </is>
      </c>
      <c r="F367" s="145" t="n"/>
      <c r="G367" s="145" t="inlineStr">
        <is>
          <t>Aptos</t>
        </is>
      </c>
      <c r="H367" s="145" t="n">
        <v>8</v>
      </c>
      <c r="I367" s="145" t="inlineStr">
        <is>
          <t>No</t>
        </is>
      </c>
      <c r="J367" s="145" t="inlineStr">
        <is>
          <t>No</t>
        </is>
      </c>
      <c r="K367" s="145" t="inlineStr">
        <is>
          <t>None</t>
        </is>
      </c>
      <c r="L367" s="145" t="inlineStr">
        <is>
          <t>#000000</t>
        </is>
      </c>
      <c r="M367" s="145" t="inlineStr">
        <is>
          <t>General</t>
        </is>
      </c>
      <c r="N367" s="145" t="inlineStr">
        <is>
          <t>Center</t>
        </is>
      </c>
      <c r="O367" s="145" t="inlineStr">
        <is>
          <t>No</t>
        </is>
      </c>
      <c r="P367" s="145" t="inlineStr">
        <is>
          <t>General</t>
        </is>
      </c>
      <c r="Q367" s="145" t="inlineStr">
        <is>
          <t>General</t>
        </is>
      </c>
      <c r="R367" s="145" t="n"/>
      <c r="S367" s="145" t="n"/>
      <c r="T367" s="145" t="n"/>
      <c r="U367" s="145" t="n"/>
      <c r="V367" s="145" t="n"/>
      <c r="W367" s="145" t="n"/>
      <c r="X367" s="145" t="inlineStr">
        <is>
          <t>Detailed format sample from top 5 used rows</t>
        </is>
      </c>
    </row>
    <row r="368" ht="23.85" customHeight="1" s="79">
      <c r="A368" s="145" t="inlineStr">
        <is>
          <t>REGULAR_ART</t>
        </is>
      </c>
      <c r="B368" s="145" t="inlineStr">
        <is>
          <t>Top-Row Cell Format</t>
        </is>
      </c>
      <c r="C368" s="145" t="inlineStr">
        <is>
          <t>O2</t>
        </is>
      </c>
      <c r="D368" s="145" t="inlineStr">
        <is>
          <t>REGULAR_ART!A1:AT410</t>
        </is>
      </c>
      <c r="E368" s="145" t="inlineStr">
        <is>
          <t>Normal</t>
        </is>
      </c>
      <c r="F368" s="145" t="n"/>
      <c r="G368" s="145" t="inlineStr">
        <is>
          <t>Aptos</t>
        </is>
      </c>
      <c r="H368" s="145" t="n">
        <v>8</v>
      </c>
      <c r="I368" s="145" t="inlineStr">
        <is>
          <t>No</t>
        </is>
      </c>
      <c r="J368" s="145" t="inlineStr">
        <is>
          <t>No</t>
        </is>
      </c>
      <c r="K368" s="145" t="inlineStr">
        <is>
          <t>None</t>
        </is>
      </c>
      <c r="L368" s="145" t="inlineStr">
        <is>
          <t>#000000</t>
        </is>
      </c>
      <c r="M368" s="145" t="inlineStr">
        <is>
          <t>General</t>
        </is>
      </c>
      <c r="N368" s="145" t="inlineStr">
        <is>
          <t>Center</t>
        </is>
      </c>
      <c r="O368" s="145" t="inlineStr">
        <is>
          <t>No</t>
        </is>
      </c>
      <c r="P368" s="145" t="inlineStr">
        <is>
          <t>General</t>
        </is>
      </c>
      <c r="Q368" s="145" t="inlineStr">
        <is>
          <t>General</t>
        </is>
      </c>
      <c r="R368" s="145" t="n"/>
      <c r="S368" s="145" t="n"/>
      <c r="T368" s="145" t="n"/>
      <c r="U368" s="145" t="n"/>
      <c r="V368" s="145" t="n"/>
      <c r="W368" s="145" t="n"/>
      <c r="X368" s="145" t="inlineStr">
        <is>
          <t>Detailed format sample from top 5 used rows</t>
        </is>
      </c>
    </row>
    <row r="369" ht="23.85" customHeight="1" s="79">
      <c r="A369" s="145" t="inlineStr">
        <is>
          <t>REGULAR_ART</t>
        </is>
      </c>
      <c r="B369" s="145" t="inlineStr">
        <is>
          <t>Top-Row Cell Format</t>
        </is>
      </c>
      <c r="C369" s="145" t="inlineStr">
        <is>
          <t>O3</t>
        </is>
      </c>
      <c r="D369" s="145" t="inlineStr">
        <is>
          <t>REGULAR_ART!A1:AT410</t>
        </is>
      </c>
      <c r="E369" s="145" t="inlineStr">
        <is>
          <t>Normal</t>
        </is>
      </c>
      <c r="F369" s="145" t="inlineStr">
        <is>
          <t>#F8CBAD</t>
        </is>
      </c>
      <c r="G369" s="145" t="inlineStr">
        <is>
          <t>Aptos</t>
        </is>
      </c>
      <c r="H369" s="145" t="n">
        <v>8</v>
      </c>
      <c r="I369" s="145" t="inlineStr">
        <is>
          <t>Yes</t>
        </is>
      </c>
      <c r="J369" s="145" t="inlineStr">
        <is>
          <t>No</t>
        </is>
      </c>
      <c r="K369" s="145" t="inlineStr">
        <is>
          <t>None</t>
        </is>
      </c>
      <c r="L369" s="145" t="inlineStr">
        <is>
          <t>#000000</t>
        </is>
      </c>
      <c r="M369" s="145" t="inlineStr">
        <is>
          <t>Center</t>
        </is>
      </c>
      <c r="N369" s="145" t="inlineStr">
        <is>
          <t>Center</t>
        </is>
      </c>
      <c r="O369" s="145" t="inlineStr">
        <is>
          <t>Yes</t>
        </is>
      </c>
      <c r="P369" s="145" t="inlineStr">
        <is>
          <t>General</t>
        </is>
      </c>
      <c r="Q369" s="145" t="inlineStr">
        <is>
          <t>General</t>
        </is>
      </c>
      <c r="R369" s="145" t="n"/>
      <c r="S369" s="145" t="n"/>
      <c r="T369" s="145" t="n"/>
      <c r="U369" s="145" t="n"/>
      <c r="V369" s="145" t="n"/>
      <c r="W369" s="145" t="n"/>
      <c r="X369" s="145" t="inlineStr">
        <is>
          <t>Detailed format sample from top 5 used rows</t>
        </is>
      </c>
    </row>
    <row r="370" ht="23.85" customHeight="1" s="79">
      <c r="A370" s="145" t="inlineStr">
        <is>
          <t>REGULAR_ART</t>
        </is>
      </c>
      <c r="B370" s="145" t="inlineStr">
        <is>
          <t>Top-Row Cell Format</t>
        </is>
      </c>
      <c r="C370" s="145" t="inlineStr">
        <is>
          <t>O4</t>
        </is>
      </c>
      <c r="D370" s="145" t="inlineStr">
        <is>
          <t>REGULAR_ART!A1:AT410</t>
        </is>
      </c>
      <c r="E370" s="145" t="inlineStr">
        <is>
          <t>Normal</t>
        </is>
      </c>
      <c r="F370" s="145" t="inlineStr">
        <is>
          <t>#F8CBAD</t>
        </is>
      </c>
      <c r="G370" s="145" t="inlineStr">
        <is>
          <t>Aptos</t>
        </is>
      </c>
      <c r="H370" s="145" t="n">
        <v>8</v>
      </c>
      <c r="I370" s="145" t="inlineStr">
        <is>
          <t>No</t>
        </is>
      </c>
      <c r="J370" s="145" t="inlineStr">
        <is>
          <t>No</t>
        </is>
      </c>
      <c r="K370" s="145" t="inlineStr">
        <is>
          <t>None</t>
        </is>
      </c>
      <c r="L370" s="145" t="inlineStr">
        <is>
          <t>#000000</t>
        </is>
      </c>
      <c r="M370" s="145" t="inlineStr">
        <is>
          <t>General</t>
        </is>
      </c>
      <c r="N370" s="145" t="inlineStr">
        <is>
          <t>Center</t>
        </is>
      </c>
      <c r="O370" s="145" t="inlineStr">
        <is>
          <t>No</t>
        </is>
      </c>
      <c r="P370" s="145" t="inlineStr">
        <is>
          <t>General</t>
        </is>
      </c>
      <c r="Q370" s="145" t="inlineStr">
        <is>
          <t>General</t>
        </is>
      </c>
      <c r="R370" s="145" t="n"/>
      <c r="S370" s="145" t="n"/>
      <c r="T370" s="145" t="n"/>
      <c r="U370" s="145" t="n"/>
      <c r="V370" s="145" t="n"/>
      <c r="W370" s="145" t="n"/>
      <c r="X370" s="145" t="inlineStr">
        <is>
          <t>Detailed format sample from top 5 used rows</t>
        </is>
      </c>
    </row>
    <row r="371" ht="23.85" customHeight="1" s="79">
      <c r="A371" s="145" t="inlineStr">
        <is>
          <t>REGULAR_ART</t>
        </is>
      </c>
      <c r="B371" s="145" t="inlineStr">
        <is>
          <t>Top-Row Cell Format</t>
        </is>
      </c>
      <c r="C371" s="145" t="inlineStr">
        <is>
          <t>O5</t>
        </is>
      </c>
      <c r="D371" s="145" t="inlineStr">
        <is>
          <t>REGULAR_ART!A1:AT410</t>
        </is>
      </c>
      <c r="E371" s="145" t="inlineStr">
        <is>
          <t>Normal</t>
        </is>
      </c>
      <c r="F371" s="145" t="inlineStr">
        <is>
          <t>#EDEDED</t>
        </is>
      </c>
      <c r="G371" s="145" t="inlineStr">
        <is>
          <t>Aptos</t>
        </is>
      </c>
      <c r="H371" s="145" t="n">
        <v>8</v>
      </c>
      <c r="I371" s="145" t="inlineStr">
        <is>
          <t>Yes</t>
        </is>
      </c>
      <c r="J371" s="145" t="inlineStr">
        <is>
          <t>No</t>
        </is>
      </c>
      <c r="K371" s="145" t="inlineStr">
        <is>
          <t>None</t>
        </is>
      </c>
      <c r="L371" s="145" t="inlineStr">
        <is>
          <t>#000000</t>
        </is>
      </c>
      <c r="M371" s="145" t="inlineStr">
        <is>
          <t>Center</t>
        </is>
      </c>
      <c r="N371" s="145" t="inlineStr">
        <is>
          <t>Center</t>
        </is>
      </c>
      <c r="O371" s="145" t="inlineStr">
        <is>
          <t>No</t>
        </is>
      </c>
      <c r="P371" s="146" t="n">
        <v>0</v>
      </c>
      <c r="Q371" s="145" t="inlineStr">
        <is>
          <t>Percentage</t>
        </is>
      </c>
      <c r="R371" s="145" t="n"/>
      <c r="S371" s="145" t="n"/>
      <c r="T371" s="145" t="n"/>
      <c r="U371" s="145" t="n"/>
      <c r="V371" s="145" t="n"/>
      <c r="W371" s="145" t="n"/>
      <c r="X371" s="145" t="inlineStr">
        <is>
          <t>Detailed format sample from top 5 used rows</t>
        </is>
      </c>
    </row>
    <row r="372" ht="23.85" customHeight="1" s="79">
      <c r="A372" s="145" t="inlineStr">
        <is>
          <t>REGULAR_ART</t>
        </is>
      </c>
      <c r="B372" s="145" t="inlineStr">
        <is>
          <t>Column Format</t>
        </is>
      </c>
      <c r="C372" s="145" t="inlineStr">
        <is>
          <t>P:P</t>
        </is>
      </c>
      <c r="D372" s="145" t="inlineStr">
        <is>
          <t>REGULAR_ART!A1:AT410</t>
        </is>
      </c>
      <c r="E372" s="145" t="inlineStr">
        <is>
          <t>Normal</t>
        </is>
      </c>
      <c r="F372" s="145" t="inlineStr">
        <is>
          <t>Mixed</t>
        </is>
      </c>
      <c r="G372" s="145" t="inlineStr">
        <is>
          <t>Aptos</t>
        </is>
      </c>
      <c r="H372" s="145" t="n">
        <v>8</v>
      </c>
      <c r="I372" s="145" t="inlineStr">
        <is>
          <t>Mixed</t>
        </is>
      </c>
      <c r="J372" s="145" t="inlineStr">
        <is>
          <t>No</t>
        </is>
      </c>
      <c r="K372" s="145" t="inlineStr">
        <is>
          <t>None</t>
        </is>
      </c>
      <c r="L372" s="145" t="inlineStr">
        <is>
          <t>#000000</t>
        </is>
      </c>
      <c r="M372" s="145" t="inlineStr">
        <is>
          <t>Mixed</t>
        </is>
      </c>
      <c r="N372" s="145" t="inlineStr">
        <is>
          <t>Center</t>
        </is>
      </c>
      <c r="O372" s="145" t="inlineStr">
        <is>
          <t>Mixed</t>
        </is>
      </c>
      <c r="P372" s="145" t="n"/>
      <c r="Q372" s="145" t="n"/>
      <c r="R372" s="145" t="inlineStr">
        <is>
          <t>EdgeBottom:Continuous/Thin/#000000; EdgeRight:Continuous/Thin/#000000</t>
        </is>
      </c>
      <c r="S372" s="145" t="n">
        <v>34.9253731343284</v>
      </c>
      <c r="T372" s="145" t="n"/>
      <c r="U372" s="145" t="inlineStr">
        <is>
          <t>No</t>
        </is>
      </c>
      <c r="V372" s="145" t="inlineStr">
        <is>
          <t>Visible</t>
        </is>
      </c>
      <c r="W372" s="145" t="n"/>
      <c r="X372" s="145" t="inlineStr">
        <is>
          <t>Mixed styles within used column</t>
        </is>
      </c>
    </row>
    <row r="373" ht="23.85" customHeight="1" s="79">
      <c r="A373" s="145" t="inlineStr">
        <is>
          <t>REGULAR_ART</t>
        </is>
      </c>
      <c r="B373" s="145" t="inlineStr">
        <is>
          <t>Top-Row Cell Format</t>
        </is>
      </c>
      <c r="C373" s="145" t="inlineStr">
        <is>
          <t>P1</t>
        </is>
      </c>
      <c r="D373" s="145" t="inlineStr">
        <is>
          <t>REGULAR_ART!A1:AT410</t>
        </is>
      </c>
      <c r="E373" s="145" t="inlineStr">
        <is>
          <t>Normal</t>
        </is>
      </c>
      <c r="F373" s="145" t="n"/>
      <c r="G373" s="145" t="inlineStr">
        <is>
          <t>Aptos</t>
        </is>
      </c>
      <c r="H373" s="145" t="n">
        <v>8</v>
      </c>
      <c r="I373" s="145" t="inlineStr">
        <is>
          <t>No</t>
        </is>
      </c>
      <c r="J373" s="145" t="inlineStr">
        <is>
          <t>No</t>
        </is>
      </c>
      <c r="K373" s="145" t="inlineStr">
        <is>
          <t>None</t>
        </is>
      </c>
      <c r="L373" s="145" t="inlineStr">
        <is>
          <t>#000000</t>
        </is>
      </c>
      <c r="M373" s="145" t="inlineStr">
        <is>
          <t>General</t>
        </is>
      </c>
      <c r="N373" s="145" t="inlineStr">
        <is>
          <t>Center</t>
        </is>
      </c>
      <c r="O373" s="145" t="inlineStr">
        <is>
          <t>No</t>
        </is>
      </c>
      <c r="P373" s="145" t="inlineStr">
        <is>
          <t>General</t>
        </is>
      </c>
      <c r="Q373" s="145" t="inlineStr">
        <is>
          <t>General</t>
        </is>
      </c>
      <c r="R373" s="145" t="n"/>
      <c r="S373" s="145" t="n"/>
      <c r="T373" s="145" t="n"/>
      <c r="U373" s="145" t="n"/>
      <c r="V373" s="145" t="n"/>
      <c r="W373" s="145" t="n"/>
      <c r="X373" s="145" t="inlineStr">
        <is>
          <t>Detailed format sample from top 5 used rows</t>
        </is>
      </c>
    </row>
    <row r="374" ht="23.85" customHeight="1" s="79">
      <c r="A374" s="145" t="inlineStr">
        <is>
          <t>REGULAR_ART</t>
        </is>
      </c>
      <c r="B374" s="145" t="inlineStr">
        <is>
          <t>Top-Row Cell Format</t>
        </is>
      </c>
      <c r="C374" s="145" t="inlineStr">
        <is>
          <t>P2</t>
        </is>
      </c>
      <c r="D374" s="145" t="inlineStr">
        <is>
          <t>REGULAR_ART!A1:AT410</t>
        </is>
      </c>
      <c r="E374" s="145" t="inlineStr">
        <is>
          <t>Normal</t>
        </is>
      </c>
      <c r="F374" s="145" t="n"/>
      <c r="G374" s="145" t="inlineStr">
        <is>
          <t>Aptos</t>
        </is>
      </c>
      <c r="H374" s="145" t="n">
        <v>8</v>
      </c>
      <c r="I374" s="145" t="inlineStr">
        <is>
          <t>No</t>
        </is>
      </c>
      <c r="J374" s="145" t="inlineStr">
        <is>
          <t>No</t>
        </is>
      </c>
      <c r="K374" s="145" t="inlineStr">
        <is>
          <t>None</t>
        </is>
      </c>
      <c r="L374" s="145" t="inlineStr">
        <is>
          <t>#000000</t>
        </is>
      </c>
      <c r="M374" s="145" t="inlineStr">
        <is>
          <t>General</t>
        </is>
      </c>
      <c r="N374" s="145" t="inlineStr">
        <is>
          <t>Center</t>
        </is>
      </c>
      <c r="O374" s="145" t="inlineStr">
        <is>
          <t>No</t>
        </is>
      </c>
      <c r="P374" s="145" t="inlineStr">
        <is>
          <t>General</t>
        </is>
      </c>
      <c r="Q374" s="145" t="inlineStr">
        <is>
          <t>General</t>
        </is>
      </c>
      <c r="R374" s="145" t="n"/>
      <c r="S374" s="145" t="n"/>
      <c r="T374" s="145" t="n"/>
      <c r="U374" s="145" t="n"/>
      <c r="V374" s="145" t="n"/>
      <c r="W374" s="145" t="n"/>
      <c r="X374" s="145" t="inlineStr">
        <is>
          <t>Detailed format sample from top 5 used rows</t>
        </is>
      </c>
    </row>
    <row r="375" ht="23.85" customHeight="1" s="79">
      <c r="A375" s="145" t="inlineStr">
        <is>
          <t>REGULAR_ART</t>
        </is>
      </c>
      <c r="B375" s="145" t="inlineStr">
        <is>
          <t>Top-Row Cell Format</t>
        </is>
      </c>
      <c r="C375" s="145" t="inlineStr">
        <is>
          <t>P3</t>
        </is>
      </c>
      <c r="D375" s="145" t="inlineStr">
        <is>
          <t>REGULAR_ART!A1:AT410</t>
        </is>
      </c>
      <c r="E375" s="145" t="inlineStr">
        <is>
          <t>Normal</t>
        </is>
      </c>
      <c r="F375" s="145" t="inlineStr">
        <is>
          <t>#F8CBAD</t>
        </is>
      </c>
      <c r="G375" s="145" t="inlineStr">
        <is>
          <t>Aptos</t>
        </is>
      </c>
      <c r="H375" s="145" t="n">
        <v>8</v>
      </c>
      <c r="I375" s="145" t="inlineStr">
        <is>
          <t>Yes</t>
        </is>
      </c>
      <c r="J375" s="145" t="inlineStr">
        <is>
          <t>No</t>
        </is>
      </c>
      <c r="K375" s="145" t="inlineStr">
        <is>
          <t>None</t>
        </is>
      </c>
      <c r="L375" s="145" t="inlineStr">
        <is>
          <t>#000000</t>
        </is>
      </c>
      <c r="M375" s="145" t="inlineStr">
        <is>
          <t>Center</t>
        </is>
      </c>
      <c r="N375" s="145" t="inlineStr">
        <is>
          <t>Center</t>
        </is>
      </c>
      <c r="O375" s="145" t="inlineStr">
        <is>
          <t>Yes</t>
        </is>
      </c>
      <c r="P375" s="145" t="inlineStr">
        <is>
          <t>General</t>
        </is>
      </c>
      <c r="Q375" s="145" t="inlineStr">
        <is>
          <t>General</t>
        </is>
      </c>
      <c r="R375" s="145" t="n"/>
      <c r="S375" s="145" t="n"/>
      <c r="T375" s="145" t="n"/>
      <c r="U375" s="145" t="n"/>
      <c r="V375" s="145" t="n"/>
      <c r="W375" s="145" t="n"/>
      <c r="X375" s="145" t="inlineStr">
        <is>
          <t>Detailed format sample from top 5 used rows</t>
        </is>
      </c>
    </row>
    <row r="376" ht="23.85" customHeight="1" s="79">
      <c r="A376" s="145" t="inlineStr">
        <is>
          <t>REGULAR_ART</t>
        </is>
      </c>
      <c r="B376" s="145" t="inlineStr">
        <is>
          <t>Top-Row Cell Format</t>
        </is>
      </c>
      <c r="C376" s="145" t="inlineStr">
        <is>
          <t>P4</t>
        </is>
      </c>
      <c r="D376" s="145" t="inlineStr">
        <is>
          <t>REGULAR_ART!A1:AT410</t>
        </is>
      </c>
      <c r="E376" s="145" t="inlineStr">
        <is>
          <t>Normal</t>
        </is>
      </c>
      <c r="F376" s="145" t="inlineStr">
        <is>
          <t>#F8CBAD</t>
        </is>
      </c>
      <c r="G376" s="145" t="inlineStr">
        <is>
          <t>Aptos</t>
        </is>
      </c>
      <c r="H376" s="145" t="n">
        <v>8</v>
      </c>
      <c r="I376" s="145" t="inlineStr">
        <is>
          <t>No</t>
        </is>
      </c>
      <c r="J376" s="145" t="inlineStr">
        <is>
          <t>No</t>
        </is>
      </c>
      <c r="K376" s="145" t="inlineStr">
        <is>
          <t>None</t>
        </is>
      </c>
      <c r="L376" s="145" t="inlineStr">
        <is>
          <t>#000000</t>
        </is>
      </c>
      <c r="M376" s="145" t="inlineStr">
        <is>
          <t>General</t>
        </is>
      </c>
      <c r="N376" s="145" t="inlineStr">
        <is>
          <t>Center</t>
        </is>
      </c>
      <c r="O376" s="145" t="inlineStr">
        <is>
          <t>No</t>
        </is>
      </c>
      <c r="P376" s="145" t="inlineStr">
        <is>
          <t>General</t>
        </is>
      </c>
      <c r="Q376" s="145" t="inlineStr">
        <is>
          <t>General</t>
        </is>
      </c>
      <c r="R376" s="145" t="n"/>
      <c r="S376" s="145" t="n"/>
      <c r="T376" s="145" t="n"/>
      <c r="U376" s="145" t="n"/>
      <c r="V376" s="145" t="n"/>
      <c r="W376" s="145" t="n"/>
      <c r="X376" s="145" t="inlineStr">
        <is>
          <t>Detailed format sample from top 5 used rows</t>
        </is>
      </c>
    </row>
    <row r="377" ht="23.85" customHeight="1" s="79">
      <c r="A377" s="145" t="inlineStr">
        <is>
          <t>REGULAR_ART</t>
        </is>
      </c>
      <c r="B377" s="145" t="inlineStr">
        <is>
          <t>Top-Row Cell Format</t>
        </is>
      </c>
      <c r="C377" s="145" t="inlineStr">
        <is>
          <t>P5</t>
        </is>
      </c>
      <c r="D377" s="145" t="inlineStr">
        <is>
          <t>REGULAR_ART!A1:AT410</t>
        </is>
      </c>
      <c r="E377" s="145" t="inlineStr">
        <is>
          <t>Normal</t>
        </is>
      </c>
      <c r="F377" s="145" t="inlineStr">
        <is>
          <t>#EDEDED</t>
        </is>
      </c>
      <c r="G377" s="145" t="inlineStr">
        <is>
          <t>Aptos</t>
        </is>
      </c>
      <c r="H377" s="145" t="n">
        <v>8</v>
      </c>
      <c r="I377" s="145" t="inlineStr">
        <is>
          <t>Yes</t>
        </is>
      </c>
      <c r="J377" s="145" t="inlineStr">
        <is>
          <t>No</t>
        </is>
      </c>
      <c r="K377" s="145" t="inlineStr">
        <is>
          <t>None</t>
        </is>
      </c>
      <c r="L377" s="145" t="inlineStr">
        <is>
          <t>#000000</t>
        </is>
      </c>
      <c r="M377" s="145" t="inlineStr">
        <is>
          <t>Center</t>
        </is>
      </c>
      <c r="N377" s="145" t="inlineStr">
        <is>
          <t>Center</t>
        </is>
      </c>
      <c r="O377" s="145" t="inlineStr">
        <is>
          <t>No</t>
        </is>
      </c>
      <c r="P377" s="146" t="n">
        <v>0</v>
      </c>
      <c r="Q377" s="145" t="inlineStr">
        <is>
          <t>Percentage</t>
        </is>
      </c>
      <c r="R377" s="145" t="n"/>
      <c r="S377" s="145" t="n"/>
      <c r="T377" s="145" t="n"/>
      <c r="U377" s="145" t="n"/>
      <c r="V377" s="145" t="n"/>
      <c r="W377" s="145" t="n"/>
      <c r="X377" s="145" t="inlineStr">
        <is>
          <t>Detailed format sample from top 5 used rows</t>
        </is>
      </c>
    </row>
    <row r="378" ht="23.85" customHeight="1" s="79">
      <c r="A378" s="145" t="inlineStr">
        <is>
          <t>REGULAR_ART</t>
        </is>
      </c>
      <c r="B378" s="145" t="inlineStr">
        <is>
          <t>Column Format</t>
        </is>
      </c>
      <c r="C378" s="145" t="inlineStr">
        <is>
          <t>Q:Q</t>
        </is>
      </c>
      <c r="D378" s="145" t="inlineStr">
        <is>
          <t>REGULAR_ART!A1:AT410</t>
        </is>
      </c>
      <c r="E378" s="145" t="inlineStr">
        <is>
          <t>Normal</t>
        </is>
      </c>
      <c r="F378" s="145" t="inlineStr">
        <is>
          <t>Mixed</t>
        </is>
      </c>
      <c r="G378" s="145" t="inlineStr">
        <is>
          <t>Aptos</t>
        </is>
      </c>
      <c r="H378" s="145" t="n">
        <v>8</v>
      </c>
      <c r="I378" s="145" t="inlineStr">
        <is>
          <t>Mixed</t>
        </is>
      </c>
      <c r="J378" s="145" t="inlineStr">
        <is>
          <t>No</t>
        </is>
      </c>
      <c r="K378" s="145" t="inlineStr">
        <is>
          <t>None</t>
        </is>
      </c>
      <c r="L378" s="145" t="inlineStr">
        <is>
          <t>#000000</t>
        </is>
      </c>
      <c r="M378" s="145" t="inlineStr">
        <is>
          <t>Mixed</t>
        </is>
      </c>
      <c r="N378" s="145" t="inlineStr">
        <is>
          <t>Center</t>
        </is>
      </c>
      <c r="O378" s="145" t="inlineStr">
        <is>
          <t>Mixed</t>
        </is>
      </c>
      <c r="P378" s="145" t="n"/>
      <c r="Q378" s="145" t="n"/>
      <c r="R378" s="145" t="inlineStr">
        <is>
          <t>EdgeBottom:Continuous/Thin/#000000; EdgeRight:Continuous/Thin/#000000</t>
        </is>
      </c>
      <c r="S378" s="145" t="n">
        <v>24.1791044776119</v>
      </c>
      <c r="T378" s="145" t="n"/>
      <c r="U378" s="145" t="inlineStr">
        <is>
          <t>No</t>
        </is>
      </c>
      <c r="V378" s="145" t="inlineStr">
        <is>
          <t>Visible</t>
        </is>
      </c>
      <c r="W378" s="145" t="n"/>
      <c r="X378" s="145" t="inlineStr">
        <is>
          <t>Mixed styles within used column</t>
        </is>
      </c>
    </row>
    <row r="379" ht="23.85" customHeight="1" s="79">
      <c r="A379" s="145" t="inlineStr">
        <is>
          <t>REGULAR_ART</t>
        </is>
      </c>
      <c r="B379" s="145" t="inlineStr">
        <is>
          <t>Top-Row Cell Format</t>
        </is>
      </c>
      <c r="C379" s="145" t="inlineStr">
        <is>
          <t>Q1</t>
        </is>
      </c>
      <c r="D379" s="145" t="inlineStr">
        <is>
          <t>REGULAR_ART!A1:AT410</t>
        </is>
      </c>
      <c r="E379" s="145" t="inlineStr">
        <is>
          <t>Normal</t>
        </is>
      </c>
      <c r="F379" s="145" t="n"/>
      <c r="G379" s="145" t="inlineStr">
        <is>
          <t>Aptos</t>
        </is>
      </c>
      <c r="H379" s="145" t="n">
        <v>8</v>
      </c>
      <c r="I379" s="145" t="inlineStr">
        <is>
          <t>No</t>
        </is>
      </c>
      <c r="J379" s="145" t="inlineStr">
        <is>
          <t>No</t>
        </is>
      </c>
      <c r="K379" s="145" t="inlineStr">
        <is>
          <t>None</t>
        </is>
      </c>
      <c r="L379" s="145" t="inlineStr">
        <is>
          <t>#000000</t>
        </is>
      </c>
      <c r="M379" s="145" t="inlineStr">
        <is>
          <t>General</t>
        </is>
      </c>
      <c r="N379" s="145" t="inlineStr">
        <is>
          <t>Center</t>
        </is>
      </c>
      <c r="O379" s="145" t="inlineStr">
        <is>
          <t>No</t>
        </is>
      </c>
      <c r="P379" s="145" t="inlineStr">
        <is>
          <t>General</t>
        </is>
      </c>
      <c r="Q379" s="145" t="inlineStr">
        <is>
          <t>General</t>
        </is>
      </c>
      <c r="R379" s="145" t="n"/>
      <c r="S379" s="145" t="n"/>
      <c r="T379" s="145" t="n"/>
      <c r="U379" s="145" t="n"/>
      <c r="V379" s="145" t="n"/>
      <c r="W379" s="145" t="n"/>
      <c r="X379" s="145" t="inlineStr">
        <is>
          <t>Detailed format sample from top 5 used rows</t>
        </is>
      </c>
    </row>
    <row r="380" ht="23.85" customHeight="1" s="79">
      <c r="A380" s="145" t="inlineStr">
        <is>
          <t>REGULAR_ART</t>
        </is>
      </c>
      <c r="B380" s="145" t="inlineStr">
        <is>
          <t>Top-Row Cell Format</t>
        </is>
      </c>
      <c r="C380" s="145" t="inlineStr">
        <is>
          <t>Q2</t>
        </is>
      </c>
      <c r="D380" s="145" t="inlineStr">
        <is>
          <t>REGULAR_ART!A1:AT410</t>
        </is>
      </c>
      <c r="E380" s="145" t="inlineStr">
        <is>
          <t>Normal</t>
        </is>
      </c>
      <c r="F380" s="145" t="n"/>
      <c r="G380" s="145" t="inlineStr">
        <is>
          <t>Aptos</t>
        </is>
      </c>
      <c r="H380" s="145" t="n">
        <v>8</v>
      </c>
      <c r="I380" s="145" t="inlineStr">
        <is>
          <t>No</t>
        </is>
      </c>
      <c r="J380" s="145" t="inlineStr">
        <is>
          <t>No</t>
        </is>
      </c>
      <c r="K380" s="145" t="inlineStr">
        <is>
          <t>None</t>
        </is>
      </c>
      <c r="L380" s="145" t="inlineStr">
        <is>
          <t>#000000</t>
        </is>
      </c>
      <c r="M380" s="145" t="inlineStr">
        <is>
          <t>General</t>
        </is>
      </c>
      <c r="N380" s="145" t="inlineStr">
        <is>
          <t>Center</t>
        </is>
      </c>
      <c r="O380" s="145" t="inlineStr">
        <is>
          <t>No</t>
        </is>
      </c>
      <c r="P380" s="145" t="inlineStr">
        <is>
          <t>General</t>
        </is>
      </c>
      <c r="Q380" s="145" t="inlineStr">
        <is>
          <t>General</t>
        </is>
      </c>
      <c r="R380" s="145" t="n"/>
      <c r="S380" s="145" t="n"/>
      <c r="T380" s="145" t="n"/>
      <c r="U380" s="145" t="n"/>
      <c r="V380" s="145" t="n"/>
      <c r="W380" s="145" t="n"/>
      <c r="X380" s="145" t="inlineStr">
        <is>
          <t>Detailed format sample from top 5 used rows</t>
        </is>
      </c>
    </row>
    <row r="381" ht="23.85" customHeight="1" s="79">
      <c r="A381" s="145" t="inlineStr">
        <is>
          <t>REGULAR_ART</t>
        </is>
      </c>
      <c r="B381" s="145" t="inlineStr">
        <is>
          <t>Top-Row Cell Format</t>
        </is>
      </c>
      <c r="C381" s="145" t="inlineStr">
        <is>
          <t>Q3</t>
        </is>
      </c>
      <c r="D381" s="145" t="inlineStr">
        <is>
          <t>REGULAR_ART!A1:AT410</t>
        </is>
      </c>
      <c r="E381" s="145" t="inlineStr">
        <is>
          <t>Normal</t>
        </is>
      </c>
      <c r="F381" s="145" t="inlineStr">
        <is>
          <t>#F8CBAD</t>
        </is>
      </c>
      <c r="G381" s="145" t="inlineStr">
        <is>
          <t>Aptos</t>
        </is>
      </c>
      <c r="H381" s="145" t="n">
        <v>8</v>
      </c>
      <c r="I381" s="145" t="inlineStr">
        <is>
          <t>Yes</t>
        </is>
      </c>
      <c r="J381" s="145" t="inlineStr">
        <is>
          <t>No</t>
        </is>
      </c>
      <c r="K381" s="145" t="inlineStr">
        <is>
          <t>None</t>
        </is>
      </c>
      <c r="L381" s="145" t="inlineStr">
        <is>
          <t>#000000</t>
        </is>
      </c>
      <c r="M381" s="145" t="inlineStr">
        <is>
          <t>Center</t>
        </is>
      </c>
      <c r="N381" s="145" t="inlineStr">
        <is>
          <t>Center</t>
        </is>
      </c>
      <c r="O381" s="145" t="inlineStr">
        <is>
          <t>Yes</t>
        </is>
      </c>
      <c r="P381" s="145" t="inlineStr">
        <is>
          <t>General</t>
        </is>
      </c>
      <c r="Q381" s="145" t="inlineStr">
        <is>
          <t>General</t>
        </is>
      </c>
      <c r="R381" s="145" t="n"/>
      <c r="S381" s="145" t="n"/>
      <c r="T381" s="145" t="n"/>
      <c r="U381" s="145" t="n"/>
      <c r="V381" s="145" t="n"/>
      <c r="W381" s="145" t="n"/>
      <c r="X381" s="145" t="inlineStr">
        <is>
          <t>Detailed format sample from top 5 used rows</t>
        </is>
      </c>
    </row>
    <row r="382" ht="23.85" customHeight="1" s="79">
      <c r="A382" s="145" t="inlineStr">
        <is>
          <t>REGULAR_ART</t>
        </is>
      </c>
      <c r="B382" s="145" t="inlineStr">
        <is>
          <t>Top-Row Cell Format</t>
        </is>
      </c>
      <c r="C382" s="145" t="inlineStr">
        <is>
          <t>Q4</t>
        </is>
      </c>
      <c r="D382" s="145" t="inlineStr">
        <is>
          <t>REGULAR_ART!A1:AT410</t>
        </is>
      </c>
      <c r="E382" s="145" t="inlineStr">
        <is>
          <t>Normal</t>
        </is>
      </c>
      <c r="F382" s="145" t="inlineStr">
        <is>
          <t>#F8CBAD</t>
        </is>
      </c>
      <c r="G382" s="145" t="inlineStr">
        <is>
          <t>Aptos</t>
        </is>
      </c>
      <c r="H382" s="145" t="n">
        <v>8</v>
      </c>
      <c r="I382" s="145" t="inlineStr">
        <is>
          <t>No</t>
        </is>
      </c>
      <c r="J382" s="145" t="inlineStr">
        <is>
          <t>No</t>
        </is>
      </c>
      <c r="K382" s="145" t="inlineStr">
        <is>
          <t>None</t>
        </is>
      </c>
      <c r="L382" s="145" t="inlineStr">
        <is>
          <t>#000000</t>
        </is>
      </c>
      <c r="M382" s="145" t="inlineStr">
        <is>
          <t>General</t>
        </is>
      </c>
      <c r="N382" s="145" t="inlineStr">
        <is>
          <t>Center</t>
        </is>
      </c>
      <c r="O382" s="145" t="inlineStr">
        <is>
          <t>No</t>
        </is>
      </c>
      <c r="P382" s="145" t="inlineStr">
        <is>
          <t>General</t>
        </is>
      </c>
      <c r="Q382" s="145" t="inlineStr">
        <is>
          <t>General</t>
        </is>
      </c>
      <c r="R382" s="145" t="n"/>
      <c r="S382" s="145" t="n"/>
      <c r="T382" s="145" t="n"/>
      <c r="U382" s="145" t="n"/>
      <c r="V382" s="145" t="n"/>
      <c r="W382" s="145" t="n"/>
      <c r="X382" s="145" t="inlineStr">
        <is>
          <t>Detailed format sample from top 5 used rows</t>
        </is>
      </c>
    </row>
    <row r="383" ht="23.85" customHeight="1" s="79">
      <c r="A383" s="145" t="inlineStr">
        <is>
          <t>REGULAR_ART</t>
        </is>
      </c>
      <c r="B383" s="145" t="inlineStr">
        <is>
          <t>Top-Row Cell Format</t>
        </is>
      </c>
      <c r="C383" s="145" t="inlineStr">
        <is>
          <t>Q5</t>
        </is>
      </c>
      <c r="D383" s="145" t="inlineStr">
        <is>
          <t>REGULAR_ART!A1:AT410</t>
        </is>
      </c>
      <c r="E383" s="145" t="inlineStr">
        <is>
          <t>Normal</t>
        </is>
      </c>
      <c r="F383" s="145" t="inlineStr">
        <is>
          <t>#EDEDED</t>
        </is>
      </c>
      <c r="G383" s="145" t="inlineStr">
        <is>
          <t>Aptos</t>
        </is>
      </c>
      <c r="H383" s="145" t="n">
        <v>8</v>
      </c>
      <c r="I383" s="145" t="inlineStr">
        <is>
          <t>Yes</t>
        </is>
      </c>
      <c r="J383" s="145" t="inlineStr">
        <is>
          <t>No</t>
        </is>
      </c>
      <c r="K383" s="145" t="inlineStr">
        <is>
          <t>None</t>
        </is>
      </c>
      <c r="L383" s="145" t="inlineStr">
        <is>
          <t>#000000</t>
        </is>
      </c>
      <c r="M383" s="145" t="inlineStr">
        <is>
          <t>Center</t>
        </is>
      </c>
      <c r="N383" s="145" t="inlineStr">
        <is>
          <t>Center</t>
        </is>
      </c>
      <c r="O383" s="145" t="inlineStr">
        <is>
          <t>No</t>
        </is>
      </c>
      <c r="P383" s="145" t="inlineStr">
        <is>
          <t>General</t>
        </is>
      </c>
      <c r="Q383" s="145" t="inlineStr">
        <is>
          <t>General</t>
        </is>
      </c>
      <c r="R383" s="145" t="n"/>
      <c r="S383" s="145" t="n"/>
      <c r="T383" s="145" t="n"/>
      <c r="U383" s="145" t="n"/>
      <c r="V383" s="145" t="n"/>
      <c r="W383" s="145" t="n"/>
      <c r="X383" s="145" t="inlineStr">
        <is>
          <t>Detailed format sample from top 5 used rows</t>
        </is>
      </c>
    </row>
    <row r="384" ht="23.85" customHeight="1" s="79">
      <c r="A384" s="145" t="inlineStr">
        <is>
          <t>REGULAR_ART</t>
        </is>
      </c>
      <c r="B384" s="145" t="inlineStr">
        <is>
          <t>Column Format</t>
        </is>
      </c>
      <c r="C384" s="145" t="inlineStr">
        <is>
          <t>R:R</t>
        </is>
      </c>
      <c r="D384" s="145" t="inlineStr">
        <is>
          <t>REGULAR_ART!A1:AT410</t>
        </is>
      </c>
      <c r="E384" s="145" t="inlineStr">
        <is>
          <t>Mixed</t>
        </is>
      </c>
      <c r="F384" s="145" t="inlineStr">
        <is>
          <t>Mixed</t>
        </is>
      </c>
      <c r="G384" s="145" t="inlineStr">
        <is>
          <t>Aptos</t>
        </is>
      </c>
      <c r="H384" s="145" t="n">
        <v>8</v>
      </c>
      <c r="I384" s="145" t="inlineStr">
        <is>
          <t>Mixed</t>
        </is>
      </c>
      <c r="J384" s="145" t="inlineStr">
        <is>
          <t>No</t>
        </is>
      </c>
      <c r="K384" s="145" t="inlineStr">
        <is>
          <t>None</t>
        </is>
      </c>
      <c r="L384" s="145" t="inlineStr">
        <is>
          <t>#000000</t>
        </is>
      </c>
      <c r="M384" s="145" t="inlineStr">
        <is>
          <t>Mixed</t>
        </is>
      </c>
      <c r="N384" s="145" t="inlineStr">
        <is>
          <t>Center</t>
        </is>
      </c>
      <c r="O384" s="145" t="inlineStr">
        <is>
          <t>Mixed</t>
        </is>
      </c>
      <c r="P384" s="145" t="n"/>
      <c r="Q384" s="145" t="n"/>
      <c r="R384" s="145" t="inlineStr">
        <is>
          <t>EdgeBottom:Continuous/Thin/#000000; EdgeRight:Continuous/Thin/#000000</t>
        </is>
      </c>
      <c r="S384" s="145" t="n">
        <v>41.910447761194</v>
      </c>
      <c r="T384" s="145" t="n"/>
      <c r="U384" s="145" t="inlineStr">
        <is>
          <t>No</t>
        </is>
      </c>
      <c r="V384" s="145" t="inlineStr">
        <is>
          <t>Visible</t>
        </is>
      </c>
      <c r="W384" s="145" t="n"/>
      <c r="X384" s="145" t="inlineStr">
        <is>
          <t>Mixed styles within used column</t>
        </is>
      </c>
    </row>
    <row r="385" ht="23.85" customHeight="1" s="79">
      <c r="A385" s="145" t="inlineStr">
        <is>
          <t>REGULAR_ART</t>
        </is>
      </c>
      <c r="B385" s="145" t="inlineStr">
        <is>
          <t>Top-Row Cell Format</t>
        </is>
      </c>
      <c r="C385" s="145" t="inlineStr">
        <is>
          <t>R1</t>
        </is>
      </c>
      <c r="D385" s="145" t="inlineStr">
        <is>
          <t>REGULAR_ART!A1:AT410</t>
        </is>
      </c>
      <c r="E385" s="145" t="inlineStr">
        <is>
          <t>Normal</t>
        </is>
      </c>
      <c r="F385" s="145" t="n"/>
      <c r="G385" s="145" t="inlineStr">
        <is>
          <t>Aptos</t>
        </is>
      </c>
      <c r="H385" s="145" t="n">
        <v>8</v>
      </c>
      <c r="I385" s="145" t="inlineStr">
        <is>
          <t>No</t>
        </is>
      </c>
      <c r="J385" s="145" t="inlineStr">
        <is>
          <t>No</t>
        </is>
      </c>
      <c r="K385" s="145" t="inlineStr">
        <is>
          <t>None</t>
        </is>
      </c>
      <c r="L385" s="145" t="inlineStr">
        <is>
          <t>#000000</t>
        </is>
      </c>
      <c r="M385" s="145" t="inlineStr">
        <is>
          <t>General</t>
        </is>
      </c>
      <c r="N385" s="145" t="inlineStr">
        <is>
          <t>Center</t>
        </is>
      </c>
      <c r="O385" s="145" t="inlineStr">
        <is>
          <t>No</t>
        </is>
      </c>
      <c r="P385" s="145" t="inlineStr">
        <is>
          <t>General</t>
        </is>
      </c>
      <c r="Q385" s="145" t="inlineStr">
        <is>
          <t>General</t>
        </is>
      </c>
      <c r="R385" s="145" t="n"/>
      <c r="S385" s="145" t="n"/>
      <c r="T385" s="145" t="n"/>
      <c r="U385" s="145" t="n"/>
      <c r="V385" s="145" t="n"/>
      <c r="W385" s="145" t="n"/>
      <c r="X385" s="145" t="inlineStr">
        <is>
          <t>Detailed format sample from top 5 used rows</t>
        </is>
      </c>
    </row>
    <row r="386" ht="23.85" customHeight="1" s="79">
      <c r="A386" s="145" t="inlineStr">
        <is>
          <t>REGULAR_ART</t>
        </is>
      </c>
      <c r="B386" s="145" t="inlineStr">
        <is>
          <t>Top-Row Cell Format</t>
        </is>
      </c>
      <c r="C386" s="145" t="inlineStr">
        <is>
          <t>R2</t>
        </is>
      </c>
      <c r="D386" s="145" t="inlineStr">
        <is>
          <t>REGULAR_ART!A1:AT410</t>
        </is>
      </c>
      <c r="E386" s="145" t="inlineStr">
        <is>
          <t>Comma</t>
        </is>
      </c>
      <c r="F386" s="145" t="inlineStr">
        <is>
          <t>#B4C6E7</t>
        </is>
      </c>
      <c r="G386" s="145" t="inlineStr">
        <is>
          <t>Aptos</t>
        </is>
      </c>
      <c r="H386" s="145" t="n">
        <v>8</v>
      </c>
      <c r="I386" s="145" t="inlineStr">
        <is>
          <t>Yes</t>
        </is>
      </c>
      <c r="J386" s="145" t="inlineStr">
        <is>
          <t>No</t>
        </is>
      </c>
      <c r="K386" s="145" t="inlineStr">
        <is>
          <t>None</t>
        </is>
      </c>
      <c r="L386" s="145" t="inlineStr">
        <is>
          <t>#000000</t>
        </is>
      </c>
      <c r="M386" s="145" t="inlineStr">
        <is>
          <t>General</t>
        </is>
      </c>
      <c r="N386" s="145" t="inlineStr">
        <is>
          <t>Center</t>
        </is>
      </c>
      <c r="O386" s="145" t="inlineStr">
        <is>
          <t>No</t>
        </is>
      </c>
      <c r="P386" s="145" t="inlineStr">
        <is>
          <t xml:space="preserve">_ * #,##0_ ;_ * -#,##0_ ;_ * "-"??_ ;_ @_ </t>
        </is>
      </c>
      <c r="Q386" s="145" t="inlineStr">
        <is>
          <t>Text</t>
        </is>
      </c>
      <c r="R386" s="145" t="n"/>
      <c r="S386" s="145" t="n"/>
      <c r="T386" s="145" t="n"/>
      <c r="U386" s="145" t="n"/>
      <c r="V386" s="145" t="n"/>
      <c r="W386" s="145" t="n"/>
      <c r="X386" s="145" t="inlineStr">
        <is>
          <t>Detailed format sample from top 5 used rows</t>
        </is>
      </c>
    </row>
    <row r="387" ht="23.85" customHeight="1" s="79">
      <c r="A387" s="145" t="inlineStr">
        <is>
          <t>REGULAR_ART</t>
        </is>
      </c>
      <c r="B387" s="145" t="inlineStr">
        <is>
          <t>Top-Row Cell Format</t>
        </is>
      </c>
      <c r="C387" s="145" t="inlineStr">
        <is>
          <t>R3</t>
        </is>
      </c>
      <c r="D387" s="145" t="inlineStr">
        <is>
          <t>REGULAR_ART!A1:AT410</t>
        </is>
      </c>
      <c r="E387" s="145" t="inlineStr">
        <is>
          <t>Normal</t>
        </is>
      </c>
      <c r="F387" s="145" t="inlineStr">
        <is>
          <t>#F8CBAD</t>
        </is>
      </c>
      <c r="G387" s="145" t="inlineStr">
        <is>
          <t>Aptos</t>
        </is>
      </c>
      <c r="H387" s="145" t="n">
        <v>8</v>
      </c>
      <c r="I387" s="145" t="inlineStr">
        <is>
          <t>Yes</t>
        </is>
      </c>
      <c r="J387" s="145" t="inlineStr">
        <is>
          <t>No</t>
        </is>
      </c>
      <c r="K387" s="145" t="inlineStr">
        <is>
          <t>None</t>
        </is>
      </c>
      <c r="L387" s="145" t="inlineStr">
        <is>
          <t>#000000</t>
        </is>
      </c>
      <c r="M387" s="145" t="inlineStr">
        <is>
          <t>Center</t>
        </is>
      </c>
      <c r="N387" s="145" t="inlineStr">
        <is>
          <t>Center</t>
        </is>
      </c>
      <c r="O387" s="145" t="inlineStr">
        <is>
          <t>Yes</t>
        </is>
      </c>
      <c r="P387" s="145" t="inlineStr">
        <is>
          <t>General</t>
        </is>
      </c>
      <c r="Q387" s="145" t="inlineStr">
        <is>
          <t>General</t>
        </is>
      </c>
      <c r="R387" s="145" t="n"/>
      <c r="S387" s="145" t="n"/>
      <c r="T387" s="145" t="n"/>
      <c r="U387" s="145" t="n"/>
      <c r="V387" s="145" t="n"/>
      <c r="W387" s="145" t="n"/>
      <c r="X387" s="145" t="inlineStr">
        <is>
          <t>Detailed format sample from top 5 used rows</t>
        </is>
      </c>
    </row>
    <row r="388" ht="23.85" customHeight="1" s="79">
      <c r="A388" s="145" t="inlineStr">
        <is>
          <t>REGULAR_ART</t>
        </is>
      </c>
      <c r="B388" s="145" t="inlineStr">
        <is>
          <t>Top-Row Cell Format</t>
        </is>
      </c>
      <c r="C388" s="145" t="inlineStr">
        <is>
          <t>R4</t>
        </is>
      </c>
      <c r="D388" s="145" t="inlineStr">
        <is>
          <t>REGULAR_ART!A1:AT410</t>
        </is>
      </c>
      <c r="E388" s="145" t="inlineStr">
        <is>
          <t>Normal</t>
        </is>
      </c>
      <c r="F388" s="145" t="inlineStr">
        <is>
          <t>#F8CBAD</t>
        </is>
      </c>
      <c r="G388" s="145" t="inlineStr">
        <is>
          <t>Aptos</t>
        </is>
      </c>
      <c r="H388" s="145" t="n">
        <v>8</v>
      </c>
      <c r="I388" s="145" t="inlineStr">
        <is>
          <t>No</t>
        </is>
      </c>
      <c r="J388" s="145" t="inlineStr">
        <is>
          <t>No</t>
        </is>
      </c>
      <c r="K388" s="145" t="inlineStr">
        <is>
          <t>None</t>
        </is>
      </c>
      <c r="L388" s="145" t="inlineStr">
        <is>
          <t>#000000</t>
        </is>
      </c>
      <c r="M388" s="145" t="inlineStr">
        <is>
          <t>General</t>
        </is>
      </c>
      <c r="N388" s="145" t="inlineStr">
        <is>
          <t>Center</t>
        </is>
      </c>
      <c r="O388" s="145" t="inlineStr">
        <is>
          <t>No</t>
        </is>
      </c>
      <c r="P388" s="145" t="inlineStr">
        <is>
          <t>General</t>
        </is>
      </c>
      <c r="Q388" s="145" t="inlineStr">
        <is>
          <t>General</t>
        </is>
      </c>
      <c r="R388" s="145" t="n"/>
      <c r="S388" s="145" t="n"/>
      <c r="T388" s="145" t="n"/>
      <c r="U388" s="145" t="n"/>
      <c r="V388" s="145" t="n"/>
      <c r="W388" s="145" t="n"/>
      <c r="X388" s="145" t="inlineStr">
        <is>
          <t>Detailed format sample from top 5 used rows</t>
        </is>
      </c>
    </row>
    <row r="389" ht="23.85" customHeight="1" s="79">
      <c r="A389" s="145" t="inlineStr">
        <is>
          <t>REGULAR_ART</t>
        </is>
      </c>
      <c r="B389" s="145" t="inlineStr">
        <is>
          <t>Top-Row Cell Format</t>
        </is>
      </c>
      <c r="C389" s="145" t="inlineStr">
        <is>
          <t>R5</t>
        </is>
      </c>
      <c r="D389" s="145" t="inlineStr">
        <is>
          <t>REGULAR_ART!A1:AT410</t>
        </is>
      </c>
      <c r="E389" s="145" t="inlineStr">
        <is>
          <t>Normal</t>
        </is>
      </c>
      <c r="F389" s="145" t="inlineStr">
        <is>
          <t>#B4C6E7</t>
        </is>
      </c>
      <c r="G389" s="145" t="inlineStr">
        <is>
          <t>Aptos</t>
        </is>
      </c>
      <c r="H389" s="145" t="n">
        <v>8</v>
      </c>
      <c r="I389" s="145" t="inlineStr">
        <is>
          <t>Yes</t>
        </is>
      </c>
      <c r="J389" s="145" t="inlineStr">
        <is>
          <t>No</t>
        </is>
      </c>
      <c r="K389" s="145" t="inlineStr">
        <is>
          <t>None</t>
        </is>
      </c>
      <c r="L389" s="145" t="inlineStr">
        <is>
          <t>#000000</t>
        </is>
      </c>
      <c r="M389" s="145" t="inlineStr">
        <is>
          <t>General</t>
        </is>
      </c>
      <c r="N389" s="145" t="inlineStr">
        <is>
          <t>Center</t>
        </is>
      </c>
      <c r="O389" s="145" t="inlineStr">
        <is>
          <t>No</t>
        </is>
      </c>
      <c r="P389" s="145" t="inlineStr">
        <is>
          <t xml:space="preserve">_ * #,##0_ ;_ * -#,##0_ ;_ * "-"??_ ;_ @_ </t>
        </is>
      </c>
      <c r="Q389" s="145" t="inlineStr">
        <is>
          <t>Text</t>
        </is>
      </c>
      <c r="R389" s="145" t="n"/>
      <c r="S389" s="145" t="n"/>
      <c r="T389" s="145" t="n"/>
      <c r="U389" s="145" t="n"/>
      <c r="V389" s="145" t="n"/>
      <c r="W389" s="145" t="n"/>
      <c r="X389" s="145" t="inlineStr">
        <is>
          <t>Detailed format sample from top 5 used rows</t>
        </is>
      </c>
    </row>
    <row r="390" ht="35.05" customHeight="1" s="79">
      <c r="A390" s="145" t="inlineStr">
        <is>
          <t>REGULAR_ART</t>
        </is>
      </c>
      <c r="B390" s="145" t="inlineStr">
        <is>
          <t>Column Format</t>
        </is>
      </c>
      <c r="C390" s="145" t="inlineStr">
        <is>
          <t>S:S</t>
        </is>
      </c>
      <c r="D390" s="145" t="inlineStr">
        <is>
          <t>REGULAR_ART!A1:AT410</t>
        </is>
      </c>
      <c r="E390" s="145" t="inlineStr">
        <is>
          <t>Mixed</t>
        </is>
      </c>
      <c r="F390" s="145" t="inlineStr">
        <is>
          <t>Mixed</t>
        </is>
      </c>
      <c r="G390" s="145" t="inlineStr">
        <is>
          <t>Aptos</t>
        </is>
      </c>
      <c r="H390" s="145" t="n">
        <v>8</v>
      </c>
      <c r="I390" s="145" t="inlineStr">
        <is>
          <t>Mixed</t>
        </is>
      </c>
      <c r="J390" s="145" t="inlineStr">
        <is>
          <t>No</t>
        </is>
      </c>
      <c r="K390" s="145" t="inlineStr">
        <is>
          <t>None</t>
        </is>
      </c>
      <c r="L390" s="145" t="inlineStr">
        <is>
          <t>#000000</t>
        </is>
      </c>
      <c r="M390" s="145" t="inlineStr">
        <is>
          <t>Mixed</t>
        </is>
      </c>
      <c r="N390" s="145" t="inlineStr">
        <is>
          <t>Center</t>
        </is>
      </c>
      <c r="O390" s="145" t="inlineStr">
        <is>
          <t>Mixed</t>
        </is>
      </c>
      <c r="P390" s="145" t="n"/>
      <c r="Q390" s="145" t="n"/>
      <c r="R390" s="145" t="inlineStr">
        <is>
          <t>EdgeBottom:Continuous/Thin/#000000; EdgeRight:Continuous/Thin/#000000</t>
        </is>
      </c>
      <c r="S390" s="145" t="n">
        <v>0</v>
      </c>
      <c r="T390" s="145" t="n"/>
      <c r="U390" s="145" t="inlineStr">
        <is>
          <t>Yes</t>
        </is>
      </c>
      <c r="V390" s="145" t="inlineStr">
        <is>
          <t>Hidden column (possible outline/group)</t>
        </is>
      </c>
      <c r="W390" s="145" t="n"/>
      <c r="X390" s="145" t="inlineStr">
        <is>
          <t>Mixed styles within used column</t>
        </is>
      </c>
    </row>
    <row r="391" ht="23.85" customHeight="1" s="79">
      <c r="A391" s="145" t="inlineStr">
        <is>
          <t>REGULAR_ART</t>
        </is>
      </c>
      <c r="B391" s="145" t="inlineStr">
        <is>
          <t>Top-Row Cell Format</t>
        </is>
      </c>
      <c r="C391" s="145" t="inlineStr">
        <is>
          <t>S1</t>
        </is>
      </c>
      <c r="D391" s="145" t="inlineStr">
        <is>
          <t>REGULAR_ART!A1:AT410</t>
        </is>
      </c>
      <c r="E391" s="145" t="inlineStr">
        <is>
          <t>Normal</t>
        </is>
      </c>
      <c r="F391" s="145" t="n"/>
      <c r="G391" s="145" t="inlineStr">
        <is>
          <t>Aptos</t>
        </is>
      </c>
      <c r="H391" s="145" t="n">
        <v>8</v>
      </c>
      <c r="I391" s="145" t="inlineStr">
        <is>
          <t>No</t>
        </is>
      </c>
      <c r="J391" s="145" t="inlineStr">
        <is>
          <t>No</t>
        </is>
      </c>
      <c r="K391" s="145" t="inlineStr">
        <is>
          <t>None</t>
        </is>
      </c>
      <c r="L391" s="145" t="inlineStr">
        <is>
          <t>#000000</t>
        </is>
      </c>
      <c r="M391" s="145" t="inlineStr">
        <is>
          <t>General</t>
        </is>
      </c>
      <c r="N391" s="145" t="inlineStr">
        <is>
          <t>Center</t>
        </is>
      </c>
      <c r="O391" s="145" t="inlineStr">
        <is>
          <t>No</t>
        </is>
      </c>
      <c r="P391" s="145" t="inlineStr">
        <is>
          <t>General</t>
        </is>
      </c>
      <c r="Q391" s="145" t="inlineStr">
        <is>
          <t>General</t>
        </is>
      </c>
      <c r="R391" s="145" t="n"/>
      <c r="S391" s="145" t="n"/>
      <c r="T391" s="145" t="n"/>
      <c r="U391" s="145" t="n"/>
      <c r="V391" s="145" t="n"/>
      <c r="W391" s="145" t="n"/>
      <c r="X391" s="145" t="inlineStr">
        <is>
          <t>Detailed format sample from top 5 used rows</t>
        </is>
      </c>
    </row>
    <row r="392" ht="23.85" customHeight="1" s="79">
      <c r="A392" s="145" t="inlineStr">
        <is>
          <t>REGULAR_ART</t>
        </is>
      </c>
      <c r="B392" s="145" t="inlineStr">
        <is>
          <t>Top-Row Cell Format</t>
        </is>
      </c>
      <c r="C392" s="145" t="inlineStr">
        <is>
          <t>S2</t>
        </is>
      </c>
      <c r="D392" s="145" t="inlineStr">
        <is>
          <t>REGULAR_ART!A1:AT410</t>
        </is>
      </c>
      <c r="E392" s="145" t="inlineStr">
        <is>
          <t>Comma</t>
        </is>
      </c>
      <c r="F392" s="145" t="inlineStr">
        <is>
          <t>#B4C6E7</t>
        </is>
      </c>
      <c r="G392" s="145" t="inlineStr">
        <is>
          <t>Aptos</t>
        </is>
      </c>
      <c r="H392" s="145" t="n">
        <v>8</v>
      </c>
      <c r="I392" s="145" t="inlineStr">
        <is>
          <t>Yes</t>
        </is>
      </c>
      <c r="J392" s="145" t="inlineStr">
        <is>
          <t>No</t>
        </is>
      </c>
      <c r="K392" s="145" t="inlineStr">
        <is>
          <t>None</t>
        </is>
      </c>
      <c r="L392" s="145" t="inlineStr">
        <is>
          <t>#000000</t>
        </is>
      </c>
      <c r="M392" s="145" t="inlineStr">
        <is>
          <t>General</t>
        </is>
      </c>
      <c r="N392" s="145" t="inlineStr">
        <is>
          <t>Center</t>
        </is>
      </c>
      <c r="O392" s="145" t="inlineStr">
        <is>
          <t>No</t>
        </is>
      </c>
      <c r="P392" s="145" t="inlineStr">
        <is>
          <t xml:space="preserve">_ * #,##0_ ;_ * -#,##0_ ;_ * "-"??_ ;_ @_ </t>
        </is>
      </c>
      <c r="Q392" s="145" t="inlineStr">
        <is>
          <t>Text</t>
        </is>
      </c>
      <c r="R392" s="145" t="n"/>
      <c r="S392" s="145" t="n"/>
      <c r="T392" s="145" t="n"/>
      <c r="U392" s="145" t="n"/>
      <c r="V392" s="145" t="n"/>
      <c r="W392" s="145" t="n"/>
      <c r="X392" s="145" t="inlineStr">
        <is>
          <t>Detailed format sample from top 5 used rows</t>
        </is>
      </c>
    </row>
    <row r="393" ht="23.85" customHeight="1" s="79">
      <c r="A393" s="145" t="inlineStr">
        <is>
          <t>REGULAR_ART</t>
        </is>
      </c>
      <c r="B393" s="145" t="inlineStr">
        <is>
          <t>Top-Row Cell Format</t>
        </is>
      </c>
      <c r="C393" s="145" t="inlineStr">
        <is>
          <t>S3</t>
        </is>
      </c>
      <c r="D393" s="145" t="inlineStr">
        <is>
          <t>REGULAR_ART!A1:AT410</t>
        </is>
      </c>
      <c r="E393" s="145" t="inlineStr">
        <is>
          <t>Normal</t>
        </is>
      </c>
      <c r="F393" s="145" t="inlineStr">
        <is>
          <t>#F8CBAD</t>
        </is>
      </c>
      <c r="G393" s="145" t="inlineStr">
        <is>
          <t>Aptos</t>
        </is>
      </c>
      <c r="H393" s="145" t="n">
        <v>8</v>
      </c>
      <c r="I393" s="145" t="inlineStr">
        <is>
          <t>Yes</t>
        </is>
      </c>
      <c r="J393" s="145" t="inlineStr">
        <is>
          <t>No</t>
        </is>
      </c>
      <c r="K393" s="145" t="inlineStr">
        <is>
          <t>None</t>
        </is>
      </c>
      <c r="L393" s="145" t="inlineStr">
        <is>
          <t>#000000</t>
        </is>
      </c>
      <c r="M393" s="145" t="inlineStr">
        <is>
          <t>Center</t>
        </is>
      </c>
      <c r="N393" s="145" t="inlineStr">
        <is>
          <t>Center</t>
        </is>
      </c>
      <c r="O393" s="145" t="inlineStr">
        <is>
          <t>Yes</t>
        </is>
      </c>
      <c r="P393" s="145" t="inlineStr">
        <is>
          <t>General</t>
        </is>
      </c>
      <c r="Q393" s="145" t="inlineStr">
        <is>
          <t>General</t>
        </is>
      </c>
      <c r="R393" s="145" t="n"/>
      <c r="S393" s="145" t="n"/>
      <c r="T393" s="145" t="n"/>
      <c r="U393" s="145" t="n"/>
      <c r="V393" s="145" t="n"/>
      <c r="W393" s="145" t="n"/>
      <c r="X393" s="145" t="inlineStr">
        <is>
          <t>Detailed format sample from top 5 used rows</t>
        </is>
      </c>
    </row>
    <row r="394" ht="23.85" customHeight="1" s="79">
      <c r="A394" s="145" t="inlineStr">
        <is>
          <t>REGULAR_ART</t>
        </is>
      </c>
      <c r="B394" s="145" t="inlineStr">
        <is>
          <t>Top-Row Cell Format</t>
        </is>
      </c>
      <c r="C394" s="145" t="inlineStr">
        <is>
          <t>S4</t>
        </is>
      </c>
      <c r="D394" s="145" t="inlineStr">
        <is>
          <t>REGULAR_ART!A1:AT410</t>
        </is>
      </c>
      <c r="E394" s="145" t="inlineStr">
        <is>
          <t>Normal</t>
        </is>
      </c>
      <c r="F394" s="145" t="inlineStr">
        <is>
          <t>#F8CBAD</t>
        </is>
      </c>
      <c r="G394" s="145" t="inlineStr">
        <is>
          <t>Aptos</t>
        </is>
      </c>
      <c r="H394" s="145" t="n">
        <v>8</v>
      </c>
      <c r="I394" s="145" t="inlineStr">
        <is>
          <t>No</t>
        </is>
      </c>
      <c r="J394" s="145" t="inlineStr">
        <is>
          <t>No</t>
        </is>
      </c>
      <c r="K394" s="145" t="inlineStr">
        <is>
          <t>None</t>
        </is>
      </c>
      <c r="L394" s="145" t="inlineStr">
        <is>
          <t>#000000</t>
        </is>
      </c>
      <c r="M394" s="145" t="inlineStr">
        <is>
          <t>General</t>
        </is>
      </c>
      <c r="N394" s="145" t="inlineStr">
        <is>
          <t>Center</t>
        </is>
      </c>
      <c r="O394" s="145" t="inlineStr">
        <is>
          <t>No</t>
        </is>
      </c>
      <c r="P394" s="145" t="inlineStr">
        <is>
          <t>General</t>
        </is>
      </c>
      <c r="Q394" s="145" t="inlineStr">
        <is>
          <t>General</t>
        </is>
      </c>
      <c r="R394" s="145" t="n"/>
      <c r="S394" s="145" t="n"/>
      <c r="T394" s="145" t="n"/>
      <c r="U394" s="145" t="n"/>
      <c r="V394" s="145" t="n"/>
      <c r="W394" s="145" t="n"/>
      <c r="X394" s="145" t="inlineStr">
        <is>
          <t>Detailed format sample from top 5 used rows</t>
        </is>
      </c>
    </row>
    <row r="395" ht="23.85" customHeight="1" s="79">
      <c r="A395" s="145" t="inlineStr">
        <is>
          <t>REGULAR_ART</t>
        </is>
      </c>
      <c r="B395" s="145" t="inlineStr">
        <is>
          <t>Top-Row Cell Format</t>
        </is>
      </c>
      <c r="C395" s="145" t="inlineStr">
        <is>
          <t>S5</t>
        </is>
      </c>
      <c r="D395" s="145" t="inlineStr">
        <is>
          <t>REGULAR_ART!A1:AT410</t>
        </is>
      </c>
      <c r="E395" s="145" t="inlineStr">
        <is>
          <t>Normal</t>
        </is>
      </c>
      <c r="F395" s="145" t="inlineStr">
        <is>
          <t>#B4C6E7</t>
        </is>
      </c>
      <c r="G395" s="145" t="inlineStr">
        <is>
          <t>Aptos</t>
        </is>
      </c>
      <c r="H395" s="145" t="n">
        <v>8</v>
      </c>
      <c r="I395" s="145" t="inlineStr">
        <is>
          <t>Yes</t>
        </is>
      </c>
      <c r="J395" s="145" t="inlineStr">
        <is>
          <t>No</t>
        </is>
      </c>
      <c r="K395" s="145" t="inlineStr">
        <is>
          <t>None</t>
        </is>
      </c>
      <c r="L395" s="145" t="inlineStr">
        <is>
          <t>#000000</t>
        </is>
      </c>
      <c r="M395" s="145" t="inlineStr">
        <is>
          <t>General</t>
        </is>
      </c>
      <c r="N395" s="145" t="inlineStr">
        <is>
          <t>Center</t>
        </is>
      </c>
      <c r="O395" s="145" t="inlineStr">
        <is>
          <t>No</t>
        </is>
      </c>
      <c r="P395" s="145" t="inlineStr">
        <is>
          <t xml:space="preserve">_ * #,##0_ ;_ * -#,##0_ ;_ * "-"??_ ;_ @_ </t>
        </is>
      </c>
      <c r="Q395" s="145" t="inlineStr">
        <is>
          <t>Text</t>
        </is>
      </c>
      <c r="R395" s="145" t="n"/>
      <c r="S395" s="145" t="n"/>
      <c r="T395" s="145" t="n"/>
      <c r="U395" s="145" t="n"/>
      <c r="V395" s="145" t="n"/>
      <c r="W395" s="145" t="n"/>
      <c r="X395" s="145" t="inlineStr">
        <is>
          <t>Detailed format sample from top 5 used rows</t>
        </is>
      </c>
    </row>
    <row r="396" ht="35.05" customHeight="1" s="79">
      <c r="A396" s="145" t="inlineStr">
        <is>
          <t>REGULAR_ART</t>
        </is>
      </c>
      <c r="B396" s="145" t="inlineStr">
        <is>
          <t>Column Format</t>
        </is>
      </c>
      <c r="C396" s="145" t="inlineStr">
        <is>
          <t>T:T</t>
        </is>
      </c>
      <c r="D396" s="145" t="inlineStr">
        <is>
          <t>REGULAR_ART!A1:AT410</t>
        </is>
      </c>
      <c r="E396" s="145" t="inlineStr">
        <is>
          <t>Mixed</t>
        </is>
      </c>
      <c r="F396" s="145" t="inlineStr">
        <is>
          <t>Mixed</t>
        </is>
      </c>
      <c r="G396" s="145" t="inlineStr">
        <is>
          <t>Aptos</t>
        </is>
      </c>
      <c r="H396" s="145" t="n">
        <v>8</v>
      </c>
      <c r="I396" s="145" t="inlineStr">
        <is>
          <t>Mixed</t>
        </is>
      </c>
      <c r="J396" s="145" t="inlineStr">
        <is>
          <t>No</t>
        </is>
      </c>
      <c r="K396" s="145" t="inlineStr">
        <is>
          <t>None</t>
        </is>
      </c>
      <c r="L396" s="145" t="inlineStr">
        <is>
          <t>#000000</t>
        </is>
      </c>
      <c r="M396" s="145" t="inlineStr">
        <is>
          <t>Mixed</t>
        </is>
      </c>
      <c r="N396" s="145" t="inlineStr">
        <is>
          <t>Center</t>
        </is>
      </c>
      <c r="O396" s="145" t="inlineStr">
        <is>
          <t>Mixed</t>
        </is>
      </c>
      <c r="P396" s="145" t="n"/>
      <c r="Q396" s="145" t="n"/>
      <c r="R396" s="145" t="inlineStr">
        <is>
          <t>EdgeBottom:Continuous/Thin/#000000; EdgeRight:Continuous/Thin/#000000</t>
        </is>
      </c>
      <c r="S396" s="145" t="n">
        <v>0</v>
      </c>
      <c r="T396" s="145" t="n"/>
      <c r="U396" s="145" t="inlineStr">
        <is>
          <t>Yes</t>
        </is>
      </c>
      <c r="V396" s="145" t="inlineStr">
        <is>
          <t>Hidden column (possible outline/group)</t>
        </is>
      </c>
      <c r="W396" s="145" t="n"/>
      <c r="X396" s="145" t="inlineStr">
        <is>
          <t>Mixed styles within used column</t>
        </is>
      </c>
    </row>
    <row r="397" ht="23.85" customHeight="1" s="79">
      <c r="A397" s="145" t="inlineStr">
        <is>
          <t>REGULAR_ART</t>
        </is>
      </c>
      <c r="B397" s="145" t="inlineStr">
        <is>
          <t>Top-Row Cell Format</t>
        </is>
      </c>
      <c r="C397" s="145" t="inlineStr">
        <is>
          <t>T1</t>
        </is>
      </c>
      <c r="D397" s="145" t="inlineStr">
        <is>
          <t>REGULAR_ART!A1:AT410</t>
        </is>
      </c>
      <c r="E397" s="145" t="inlineStr">
        <is>
          <t>Normal</t>
        </is>
      </c>
      <c r="F397" s="145" t="n"/>
      <c r="G397" s="145" t="inlineStr">
        <is>
          <t>Aptos</t>
        </is>
      </c>
      <c r="H397" s="145" t="n">
        <v>8</v>
      </c>
      <c r="I397" s="145" t="inlineStr">
        <is>
          <t>No</t>
        </is>
      </c>
      <c r="J397" s="145" t="inlineStr">
        <is>
          <t>No</t>
        </is>
      </c>
      <c r="K397" s="145" t="inlineStr">
        <is>
          <t>None</t>
        </is>
      </c>
      <c r="L397" s="145" t="inlineStr">
        <is>
          <t>#000000</t>
        </is>
      </c>
      <c r="M397" s="145" t="inlineStr">
        <is>
          <t>General</t>
        </is>
      </c>
      <c r="N397" s="145" t="inlineStr">
        <is>
          <t>Center</t>
        </is>
      </c>
      <c r="O397" s="145" t="inlineStr">
        <is>
          <t>No</t>
        </is>
      </c>
      <c r="P397" s="145" t="inlineStr">
        <is>
          <t>General</t>
        </is>
      </c>
      <c r="Q397" s="145" t="inlineStr">
        <is>
          <t>General</t>
        </is>
      </c>
      <c r="R397" s="145" t="n"/>
      <c r="S397" s="145" t="n"/>
      <c r="T397" s="145" t="n"/>
      <c r="U397" s="145" t="n"/>
      <c r="V397" s="145" t="n"/>
      <c r="W397" s="145" t="n"/>
      <c r="X397" s="145" t="inlineStr">
        <is>
          <t>Detailed format sample from top 5 used rows</t>
        </is>
      </c>
    </row>
    <row r="398" ht="23.85" customHeight="1" s="79">
      <c r="A398" s="145" t="inlineStr">
        <is>
          <t>REGULAR_ART</t>
        </is>
      </c>
      <c r="B398" s="145" t="inlineStr">
        <is>
          <t>Top-Row Cell Format</t>
        </is>
      </c>
      <c r="C398" s="145" t="inlineStr">
        <is>
          <t>T2</t>
        </is>
      </c>
      <c r="D398" s="145" t="inlineStr">
        <is>
          <t>REGULAR_ART!A1:AT410</t>
        </is>
      </c>
      <c r="E398" s="145" t="inlineStr">
        <is>
          <t>Comma</t>
        </is>
      </c>
      <c r="F398" s="145" t="inlineStr">
        <is>
          <t>#B4C6E7</t>
        </is>
      </c>
      <c r="G398" s="145" t="inlineStr">
        <is>
          <t>Aptos</t>
        </is>
      </c>
      <c r="H398" s="145" t="n">
        <v>8</v>
      </c>
      <c r="I398" s="145" t="inlineStr">
        <is>
          <t>Yes</t>
        </is>
      </c>
      <c r="J398" s="145" t="inlineStr">
        <is>
          <t>No</t>
        </is>
      </c>
      <c r="K398" s="145" t="inlineStr">
        <is>
          <t>None</t>
        </is>
      </c>
      <c r="L398" s="145" t="inlineStr">
        <is>
          <t>#000000</t>
        </is>
      </c>
      <c r="M398" s="145" t="inlineStr">
        <is>
          <t>General</t>
        </is>
      </c>
      <c r="N398" s="145" t="inlineStr">
        <is>
          <t>Center</t>
        </is>
      </c>
      <c r="O398" s="145" t="inlineStr">
        <is>
          <t>No</t>
        </is>
      </c>
      <c r="P398" s="145" t="inlineStr">
        <is>
          <t xml:space="preserve">_ * #,##0_ ;_ * -#,##0_ ;_ * "-"??_ ;_ @_ </t>
        </is>
      </c>
      <c r="Q398" s="145" t="inlineStr">
        <is>
          <t>Text</t>
        </is>
      </c>
      <c r="R398" s="145" t="n"/>
      <c r="S398" s="145" t="n"/>
      <c r="T398" s="145" t="n"/>
      <c r="U398" s="145" t="n"/>
      <c r="V398" s="145" t="n"/>
      <c r="W398" s="145" t="n"/>
      <c r="X398" s="145" t="inlineStr">
        <is>
          <t>Detailed format sample from top 5 used rows</t>
        </is>
      </c>
    </row>
    <row r="399" ht="23.85" customHeight="1" s="79">
      <c r="A399" s="145" t="inlineStr">
        <is>
          <t>REGULAR_ART</t>
        </is>
      </c>
      <c r="B399" s="145" t="inlineStr">
        <is>
          <t>Top-Row Cell Format</t>
        </is>
      </c>
      <c r="C399" s="145" t="inlineStr">
        <is>
          <t>T3</t>
        </is>
      </c>
      <c r="D399" s="145" t="inlineStr">
        <is>
          <t>REGULAR_ART!A1:AT410</t>
        </is>
      </c>
      <c r="E399" s="145" t="inlineStr">
        <is>
          <t>Normal</t>
        </is>
      </c>
      <c r="F399" s="145" t="inlineStr">
        <is>
          <t>#F8CBAD</t>
        </is>
      </c>
      <c r="G399" s="145" t="inlineStr">
        <is>
          <t>Aptos</t>
        </is>
      </c>
      <c r="H399" s="145" t="n">
        <v>8</v>
      </c>
      <c r="I399" s="145" t="inlineStr">
        <is>
          <t>Yes</t>
        </is>
      </c>
      <c r="J399" s="145" t="inlineStr">
        <is>
          <t>No</t>
        </is>
      </c>
      <c r="K399" s="145" t="inlineStr">
        <is>
          <t>None</t>
        </is>
      </c>
      <c r="L399" s="145" t="inlineStr">
        <is>
          <t>#000000</t>
        </is>
      </c>
      <c r="M399" s="145" t="inlineStr">
        <is>
          <t>Center</t>
        </is>
      </c>
      <c r="N399" s="145" t="inlineStr">
        <is>
          <t>Center</t>
        </is>
      </c>
      <c r="O399" s="145" t="inlineStr">
        <is>
          <t>Yes</t>
        </is>
      </c>
      <c r="P399" s="145" t="inlineStr">
        <is>
          <t>General</t>
        </is>
      </c>
      <c r="Q399" s="145" t="inlineStr">
        <is>
          <t>General</t>
        </is>
      </c>
      <c r="R399" s="145" t="n"/>
      <c r="S399" s="145" t="n"/>
      <c r="T399" s="145" t="n"/>
      <c r="U399" s="145" t="n"/>
      <c r="V399" s="145" t="n"/>
      <c r="W399" s="145" t="n"/>
      <c r="X399" s="145" t="inlineStr">
        <is>
          <t>Detailed format sample from top 5 used rows</t>
        </is>
      </c>
    </row>
    <row r="400" ht="23.85" customHeight="1" s="79">
      <c r="A400" s="145" t="inlineStr">
        <is>
          <t>REGULAR_ART</t>
        </is>
      </c>
      <c r="B400" s="145" t="inlineStr">
        <is>
          <t>Top-Row Cell Format</t>
        </is>
      </c>
      <c r="C400" s="145" t="inlineStr">
        <is>
          <t>T4</t>
        </is>
      </c>
      <c r="D400" s="145" t="inlineStr">
        <is>
          <t>REGULAR_ART!A1:AT410</t>
        </is>
      </c>
      <c r="E400" s="145" t="inlineStr">
        <is>
          <t>Normal</t>
        </is>
      </c>
      <c r="F400" s="145" t="inlineStr">
        <is>
          <t>#F8CBAD</t>
        </is>
      </c>
      <c r="G400" s="145" t="inlineStr">
        <is>
          <t>Aptos</t>
        </is>
      </c>
      <c r="H400" s="145" t="n">
        <v>8</v>
      </c>
      <c r="I400" s="145" t="inlineStr">
        <is>
          <t>No</t>
        </is>
      </c>
      <c r="J400" s="145" t="inlineStr">
        <is>
          <t>No</t>
        </is>
      </c>
      <c r="K400" s="145" t="inlineStr">
        <is>
          <t>None</t>
        </is>
      </c>
      <c r="L400" s="145" t="inlineStr">
        <is>
          <t>#000000</t>
        </is>
      </c>
      <c r="M400" s="145" t="inlineStr">
        <is>
          <t>General</t>
        </is>
      </c>
      <c r="N400" s="145" t="inlineStr">
        <is>
          <t>Center</t>
        </is>
      </c>
      <c r="O400" s="145" t="inlineStr">
        <is>
          <t>No</t>
        </is>
      </c>
      <c r="P400" s="145" t="inlineStr">
        <is>
          <t>General</t>
        </is>
      </c>
      <c r="Q400" s="145" t="inlineStr">
        <is>
          <t>General</t>
        </is>
      </c>
      <c r="R400" s="145" t="n"/>
      <c r="S400" s="145" t="n"/>
      <c r="T400" s="145" t="n"/>
      <c r="U400" s="145" t="n"/>
      <c r="V400" s="145" t="n"/>
      <c r="W400" s="145" t="n"/>
      <c r="X400" s="145" t="inlineStr">
        <is>
          <t>Detailed format sample from top 5 used rows</t>
        </is>
      </c>
    </row>
    <row r="401" ht="23.85" customHeight="1" s="79">
      <c r="A401" s="145" t="inlineStr">
        <is>
          <t>REGULAR_ART</t>
        </is>
      </c>
      <c r="B401" s="145" t="inlineStr">
        <is>
          <t>Top-Row Cell Format</t>
        </is>
      </c>
      <c r="C401" s="145" t="inlineStr">
        <is>
          <t>T5</t>
        </is>
      </c>
      <c r="D401" s="145" t="inlineStr">
        <is>
          <t>REGULAR_ART!A1:AT410</t>
        </is>
      </c>
      <c r="E401" s="145" t="inlineStr">
        <is>
          <t>Normal</t>
        </is>
      </c>
      <c r="F401" s="145" t="inlineStr">
        <is>
          <t>#B4C6E7</t>
        </is>
      </c>
      <c r="G401" s="145" t="inlineStr">
        <is>
          <t>Aptos</t>
        </is>
      </c>
      <c r="H401" s="145" t="n">
        <v>8</v>
      </c>
      <c r="I401" s="145" t="inlineStr">
        <is>
          <t>Yes</t>
        </is>
      </c>
      <c r="J401" s="145" t="inlineStr">
        <is>
          <t>No</t>
        </is>
      </c>
      <c r="K401" s="145" t="inlineStr">
        <is>
          <t>None</t>
        </is>
      </c>
      <c r="L401" s="145" t="inlineStr">
        <is>
          <t>#000000</t>
        </is>
      </c>
      <c r="M401" s="145" t="inlineStr">
        <is>
          <t>General</t>
        </is>
      </c>
      <c r="N401" s="145" t="inlineStr">
        <is>
          <t>Center</t>
        </is>
      </c>
      <c r="O401" s="145" t="inlineStr">
        <is>
          <t>No</t>
        </is>
      </c>
      <c r="P401" s="145" t="inlineStr">
        <is>
          <t xml:space="preserve">_ * #,##0_ ;_ * -#,##0_ ;_ * "-"??_ ;_ @_ </t>
        </is>
      </c>
      <c r="Q401" s="145" t="inlineStr">
        <is>
          <t>Text</t>
        </is>
      </c>
      <c r="R401" s="145" t="n"/>
      <c r="S401" s="145" t="n"/>
      <c r="T401" s="145" t="n"/>
      <c r="U401" s="145" t="n"/>
      <c r="V401" s="145" t="n"/>
      <c r="W401" s="145" t="n"/>
      <c r="X401" s="145" t="inlineStr">
        <is>
          <t>Detailed format sample from top 5 used rows</t>
        </is>
      </c>
    </row>
    <row r="402" ht="23.85" customHeight="1" s="79">
      <c r="A402" s="145" t="inlineStr">
        <is>
          <t>REGULAR_ART</t>
        </is>
      </c>
      <c r="B402" s="145" t="inlineStr">
        <is>
          <t>Column Format</t>
        </is>
      </c>
      <c r="C402" s="145" t="inlineStr">
        <is>
          <t>U:U</t>
        </is>
      </c>
      <c r="D402" s="145" t="inlineStr">
        <is>
          <t>REGULAR_ART!A1:AT410</t>
        </is>
      </c>
      <c r="E402" s="145" t="inlineStr">
        <is>
          <t>Mixed</t>
        </is>
      </c>
      <c r="F402" s="145" t="inlineStr">
        <is>
          <t>Mixed</t>
        </is>
      </c>
      <c r="G402" s="145" t="inlineStr">
        <is>
          <t>Aptos</t>
        </is>
      </c>
      <c r="H402" s="145" t="n">
        <v>8</v>
      </c>
      <c r="I402" s="145" t="inlineStr">
        <is>
          <t>Mixed</t>
        </is>
      </c>
      <c r="J402" s="145" t="inlineStr">
        <is>
          <t>No</t>
        </is>
      </c>
      <c r="K402" s="145" t="inlineStr">
        <is>
          <t>None</t>
        </is>
      </c>
      <c r="L402" s="145" t="inlineStr">
        <is>
          <t>#000000</t>
        </is>
      </c>
      <c r="M402" s="145" t="inlineStr">
        <is>
          <t>Mixed</t>
        </is>
      </c>
      <c r="N402" s="145" t="inlineStr">
        <is>
          <t>Center</t>
        </is>
      </c>
      <c r="O402" s="145" t="inlineStr">
        <is>
          <t>Mixed</t>
        </is>
      </c>
      <c r="P402" s="145" t="n"/>
      <c r="Q402" s="145" t="n"/>
      <c r="R402" s="145" t="inlineStr">
        <is>
          <t>EdgeBottom:Continuous/Thin/#000000; EdgeRight:Continuous/Thin/#000000</t>
        </is>
      </c>
      <c r="S402" s="145" t="n">
        <v>44.0597014925373</v>
      </c>
      <c r="T402" s="145" t="n"/>
      <c r="U402" s="145" t="inlineStr">
        <is>
          <t>No</t>
        </is>
      </c>
      <c r="V402" s="145" t="inlineStr">
        <is>
          <t>Visible</t>
        </is>
      </c>
      <c r="W402" s="145" t="n"/>
      <c r="X402" s="145" t="inlineStr">
        <is>
          <t>Mixed styles within used column</t>
        </is>
      </c>
    </row>
    <row r="403" ht="23.85" customHeight="1" s="79">
      <c r="A403" s="145" t="inlineStr">
        <is>
          <t>REGULAR_ART</t>
        </is>
      </c>
      <c r="B403" s="145" t="inlineStr">
        <is>
          <t>Top-Row Cell Format</t>
        </is>
      </c>
      <c r="C403" s="145" t="inlineStr">
        <is>
          <t>U1</t>
        </is>
      </c>
      <c r="D403" s="145" t="inlineStr">
        <is>
          <t>REGULAR_ART!A1:AT410</t>
        </is>
      </c>
      <c r="E403" s="145" t="inlineStr">
        <is>
          <t>Normal</t>
        </is>
      </c>
      <c r="F403" s="145" t="n"/>
      <c r="G403" s="145" t="inlineStr">
        <is>
          <t>Aptos</t>
        </is>
      </c>
      <c r="H403" s="145" t="n">
        <v>8</v>
      </c>
      <c r="I403" s="145" t="inlineStr">
        <is>
          <t>No</t>
        </is>
      </c>
      <c r="J403" s="145" t="inlineStr">
        <is>
          <t>No</t>
        </is>
      </c>
      <c r="K403" s="145" t="inlineStr">
        <is>
          <t>None</t>
        </is>
      </c>
      <c r="L403" s="145" t="inlineStr">
        <is>
          <t>#000000</t>
        </is>
      </c>
      <c r="M403" s="145" t="inlineStr">
        <is>
          <t>General</t>
        </is>
      </c>
      <c r="N403" s="145" t="inlineStr">
        <is>
          <t>Center</t>
        </is>
      </c>
      <c r="O403" s="145" t="inlineStr">
        <is>
          <t>No</t>
        </is>
      </c>
      <c r="P403" s="145" t="inlineStr">
        <is>
          <t>General</t>
        </is>
      </c>
      <c r="Q403" s="145" t="inlineStr">
        <is>
          <t>General</t>
        </is>
      </c>
      <c r="R403" s="145" t="n"/>
      <c r="S403" s="145" t="n"/>
      <c r="T403" s="145" t="n"/>
      <c r="U403" s="145" t="n"/>
      <c r="V403" s="145" t="n"/>
      <c r="W403" s="145" t="n"/>
      <c r="X403" s="145" t="inlineStr">
        <is>
          <t>Detailed format sample from top 5 used rows</t>
        </is>
      </c>
    </row>
    <row r="404" ht="23.85" customHeight="1" s="79">
      <c r="A404" s="145" t="inlineStr">
        <is>
          <t>REGULAR_ART</t>
        </is>
      </c>
      <c r="B404" s="145" t="inlineStr">
        <is>
          <t>Top-Row Cell Format</t>
        </is>
      </c>
      <c r="C404" s="145" t="inlineStr">
        <is>
          <t>U2</t>
        </is>
      </c>
      <c r="D404" s="145" t="inlineStr">
        <is>
          <t>REGULAR_ART!A1:AT410</t>
        </is>
      </c>
      <c r="E404" s="145" t="inlineStr">
        <is>
          <t>Comma</t>
        </is>
      </c>
      <c r="F404" s="145" t="inlineStr">
        <is>
          <t>#B4C6E7</t>
        </is>
      </c>
      <c r="G404" s="145" t="inlineStr">
        <is>
          <t>Aptos</t>
        </is>
      </c>
      <c r="H404" s="145" t="n">
        <v>8</v>
      </c>
      <c r="I404" s="145" t="inlineStr">
        <is>
          <t>Yes</t>
        </is>
      </c>
      <c r="J404" s="145" t="inlineStr">
        <is>
          <t>No</t>
        </is>
      </c>
      <c r="K404" s="145" t="inlineStr">
        <is>
          <t>None</t>
        </is>
      </c>
      <c r="L404" s="145" t="inlineStr">
        <is>
          <t>#000000</t>
        </is>
      </c>
      <c r="M404" s="145" t="inlineStr">
        <is>
          <t>General</t>
        </is>
      </c>
      <c r="N404" s="145" t="inlineStr">
        <is>
          <t>Center</t>
        </is>
      </c>
      <c r="O404" s="145" t="inlineStr">
        <is>
          <t>No</t>
        </is>
      </c>
      <c r="P404" s="145" t="inlineStr">
        <is>
          <t xml:space="preserve">_ * #,##0_ ;_ * -#,##0_ ;_ * "-"??_ ;_ @_ </t>
        </is>
      </c>
      <c r="Q404" s="145" t="inlineStr">
        <is>
          <t>Text</t>
        </is>
      </c>
      <c r="R404" s="145" t="n"/>
      <c r="S404" s="145" t="n"/>
      <c r="T404" s="145" t="n"/>
      <c r="U404" s="145" t="n"/>
      <c r="V404" s="145" t="n"/>
      <c r="W404" s="145" t="n"/>
      <c r="X404" s="145" t="inlineStr">
        <is>
          <t>Detailed format sample from top 5 used rows</t>
        </is>
      </c>
    </row>
    <row r="405" ht="23.85" customHeight="1" s="79">
      <c r="A405" s="145" t="inlineStr">
        <is>
          <t>REGULAR_ART</t>
        </is>
      </c>
      <c r="B405" s="145" t="inlineStr">
        <is>
          <t>Top-Row Cell Format</t>
        </is>
      </c>
      <c r="C405" s="145" t="inlineStr">
        <is>
          <t>U3</t>
        </is>
      </c>
      <c r="D405" s="145" t="inlineStr">
        <is>
          <t>REGULAR_ART!A1:AT410</t>
        </is>
      </c>
      <c r="E405" s="145" t="inlineStr">
        <is>
          <t>Normal</t>
        </is>
      </c>
      <c r="F405" s="145" t="inlineStr">
        <is>
          <t>#F8CBAD</t>
        </is>
      </c>
      <c r="G405" s="145" t="inlineStr">
        <is>
          <t>Aptos</t>
        </is>
      </c>
      <c r="H405" s="145" t="n">
        <v>8</v>
      </c>
      <c r="I405" s="145" t="inlineStr">
        <is>
          <t>Yes</t>
        </is>
      </c>
      <c r="J405" s="145" t="inlineStr">
        <is>
          <t>No</t>
        </is>
      </c>
      <c r="K405" s="145" t="inlineStr">
        <is>
          <t>None</t>
        </is>
      </c>
      <c r="L405" s="145" t="inlineStr">
        <is>
          <t>#000000</t>
        </is>
      </c>
      <c r="M405" s="145" t="inlineStr">
        <is>
          <t>Center</t>
        </is>
      </c>
      <c r="N405" s="145" t="inlineStr">
        <is>
          <t>Center</t>
        </is>
      </c>
      <c r="O405" s="145" t="inlineStr">
        <is>
          <t>Yes</t>
        </is>
      </c>
      <c r="P405" s="145" t="inlineStr">
        <is>
          <t>General</t>
        </is>
      </c>
      <c r="Q405" s="145" t="inlineStr">
        <is>
          <t>General</t>
        </is>
      </c>
      <c r="R405" s="145" t="n"/>
      <c r="S405" s="145" t="n"/>
      <c r="T405" s="145" t="n"/>
      <c r="U405" s="145" t="n"/>
      <c r="V405" s="145" t="n"/>
      <c r="W405" s="145" t="n"/>
      <c r="X405" s="145" t="inlineStr">
        <is>
          <t>Detailed format sample from top 5 used rows</t>
        </is>
      </c>
    </row>
    <row r="406" ht="23.85" customHeight="1" s="79">
      <c r="A406" s="145" t="inlineStr">
        <is>
          <t>REGULAR_ART</t>
        </is>
      </c>
      <c r="B406" s="145" t="inlineStr">
        <is>
          <t>Top-Row Cell Format</t>
        </is>
      </c>
      <c r="C406" s="145" t="inlineStr">
        <is>
          <t>U4</t>
        </is>
      </c>
      <c r="D406" s="145" t="inlineStr">
        <is>
          <t>REGULAR_ART!A1:AT410</t>
        </is>
      </c>
      <c r="E406" s="145" t="inlineStr">
        <is>
          <t>Normal</t>
        </is>
      </c>
      <c r="F406" s="145" t="inlineStr">
        <is>
          <t>#F8CBAD</t>
        </is>
      </c>
      <c r="G406" s="145" t="inlineStr">
        <is>
          <t>Aptos</t>
        </is>
      </c>
      <c r="H406" s="145" t="n">
        <v>8</v>
      </c>
      <c r="I406" s="145" t="inlineStr">
        <is>
          <t>No</t>
        </is>
      </c>
      <c r="J406" s="145" t="inlineStr">
        <is>
          <t>No</t>
        </is>
      </c>
      <c r="K406" s="145" t="inlineStr">
        <is>
          <t>None</t>
        </is>
      </c>
      <c r="L406" s="145" t="inlineStr">
        <is>
          <t>#000000</t>
        </is>
      </c>
      <c r="M406" s="145" t="inlineStr">
        <is>
          <t>General</t>
        </is>
      </c>
      <c r="N406" s="145" t="inlineStr">
        <is>
          <t>Center</t>
        </is>
      </c>
      <c r="O406" s="145" t="inlineStr">
        <is>
          <t>No</t>
        </is>
      </c>
      <c r="P406" s="145" t="inlineStr">
        <is>
          <t>General</t>
        </is>
      </c>
      <c r="Q406" s="145" t="inlineStr">
        <is>
          <t>General</t>
        </is>
      </c>
      <c r="R406" s="145" t="n"/>
      <c r="S406" s="145" t="n"/>
      <c r="T406" s="145" t="n"/>
      <c r="U406" s="145" t="n"/>
      <c r="V406" s="145" t="n"/>
      <c r="W406" s="145" t="n"/>
      <c r="X406" s="145" t="inlineStr">
        <is>
          <t>Detailed format sample from top 5 used rows</t>
        </is>
      </c>
    </row>
    <row r="407" ht="23.85" customHeight="1" s="79">
      <c r="A407" s="145" t="inlineStr">
        <is>
          <t>REGULAR_ART</t>
        </is>
      </c>
      <c r="B407" s="145" t="inlineStr">
        <is>
          <t>Top-Row Cell Format</t>
        </is>
      </c>
      <c r="C407" s="145" t="inlineStr">
        <is>
          <t>U5</t>
        </is>
      </c>
      <c r="D407" s="145" t="inlineStr">
        <is>
          <t>REGULAR_ART!A1:AT410</t>
        </is>
      </c>
      <c r="E407" s="145" t="inlineStr">
        <is>
          <t>Normal</t>
        </is>
      </c>
      <c r="F407" s="145" t="inlineStr">
        <is>
          <t>#B4C6E7</t>
        </is>
      </c>
      <c r="G407" s="145" t="inlineStr">
        <is>
          <t>Aptos</t>
        </is>
      </c>
      <c r="H407" s="145" t="n">
        <v>8</v>
      </c>
      <c r="I407" s="145" t="inlineStr">
        <is>
          <t>Yes</t>
        </is>
      </c>
      <c r="J407" s="145" t="inlineStr">
        <is>
          <t>No</t>
        </is>
      </c>
      <c r="K407" s="145" t="inlineStr">
        <is>
          <t>None</t>
        </is>
      </c>
      <c r="L407" s="145" t="inlineStr">
        <is>
          <t>#000000</t>
        </is>
      </c>
      <c r="M407" s="145" t="inlineStr">
        <is>
          <t>General</t>
        </is>
      </c>
      <c r="N407" s="145" t="inlineStr">
        <is>
          <t>Center</t>
        </is>
      </c>
      <c r="O407" s="145" t="inlineStr">
        <is>
          <t>No</t>
        </is>
      </c>
      <c r="P407" s="145" t="inlineStr">
        <is>
          <t xml:space="preserve">_ * #,##0_ ;_ * -#,##0_ ;_ * "-"??_ ;_ @_ </t>
        </is>
      </c>
      <c r="Q407" s="145" t="inlineStr">
        <is>
          <t>Text</t>
        </is>
      </c>
      <c r="R407" s="145" t="n"/>
      <c r="S407" s="145" t="n"/>
      <c r="T407" s="145" t="n"/>
      <c r="U407" s="145" t="n"/>
      <c r="V407" s="145" t="n"/>
      <c r="W407" s="145" t="n"/>
      <c r="X407" s="145" t="inlineStr">
        <is>
          <t>Detailed format sample from top 5 used rows</t>
        </is>
      </c>
    </row>
    <row r="408" ht="23.85" customHeight="1" s="79">
      <c r="A408" s="145" t="inlineStr">
        <is>
          <t>REGULAR_ART</t>
        </is>
      </c>
      <c r="B408" s="145" t="inlineStr">
        <is>
          <t>Column Format</t>
        </is>
      </c>
      <c r="C408" s="145" t="inlineStr">
        <is>
          <t>V:V</t>
        </is>
      </c>
      <c r="D408" s="145" t="inlineStr">
        <is>
          <t>REGULAR_ART!A1:AT410</t>
        </is>
      </c>
      <c r="E408" s="145" t="inlineStr">
        <is>
          <t>Mixed</t>
        </is>
      </c>
      <c r="F408" s="145" t="inlineStr">
        <is>
          <t>Mixed</t>
        </is>
      </c>
      <c r="G408" s="145" t="inlineStr">
        <is>
          <t>Aptos</t>
        </is>
      </c>
      <c r="H408" s="145" t="n">
        <v>8</v>
      </c>
      <c r="I408" s="145" t="inlineStr">
        <is>
          <t>Mixed</t>
        </is>
      </c>
      <c r="J408" s="145" t="inlineStr">
        <is>
          <t>No</t>
        </is>
      </c>
      <c r="K408" s="145" t="inlineStr">
        <is>
          <t>None</t>
        </is>
      </c>
      <c r="L408" s="145" t="inlineStr">
        <is>
          <t>#000000</t>
        </is>
      </c>
      <c r="M408" s="145" t="inlineStr">
        <is>
          <t>Mixed</t>
        </is>
      </c>
      <c r="N408" s="145" t="inlineStr">
        <is>
          <t>Center</t>
        </is>
      </c>
      <c r="O408" s="145" t="inlineStr">
        <is>
          <t>Mixed</t>
        </is>
      </c>
      <c r="P408" s="145" t="n"/>
      <c r="Q408" s="145" t="n"/>
      <c r="R408" s="145" t="inlineStr">
        <is>
          <t>EdgeBottom:Continuous/Thin/#000000; EdgeRight:Continuous/Thin/#000000</t>
        </is>
      </c>
      <c r="S408" s="145" t="n">
        <v>45.6716417910448</v>
      </c>
      <c r="T408" s="145" t="n"/>
      <c r="U408" s="145" t="inlineStr">
        <is>
          <t>No</t>
        </is>
      </c>
      <c r="V408" s="145" t="inlineStr">
        <is>
          <t>Visible</t>
        </is>
      </c>
      <c r="W408" s="145" t="n"/>
      <c r="X408" s="145" t="inlineStr">
        <is>
          <t>Mixed styles within used column</t>
        </is>
      </c>
    </row>
    <row r="409" ht="23.85" customHeight="1" s="79">
      <c r="A409" s="145" t="inlineStr">
        <is>
          <t>REGULAR_ART</t>
        </is>
      </c>
      <c r="B409" s="145" t="inlineStr">
        <is>
          <t>Top-Row Cell Format</t>
        </is>
      </c>
      <c r="C409" s="145" t="inlineStr">
        <is>
          <t>V1</t>
        </is>
      </c>
      <c r="D409" s="145" t="inlineStr">
        <is>
          <t>REGULAR_ART!A1:AT410</t>
        </is>
      </c>
      <c r="E409" s="145" t="inlineStr">
        <is>
          <t>Normal</t>
        </is>
      </c>
      <c r="F409" s="145" t="n"/>
      <c r="G409" s="145" t="inlineStr">
        <is>
          <t>Aptos</t>
        </is>
      </c>
      <c r="H409" s="145" t="n">
        <v>8</v>
      </c>
      <c r="I409" s="145" t="inlineStr">
        <is>
          <t>No</t>
        </is>
      </c>
      <c r="J409" s="145" t="inlineStr">
        <is>
          <t>No</t>
        </is>
      </c>
      <c r="K409" s="145" t="inlineStr">
        <is>
          <t>None</t>
        </is>
      </c>
      <c r="L409" s="145" t="inlineStr">
        <is>
          <t>#000000</t>
        </is>
      </c>
      <c r="M409" s="145" t="inlineStr">
        <is>
          <t>General</t>
        </is>
      </c>
      <c r="N409" s="145" t="inlineStr">
        <is>
          <t>Center</t>
        </is>
      </c>
      <c r="O409" s="145" t="inlineStr">
        <is>
          <t>No</t>
        </is>
      </c>
      <c r="P409" s="145" t="inlineStr">
        <is>
          <t xml:space="preserve">_ * #,##0_ ;_ * -#,##0_ ;_ * "-"??_ ;_ @_ </t>
        </is>
      </c>
      <c r="Q409" s="145" t="inlineStr">
        <is>
          <t>Text</t>
        </is>
      </c>
      <c r="R409" s="145" t="n"/>
      <c r="S409" s="145" t="n"/>
      <c r="T409" s="145" t="n"/>
      <c r="U409" s="145" t="n"/>
      <c r="V409" s="145" t="n"/>
      <c r="W409" s="145" t="n"/>
      <c r="X409" s="145" t="inlineStr">
        <is>
          <t>Detailed format sample from top 5 used rows</t>
        </is>
      </c>
    </row>
    <row r="410" ht="23.85" customHeight="1" s="79">
      <c r="A410" s="145" t="inlineStr">
        <is>
          <t>REGULAR_ART</t>
        </is>
      </c>
      <c r="B410" s="145" t="inlineStr">
        <is>
          <t>Top-Row Cell Format</t>
        </is>
      </c>
      <c r="C410" s="145" t="inlineStr">
        <is>
          <t>V2</t>
        </is>
      </c>
      <c r="D410" s="145" t="inlineStr">
        <is>
          <t>REGULAR_ART!A1:AT410</t>
        </is>
      </c>
      <c r="E410" s="145" t="inlineStr">
        <is>
          <t>Comma</t>
        </is>
      </c>
      <c r="F410" s="145" t="inlineStr">
        <is>
          <t>#B4C6E7</t>
        </is>
      </c>
      <c r="G410" s="145" t="inlineStr">
        <is>
          <t>Aptos</t>
        </is>
      </c>
      <c r="H410" s="145" t="n">
        <v>8</v>
      </c>
      <c r="I410" s="145" t="inlineStr">
        <is>
          <t>Yes</t>
        </is>
      </c>
      <c r="J410" s="145" t="inlineStr">
        <is>
          <t>No</t>
        </is>
      </c>
      <c r="K410" s="145" t="inlineStr">
        <is>
          <t>None</t>
        </is>
      </c>
      <c r="L410" s="145" t="inlineStr">
        <is>
          <t>#000000</t>
        </is>
      </c>
      <c r="M410" s="145" t="inlineStr">
        <is>
          <t>General</t>
        </is>
      </c>
      <c r="N410" s="145" t="inlineStr">
        <is>
          <t>Center</t>
        </is>
      </c>
      <c r="O410" s="145" t="inlineStr">
        <is>
          <t>No</t>
        </is>
      </c>
      <c r="P410" s="145" t="inlineStr">
        <is>
          <t xml:space="preserve">_ * #,##0_ ;_ * -#,##0_ ;_ * "-"??_ ;_ @_ </t>
        </is>
      </c>
      <c r="Q410" s="145" t="inlineStr">
        <is>
          <t>Text</t>
        </is>
      </c>
      <c r="R410" s="145" t="n"/>
      <c r="S410" s="145" t="n"/>
      <c r="T410" s="145" t="n"/>
      <c r="U410" s="145" t="n"/>
      <c r="V410" s="145" t="n"/>
      <c r="W410" s="145" t="n"/>
      <c r="X410" s="145" t="inlineStr">
        <is>
          <t>Detailed format sample from top 5 used rows</t>
        </is>
      </c>
    </row>
    <row r="411" ht="23.85" customHeight="1" s="79">
      <c r="A411" s="145" t="inlineStr">
        <is>
          <t>REGULAR_ART</t>
        </is>
      </c>
      <c r="B411" s="145" t="inlineStr">
        <is>
          <t>Top-Row Cell Format</t>
        </is>
      </c>
      <c r="C411" s="145" t="inlineStr">
        <is>
          <t>V3</t>
        </is>
      </c>
      <c r="D411" s="145" t="inlineStr">
        <is>
          <t>REGULAR_ART!A1:AT410</t>
        </is>
      </c>
      <c r="E411" s="145" t="inlineStr">
        <is>
          <t>Percent</t>
        </is>
      </c>
      <c r="F411" s="145" t="inlineStr">
        <is>
          <t>#F8CBAD</t>
        </is>
      </c>
      <c r="G411" s="145" t="inlineStr">
        <is>
          <t>Aptos</t>
        </is>
      </c>
      <c r="H411" s="145" t="n">
        <v>8</v>
      </c>
      <c r="I411" s="145" t="inlineStr">
        <is>
          <t>Yes</t>
        </is>
      </c>
      <c r="J411" s="145" t="inlineStr">
        <is>
          <t>No</t>
        </is>
      </c>
      <c r="K411" s="145" t="inlineStr">
        <is>
          <t>None</t>
        </is>
      </c>
      <c r="L411" s="145" t="inlineStr">
        <is>
          <t>#000000</t>
        </is>
      </c>
      <c r="M411" s="145" t="inlineStr">
        <is>
          <t>Center</t>
        </is>
      </c>
      <c r="N411" s="145" t="inlineStr">
        <is>
          <t>Center</t>
        </is>
      </c>
      <c r="O411" s="145" t="inlineStr">
        <is>
          <t>Yes</t>
        </is>
      </c>
      <c r="P411" s="146" t="n">
        <v>0</v>
      </c>
      <c r="Q411" s="145" t="inlineStr">
        <is>
          <t>Percentage</t>
        </is>
      </c>
      <c r="R411" s="145" t="n"/>
      <c r="S411" s="145" t="n"/>
      <c r="T411" s="145" t="n"/>
      <c r="U411" s="145" t="n"/>
      <c r="V411" s="145" t="n"/>
      <c r="W411" s="145" t="n"/>
      <c r="X411" s="145" t="inlineStr">
        <is>
          <t>Detailed format sample from top 5 used rows</t>
        </is>
      </c>
    </row>
    <row r="412" ht="23.85" customHeight="1" s="79">
      <c r="A412" s="145" t="inlineStr">
        <is>
          <t>REGULAR_ART</t>
        </is>
      </c>
      <c r="B412" s="145" t="inlineStr">
        <is>
          <t>Top-Row Cell Format</t>
        </is>
      </c>
      <c r="C412" s="145" t="inlineStr">
        <is>
          <t>V4</t>
        </is>
      </c>
      <c r="D412" s="145" t="inlineStr">
        <is>
          <t>REGULAR_ART!A1:AT410</t>
        </is>
      </c>
      <c r="E412" s="145" t="inlineStr">
        <is>
          <t>Normal</t>
        </is>
      </c>
      <c r="F412" s="145" t="inlineStr">
        <is>
          <t>#F8CBAD</t>
        </is>
      </c>
      <c r="G412" s="145" t="inlineStr">
        <is>
          <t>Aptos</t>
        </is>
      </c>
      <c r="H412" s="145" t="n">
        <v>8</v>
      </c>
      <c r="I412" s="145" t="inlineStr">
        <is>
          <t>No</t>
        </is>
      </c>
      <c r="J412" s="145" t="inlineStr">
        <is>
          <t>No</t>
        </is>
      </c>
      <c r="K412" s="145" t="inlineStr">
        <is>
          <t>None</t>
        </is>
      </c>
      <c r="L412" s="145" t="inlineStr">
        <is>
          <t>#000000</t>
        </is>
      </c>
      <c r="M412" s="145" t="inlineStr">
        <is>
          <t>General</t>
        </is>
      </c>
      <c r="N412" s="145" t="inlineStr">
        <is>
          <t>Center</t>
        </is>
      </c>
      <c r="O412" s="145" t="inlineStr">
        <is>
          <t>No</t>
        </is>
      </c>
      <c r="P412" s="145" t="inlineStr">
        <is>
          <t>General</t>
        </is>
      </c>
      <c r="Q412" s="145" t="inlineStr">
        <is>
          <t>General</t>
        </is>
      </c>
      <c r="R412" s="145" t="n"/>
      <c r="S412" s="145" t="n"/>
      <c r="T412" s="145" t="n"/>
      <c r="U412" s="145" t="n"/>
      <c r="V412" s="145" t="n"/>
      <c r="W412" s="145" t="n"/>
      <c r="X412" s="145" t="inlineStr">
        <is>
          <t>Detailed format sample from top 5 used rows</t>
        </is>
      </c>
    </row>
    <row r="413" ht="23.85" customHeight="1" s="79">
      <c r="A413" s="145" t="inlineStr">
        <is>
          <t>REGULAR_ART</t>
        </is>
      </c>
      <c r="B413" s="145" t="inlineStr">
        <is>
          <t>Top-Row Cell Format</t>
        </is>
      </c>
      <c r="C413" s="145" t="inlineStr">
        <is>
          <t>V5</t>
        </is>
      </c>
      <c r="D413" s="145" t="inlineStr">
        <is>
          <t>REGULAR_ART!A1:AT410</t>
        </is>
      </c>
      <c r="E413" s="145" t="inlineStr">
        <is>
          <t>Comma</t>
        </is>
      </c>
      <c r="F413" s="145" t="n"/>
      <c r="G413" s="145" t="inlineStr">
        <is>
          <t>Aptos</t>
        </is>
      </c>
      <c r="H413" s="145" t="n">
        <v>8</v>
      </c>
      <c r="I413" s="145" t="inlineStr">
        <is>
          <t>No</t>
        </is>
      </c>
      <c r="J413" s="145" t="inlineStr">
        <is>
          <t>No</t>
        </is>
      </c>
      <c r="K413" s="145" t="inlineStr">
        <is>
          <t>None</t>
        </is>
      </c>
      <c r="L413" s="145" t="inlineStr">
        <is>
          <t>#000000</t>
        </is>
      </c>
      <c r="M413" s="145" t="inlineStr">
        <is>
          <t>General</t>
        </is>
      </c>
      <c r="N413" s="145" t="inlineStr">
        <is>
          <t>Center</t>
        </is>
      </c>
      <c r="O413" s="145" t="inlineStr">
        <is>
          <t>No</t>
        </is>
      </c>
      <c r="P413" s="145" t="inlineStr">
        <is>
          <t xml:space="preserve">_ * #,##0_ ;_ * -#,##0_ ;_ * "-"??_ ;_ @_ </t>
        </is>
      </c>
      <c r="Q413" s="145" t="inlineStr">
        <is>
          <t>Text</t>
        </is>
      </c>
      <c r="R413" s="145" t="n"/>
      <c r="S413" s="145" t="n"/>
      <c r="T413" s="145" t="n"/>
      <c r="U413" s="145" t="n"/>
      <c r="V413" s="145" t="n"/>
      <c r="W413" s="145" t="n"/>
      <c r="X413" s="145" t="inlineStr">
        <is>
          <t>Detailed format sample from top 5 used rows</t>
        </is>
      </c>
    </row>
    <row r="414" ht="23.85" customHeight="1" s="79">
      <c r="A414" s="145" t="inlineStr">
        <is>
          <t>REGULAR_ART</t>
        </is>
      </c>
      <c r="B414" s="145" t="inlineStr">
        <is>
          <t>Column Format</t>
        </is>
      </c>
      <c r="C414" s="145" t="inlineStr">
        <is>
          <t>W:W</t>
        </is>
      </c>
      <c r="D414" s="145" t="inlineStr">
        <is>
          <t>REGULAR_ART!A1:AT410</t>
        </is>
      </c>
      <c r="E414" s="145" t="inlineStr">
        <is>
          <t>Mixed</t>
        </is>
      </c>
      <c r="F414" s="145" t="inlineStr">
        <is>
          <t>Mixed</t>
        </is>
      </c>
      <c r="G414" s="145" t="inlineStr">
        <is>
          <t>Aptos</t>
        </is>
      </c>
      <c r="H414" s="145" t="n">
        <v>8</v>
      </c>
      <c r="I414" s="145" t="inlineStr">
        <is>
          <t>Mixed</t>
        </is>
      </c>
      <c r="J414" s="145" t="inlineStr">
        <is>
          <t>No</t>
        </is>
      </c>
      <c r="K414" s="145" t="inlineStr">
        <is>
          <t>None</t>
        </is>
      </c>
      <c r="L414" s="145" t="inlineStr">
        <is>
          <t>#000000</t>
        </is>
      </c>
      <c r="M414" s="145" t="inlineStr">
        <is>
          <t>Mixed</t>
        </is>
      </c>
      <c r="N414" s="145" t="inlineStr">
        <is>
          <t>Center</t>
        </is>
      </c>
      <c r="O414" s="145" t="inlineStr">
        <is>
          <t>Mixed</t>
        </is>
      </c>
      <c r="P414" s="145" t="n"/>
      <c r="Q414" s="145" t="n"/>
      <c r="R414" s="145" t="inlineStr">
        <is>
          <t>EdgeBottom:Continuous/Thin/#000000; EdgeRight:Continuous/Thin/#000000</t>
        </is>
      </c>
      <c r="S414" s="145" t="n">
        <v>49.4328358208955</v>
      </c>
      <c r="T414" s="145" t="n"/>
      <c r="U414" s="145" t="inlineStr">
        <is>
          <t>No</t>
        </is>
      </c>
      <c r="V414" s="145" t="inlineStr">
        <is>
          <t>Visible</t>
        </is>
      </c>
      <c r="W414" s="145" t="n"/>
      <c r="X414" s="145" t="inlineStr">
        <is>
          <t>Mixed styles within used column</t>
        </is>
      </c>
    </row>
    <row r="415" ht="23.85" customHeight="1" s="79">
      <c r="A415" s="145" t="inlineStr">
        <is>
          <t>REGULAR_ART</t>
        </is>
      </c>
      <c r="B415" s="145" t="inlineStr">
        <is>
          <t>Top-Row Cell Format</t>
        </is>
      </c>
      <c r="C415" s="145" t="inlineStr">
        <is>
          <t>W1</t>
        </is>
      </c>
      <c r="D415" s="145" t="inlineStr">
        <is>
          <t>REGULAR_ART!A1:AT410</t>
        </is>
      </c>
      <c r="E415" s="145" t="inlineStr">
        <is>
          <t>Normal</t>
        </is>
      </c>
      <c r="F415" s="145" t="n"/>
      <c r="G415" s="145" t="inlineStr">
        <is>
          <t>Aptos</t>
        </is>
      </c>
      <c r="H415" s="145" t="n">
        <v>8</v>
      </c>
      <c r="I415" s="145" t="inlineStr">
        <is>
          <t>No</t>
        </is>
      </c>
      <c r="J415" s="145" t="inlineStr">
        <is>
          <t>No</t>
        </is>
      </c>
      <c r="K415" s="145" t="inlineStr">
        <is>
          <t>None</t>
        </is>
      </c>
      <c r="L415" s="145" t="inlineStr">
        <is>
          <t>#000000</t>
        </is>
      </c>
      <c r="M415" s="145" t="inlineStr">
        <is>
          <t>General</t>
        </is>
      </c>
      <c r="N415" s="145" t="inlineStr">
        <is>
          <t>Center</t>
        </is>
      </c>
      <c r="O415" s="145" t="inlineStr">
        <is>
          <t>No</t>
        </is>
      </c>
      <c r="P415" s="145" t="inlineStr">
        <is>
          <t>General</t>
        </is>
      </c>
      <c r="Q415" s="145" t="inlineStr">
        <is>
          <t>General</t>
        </is>
      </c>
      <c r="R415" s="145" t="n"/>
      <c r="S415" s="145" t="n"/>
      <c r="T415" s="145" t="n"/>
      <c r="U415" s="145" t="n"/>
      <c r="V415" s="145" t="n"/>
      <c r="W415" s="145" t="n"/>
      <c r="X415" s="145" t="inlineStr">
        <is>
          <t>Detailed format sample from top 5 used rows</t>
        </is>
      </c>
    </row>
    <row r="416" ht="23.85" customHeight="1" s="79">
      <c r="A416" s="145" t="inlineStr">
        <is>
          <t>REGULAR_ART</t>
        </is>
      </c>
      <c r="B416" s="145" t="inlineStr">
        <is>
          <t>Top-Row Cell Format</t>
        </is>
      </c>
      <c r="C416" s="145" t="inlineStr">
        <is>
          <t>W2</t>
        </is>
      </c>
      <c r="D416" s="145" t="inlineStr">
        <is>
          <t>REGULAR_ART!A1:AT410</t>
        </is>
      </c>
      <c r="E416" s="145" t="inlineStr">
        <is>
          <t>Comma</t>
        </is>
      </c>
      <c r="F416" s="145" t="inlineStr">
        <is>
          <t>#B4C6E7</t>
        </is>
      </c>
      <c r="G416" s="145" t="inlineStr">
        <is>
          <t>Aptos</t>
        </is>
      </c>
      <c r="H416" s="145" t="n">
        <v>8</v>
      </c>
      <c r="I416" s="145" t="inlineStr">
        <is>
          <t>Yes</t>
        </is>
      </c>
      <c r="J416" s="145" t="inlineStr">
        <is>
          <t>No</t>
        </is>
      </c>
      <c r="K416" s="145" t="inlineStr">
        <is>
          <t>None</t>
        </is>
      </c>
      <c r="L416" s="145" t="inlineStr">
        <is>
          <t>#000000</t>
        </is>
      </c>
      <c r="M416" s="145" t="inlineStr">
        <is>
          <t>General</t>
        </is>
      </c>
      <c r="N416" s="145" t="inlineStr">
        <is>
          <t>Center</t>
        </is>
      </c>
      <c r="O416" s="145" t="inlineStr">
        <is>
          <t>No</t>
        </is>
      </c>
      <c r="P416" s="145" t="inlineStr">
        <is>
          <t xml:space="preserve">_ * #,##0_ ;_ * -#,##0_ ;_ * "-"??_ ;_ @_ </t>
        </is>
      </c>
      <c r="Q416" s="145" t="inlineStr">
        <is>
          <t>Text</t>
        </is>
      </c>
      <c r="R416" s="145" t="n"/>
      <c r="S416" s="145" t="n"/>
      <c r="T416" s="145" t="n"/>
      <c r="U416" s="145" t="n"/>
      <c r="V416" s="145" t="n"/>
      <c r="W416" s="145" t="n"/>
      <c r="X416" s="145" t="inlineStr">
        <is>
          <t>Detailed format sample from top 5 used rows</t>
        </is>
      </c>
    </row>
    <row r="417" ht="23.85" customHeight="1" s="79">
      <c r="A417" s="145" t="inlineStr">
        <is>
          <t>REGULAR_ART</t>
        </is>
      </c>
      <c r="B417" s="145" t="inlineStr">
        <is>
          <t>Top-Row Cell Format</t>
        </is>
      </c>
      <c r="C417" s="145" t="inlineStr">
        <is>
          <t>W3</t>
        </is>
      </c>
      <c r="D417" s="145" t="inlineStr">
        <is>
          <t>REGULAR_ART!A1:AT410</t>
        </is>
      </c>
      <c r="E417" s="145" t="inlineStr">
        <is>
          <t>Normal</t>
        </is>
      </c>
      <c r="F417" s="145" t="inlineStr">
        <is>
          <t>#F8CBAD</t>
        </is>
      </c>
      <c r="G417" s="145" t="inlineStr">
        <is>
          <t>Aptos</t>
        </is>
      </c>
      <c r="H417" s="145" t="n">
        <v>8</v>
      </c>
      <c r="I417" s="145" t="inlineStr">
        <is>
          <t>Yes</t>
        </is>
      </c>
      <c r="J417" s="145" t="inlineStr">
        <is>
          <t>No</t>
        </is>
      </c>
      <c r="K417" s="145" t="inlineStr">
        <is>
          <t>None</t>
        </is>
      </c>
      <c r="L417" s="145" t="inlineStr">
        <is>
          <t>#000000</t>
        </is>
      </c>
      <c r="M417" s="145" t="inlineStr">
        <is>
          <t>Center</t>
        </is>
      </c>
      <c r="N417" s="145" t="inlineStr">
        <is>
          <t>Center</t>
        </is>
      </c>
      <c r="O417" s="145" t="inlineStr">
        <is>
          <t>Yes</t>
        </is>
      </c>
      <c r="P417" s="145" t="inlineStr">
        <is>
          <t>General</t>
        </is>
      </c>
      <c r="Q417" s="145" t="inlineStr">
        <is>
          <t>General</t>
        </is>
      </c>
      <c r="R417" s="145" t="n"/>
      <c r="S417" s="145" t="n"/>
      <c r="T417" s="145" t="n"/>
      <c r="U417" s="145" t="n"/>
      <c r="V417" s="145" t="n"/>
      <c r="W417" s="145" t="n"/>
      <c r="X417" s="145" t="inlineStr">
        <is>
          <t>Detailed format sample from top 5 used rows</t>
        </is>
      </c>
    </row>
    <row r="418" ht="23.85" customHeight="1" s="79">
      <c r="A418" s="145" t="inlineStr">
        <is>
          <t>REGULAR_ART</t>
        </is>
      </c>
      <c r="B418" s="145" t="inlineStr">
        <is>
          <t>Top-Row Cell Format</t>
        </is>
      </c>
      <c r="C418" s="145" t="inlineStr">
        <is>
          <t>W4</t>
        </is>
      </c>
      <c r="D418" s="145" t="inlineStr">
        <is>
          <t>REGULAR_ART!A1:AT410</t>
        </is>
      </c>
      <c r="E418" s="145" t="inlineStr">
        <is>
          <t>Normal</t>
        </is>
      </c>
      <c r="F418" s="145" t="inlineStr">
        <is>
          <t>#F8CBAD</t>
        </is>
      </c>
      <c r="G418" s="145" t="inlineStr">
        <is>
          <t>Aptos</t>
        </is>
      </c>
      <c r="H418" s="145" t="n">
        <v>8</v>
      </c>
      <c r="I418" s="145" t="inlineStr">
        <is>
          <t>No</t>
        </is>
      </c>
      <c r="J418" s="145" t="inlineStr">
        <is>
          <t>No</t>
        </is>
      </c>
      <c r="K418" s="145" t="inlineStr">
        <is>
          <t>None</t>
        </is>
      </c>
      <c r="L418" s="145" t="inlineStr">
        <is>
          <t>#000000</t>
        </is>
      </c>
      <c r="M418" s="145" t="inlineStr">
        <is>
          <t>General</t>
        </is>
      </c>
      <c r="N418" s="145" t="inlineStr">
        <is>
          <t>Center</t>
        </is>
      </c>
      <c r="O418" s="145" t="inlineStr">
        <is>
          <t>No</t>
        </is>
      </c>
      <c r="P418" s="145" t="inlineStr">
        <is>
          <t>General</t>
        </is>
      </c>
      <c r="Q418" s="145" t="inlineStr">
        <is>
          <t>General</t>
        </is>
      </c>
      <c r="R418" s="145" t="n"/>
      <c r="S418" s="145" t="n"/>
      <c r="T418" s="145" t="n"/>
      <c r="U418" s="145" t="n"/>
      <c r="V418" s="145" t="n"/>
      <c r="W418" s="145" t="n"/>
      <c r="X418" s="145" t="inlineStr">
        <is>
          <t>Detailed format sample from top 5 used rows</t>
        </is>
      </c>
    </row>
    <row r="419" ht="23.85" customHeight="1" s="79">
      <c r="A419" s="145" t="inlineStr">
        <is>
          <t>REGULAR_ART</t>
        </is>
      </c>
      <c r="B419" s="145" t="inlineStr">
        <is>
          <t>Top-Row Cell Format</t>
        </is>
      </c>
      <c r="C419" s="145" t="inlineStr">
        <is>
          <t>W5</t>
        </is>
      </c>
      <c r="D419" s="145" t="inlineStr">
        <is>
          <t>REGULAR_ART!A1:AT410</t>
        </is>
      </c>
      <c r="E419" s="145" t="inlineStr">
        <is>
          <t>Comma</t>
        </is>
      </c>
      <c r="F419" s="145" t="n"/>
      <c r="G419" s="145" t="inlineStr">
        <is>
          <t>Aptos</t>
        </is>
      </c>
      <c r="H419" s="145" t="n">
        <v>8</v>
      </c>
      <c r="I419" s="145" t="inlineStr">
        <is>
          <t>No</t>
        </is>
      </c>
      <c r="J419" s="145" t="inlineStr">
        <is>
          <t>No</t>
        </is>
      </c>
      <c r="K419" s="145" t="inlineStr">
        <is>
          <t>None</t>
        </is>
      </c>
      <c r="L419" s="145" t="inlineStr">
        <is>
          <t>#000000</t>
        </is>
      </c>
      <c r="M419" s="145" t="inlineStr">
        <is>
          <t>General</t>
        </is>
      </c>
      <c r="N419" s="145" t="inlineStr">
        <is>
          <t>Center</t>
        </is>
      </c>
      <c r="O419" s="145" t="inlineStr">
        <is>
          <t>No</t>
        </is>
      </c>
      <c r="P419" s="145" t="inlineStr">
        <is>
          <t xml:space="preserve">_ * #,##0_ ;_ * -#,##0_ ;_ * "-"??_ ;_ @_ </t>
        </is>
      </c>
      <c r="Q419" s="145" t="inlineStr">
        <is>
          <t>Text</t>
        </is>
      </c>
      <c r="R419" s="145" t="n"/>
      <c r="S419" s="145" t="n"/>
      <c r="T419" s="145" t="n"/>
      <c r="U419" s="145" t="n"/>
      <c r="V419" s="145" t="n"/>
      <c r="W419" s="145" t="n"/>
      <c r="X419" s="145" t="inlineStr">
        <is>
          <t>Detailed format sample from top 5 used rows</t>
        </is>
      </c>
    </row>
    <row r="420" ht="23.85" customHeight="1" s="79">
      <c r="A420" s="145" t="inlineStr">
        <is>
          <t>REGULAR_ART</t>
        </is>
      </c>
      <c r="B420" s="145" t="inlineStr">
        <is>
          <t>Column Format</t>
        </is>
      </c>
      <c r="C420" s="145" t="inlineStr">
        <is>
          <t>X:X</t>
        </is>
      </c>
      <c r="D420" s="145" t="inlineStr">
        <is>
          <t>REGULAR_ART!A1:AT410</t>
        </is>
      </c>
      <c r="E420" s="145" t="inlineStr">
        <is>
          <t>Mixed</t>
        </is>
      </c>
      <c r="F420" s="145" t="inlineStr">
        <is>
          <t>Mixed</t>
        </is>
      </c>
      <c r="G420" s="145" t="inlineStr">
        <is>
          <t>Aptos</t>
        </is>
      </c>
      <c r="H420" s="145" t="n">
        <v>8</v>
      </c>
      <c r="I420" s="145" t="inlineStr">
        <is>
          <t>Mixed</t>
        </is>
      </c>
      <c r="J420" s="145" t="inlineStr">
        <is>
          <t>No</t>
        </is>
      </c>
      <c r="K420" s="145" t="inlineStr">
        <is>
          <t>None</t>
        </is>
      </c>
      <c r="L420" s="145" t="inlineStr">
        <is>
          <t>#000000</t>
        </is>
      </c>
      <c r="M420" s="145" t="inlineStr">
        <is>
          <t>Mixed</t>
        </is>
      </c>
      <c r="N420" s="145" t="inlineStr">
        <is>
          <t>Center</t>
        </is>
      </c>
      <c r="O420" s="145" t="inlineStr">
        <is>
          <t>Mixed</t>
        </is>
      </c>
      <c r="P420" s="145" t="n"/>
      <c r="Q420" s="145" t="n"/>
      <c r="R420" s="145" t="inlineStr">
        <is>
          <t>EdgeBottom:Continuous/Thin/#000000; EdgeRight:Continuous/Thin/#000000</t>
        </is>
      </c>
      <c r="S420" s="145" t="n">
        <v>60.1791044776119</v>
      </c>
      <c r="T420" s="145" t="n"/>
      <c r="U420" s="145" t="inlineStr">
        <is>
          <t>No</t>
        </is>
      </c>
      <c r="V420" s="145" t="inlineStr">
        <is>
          <t>Visible</t>
        </is>
      </c>
      <c r="W420" s="145" t="n"/>
      <c r="X420" s="145" t="inlineStr">
        <is>
          <t>Mixed styles within used column</t>
        </is>
      </c>
    </row>
    <row r="421" ht="23.85" customHeight="1" s="79">
      <c r="A421" s="145" t="inlineStr">
        <is>
          <t>REGULAR_ART</t>
        </is>
      </c>
      <c r="B421" s="145" t="inlineStr">
        <is>
          <t>Top-Row Cell Format</t>
        </is>
      </c>
      <c r="C421" s="145" t="inlineStr">
        <is>
          <t>X1</t>
        </is>
      </c>
      <c r="D421" s="145" t="inlineStr">
        <is>
          <t>REGULAR_ART!A1:AT410</t>
        </is>
      </c>
      <c r="E421" s="145" t="inlineStr">
        <is>
          <t>Normal</t>
        </is>
      </c>
      <c r="F421" s="145" t="n"/>
      <c r="G421" s="145" t="inlineStr">
        <is>
          <t>Aptos</t>
        </is>
      </c>
      <c r="H421" s="145" t="n">
        <v>8</v>
      </c>
      <c r="I421" s="145" t="inlineStr">
        <is>
          <t>No</t>
        </is>
      </c>
      <c r="J421" s="145" t="inlineStr">
        <is>
          <t>No</t>
        </is>
      </c>
      <c r="K421" s="145" t="inlineStr">
        <is>
          <t>None</t>
        </is>
      </c>
      <c r="L421" s="145" t="inlineStr">
        <is>
          <t>#000000</t>
        </is>
      </c>
      <c r="M421" s="145" t="inlineStr">
        <is>
          <t>General</t>
        </is>
      </c>
      <c r="N421" s="145" t="inlineStr">
        <is>
          <t>Center</t>
        </is>
      </c>
      <c r="O421" s="145" t="inlineStr">
        <is>
          <t>No</t>
        </is>
      </c>
      <c r="P421" s="145" t="inlineStr">
        <is>
          <t>General</t>
        </is>
      </c>
      <c r="Q421" s="145" t="inlineStr">
        <is>
          <t>General</t>
        </is>
      </c>
      <c r="R421" s="145" t="n"/>
      <c r="S421" s="145" t="n"/>
      <c r="T421" s="145" t="n"/>
      <c r="U421" s="145" t="n"/>
      <c r="V421" s="145" t="n"/>
      <c r="W421" s="145" t="n"/>
      <c r="X421" s="145" t="inlineStr">
        <is>
          <t>Detailed format sample from top 5 used rows</t>
        </is>
      </c>
    </row>
    <row r="422" ht="23.85" customHeight="1" s="79">
      <c r="A422" s="145" t="inlineStr">
        <is>
          <t>REGULAR_ART</t>
        </is>
      </c>
      <c r="B422" s="145" t="inlineStr">
        <is>
          <t>Top-Row Cell Format</t>
        </is>
      </c>
      <c r="C422" s="145" t="inlineStr">
        <is>
          <t>X2</t>
        </is>
      </c>
      <c r="D422" s="145" t="inlineStr">
        <is>
          <t>REGULAR_ART!A1:AT410</t>
        </is>
      </c>
      <c r="E422" s="145" t="inlineStr">
        <is>
          <t>Comma</t>
        </is>
      </c>
      <c r="F422" s="145" t="inlineStr">
        <is>
          <t>#B4C6E7</t>
        </is>
      </c>
      <c r="G422" s="145" t="inlineStr">
        <is>
          <t>Aptos</t>
        </is>
      </c>
      <c r="H422" s="145" t="n">
        <v>8</v>
      </c>
      <c r="I422" s="145" t="inlineStr">
        <is>
          <t>Yes</t>
        </is>
      </c>
      <c r="J422" s="145" t="inlineStr">
        <is>
          <t>No</t>
        </is>
      </c>
      <c r="K422" s="145" t="inlineStr">
        <is>
          <t>None</t>
        </is>
      </c>
      <c r="L422" s="145" t="inlineStr">
        <is>
          <t>#000000</t>
        </is>
      </c>
      <c r="M422" s="145" t="inlineStr">
        <is>
          <t>General</t>
        </is>
      </c>
      <c r="N422" s="145" t="inlineStr">
        <is>
          <t>Center</t>
        </is>
      </c>
      <c r="O422" s="145" t="inlineStr">
        <is>
          <t>No</t>
        </is>
      </c>
      <c r="P422" s="145" t="inlineStr">
        <is>
          <t xml:space="preserve">_ * #,##0_ ;_ * -#,##0_ ;_ * "-"??_ ;_ @_ </t>
        </is>
      </c>
      <c r="Q422" s="145" t="inlineStr">
        <is>
          <t>Text</t>
        </is>
      </c>
      <c r="R422" s="145" t="n"/>
      <c r="S422" s="145" t="n"/>
      <c r="T422" s="145" t="n"/>
      <c r="U422" s="145" t="n"/>
      <c r="V422" s="145" t="n"/>
      <c r="W422" s="145" t="n"/>
      <c r="X422" s="145" t="inlineStr">
        <is>
          <t>Detailed format sample from top 5 used rows</t>
        </is>
      </c>
    </row>
    <row r="423" ht="23.85" customHeight="1" s="79">
      <c r="A423" s="145" t="inlineStr">
        <is>
          <t>REGULAR_ART</t>
        </is>
      </c>
      <c r="B423" s="145" t="inlineStr">
        <is>
          <t>Top-Row Cell Format</t>
        </is>
      </c>
      <c r="C423" s="145" t="inlineStr">
        <is>
          <t>X3</t>
        </is>
      </c>
      <c r="D423" s="145" t="inlineStr">
        <is>
          <t>REGULAR_ART!A1:AT410</t>
        </is>
      </c>
      <c r="E423" s="145" t="inlineStr">
        <is>
          <t>Normal</t>
        </is>
      </c>
      <c r="F423" s="145" t="inlineStr">
        <is>
          <t>#F8CBAD</t>
        </is>
      </c>
      <c r="G423" s="145" t="inlineStr">
        <is>
          <t>Aptos</t>
        </is>
      </c>
      <c r="H423" s="145" t="n">
        <v>8</v>
      </c>
      <c r="I423" s="145" t="inlineStr">
        <is>
          <t>Yes</t>
        </is>
      </c>
      <c r="J423" s="145" t="inlineStr">
        <is>
          <t>No</t>
        </is>
      </c>
      <c r="K423" s="145" t="inlineStr">
        <is>
          <t>None</t>
        </is>
      </c>
      <c r="L423" s="145" t="inlineStr">
        <is>
          <t>#000000</t>
        </is>
      </c>
      <c r="M423" s="145" t="inlineStr">
        <is>
          <t>Center</t>
        </is>
      </c>
      <c r="N423" s="145" t="inlineStr">
        <is>
          <t>Center</t>
        </is>
      </c>
      <c r="O423" s="145" t="inlineStr">
        <is>
          <t>Yes</t>
        </is>
      </c>
      <c r="P423" s="145" t="inlineStr">
        <is>
          <t>General</t>
        </is>
      </c>
      <c r="Q423" s="145" t="inlineStr">
        <is>
          <t>General</t>
        </is>
      </c>
      <c r="R423" s="145" t="n"/>
      <c r="S423" s="145" t="n"/>
      <c r="T423" s="145" t="n"/>
      <c r="U423" s="145" t="n"/>
      <c r="V423" s="145" t="n"/>
      <c r="W423" s="145" t="n"/>
      <c r="X423" s="145" t="inlineStr">
        <is>
          <t>Detailed format sample from top 5 used rows</t>
        </is>
      </c>
    </row>
    <row r="424" ht="23.85" customHeight="1" s="79">
      <c r="A424" s="145" t="inlineStr">
        <is>
          <t>REGULAR_ART</t>
        </is>
      </c>
      <c r="B424" s="145" t="inlineStr">
        <is>
          <t>Top-Row Cell Format</t>
        </is>
      </c>
      <c r="C424" s="145" t="inlineStr">
        <is>
          <t>X4</t>
        </is>
      </c>
      <c r="D424" s="145" t="inlineStr">
        <is>
          <t>REGULAR_ART!A1:AT410</t>
        </is>
      </c>
      <c r="E424" s="145" t="inlineStr">
        <is>
          <t>Normal</t>
        </is>
      </c>
      <c r="F424" s="145" t="inlineStr">
        <is>
          <t>#F8CBAD</t>
        </is>
      </c>
      <c r="G424" s="145" t="inlineStr">
        <is>
          <t>Aptos</t>
        </is>
      </c>
      <c r="H424" s="145" t="n">
        <v>8</v>
      </c>
      <c r="I424" s="145" t="inlineStr">
        <is>
          <t>No</t>
        </is>
      </c>
      <c r="J424" s="145" t="inlineStr">
        <is>
          <t>No</t>
        </is>
      </c>
      <c r="K424" s="145" t="inlineStr">
        <is>
          <t>None</t>
        </is>
      </c>
      <c r="L424" s="145" t="inlineStr">
        <is>
          <t>#000000</t>
        </is>
      </c>
      <c r="M424" s="145" t="inlineStr">
        <is>
          <t>General</t>
        </is>
      </c>
      <c r="N424" s="145" t="inlineStr">
        <is>
          <t>Center</t>
        </is>
      </c>
      <c r="O424" s="145" t="inlineStr">
        <is>
          <t>No</t>
        </is>
      </c>
      <c r="P424" s="145" t="inlineStr">
        <is>
          <t>General</t>
        </is>
      </c>
      <c r="Q424" s="145" t="inlineStr">
        <is>
          <t>General</t>
        </is>
      </c>
      <c r="R424" s="145" t="n"/>
      <c r="S424" s="145" t="n"/>
      <c r="T424" s="145" t="n"/>
      <c r="U424" s="145" t="n"/>
      <c r="V424" s="145" t="n"/>
      <c r="W424" s="145" t="n"/>
      <c r="X424" s="145" t="inlineStr">
        <is>
          <t>Detailed format sample from top 5 used rows</t>
        </is>
      </c>
    </row>
    <row r="425" ht="23.85" customHeight="1" s="79">
      <c r="A425" s="145" t="inlineStr">
        <is>
          <t>REGULAR_ART</t>
        </is>
      </c>
      <c r="B425" s="145" t="inlineStr">
        <is>
          <t>Top-Row Cell Format</t>
        </is>
      </c>
      <c r="C425" s="145" t="inlineStr">
        <is>
          <t>X5</t>
        </is>
      </c>
      <c r="D425" s="145" t="inlineStr">
        <is>
          <t>REGULAR_ART!A1:AT410</t>
        </is>
      </c>
      <c r="E425" s="145" t="inlineStr">
        <is>
          <t>Comma</t>
        </is>
      </c>
      <c r="F425" s="145" t="n"/>
      <c r="G425" s="145" t="inlineStr">
        <is>
          <t>Aptos</t>
        </is>
      </c>
      <c r="H425" s="145" t="n">
        <v>8</v>
      </c>
      <c r="I425" s="145" t="inlineStr">
        <is>
          <t>No</t>
        </is>
      </c>
      <c r="J425" s="145" t="inlineStr">
        <is>
          <t>No</t>
        </is>
      </c>
      <c r="K425" s="145" t="inlineStr">
        <is>
          <t>None</t>
        </is>
      </c>
      <c r="L425" s="145" t="inlineStr">
        <is>
          <t>#000000</t>
        </is>
      </c>
      <c r="M425" s="145" t="inlineStr">
        <is>
          <t>General</t>
        </is>
      </c>
      <c r="N425" s="145" t="inlineStr">
        <is>
          <t>Center</t>
        </is>
      </c>
      <c r="O425" s="145" t="inlineStr">
        <is>
          <t>No</t>
        </is>
      </c>
      <c r="P425" s="145" t="inlineStr">
        <is>
          <t xml:space="preserve">_ * #,##0_ ;_ * -#,##0_ ;_ * "-"??_ ;_ @_ </t>
        </is>
      </c>
      <c r="Q425" s="145" t="inlineStr">
        <is>
          <t>Text</t>
        </is>
      </c>
      <c r="R425" s="145" t="n"/>
      <c r="S425" s="145" t="n"/>
      <c r="T425" s="145" t="n"/>
      <c r="U425" s="145" t="n"/>
      <c r="V425" s="145" t="n"/>
      <c r="W425" s="145" t="n"/>
      <c r="X425" s="145" t="inlineStr">
        <is>
          <t>Detailed format sample from top 5 used rows</t>
        </is>
      </c>
    </row>
    <row r="426" ht="46.25" customHeight="1" s="79">
      <c r="A426" s="145" t="inlineStr">
        <is>
          <t>REGULAR_ART</t>
        </is>
      </c>
      <c r="B426" s="145" t="inlineStr">
        <is>
          <t>Column Format</t>
        </is>
      </c>
      <c r="C426" s="145" t="inlineStr">
        <is>
          <t>Y:Y</t>
        </is>
      </c>
      <c r="D426" s="145" t="inlineStr">
        <is>
          <t>REGULAR_ART!A1:AT410</t>
        </is>
      </c>
      <c r="E426" s="145" t="inlineStr">
        <is>
          <t>Mixed</t>
        </is>
      </c>
      <c r="F426" s="145" t="inlineStr">
        <is>
          <t>Mixed</t>
        </is>
      </c>
      <c r="G426" s="145" t="inlineStr">
        <is>
          <t>Aptos</t>
        </is>
      </c>
      <c r="H426" s="145" t="n">
        <v>8</v>
      </c>
      <c r="I426" s="145" t="inlineStr">
        <is>
          <t>Mixed</t>
        </is>
      </c>
      <c r="J426" s="145" t="inlineStr">
        <is>
          <t>No</t>
        </is>
      </c>
      <c r="K426" s="145" t="inlineStr">
        <is>
          <t>None</t>
        </is>
      </c>
      <c r="L426" s="145" t="inlineStr">
        <is>
          <t>#000000</t>
        </is>
      </c>
      <c r="M426" s="145" t="inlineStr">
        <is>
          <t>Mixed</t>
        </is>
      </c>
      <c r="N426" s="145" t="inlineStr">
        <is>
          <t>Center</t>
        </is>
      </c>
      <c r="O426" s="145" t="inlineStr">
        <is>
          <t>Mixed</t>
        </is>
      </c>
      <c r="P426" s="145" t="n"/>
      <c r="Q426" s="145" t="n"/>
      <c r="R426" s="145" t="inlineStr">
        <is>
          <t>EdgeTop:Continuous/Thin/#000000; EdgeBottom:Continuous/Thin/#000000; EdgeLeft:Continuous/Thin/#000000; EdgeRight:Continuous/Thin/#000000</t>
        </is>
      </c>
      <c r="S426" s="145" t="n">
        <v>48.3582089552239</v>
      </c>
      <c r="T426" s="145" t="n"/>
      <c r="U426" s="145" t="inlineStr">
        <is>
          <t>No</t>
        </is>
      </c>
      <c r="V426" s="145" t="inlineStr">
        <is>
          <t>Visible</t>
        </is>
      </c>
      <c r="W426" s="145" t="n"/>
      <c r="X426" s="145" t="inlineStr">
        <is>
          <t>Mixed styles within used column</t>
        </is>
      </c>
    </row>
    <row r="427" ht="23.85" customHeight="1" s="79">
      <c r="A427" s="145" t="inlineStr">
        <is>
          <t>REGULAR_ART</t>
        </is>
      </c>
      <c r="B427" s="145" t="inlineStr">
        <is>
          <t>Top-Row Cell Format</t>
        </is>
      </c>
      <c r="C427" s="145" t="inlineStr">
        <is>
          <t>Y1</t>
        </is>
      </c>
      <c r="D427" s="145" t="inlineStr">
        <is>
          <t>REGULAR_ART!A1:AT410</t>
        </is>
      </c>
      <c r="E427" s="145" t="inlineStr">
        <is>
          <t>Normal</t>
        </is>
      </c>
      <c r="F427" s="145" t="inlineStr">
        <is>
          <t>#C9C9C9</t>
        </is>
      </c>
      <c r="G427" s="145" t="inlineStr">
        <is>
          <t>Aptos</t>
        </is>
      </c>
      <c r="H427" s="145" t="n">
        <v>8</v>
      </c>
      <c r="I427" s="145" t="inlineStr">
        <is>
          <t>Yes</t>
        </is>
      </c>
      <c r="J427" s="145" t="inlineStr">
        <is>
          <t>No</t>
        </is>
      </c>
      <c r="K427" s="145" t="inlineStr">
        <is>
          <t>None</t>
        </is>
      </c>
      <c r="L427" s="145" t="inlineStr">
        <is>
          <t>#000000</t>
        </is>
      </c>
      <c r="M427" s="145" t="inlineStr">
        <is>
          <t>Center</t>
        </is>
      </c>
      <c r="N427" s="145" t="inlineStr">
        <is>
          <t>Center</t>
        </is>
      </c>
      <c r="O427" s="145" t="inlineStr">
        <is>
          <t>No</t>
        </is>
      </c>
      <c r="P427" s="145" t="inlineStr">
        <is>
          <t>General</t>
        </is>
      </c>
      <c r="Q427" s="145" t="inlineStr">
        <is>
          <t>General</t>
        </is>
      </c>
      <c r="R427" s="145" t="n"/>
      <c r="S427" s="145" t="n"/>
      <c r="T427" s="145" t="n"/>
      <c r="U427" s="145" t="n"/>
      <c r="V427" s="145" t="n"/>
      <c r="W427" s="145" t="n"/>
      <c r="X427" s="145" t="inlineStr">
        <is>
          <t>Detailed format sample from top 5 used rows</t>
        </is>
      </c>
    </row>
    <row r="428" ht="23.85" customHeight="1" s="79">
      <c r="A428" s="145" t="inlineStr">
        <is>
          <t>REGULAR_ART</t>
        </is>
      </c>
      <c r="B428" s="145" t="inlineStr">
        <is>
          <t>Top-Row Cell Format</t>
        </is>
      </c>
      <c r="C428" s="145" t="inlineStr">
        <is>
          <t>Y2</t>
        </is>
      </c>
      <c r="D428" s="145" t="inlineStr">
        <is>
          <t>REGULAR_ART!A1:AT410</t>
        </is>
      </c>
      <c r="E428" s="145" t="inlineStr">
        <is>
          <t>Percent</t>
        </is>
      </c>
      <c r="F428" s="145" t="inlineStr">
        <is>
          <t>#B4C6E7</t>
        </is>
      </c>
      <c r="G428" s="145" t="inlineStr">
        <is>
          <t>Aptos</t>
        </is>
      </c>
      <c r="H428" s="145" t="n">
        <v>8</v>
      </c>
      <c r="I428" s="145" t="inlineStr">
        <is>
          <t>Yes</t>
        </is>
      </c>
      <c r="J428" s="145" t="inlineStr">
        <is>
          <t>No</t>
        </is>
      </c>
      <c r="K428" s="145" t="inlineStr">
        <is>
          <t>None</t>
        </is>
      </c>
      <c r="L428" s="145" t="inlineStr">
        <is>
          <t>#000000</t>
        </is>
      </c>
      <c r="M428" s="145" t="inlineStr">
        <is>
          <t>Center</t>
        </is>
      </c>
      <c r="N428" s="145" t="inlineStr">
        <is>
          <t>Center</t>
        </is>
      </c>
      <c r="O428" s="145" t="inlineStr">
        <is>
          <t>No</t>
        </is>
      </c>
      <c r="P428" s="146" t="n">
        <v>0</v>
      </c>
      <c r="Q428" s="145" t="inlineStr">
        <is>
          <t>Percentage</t>
        </is>
      </c>
      <c r="R428" s="145" t="n"/>
      <c r="S428" s="145" t="n"/>
      <c r="T428" s="145" t="n"/>
      <c r="U428" s="145" t="n"/>
      <c r="V428" s="145" t="n"/>
      <c r="W428" s="145" t="n"/>
      <c r="X428" s="145" t="inlineStr">
        <is>
          <t>Detailed format sample from top 5 used rows</t>
        </is>
      </c>
    </row>
    <row r="429" ht="23.85" customHeight="1" s="79">
      <c r="A429" s="145" t="inlineStr">
        <is>
          <t>REGULAR_ART</t>
        </is>
      </c>
      <c r="B429" s="145" t="inlineStr">
        <is>
          <t>Top-Row Cell Format</t>
        </is>
      </c>
      <c r="C429" s="145" t="inlineStr">
        <is>
          <t>Y3</t>
        </is>
      </c>
      <c r="D429" s="145" t="inlineStr">
        <is>
          <t>REGULAR_ART!A1:AT410</t>
        </is>
      </c>
      <c r="E429" s="145" t="inlineStr">
        <is>
          <t>Normal</t>
        </is>
      </c>
      <c r="F429" s="145" t="inlineStr">
        <is>
          <t>#F8CBAD</t>
        </is>
      </c>
      <c r="G429" s="145" t="inlineStr">
        <is>
          <t>Aptos</t>
        </is>
      </c>
      <c r="H429" s="145" t="n">
        <v>8</v>
      </c>
      <c r="I429" s="145" t="inlineStr">
        <is>
          <t>Yes</t>
        </is>
      </c>
      <c r="J429" s="145" t="inlineStr">
        <is>
          <t>No</t>
        </is>
      </c>
      <c r="K429" s="145" t="inlineStr">
        <is>
          <t>None</t>
        </is>
      </c>
      <c r="L429" s="145" t="inlineStr">
        <is>
          <t>#000000</t>
        </is>
      </c>
      <c r="M429" s="145" t="inlineStr">
        <is>
          <t>Center</t>
        </is>
      </c>
      <c r="N429" s="145" t="inlineStr">
        <is>
          <t>Center</t>
        </is>
      </c>
      <c r="O429" s="145" t="inlineStr">
        <is>
          <t>Yes</t>
        </is>
      </c>
      <c r="P429" s="145" t="inlineStr">
        <is>
          <t>General</t>
        </is>
      </c>
      <c r="Q429" s="145" t="inlineStr">
        <is>
          <t>General</t>
        </is>
      </c>
      <c r="R429" s="145" t="n"/>
      <c r="S429" s="145" t="n"/>
      <c r="T429" s="145" t="n"/>
      <c r="U429" s="145" t="n"/>
      <c r="V429" s="145" t="n"/>
      <c r="W429" s="145" t="n"/>
      <c r="X429" s="145" t="inlineStr">
        <is>
          <t>Detailed format sample from top 5 used rows</t>
        </is>
      </c>
    </row>
    <row r="430" ht="23.85" customHeight="1" s="79">
      <c r="A430" s="145" t="inlineStr">
        <is>
          <t>REGULAR_ART</t>
        </is>
      </c>
      <c r="B430" s="145" t="inlineStr">
        <is>
          <t>Top-Row Cell Format</t>
        </is>
      </c>
      <c r="C430" s="145" t="inlineStr">
        <is>
          <t>Y4</t>
        </is>
      </c>
      <c r="D430" s="145" t="inlineStr">
        <is>
          <t>REGULAR_ART!A1:AT410</t>
        </is>
      </c>
      <c r="E430" s="145" t="inlineStr">
        <is>
          <t>Normal</t>
        </is>
      </c>
      <c r="F430" s="145" t="inlineStr">
        <is>
          <t>#F8CBAD</t>
        </is>
      </c>
      <c r="G430" s="145" t="inlineStr">
        <is>
          <t>Aptos</t>
        </is>
      </c>
      <c r="H430" s="145" t="n">
        <v>8</v>
      </c>
      <c r="I430" s="145" t="inlineStr">
        <is>
          <t>No</t>
        </is>
      </c>
      <c r="J430" s="145" t="inlineStr">
        <is>
          <t>No</t>
        </is>
      </c>
      <c r="K430" s="145" t="inlineStr">
        <is>
          <t>None</t>
        </is>
      </c>
      <c r="L430" s="145" t="inlineStr">
        <is>
          <t>#000000</t>
        </is>
      </c>
      <c r="M430" s="145" t="inlineStr">
        <is>
          <t>General</t>
        </is>
      </c>
      <c r="N430" s="145" t="inlineStr">
        <is>
          <t>Center</t>
        </is>
      </c>
      <c r="O430" s="145" t="inlineStr">
        <is>
          <t>No</t>
        </is>
      </c>
      <c r="P430" s="145" t="inlineStr">
        <is>
          <t>General</t>
        </is>
      </c>
      <c r="Q430" s="145" t="inlineStr">
        <is>
          <t>General</t>
        </is>
      </c>
      <c r="R430" s="145" t="n"/>
      <c r="S430" s="145" t="n"/>
      <c r="T430" s="145" t="n"/>
      <c r="U430" s="145" t="n"/>
      <c r="V430" s="145" t="n"/>
      <c r="W430" s="145" t="n"/>
      <c r="X430" s="145" t="inlineStr">
        <is>
          <t>Detailed format sample from top 5 used rows</t>
        </is>
      </c>
    </row>
    <row r="431" ht="23.85" customHeight="1" s="79">
      <c r="A431" s="145" t="inlineStr">
        <is>
          <t>REGULAR_ART</t>
        </is>
      </c>
      <c r="B431" s="145" t="inlineStr">
        <is>
          <t>Top-Row Cell Format</t>
        </is>
      </c>
      <c r="C431" s="145" t="inlineStr">
        <is>
          <t>Y5</t>
        </is>
      </c>
      <c r="D431" s="145" t="inlineStr">
        <is>
          <t>REGULAR_ART!A1:AT410</t>
        </is>
      </c>
      <c r="E431" s="145" t="inlineStr">
        <is>
          <t>Percent</t>
        </is>
      </c>
      <c r="F431" s="145" t="n"/>
      <c r="G431" s="145" t="inlineStr">
        <is>
          <t>Aptos</t>
        </is>
      </c>
      <c r="H431" s="145" t="n">
        <v>8</v>
      </c>
      <c r="I431" s="145" t="inlineStr">
        <is>
          <t>No</t>
        </is>
      </c>
      <c r="J431" s="145" t="inlineStr">
        <is>
          <t>No</t>
        </is>
      </c>
      <c r="K431" s="145" t="inlineStr">
        <is>
          <t>None</t>
        </is>
      </c>
      <c r="L431" s="145" t="inlineStr">
        <is>
          <t>#000000</t>
        </is>
      </c>
      <c r="M431" s="145" t="inlineStr">
        <is>
          <t>Center</t>
        </is>
      </c>
      <c r="N431" s="145" t="inlineStr">
        <is>
          <t>Center</t>
        </is>
      </c>
      <c r="O431" s="145" t="inlineStr">
        <is>
          <t>No</t>
        </is>
      </c>
      <c r="P431" s="146" t="n">
        <v>0</v>
      </c>
      <c r="Q431" s="145" t="inlineStr">
        <is>
          <t>Percentage</t>
        </is>
      </c>
      <c r="R431" s="145" t="n"/>
      <c r="S431" s="145" t="n"/>
      <c r="T431" s="145" t="n"/>
      <c r="U431" s="145" t="n"/>
      <c r="V431" s="145" t="n"/>
      <c r="W431" s="145" t="n"/>
      <c r="X431" s="145" t="inlineStr">
        <is>
          <t>Detailed format sample from top 5 used rows</t>
        </is>
      </c>
    </row>
    <row r="432" ht="35.05" customHeight="1" s="79">
      <c r="A432" s="145" t="inlineStr">
        <is>
          <t>REGULAR_ART</t>
        </is>
      </c>
      <c r="B432" s="145" t="inlineStr">
        <is>
          <t>Column Format</t>
        </is>
      </c>
      <c r="C432" s="145" t="inlineStr">
        <is>
          <t>Z:Z</t>
        </is>
      </c>
      <c r="D432" s="145" t="inlineStr">
        <is>
          <t>REGULAR_ART!A1:AT410</t>
        </is>
      </c>
      <c r="E432" s="145" t="inlineStr">
        <is>
          <t>Mixed</t>
        </is>
      </c>
      <c r="F432" s="145" t="inlineStr">
        <is>
          <t>Mixed</t>
        </is>
      </c>
      <c r="G432" s="145" t="inlineStr">
        <is>
          <t>Aptos</t>
        </is>
      </c>
      <c r="H432" s="145" t="n">
        <v>8</v>
      </c>
      <c r="I432" s="145" t="inlineStr">
        <is>
          <t>Mixed</t>
        </is>
      </c>
      <c r="J432" s="145" t="inlineStr">
        <is>
          <t>No</t>
        </is>
      </c>
      <c r="K432" s="145" t="inlineStr">
        <is>
          <t>None</t>
        </is>
      </c>
      <c r="L432" s="145" t="inlineStr">
        <is>
          <t>#000000</t>
        </is>
      </c>
      <c r="M432" s="145" t="inlineStr">
        <is>
          <t>Mixed</t>
        </is>
      </c>
      <c r="N432" s="145" t="inlineStr">
        <is>
          <t>Center</t>
        </is>
      </c>
      <c r="O432" s="145" t="inlineStr">
        <is>
          <t>Mixed</t>
        </is>
      </c>
      <c r="P432" s="145" t="n"/>
      <c r="Q432" s="145" t="n"/>
      <c r="R432" s="145" t="inlineStr">
        <is>
          <t>EdgeTop:Continuous/Thin/#000000; EdgeBottom:Continuous/Thin/#000000; EdgeRight:Continuous/Thin/#000000</t>
        </is>
      </c>
      <c r="S432" s="145" t="n">
        <v>48.3582089552239</v>
      </c>
      <c r="T432" s="145" t="n"/>
      <c r="U432" s="145" t="inlineStr">
        <is>
          <t>No</t>
        </is>
      </c>
      <c r="V432" s="145" t="inlineStr">
        <is>
          <t>Visible</t>
        </is>
      </c>
      <c r="W432" s="145" t="n"/>
      <c r="X432" s="145" t="inlineStr">
        <is>
          <t>Mixed styles within used column</t>
        </is>
      </c>
    </row>
    <row r="433" ht="23.85" customHeight="1" s="79">
      <c r="A433" s="145" t="inlineStr">
        <is>
          <t>REGULAR_ART</t>
        </is>
      </c>
      <c r="B433" s="145" t="inlineStr">
        <is>
          <t>Top-Row Cell Format</t>
        </is>
      </c>
      <c r="C433" s="145" t="inlineStr">
        <is>
          <t>Z1</t>
        </is>
      </c>
      <c r="D433" s="145" t="inlineStr">
        <is>
          <t>REGULAR_ART!A1:AT410</t>
        </is>
      </c>
      <c r="E433" s="145" t="inlineStr">
        <is>
          <t>Normal</t>
        </is>
      </c>
      <c r="F433" s="145" t="inlineStr">
        <is>
          <t>#C9C9C9</t>
        </is>
      </c>
      <c r="G433" s="145" t="inlineStr">
        <is>
          <t>Aptos</t>
        </is>
      </c>
      <c r="H433" s="145" t="n">
        <v>8</v>
      </c>
      <c r="I433" s="145" t="inlineStr">
        <is>
          <t>Yes</t>
        </is>
      </c>
      <c r="J433" s="145" t="inlineStr">
        <is>
          <t>No</t>
        </is>
      </c>
      <c r="K433" s="145" t="inlineStr">
        <is>
          <t>None</t>
        </is>
      </c>
      <c r="L433" s="145" t="inlineStr">
        <is>
          <t>#000000</t>
        </is>
      </c>
      <c r="M433" s="145" t="inlineStr">
        <is>
          <t>Center</t>
        </is>
      </c>
      <c r="N433" s="145" t="inlineStr">
        <is>
          <t>Center</t>
        </is>
      </c>
      <c r="O433" s="145" t="inlineStr">
        <is>
          <t>No</t>
        </is>
      </c>
      <c r="P433" s="145" t="inlineStr">
        <is>
          <t>General</t>
        </is>
      </c>
      <c r="Q433" s="145" t="inlineStr">
        <is>
          <t>General</t>
        </is>
      </c>
      <c r="R433" s="145" t="n"/>
      <c r="S433" s="145" t="n"/>
      <c r="T433" s="145" t="n"/>
      <c r="U433" s="145" t="n"/>
      <c r="V433" s="145" t="n"/>
      <c r="W433" s="145" t="n"/>
      <c r="X433" s="145" t="inlineStr">
        <is>
          <t>Detailed format sample from top 5 used rows</t>
        </is>
      </c>
    </row>
    <row r="434" ht="23.85" customHeight="1" s="79">
      <c r="A434" s="145" t="inlineStr">
        <is>
          <t>REGULAR_ART</t>
        </is>
      </c>
      <c r="B434" s="145" t="inlineStr">
        <is>
          <t>Top-Row Cell Format</t>
        </is>
      </c>
      <c r="C434" s="145" t="inlineStr">
        <is>
          <t>Z2</t>
        </is>
      </c>
      <c r="D434" s="145" t="inlineStr">
        <is>
          <t>REGULAR_ART!A1:AT410</t>
        </is>
      </c>
      <c r="E434" s="145" t="inlineStr">
        <is>
          <t>Percent</t>
        </is>
      </c>
      <c r="F434" s="145" t="inlineStr">
        <is>
          <t>#B4C6E7</t>
        </is>
      </c>
      <c r="G434" s="145" t="inlineStr">
        <is>
          <t>Aptos</t>
        </is>
      </c>
      <c r="H434" s="145" t="n">
        <v>8</v>
      </c>
      <c r="I434" s="145" t="inlineStr">
        <is>
          <t>Yes</t>
        </is>
      </c>
      <c r="J434" s="145" t="inlineStr">
        <is>
          <t>No</t>
        </is>
      </c>
      <c r="K434" s="145" t="inlineStr">
        <is>
          <t>None</t>
        </is>
      </c>
      <c r="L434" s="145" t="inlineStr">
        <is>
          <t>#000000</t>
        </is>
      </c>
      <c r="M434" s="145" t="inlineStr">
        <is>
          <t>Center</t>
        </is>
      </c>
      <c r="N434" s="145" t="inlineStr">
        <is>
          <t>Center</t>
        </is>
      </c>
      <c r="O434" s="145" t="inlineStr">
        <is>
          <t>No</t>
        </is>
      </c>
      <c r="P434" s="146" t="n">
        <v>0</v>
      </c>
      <c r="Q434" s="145" t="inlineStr">
        <is>
          <t>Percentage</t>
        </is>
      </c>
      <c r="R434" s="145" t="n"/>
      <c r="S434" s="145" t="n"/>
      <c r="T434" s="145" t="n"/>
      <c r="U434" s="145" t="n"/>
      <c r="V434" s="145" t="n"/>
      <c r="W434" s="145" t="n"/>
      <c r="X434" s="145" t="inlineStr">
        <is>
          <t>Detailed format sample from top 5 used rows</t>
        </is>
      </c>
    </row>
    <row r="435" ht="23.85" customHeight="1" s="79">
      <c r="A435" s="145" t="inlineStr">
        <is>
          <t>REGULAR_ART</t>
        </is>
      </c>
      <c r="B435" s="145" t="inlineStr">
        <is>
          <t>Top-Row Cell Format</t>
        </is>
      </c>
      <c r="C435" s="145" t="inlineStr">
        <is>
          <t>Z3</t>
        </is>
      </c>
      <c r="D435" s="145" t="inlineStr">
        <is>
          <t>REGULAR_ART!A1:AT410</t>
        </is>
      </c>
      <c r="E435" s="145" t="inlineStr">
        <is>
          <t>Normal</t>
        </is>
      </c>
      <c r="F435" s="145" t="inlineStr">
        <is>
          <t>#F8CBAD</t>
        </is>
      </c>
      <c r="G435" s="145" t="inlineStr">
        <is>
          <t>Aptos</t>
        </is>
      </c>
      <c r="H435" s="145" t="n">
        <v>8</v>
      </c>
      <c r="I435" s="145" t="inlineStr">
        <is>
          <t>Yes</t>
        </is>
      </c>
      <c r="J435" s="145" t="inlineStr">
        <is>
          <t>No</t>
        </is>
      </c>
      <c r="K435" s="145" t="inlineStr">
        <is>
          <t>None</t>
        </is>
      </c>
      <c r="L435" s="145" t="inlineStr">
        <is>
          <t>#000000</t>
        </is>
      </c>
      <c r="M435" s="145" t="inlineStr">
        <is>
          <t>Center</t>
        </is>
      </c>
      <c r="N435" s="145" t="inlineStr">
        <is>
          <t>Center</t>
        </is>
      </c>
      <c r="O435" s="145" t="inlineStr">
        <is>
          <t>Yes</t>
        </is>
      </c>
      <c r="P435" s="145" t="inlineStr">
        <is>
          <t>General</t>
        </is>
      </c>
      <c r="Q435" s="145" t="inlineStr">
        <is>
          <t>General</t>
        </is>
      </c>
      <c r="R435" s="145" t="n"/>
      <c r="S435" s="145" t="n"/>
      <c r="T435" s="145" t="n"/>
      <c r="U435" s="145" t="n"/>
      <c r="V435" s="145" t="n"/>
      <c r="W435" s="145" t="n"/>
      <c r="X435" s="145" t="inlineStr">
        <is>
          <t>Detailed format sample from top 5 used rows</t>
        </is>
      </c>
    </row>
    <row r="436" ht="23.85" customHeight="1" s="79">
      <c r="A436" s="145" t="inlineStr">
        <is>
          <t>REGULAR_ART</t>
        </is>
      </c>
      <c r="B436" s="145" t="inlineStr">
        <is>
          <t>Top-Row Cell Format</t>
        </is>
      </c>
      <c r="C436" s="145" t="inlineStr">
        <is>
          <t>Z4</t>
        </is>
      </c>
      <c r="D436" s="145" t="inlineStr">
        <is>
          <t>REGULAR_ART!A1:AT410</t>
        </is>
      </c>
      <c r="E436" s="145" t="inlineStr">
        <is>
          <t>Normal</t>
        </is>
      </c>
      <c r="F436" s="145" t="inlineStr">
        <is>
          <t>#F8CBAD</t>
        </is>
      </c>
      <c r="G436" s="145" t="inlineStr">
        <is>
          <t>Aptos</t>
        </is>
      </c>
      <c r="H436" s="145" t="n">
        <v>8</v>
      </c>
      <c r="I436" s="145" t="inlineStr">
        <is>
          <t>No</t>
        </is>
      </c>
      <c r="J436" s="145" t="inlineStr">
        <is>
          <t>No</t>
        </is>
      </c>
      <c r="K436" s="145" t="inlineStr">
        <is>
          <t>None</t>
        </is>
      </c>
      <c r="L436" s="145" t="inlineStr">
        <is>
          <t>#000000</t>
        </is>
      </c>
      <c r="M436" s="145" t="inlineStr">
        <is>
          <t>General</t>
        </is>
      </c>
      <c r="N436" s="145" t="inlineStr">
        <is>
          <t>Center</t>
        </is>
      </c>
      <c r="O436" s="145" t="inlineStr">
        <is>
          <t>No</t>
        </is>
      </c>
      <c r="P436" s="145" t="inlineStr">
        <is>
          <t>General</t>
        </is>
      </c>
      <c r="Q436" s="145" t="inlineStr">
        <is>
          <t>General</t>
        </is>
      </c>
      <c r="R436" s="145" t="n"/>
      <c r="S436" s="145" t="n"/>
      <c r="T436" s="145" t="n"/>
      <c r="U436" s="145" t="n"/>
      <c r="V436" s="145" t="n"/>
      <c r="W436" s="145" t="n"/>
      <c r="X436" s="145" t="inlineStr">
        <is>
          <t>Detailed format sample from top 5 used rows</t>
        </is>
      </c>
    </row>
    <row r="437" ht="23.85" customHeight="1" s="79">
      <c r="A437" s="145" t="inlineStr">
        <is>
          <t>REGULAR_ART</t>
        </is>
      </c>
      <c r="B437" s="145" t="inlineStr">
        <is>
          <t>Top-Row Cell Format</t>
        </is>
      </c>
      <c r="C437" s="145" t="inlineStr">
        <is>
          <t>Z5</t>
        </is>
      </c>
      <c r="D437" s="145" t="inlineStr">
        <is>
          <t>REGULAR_ART!A1:AT410</t>
        </is>
      </c>
      <c r="E437" s="145" t="inlineStr">
        <is>
          <t>Percent</t>
        </is>
      </c>
      <c r="F437" s="145" t="n"/>
      <c r="G437" s="145" t="inlineStr">
        <is>
          <t>Aptos</t>
        </is>
      </c>
      <c r="H437" s="145" t="n">
        <v>8</v>
      </c>
      <c r="I437" s="145" t="inlineStr">
        <is>
          <t>No</t>
        </is>
      </c>
      <c r="J437" s="145" t="inlineStr">
        <is>
          <t>No</t>
        </is>
      </c>
      <c r="K437" s="145" t="inlineStr">
        <is>
          <t>None</t>
        </is>
      </c>
      <c r="L437" s="145" t="inlineStr">
        <is>
          <t>#000000</t>
        </is>
      </c>
      <c r="M437" s="145" t="inlineStr">
        <is>
          <t>Center</t>
        </is>
      </c>
      <c r="N437" s="145" t="inlineStr">
        <is>
          <t>Center</t>
        </is>
      </c>
      <c r="O437" s="145" t="inlineStr">
        <is>
          <t>No</t>
        </is>
      </c>
      <c r="P437" s="146" t="n">
        <v>0</v>
      </c>
      <c r="Q437" s="145" t="inlineStr">
        <is>
          <t>Percentage</t>
        </is>
      </c>
      <c r="R437" s="145" t="n"/>
      <c r="S437" s="145" t="n"/>
      <c r="T437" s="145" t="n"/>
      <c r="U437" s="145" t="n"/>
      <c r="V437" s="145" t="n"/>
      <c r="W437" s="145" t="n"/>
      <c r="X437" s="145" t="inlineStr">
        <is>
          <t>Detailed format sample from top 5 used rows</t>
        </is>
      </c>
    </row>
    <row r="438" ht="46.25" customHeight="1" s="79">
      <c r="A438" s="145" t="inlineStr">
        <is>
          <t>REGULAR_ART</t>
        </is>
      </c>
      <c r="B438" s="145" t="inlineStr">
        <is>
          <t>Column Format</t>
        </is>
      </c>
      <c r="C438" s="145" t="inlineStr">
        <is>
          <t>AA:AA</t>
        </is>
      </c>
      <c r="D438" s="145" t="inlineStr">
        <is>
          <t>REGULAR_ART!A1:AT410</t>
        </is>
      </c>
      <c r="E438" s="145" t="inlineStr">
        <is>
          <t>Mixed</t>
        </is>
      </c>
      <c r="F438" s="145" t="inlineStr">
        <is>
          <t>Mixed</t>
        </is>
      </c>
      <c r="G438" s="145" t="inlineStr">
        <is>
          <t>Aptos</t>
        </is>
      </c>
      <c r="H438" s="145" t="n">
        <v>8</v>
      </c>
      <c r="I438" s="145" t="inlineStr">
        <is>
          <t>Mixed</t>
        </is>
      </c>
      <c r="J438" s="145" t="inlineStr">
        <is>
          <t>No</t>
        </is>
      </c>
      <c r="K438" s="145" t="inlineStr">
        <is>
          <t>None</t>
        </is>
      </c>
      <c r="L438" s="145" t="inlineStr">
        <is>
          <t>#000000</t>
        </is>
      </c>
      <c r="M438" s="145" t="inlineStr">
        <is>
          <t>Mixed</t>
        </is>
      </c>
      <c r="N438" s="145" t="inlineStr">
        <is>
          <t>Center</t>
        </is>
      </c>
      <c r="O438" s="145" t="inlineStr">
        <is>
          <t>Mixed</t>
        </is>
      </c>
      <c r="P438" s="145" t="n"/>
      <c r="Q438" s="145" t="n"/>
      <c r="R438" s="145" t="inlineStr">
        <is>
          <t>EdgeTop:Continuous/Thin/#000000; EdgeBottom:Continuous/Thin/#000000; EdgeLeft:Continuous/Thin/#000000; EdgeRight:Continuous/Thin/#000000</t>
        </is>
      </c>
      <c r="S438" s="145" t="n">
        <v>49.4328358208955</v>
      </c>
      <c r="T438" s="145" t="n"/>
      <c r="U438" s="145" t="inlineStr">
        <is>
          <t>No</t>
        </is>
      </c>
      <c r="V438" s="145" t="inlineStr">
        <is>
          <t>Visible</t>
        </is>
      </c>
      <c r="W438" s="145" t="n"/>
      <c r="X438" s="145" t="inlineStr">
        <is>
          <t>Mixed styles within used column</t>
        </is>
      </c>
    </row>
    <row r="439" ht="23.85" customHeight="1" s="79">
      <c r="A439" s="145" t="inlineStr">
        <is>
          <t>REGULAR_ART</t>
        </is>
      </c>
      <c r="B439" s="145" t="inlineStr">
        <is>
          <t>Top-Row Cell Format</t>
        </is>
      </c>
      <c r="C439" s="145" t="inlineStr">
        <is>
          <t>AA1</t>
        </is>
      </c>
      <c r="D439" s="145" t="inlineStr">
        <is>
          <t>REGULAR_ART!A1:AT410</t>
        </is>
      </c>
      <c r="E439" s="145" t="inlineStr">
        <is>
          <t>Normal</t>
        </is>
      </c>
      <c r="F439" s="145" t="inlineStr">
        <is>
          <t>#C9C9C9</t>
        </is>
      </c>
      <c r="G439" s="145" t="inlineStr">
        <is>
          <t>Aptos</t>
        </is>
      </c>
      <c r="H439" s="145" t="n">
        <v>8</v>
      </c>
      <c r="I439" s="145" t="inlineStr">
        <is>
          <t>Yes</t>
        </is>
      </c>
      <c r="J439" s="145" t="inlineStr">
        <is>
          <t>No</t>
        </is>
      </c>
      <c r="K439" s="145" t="inlineStr">
        <is>
          <t>None</t>
        </is>
      </c>
      <c r="L439" s="145" t="inlineStr">
        <is>
          <t>#000000</t>
        </is>
      </c>
      <c r="M439" s="145" t="inlineStr">
        <is>
          <t>Center</t>
        </is>
      </c>
      <c r="N439" s="145" t="inlineStr">
        <is>
          <t>Center</t>
        </is>
      </c>
      <c r="O439" s="145" t="inlineStr">
        <is>
          <t>No</t>
        </is>
      </c>
      <c r="P439" s="145" t="inlineStr">
        <is>
          <t>General</t>
        </is>
      </c>
      <c r="Q439" s="145" t="inlineStr">
        <is>
          <t>General</t>
        </is>
      </c>
      <c r="R439" s="145" t="n"/>
      <c r="S439" s="145" t="n"/>
      <c r="T439" s="145" t="n"/>
      <c r="U439" s="145" t="n"/>
      <c r="V439" s="145" t="n"/>
      <c r="W439" s="145" t="n"/>
      <c r="X439" s="145" t="inlineStr">
        <is>
          <t>Detailed format sample from top 5 used rows</t>
        </is>
      </c>
    </row>
    <row r="440" ht="23.85" customHeight="1" s="79">
      <c r="A440" s="145" t="inlineStr">
        <is>
          <t>REGULAR_ART</t>
        </is>
      </c>
      <c r="B440" s="145" t="inlineStr">
        <is>
          <t>Top-Row Cell Format</t>
        </is>
      </c>
      <c r="C440" s="145" t="inlineStr">
        <is>
          <t>AA2</t>
        </is>
      </c>
      <c r="D440" s="145" t="inlineStr">
        <is>
          <t>REGULAR_ART!A1:AT410</t>
        </is>
      </c>
      <c r="E440" s="145" t="inlineStr">
        <is>
          <t>Percent</t>
        </is>
      </c>
      <c r="F440" s="145" t="inlineStr">
        <is>
          <t>#B4C6E7</t>
        </is>
      </c>
      <c r="G440" s="145" t="inlineStr">
        <is>
          <t>Aptos</t>
        </is>
      </c>
      <c r="H440" s="145" t="n">
        <v>8</v>
      </c>
      <c r="I440" s="145" t="inlineStr">
        <is>
          <t>Yes</t>
        </is>
      </c>
      <c r="J440" s="145" t="inlineStr">
        <is>
          <t>No</t>
        </is>
      </c>
      <c r="K440" s="145" t="inlineStr">
        <is>
          <t>None</t>
        </is>
      </c>
      <c r="L440" s="145" t="inlineStr">
        <is>
          <t>#000000</t>
        </is>
      </c>
      <c r="M440" s="145" t="inlineStr">
        <is>
          <t>Center</t>
        </is>
      </c>
      <c r="N440" s="145" t="inlineStr">
        <is>
          <t>Center</t>
        </is>
      </c>
      <c r="O440" s="145" t="inlineStr">
        <is>
          <t>No</t>
        </is>
      </c>
      <c r="P440" s="146" t="n">
        <v>0</v>
      </c>
      <c r="Q440" s="145" t="inlineStr">
        <is>
          <t>Percentage</t>
        </is>
      </c>
      <c r="R440" s="145" t="n"/>
      <c r="S440" s="145" t="n"/>
      <c r="T440" s="145" t="n"/>
      <c r="U440" s="145" t="n"/>
      <c r="V440" s="145" t="n"/>
      <c r="W440" s="145" t="n"/>
      <c r="X440" s="145" t="inlineStr">
        <is>
          <t>Detailed format sample from top 5 used rows</t>
        </is>
      </c>
    </row>
    <row r="441" ht="23.85" customHeight="1" s="79">
      <c r="A441" s="145" t="inlineStr">
        <is>
          <t>REGULAR_ART</t>
        </is>
      </c>
      <c r="B441" s="145" t="inlineStr">
        <is>
          <t>Top-Row Cell Format</t>
        </is>
      </c>
      <c r="C441" s="145" t="inlineStr">
        <is>
          <t>AA3</t>
        </is>
      </c>
      <c r="D441" s="145" t="inlineStr">
        <is>
          <t>REGULAR_ART!A1:AT410</t>
        </is>
      </c>
      <c r="E441" s="145" t="inlineStr">
        <is>
          <t>Normal</t>
        </is>
      </c>
      <c r="F441" s="145" t="inlineStr">
        <is>
          <t>#F8CBAD</t>
        </is>
      </c>
      <c r="G441" s="145" t="inlineStr">
        <is>
          <t>Aptos</t>
        </is>
      </c>
      <c r="H441" s="145" t="n">
        <v>8</v>
      </c>
      <c r="I441" s="145" t="inlineStr">
        <is>
          <t>Yes</t>
        </is>
      </c>
      <c r="J441" s="145" t="inlineStr">
        <is>
          <t>No</t>
        </is>
      </c>
      <c r="K441" s="145" t="inlineStr">
        <is>
          <t>None</t>
        </is>
      </c>
      <c r="L441" s="145" t="inlineStr">
        <is>
          <t>#000000</t>
        </is>
      </c>
      <c r="M441" s="145" t="inlineStr">
        <is>
          <t>Center</t>
        </is>
      </c>
      <c r="N441" s="145" t="inlineStr">
        <is>
          <t>Center</t>
        </is>
      </c>
      <c r="O441" s="145" t="inlineStr">
        <is>
          <t>Yes</t>
        </is>
      </c>
      <c r="P441" s="145" t="inlineStr">
        <is>
          <t>General</t>
        </is>
      </c>
      <c r="Q441" s="145" t="inlineStr">
        <is>
          <t>General</t>
        </is>
      </c>
      <c r="R441" s="145" t="n"/>
      <c r="S441" s="145" t="n"/>
      <c r="T441" s="145" t="n"/>
      <c r="U441" s="145" t="n"/>
      <c r="V441" s="145" t="n"/>
      <c r="W441" s="145" t="n"/>
      <c r="X441" s="145" t="inlineStr">
        <is>
          <t>Detailed format sample from top 5 used rows</t>
        </is>
      </c>
    </row>
    <row r="442" ht="23.85" customHeight="1" s="79">
      <c r="A442" s="145" t="inlineStr">
        <is>
          <t>REGULAR_ART</t>
        </is>
      </c>
      <c r="B442" s="145" t="inlineStr">
        <is>
          <t>Top-Row Cell Format</t>
        </is>
      </c>
      <c r="C442" s="145" t="inlineStr">
        <is>
          <t>AA4</t>
        </is>
      </c>
      <c r="D442" s="145" t="inlineStr">
        <is>
          <t>REGULAR_ART!A1:AT410</t>
        </is>
      </c>
      <c r="E442" s="145" t="inlineStr">
        <is>
          <t>Normal</t>
        </is>
      </c>
      <c r="F442" s="145" t="inlineStr">
        <is>
          <t>#F8CBAD</t>
        </is>
      </c>
      <c r="G442" s="145" t="inlineStr">
        <is>
          <t>Aptos</t>
        </is>
      </c>
      <c r="H442" s="145" t="n">
        <v>8</v>
      </c>
      <c r="I442" s="145" t="inlineStr">
        <is>
          <t>No</t>
        </is>
      </c>
      <c r="J442" s="145" t="inlineStr">
        <is>
          <t>No</t>
        </is>
      </c>
      <c r="K442" s="145" t="inlineStr">
        <is>
          <t>None</t>
        </is>
      </c>
      <c r="L442" s="145" t="inlineStr">
        <is>
          <t>#000000</t>
        </is>
      </c>
      <c r="M442" s="145" t="inlineStr">
        <is>
          <t>General</t>
        </is>
      </c>
      <c r="N442" s="145" t="inlineStr">
        <is>
          <t>Center</t>
        </is>
      </c>
      <c r="O442" s="145" t="inlineStr">
        <is>
          <t>No</t>
        </is>
      </c>
      <c r="P442" s="145" t="inlineStr">
        <is>
          <t>General</t>
        </is>
      </c>
      <c r="Q442" s="145" t="inlineStr">
        <is>
          <t>General</t>
        </is>
      </c>
      <c r="R442" s="145" t="n"/>
      <c r="S442" s="145" t="n"/>
      <c r="T442" s="145" t="n"/>
      <c r="U442" s="145" t="n"/>
      <c r="V442" s="145" t="n"/>
      <c r="W442" s="145" t="n"/>
      <c r="X442" s="145" t="inlineStr">
        <is>
          <t>Detailed format sample from top 5 used rows</t>
        </is>
      </c>
    </row>
    <row r="443" ht="23.85" customHeight="1" s="79">
      <c r="A443" s="145" t="inlineStr">
        <is>
          <t>REGULAR_ART</t>
        </is>
      </c>
      <c r="B443" s="145" t="inlineStr">
        <is>
          <t>Top-Row Cell Format</t>
        </is>
      </c>
      <c r="C443" s="145" t="inlineStr">
        <is>
          <t>AA5</t>
        </is>
      </c>
      <c r="D443" s="145" t="inlineStr">
        <is>
          <t>REGULAR_ART!A1:AT410</t>
        </is>
      </c>
      <c r="E443" s="145" t="inlineStr">
        <is>
          <t>Percent</t>
        </is>
      </c>
      <c r="F443" s="145" t="n"/>
      <c r="G443" s="145" t="inlineStr">
        <is>
          <t>Aptos</t>
        </is>
      </c>
      <c r="H443" s="145" t="n">
        <v>8</v>
      </c>
      <c r="I443" s="145" t="inlineStr">
        <is>
          <t>No</t>
        </is>
      </c>
      <c r="J443" s="145" t="inlineStr">
        <is>
          <t>No</t>
        </is>
      </c>
      <c r="K443" s="145" t="inlineStr">
        <is>
          <t>None</t>
        </is>
      </c>
      <c r="L443" s="145" t="inlineStr">
        <is>
          <t>#000000</t>
        </is>
      </c>
      <c r="M443" s="145" t="inlineStr">
        <is>
          <t>Center</t>
        </is>
      </c>
      <c r="N443" s="145" t="inlineStr">
        <is>
          <t>Center</t>
        </is>
      </c>
      <c r="O443" s="145" t="inlineStr">
        <is>
          <t>No</t>
        </is>
      </c>
      <c r="P443" s="146" t="n">
        <v>0</v>
      </c>
      <c r="Q443" s="145" t="inlineStr">
        <is>
          <t>Percentage</t>
        </is>
      </c>
      <c r="R443" s="145" t="n"/>
      <c r="S443" s="145" t="n"/>
      <c r="T443" s="145" t="n"/>
      <c r="U443" s="145" t="n"/>
      <c r="V443" s="145" t="n"/>
      <c r="W443" s="145" t="n"/>
      <c r="X443" s="145" t="inlineStr">
        <is>
          <t>Detailed format sample from top 5 used rows</t>
        </is>
      </c>
    </row>
    <row r="444" ht="35.05" customHeight="1" s="79">
      <c r="A444" s="145" t="inlineStr">
        <is>
          <t>REGULAR_ART</t>
        </is>
      </c>
      <c r="B444" s="145" t="inlineStr">
        <is>
          <t>Column Format</t>
        </is>
      </c>
      <c r="C444" s="145" t="inlineStr">
        <is>
          <t>AB:AB</t>
        </is>
      </c>
      <c r="D444" s="145" t="inlineStr">
        <is>
          <t>REGULAR_ART!A1:AT410</t>
        </is>
      </c>
      <c r="E444" s="145" t="inlineStr">
        <is>
          <t>Mixed</t>
        </is>
      </c>
      <c r="F444" s="145" t="inlineStr">
        <is>
          <t>Mixed</t>
        </is>
      </c>
      <c r="G444" s="145" t="inlineStr">
        <is>
          <t>Aptos</t>
        </is>
      </c>
      <c r="H444" s="145" t="n">
        <v>8</v>
      </c>
      <c r="I444" s="145" t="inlineStr">
        <is>
          <t>Mixed</t>
        </is>
      </c>
      <c r="J444" s="145" t="inlineStr">
        <is>
          <t>No</t>
        </is>
      </c>
      <c r="K444" s="145" t="inlineStr">
        <is>
          <t>None</t>
        </is>
      </c>
      <c r="L444" s="145" t="inlineStr">
        <is>
          <t>#000000</t>
        </is>
      </c>
      <c r="M444" s="145" t="inlineStr">
        <is>
          <t>Mixed</t>
        </is>
      </c>
      <c r="N444" s="145" t="inlineStr">
        <is>
          <t>Center</t>
        </is>
      </c>
      <c r="O444" s="145" t="inlineStr">
        <is>
          <t>Mixed</t>
        </is>
      </c>
      <c r="P444" s="145" t="n"/>
      <c r="Q444" s="145" t="n"/>
      <c r="R444" s="145" t="inlineStr">
        <is>
          <t>EdgeTop:Continuous/Thin/#000000; EdgeBottom:Continuous/Thin/#000000; EdgeRight:Continuous/Thin/#000000</t>
        </is>
      </c>
      <c r="S444" s="145" t="n">
        <v>49.4328358208955</v>
      </c>
      <c r="T444" s="145" t="n"/>
      <c r="U444" s="145" t="inlineStr">
        <is>
          <t>No</t>
        </is>
      </c>
      <c r="V444" s="145" t="inlineStr">
        <is>
          <t>Visible</t>
        </is>
      </c>
      <c r="W444" s="145" t="n"/>
      <c r="X444" s="145" t="inlineStr">
        <is>
          <t>Mixed styles within used column</t>
        </is>
      </c>
    </row>
    <row r="445" ht="23.85" customHeight="1" s="79">
      <c r="A445" s="145" t="inlineStr">
        <is>
          <t>REGULAR_ART</t>
        </is>
      </c>
      <c r="B445" s="145" t="inlineStr">
        <is>
          <t>Top-Row Cell Format</t>
        </is>
      </c>
      <c r="C445" s="145" t="inlineStr">
        <is>
          <t>AB1</t>
        </is>
      </c>
      <c r="D445" s="145" t="inlineStr">
        <is>
          <t>REGULAR_ART!A1:AT410</t>
        </is>
      </c>
      <c r="E445" s="145" t="inlineStr">
        <is>
          <t>Normal</t>
        </is>
      </c>
      <c r="F445" s="145" t="inlineStr">
        <is>
          <t>#C9C9C9</t>
        </is>
      </c>
      <c r="G445" s="145" t="inlineStr">
        <is>
          <t>Aptos</t>
        </is>
      </c>
      <c r="H445" s="145" t="n">
        <v>8</v>
      </c>
      <c r="I445" s="145" t="inlineStr">
        <is>
          <t>Yes</t>
        </is>
      </c>
      <c r="J445" s="145" t="inlineStr">
        <is>
          <t>No</t>
        </is>
      </c>
      <c r="K445" s="145" t="inlineStr">
        <is>
          <t>None</t>
        </is>
      </c>
      <c r="L445" s="145" t="inlineStr">
        <is>
          <t>#000000</t>
        </is>
      </c>
      <c r="M445" s="145" t="inlineStr">
        <is>
          <t>Center</t>
        </is>
      </c>
      <c r="N445" s="145" t="inlineStr">
        <is>
          <t>Center</t>
        </is>
      </c>
      <c r="O445" s="145" t="inlineStr">
        <is>
          <t>No</t>
        </is>
      </c>
      <c r="P445" s="145" t="inlineStr">
        <is>
          <t>General</t>
        </is>
      </c>
      <c r="Q445" s="145" t="inlineStr">
        <is>
          <t>General</t>
        </is>
      </c>
      <c r="R445" s="145" t="n"/>
      <c r="S445" s="145" t="n"/>
      <c r="T445" s="145" t="n"/>
      <c r="U445" s="145" t="n"/>
      <c r="V445" s="145" t="n"/>
      <c r="W445" s="145" t="n"/>
      <c r="X445" s="145" t="inlineStr">
        <is>
          <t>Detailed format sample from top 5 used rows</t>
        </is>
      </c>
    </row>
    <row r="446" ht="23.85" customHeight="1" s="79">
      <c r="A446" s="145" t="inlineStr">
        <is>
          <t>REGULAR_ART</t>
        </is>
      </c>
      <c r="B446" s="145" t="inlineStr">
        <is>
          <t>Top-Row Cell Format</t>
        </is>
      </c>
      <c r="C446" s="145" t="inlineStr">
        <is>
          <t>AB2</t>
        </is>
      </c>
      <c r="D446" s="145" t="inlineStr">
        <is>
          <t>REGULAR_ART!A1:AT410</t>
        </is>
      </c>
      <c r="E446" s="145" t="inlineStr">
        <is>
          <t>Percent</t>
        </is>
      </c>
      <c r="F446" s="145" t="inlineStr">
        <is>
          <t>#B4C6E7</t>
        </is>
      </c>
      <c r="G446" s="145" t="inlineStr">
        <is>
          <t>Aptos</t>
        </is>
      </c>
      <c r="H446" s="145" t="n">
        <v>8</v>
      </c>
      <c r="I446" s="145" t="inlineStr">
        <is>
          <t>Yes</t>
        </is>
      </c>
      <c r="J446" s="145" t="inlineStr">
        <is>
          <t>No</t>
        </is>
      </c>
      <c r="K446" s="145" t="inlineStr">
        <is>
          <t>None</t>
        </is>
      </c>
      <c r="L446" s="145" t="inlineStr">
        <is>
          <t>#000000</t>
        </is>
      </c>
      <c r="M446" s="145" t="inlineStr">
        <is>
          <t>Center</t>
        </is>
      </c>
      <c r="N446" s="145" t="inlineStr">
        <is>
          <t>Center</t>
        </is>
      </c>
      <c r="O446" s="145" t="inlineStr">
        <is>
          <t>No</t>
        </is>
      </c>
      <c r="P446" s="146" t="n">
        <v>0</v>
      </c>
      <c r="Q446" s="145" t="inlineStr">
        <is>
          <t>Percentage</t>
        </is>
      </c>
      <c r="R446" s="145" t="n"/>
      <c r="S446" s="145" t="n"/>
      <c r="T446" s="145" t="n"/>
      <c r="U446" s="145" t="n"/>
      <c r="V446" s="145" t="n"/>
      <c r="W446" s="145" t="n"/>
      <c r="X446" s="145" t="inlineStr">
        <is>
          <t>Detailed format sample from top 5 used rows</t>
        </is>
      </c>
    </row>
    <row r="447" ht="23.85" customHeight="1" s="79">
      <c r="A447" s="145" t="inlineStr">
        <is>
          <t>REGULAR_ART</t>
        </is>
      </c>
      <c r="B447" s="145" t="inlineStr">
        <is>
          <t>Top-Row Cell Format</t>
        </is>
      </c>
      <c r="C447" s="145" t="inlineStr">
        <is>
          <t>AB3</t>
        </is>
      </c>
      <c r="D447" s="145" t="inlineStr">
        <is>
          <t>REGULAR_ART!A1:AT410</t>
        </is>
      </c>
      <c r="E447" s="145" t="inlineStr">
        <is>
          <t>Normal</t>
        </is>
      </c>
      <c r="F447" s="145" t="inlineStr">
        <is>
          <t>#F8CBAD</t>
        </is>
      </c>
      <c r="G447" s="145" t="inlineStr">
        <is>
          <t>Aptos</t>
        </is>
      </c>
      <c r="H447" s="145" t="n">
        <v>8</v>
      </c>
      <c r="I447" s="145" t="inlineStr">
        <is>
          <t>Yes</t>
        </is>
      </c>
      <c r="J447" s="145" t="inlineStr">
        <is>
          <t>No</t>
        </is>
      </c>
      <c r="K447" s="145" t="inlineStr">
        <is>
          <t>None</t>
        </is>
      </c>
      <c r="L447" s="145" t="inlineStr">
        <is>
          <t>#000000</t>
        </is>
      </c>
      <c r="M447" s="145" t="inlineStr">
        <is>
          <t>Center</t>
        </is>
      </c>
      <c r="N447" s="145" t="inlineStr">
        <is>
          <t>Center</t>
        </is>
      </c>
      <c r="O447" s="145" t="inlineStr">
        <is>
          <t>Yes</t>
        </is>
      </c>
      <c r="P447" s="145" t="inlineStr">
        <is>
          <t>General</t>
        </is>
      </c>
      <c r="Q447" s="145" t="inlineStr">
        <is>
          <t>General</t>
        </is>
      </c>
      <c r="R447" s="145" t="n"/>
      <c r="S447" s="145" t="n"/>
      <c r="T447" s="145" t="n"/>
      <c r="U447" s="145" t="n"/>
      <c r="V447" s="145" t="n"/>
      <c r="W447" s="145" t="n"/>
      <c r="X447" s="145" t="inlineStr">
        <is>
          <t>Detailed format sample from top 5 used rows</t>
        </is>
      </c>
    </row>
    <row r="448" ht="23.85" customHeight="1" s="79">
      <c r="A448" s="145" t="inlineStr">
        <is>
          <t>REGULAR_ART</t>
        </is>
      </c>
      <c r="B448" s="145" t="inlineStr">
        <is>
          <t>Top-Row Cell Format</t>
        </is>
      </c>
      <c r="C448" s="145" t="inlineStr">
        <is>
          <t>AB4</t>
        </is>
      </c>
      <c r="D448" s="145" t="inlineStr">
        <is>
          <t>REGULAR_ART!A1:AT410</t>
        </is>
      </c>
      <c r="E448" s="145" t="inlineStr">
        <is>
          <t>Normal</t>
        </is>
      </c>
      <c r="F448" s="145" t="inlineStr">
        <is>
          <t>#F8CBAD</t>
        </is>
      </c>
      <c r="G448" s="145" t="inlineStr">
        <is>
          <t>Aptos</t>
        </is>
      </c>
      <c r="H448" s="145" t="n">
        <v>8</v>
      </c>
      <c r="I448" s="145" t="inlineStr">
        <is>
          <t>No</t>
        </is>
      </c>
      <c r="J448" s="145" t="inlineStr">
        <is>
          <t>No</t>
        </is>
      </c>
      <c r="K448" s="145" t="inlineStr">
        <is>
          <t>None</t>
        </is>
      </c>
      <c r="L448" s="145" t="inlineStr">
        <is>
          <t>#000000</t>
        </is>
      </c>
      <c r="M448" s="145" t="inlineStr">
        <is>
          <t>General</t>
        </is>
      </c>
      <c r="N448" s="145" t="inlineStr">
        <is>
          <t>Center</t>
        </is>
      </c>
      <c r="O448" s="145" t="inlineStr">
        <is>
          <t>No</t>
        </is>
      </c>
      <c r="P448" s="145" t="inlineStr">
        <is>
          <t>General</t>
        </is>
      </c>
      <c r="Q448" s="145" t="inlineStr">
        <is>
          <t>General</t>
        </is>
      </c>
      <c r="R448" s="145" t="n"/>
      <c r="S448" s="145" t="n"/>
      <c r="T448" s="145" t="n"/>
      <c r="U448" s="145" t="n"/>
      <c r="V448" s="145" t="n"/>
      <c r="W448" s="145" t="n"/>
      <c r="X448" s="145" t="inlineStr">
        <is>
          <t>Detailed format sample from top 5 used rows</t>
        </is>
      </c>
    </row>
    <row r="449" ht="23.85" customHeight="1" s="79">
      <c r="A449" s="145" t="inlineStr">
        <is>
          <t>REGULAR_ART</t>
        </is>
      </c>
      <c r="B449" s="145" t="inlineStr">
        <is>
          <t>Top-Row Cell Format</t>
        </is>
      </c>
      <c r="C449" s="145" t="inlineStr">
        <is>
          <t>AB5</t>
        </is>
      </c>
      <c r="D449" s="145" t="inlineStr">
        <is>
          <t>REGULAR_ART!A1:AT410</t>
        </is>
      </c>
      <c r="E449" s="145" t="inlineStr">
        <is>
          <t>Percent</t>
        </is>
      </c>
      <c r="F449" s="145" t="n"/>
      <c r="G449" s="145" t="inlineStr">
        <is>
          <t>Aptos</t>
        </is>
      </c>
      <c r="H449" s="145" t="n">
        <v>8</v>
      </c>
      <c r="I449" s="145" t="inlineStr">
        <is>
          <t>No</t>
        </is>
      </c>
      <c r="J449" s="145" t="inlineStr">
        <is>
          <t>No</t>
        </is>
      </c>
      <c r="K449" s="145" t="inlineStr">
        <is>
          <t>None</t>
        </is>
      </c>
      <c r="L449" s="145" t="inlineStr">
        <is>
          <t>#000000</t>
        </is>
      </c>
      <c r="M449" s="145" t="inlineStr">
        <is>
          <t>Center</t>
        </is>
      </c>
      <c r="N449" s="145" t="inlineStr">
        <is>
          <t>Center</t>
        </is>
      </c>
      <c r="O449" s="145" t="inlineStr">
        <is>
          <t>No</t>
        </is>
      </c>
      <c r="P449" s="146" t="n">
        <v>0</v>
      </c>
      <c r="Q449" s="145" t="inlineStr">
        <is>
          <t>Percentage</t>
        </is>
      </c>
      <c r="R449" s="145" t="n"/>
      <c r="S449" s="145" t="n"/>
      <c r="T449" s="145" t="n"/>
      <c r="U449" s="145" t="n"/>
      <c r="V449" s="145" t="n"/>
      <c r="W449" s="145" t="n"/>
      <c r="X449" s="145" t="inlineStr">
        <is>
          <t>Detailed format sample from top 5 used rows</t>
        </is>
      </c>
    </row>
    <row r="450" ht="23.85" customHeight="1" s="79">
      <c r="A450" s="145" t="inlineStr">
        <is>
          <t>REGULAR_ART</t>
        </is>
      </c>
      <c r="B450" s="145" t="inlineStr">
        <is>
          <t>Column Format</t>
        </is>
      </c>
      <c r="C450" s="145" t="inlineStr">
        <is>
          <t>AC:AC</t>
        </is>
      </c>
      <c r="D450" s="145" t="inlineStr">
        <is>
          <t>REGULAR_ART!A1:AT410</t>
        </is>
      </c>
      <c r="E450" s="145" t="inlineStr">
        <is>
          <t>Normal</t>
        </is>
      </c>
      <c r="F450" s="145" t="inlineStr">
        <is>
          <t>#8EA9DB</t>
        </is>
      </c>
      <c r="G450" s="145" t="inlineStr">
        <is>
          <t>Aptos</t>
        </is>
      </c>
      <c r="H450" s="145" t="n">
        <v>8</v>
      </c>
      <c r="I450" s="145" t="inlineStr">
        <is>
          <t>No</t>
        </is>
      </c>
      <c r="J450" s="145" t="inlineStr">
        <is>
          <t>No</t>
        </is>
      </c>
      <c r="K450" s="145" t="inlineStr">
        <is>
          <t>None</t>
        </is>
      </c>
      <c r="L450" s="145" t="inlineStr">
        <is>
          <t>#000000</t>
        </is>
      </c>
      <c r="M450" s="145" t="inlineStr">
        <is>
          <t>Mixed</t>
        </is>
      </c>
      <c r="N450" s="145" t="inlineStr">
        <is>
          <t>Center</t>
        </is>
      </c>
      <c r="O450" s="145" t="inlineStr">
        <is>
          <t>No</t>
        </is>
      </c>
      <c r="P450" s="145" t="n"/>
      <c r="Q450" s="145" t="n"/>
      <c r="R450" s="145" t="inlineStr">
        <is>
          <t>EdgeLeft:Continuous/Thin/#000000; EdgeRight:Continuous/Thin/#000000</t>
        </is>
      </c>
      <c r="S450" s="145" t="n">
        <v>4.29850746268657</v>
      </c>
      <c r="T450" s="145" t="n"/>
      <c r="U450" s="145" t="inlineStr">
        <is>
          <t>No</t>
        </is>
      </c>
      <c r="V450" s="145" t="inlineStr">
        <is>
          <t>Visible</t>
        </is>
      </c>
      <c r="W450" s="145" t="n"/>
      <c r="X450" s="145" t="inlineStr">
        <is>
          <t>Uniform style across used column</t>
        </is>
      </c>
    </row>
    <row r="451" ht="23.85" customHeight="1" s="79">
      <c r="A451" s="145" t="inlineStr">
        <is>
          <t>REGULAR_ART</t>
        </is>
      </c>
      <c r="B451" s="145" t="inlineStr">
        <is>
          <t>Top-Row Cell Format</t>
        </is>
      </c>
      <c r="C451" s="145" t="inlineStr">
        <is>
          <t>AC1</t>
        </is>
      </c>
      <c r="D451" s="145" t="inlineStr">
        <is>
          <t>REGULAR_ART!A1:AT410</t>
        </is>
      </c>
      <c r="E451" s="145" t="inlineStr">
        <is>
          <t>Normal</t>
        </is>
      </c>
      <c r="F451" s="145" t="inlineStr">
        <is>
          <t>#8EA9DB</t>
        </is>
      </c>
      <c r="G451" s="145" t="inlineStr">
        <is>
          <t>Aptos</t>
        </is>
      </c>
      <c r="H451" s="145" t="n">
        <v>8</v>
      </c>
      <c r="I451" s="145" t="inlineStr">
        <is>
          <t>No</t>
        </is>
      </c>
      <c r="J451" s="145" t="inlineStr">
        <is>
          <t>No</t>
        </is>
      </c>
      <c r="K451" s="145" t="inlineStr">
        <is>
          <t>None</t>
        </is>
      </c>
      <c r="L451" s="145" t="inlineStr">
        <is>
          <t>#000000</t>
        </is>
      </c>
      <c r="M451" s="145" t="inlineStr">
        <is>
          <t>General</t>
        </is>
      </c>
      <c r="N451" s="145" t="inlineStr">
        <is>
          <t>Center</t>
        </is>
      </c>
      <c r="O451" s="145" t="inlineStr">
        <is>
          <t>No</t>
        </is>
      </c>
      <c r="P451" s="145" t="inlineStr">
        <is>
          <t>General</t>
        </is>
      </c>
      <c r="Q451" s="145" t="inlineStr">
        <is>
          <t>General</t>
        </is>
      </c>
      <c r="R451" s="145" t="n"/>
      <c r="S451" s="145" t="n"/>
      <c r="T451" s="145" t="n"/>
      <c r="U451" s="145" t="n"/>
      <c r="V451" s="145" t="n"/>
      <c r="W451" s="145" t="n"/>
      <c r="X451" s="145" t="inlineStr">
        <is>
          <t>Detailed format sample from top 5 used rows</t>
        </is>
      </c>
    </row>
    <row r="452" ht="23.85" customHeight="1" s="79">
      <c r="A452" s="145" t="inlineStr">
        <is>
          <t>REGULAR_ART</t>
        </is>
      </c>
      <c r="B452" s="145" t="inlineStr">
        <is>
          <t>Top-Row Cell Format</t>
        </is>
      </c>
      <c r="C452" s="145" t="inlineStr">
        <is>
          <t>AC2</t>
        </is>
      </c>
      <c r="D452" s="145" t="inlineStr">
        <is>
          <t>REGULAR_ART!A1:AT410</t>
        </is>
      </c>
      <c r="E452" s="145" t="inlineStr">
        <is>
          <t>Normal</t>
        </is>
      </c>
      <c r="F452" s="145" t="inlineStr">
        <is>
          <t>#8EA9DB</t>
        </is>
      </c>
      <c r="G452" s="145" t="inlineStr">
        <is>
          <t>Aptos</t>
        </is>
      </c>
      <c r="H452" s="145" t="n">
        <v>8</v>
      </c>
      <c r="I452" s="145" t="inlineStr">
        <is>
          <t>No</t>
        </is>
      </c>
      <c r="J452" s="145" t="inlineStr">
        <is>
          <t>No</t>
        </is>
      </c>
      <c r="K452" s="145" t="inlineStr">
        <is>
          <t>None</t>
        </is>
      </c>
      <c r="L452" s="145" t="inlineStr">
        <is>
          <t>#000000</t>
        </is>
      </c>
      <c r="M452" s="145" t="inlineStr">
        <is>
          <t>General</t>
        </is>
      </c>
      <c r="N452" s="145" t="inlineStr">
        <is>
          <t>Center</t>
        </is>
      </c>
      <c r="O452" s="145" t="inlineStr">
        <is>
          <t>No</t>
        </is>
      </c>
      <c r="P452" s="145" t="inlineStr">
        <is>
          <t>General</t>
        </is>
      </c>
      <c r="Q452" s="145" t="inlineStr">
        <is>
          <t>General</t>
        </is>
      </c>
      <c r="R452" s="145" t="n"/>
      <c r="S452" s="145" t="n"/>
      <c r="T452" s="145" t="n"/>
      <c r="U452" s="145" t="n"/>
      <c r="V452" s="145" t="n"/>
      <c r="W452" s="145" t="n"/>
      <c r="X452" s="145" t="inlineStr">
        <is>
          <t>Detailed format sample from top 5 used rows</t>
        </is>
      </c>
    </row>
    <row r="453" ht="23.85" customHeight="1" s="79">
      <c r="A453" s="145" t="inlineStr">
        <is>
          <t>REGULAR_ART</t>
        </is>
      </c>
      <c r="B453" s="145" t="inlineStr">
        <is>
          <t>Top-Row Cell Format</t>
        </is>
      </c>
      <c r="C453" s="145" t="inlineStr">
        <is>
          <t>AC3</t>
        </is>
      </c>
      <c r="D453" s="145" t="inlineStr">
        <is>
          <t>REGULAR_ART!A1:AT410</t>
        </is>
      </c>
      <c r="E453" s="145" t="inlineStr">
        <is>
          <t>Normal</t>
        </is>
      </c>
      <c r="F453" s="145" t="inlineStr">
        <is>
          <t>#8EA9DB</t>
        </is>
      </c>
      <c r="G453" s="145" t="inlineStr">
        <is>
          <t>Aptos</t>
        </is>
      </c>
      <c r="H453" s="145" t="n">
        <v>8</v>
      </c>
      <c r="I453" s="145" t="inlineStr">
        <is>
          <t>No</t>
        </is>
      </c>
      <c r="J453" s="145" t="inlineStr">
        <is>
          <t>No</t>
        </is>
      </c>
      <c r="K453" s="145" t="inlineStr">
        <is>
          <t>None</t>
        </is>
      </c>
      <c r="L453" s="145" t="inlineStr">
        <is>
          <t>#000000</t>
        </is>
      </c>
      <c r="M453" s="145" t="inlineStr">
        <is>
          <t>Center</t>
        </is>
      </c>
      <c r="N453" s="145" t="inlineStr">
        <is>
          <t>Center</t>
        </is>
      </c>
      <c r="O453" s="145" t="inlineStr">
        <is>
          <t>No</t>
        </is>
      </c>
      <c r="P453" s="145" t="inlineStr">
        <is>
          <t>General</t>
        </is>
      </c>
      <c r="Q453" s="145" t="inlineStr">
        <is>
          <t>General</t>
        </is>
      </c>
      <c r="R453" s="145" t="n"/>
      <c r="S453" s="145" t="n"/>
      <c r="T453" s="145" t="n"/>
      <c r="U453" s="145" t="n"/>
      <c r="V453" s="145" t="n"/>
      <c r="W453" s="145" t="n"/>
      <c r="X453" s="145" t="inlineStr">
        <is>
          <t>Detailed format sample from top 5 used rows</t>
        </is>
      </c>
    </row>
    <row r="454" ht="23.85" customHeight="1" s="79">
      <c r="A454" s="145" t="inlineStr">
        <is>
          <t>REGULAR_ART</t>
        </is>
      </c>
      <c r="B454" s="145" t="inlineStr">
        <is>
          <t>Top-Row Cell Format</t>
        </is>
      </c>
      <c r="C454" s="145" t="inlineStr">
        <is>
          <t>AC4</t>
        </is>
      </c>
      <c r="D454" s="145" t="inlineStr">
        <is>
          <t>REGULAR_ART!A1:AT410</t>
        </is>
      </c>
      <c r="E454" s="145" t="inlineStr">
        <is>
          <t>Normal</t>
        </is>
      </c>
      <c r="F454" s="145" t="inlineStr">
        <is>
          <t>#8EA9DB</t>
        </is>
      </c>
      <c r="G454" s="145" t="inlineStr">
        <is>
          <t>Aptos</t>
        </is>
      </c>
      <c r="H454" s="145" t="n">
        <v>8</v>
      </c>
      <c r="I454" s="145" t="inlineStr">
        <is>
          <t>No</t>
        </is>
      </c>
      <c r="J454" s="145" t="inlineStr">
        <is>
          <t>No</t>
        </is>
      </c>
      <c r="K454" s="145" t="inlineStr">
        <is>
          <t>None</t>
        </is>
      </c>
      <c r="L454" s="145" t="inlineStr">
        <is>
          <t>#000000</t>
        </is>
      </c>
      <c r="M454" s="145" t="inlineStr">
        <is>
          <t>General</t>
        </is>
      </c>
      <c r="N454" s="145" t="inlineStr">
        <is>
          <t>Center</t>
        </is>
      </c>
      <c r="O454" s="145" t="inlineStr">
        <is>
          <t>No</t>
        </is>
      </c>
      <c r="P454" s="145" t="inlineStr">
        <is>
          <t>General</t>
        </is>
      </c>
      <c r="Q454" s="145" t="inlineStr">
        <is>
          <t>General</t>
        </is>
      </c>
      <c r="R454" s="145" t="n"/>
      <c r="S454" s="145" t="n"/>
      <c r="T454" s="145" t="n"/>
      <c r="U454" s="145" t="n"/>
      <c r="V454" s="145" t="n"/>
      <c r="W454" s="145" t="n"/>
      <c r="X454" s="145" t="inlineStr">
        <is>
          <t>Detailed format sample from top 5 used rows</t>
        </is>
      </c>
    </row>
    <row r="455" ht="23.85" customHeight="1" s="79">
      <c r="A455" s="145" t="inlineStr">
        <is>
          <t>REGULAR_ART</t>
        </is>
      </c>
      <c r="B455" s="145" t="inlineStr">
        <is>
          <t>Top-Row Cell Format</t>
        </is>
      </c>
      <c r="C455" s="145" t="inlineStr">
        <is>
          <t>AC5</t>
        </is>
      </c>
      <c r="D455" s="145" t="inlineStr">
        <is>
          <t>REGULAR_ART!A1:AT410</t>
        </is>
      </c>
      <c r="E455" s="145" t="inlineStr">
        <is>
          <t>Normal</t>
        </is>
      </c>
      <c r="F455" s="145" t="inlineStr">
        <is>
          <t>#8EA9DB</t>
        </is>
      </c>
      <c r="G455" s="145" t="inlineStr">
        <is>
          <t>Aptos</t>
        </is>
      </c>
      <c r="H455" s="145" t="n">
        <v>8</v>
      </c>
      <c r="I455" s="145" t="inlineStr">
        <is>
          <t>No</t>
        </is>
      </c>
      <c r="J455" s="145" t="inlineStr">
        <is>
          <t>No</t>
        </is>
      </c>
      <c r="K455" s="145" t="inlineStr">
        <is>
          <t>None</t>
        </is>
      </c>
      <c r="L455" s="145" t="inlineStr">
        <is>
          <t>#000000</t>
        </is>
      </c>
      <c r="M455" s="145" t="inlineStr">
        <is>
          <t>General</t>
        </is>
      </c>
      <c r="N455" s="145" t="inlineStr">
        <is>
          <t>Center</t>
        </is>
      </c>
      <c r="O455" s="145" t="inlineStr">
        <is>
          <t>No</t>
        </is>
      </c>
      <c r="P455" s="145" t="inlineStr">
        <is>
          <t>General</t>
        </is>
      </c>
      <c r="Q455" s="145" t="inlineStr">
        <is>
          <t>General</t>
        </is>
      </c>
      <c r="R455" s="145" t="n"/>
      <c r="S455" s="145" t="n"/>
      <c r="T455" s="145" t="n"/>
      <c r="U455" s="145" t="n"/>
      <c r="V455" s="145" t="n"/>
      <c r="W455" s="145" t="n"/>
      <c r="X455" s="145" t="inlineStr">
        <is>
          <t>Detailed format sample from top 5 used rows</t>
        </is>
      </c>
    </row>
    <row r="456" ht="57.45" customHeight="1" s="79">
      <c r="A456" s="145" t="inlineStr">
        <is>
          <t>REGULAR_ART</t>
        </is>
      </c>
      <c r="B456" s="145" t="inlineStr">
        <is>
          <t>Column Format</t>
        </is>
      </c>
      <c r="C456" s="145" t="inlineStr">
        <is>
          <t>AD:AD</t>
        </is>
      </c>
      <c r="D456" s="145" t="inlineStr">
        <is>
          <t>REGULAR_ART!A1:AT410</t>
        </is>
      </c>
      <c r="E456" s="145" t="inlineStr">
        <is>
          <t>Mixed</t>
        </is>
      </c>
      <c r="F456" s="145" t="inlineStr">
        <is>
          <t>Mixed</t>
        </is>
      </c>
      <c r="G456" s="145" t="inlineStr">
        <is>
          <t>Aptos</t>
        </is>
      </c>
      <c r="H456" s="145" t="n">
        <v>8</v>
      </c>
      <c r="I456" s="145" t="inlineStr">
        <is>
          <t>Mixed</t>
        </is>
      </c>
      <c r="J456" s="145" t="inlineStr">
        <is>
          <t>No</t>
        </is>
      </c>
      <c r="K456" s="145" t="inlineStr">
        <is>
          <t>None</t>
        </is>
      </c>
      <c r="L456" s="145" t="inlineStr">
        <is>
          <t>#000000</t>
        </is>
      </c>
      <c r="M456" s="145" t="inlineStr">
        <is>
          <t>Mixed</t>
        </is>
      </c>
      <c r="N456" s="145" t="inlineStr">
        <is>
          <t>Center</t>
        </is>
      </c>
      <c r="O456" s="145" t="inlineStr">
        <is>
          <t>Mixed</t>
        </is>
      </c>
      <c r="P456" s="145" t="n"/>
      <c r="Q456" s="145" t="n"/>
      <c r="R456" s="145" t="inlineStr">
        <is>
          <t>EdgeTop:Continuous/Thin/#000000; EdgeBottom:Continuous/Thin/#000000; EdgeLeft:Continuous/Thin/#000000; EdgeRight:Continuous/Thin/#000000; InsideHorizontal:Continuous/Thin/#000000</t>
        </is>
      </c>
      <c r="S456" s="145" t="n">
        <v>52.6567164179104</v>
      </c>
      <c r="T456" s="145" t="n"/>
      <c r="U456" s="145" t="inlineStr">
        <is>
          <t>No</t>
        </is>
      </c>
      <c r="V456" s="145" t="inlineStr">
        <is>
          <t>Visible</t>
        </is>
      </c>
      <c r="W456" s="145" t="n"/>
      <c r="X456" s="145" t="inlineStr">
        <is>
          <t>Mixed styles within used column</t>
        </is>
      </c>
    </row>
    <row r="457" ht="23.85" customHeight="1" s="79">
      <c r="A457" s="145" t="inlineStr">
        <is>
          <t>REGULAR_ART</t>
        </is>
      </c>
      <c r="B457" s="145" t="inlineStr">
        <is>
          <t>Top-Row Cell Format</t>
        </is>
      </c>
      <c r="C457" s="145" t="inlineStr">
        <is>
          <t>AD1</t>
        </is>
      </c>
      <c r="D457" s="145" t="inlineStr">
        <is>
          <t>REGULAR_ART!A1:AT410</t>
        </is>
      </c>
      <c r="E457" s="145" t="inlineStr">
        <is>
          <t>Normal</t>
        </is>
      </c>
      <c r="F457" s="145" t="inlineStr">
        <is>
          <t>#C9C9C9</t>
        </is>
      </c>
      <c r="G457" s="145" t="inlineStr">
        <is>
          <t>Aptos</t>
        </is>
      </c>
      <c r="H457" s="145" t="n">
        <v>8</v>
      </c>
      <c r="I457" s="145" t="inlineStr">
        <is>
          <t>Yes</t>
        </is>
      </c>
      <c r="J457" s="145" t="inlineStr">
        <is>
          <t>No</t>
        </is>
      </c>
      <c r="K457" s="145" t="inlineStr">
        <is>
          <t>None</t>
        </is>
      </c>
      <c r="L457" s="145" t="inlineStr">
        <is>
          <t>#000000</t>
        </is>
      </c>
      <c r="M457" s="145" t="inlineStr">
        <is>
          <t>Center</t>
        </is>
      </c>
      <c r="N457" s="145" t="inlineStr">
        <is>
          <t>Center</t>
        </is>
      </c>
      <c r="O457" s="145" t="inlineStr">
        <is>
          <t>No</t>
        </is>
      </c>
      <c r="P457" s="145" t="inlineStr">
        <is>
          <t>General</t>
        </is>
      </c>
      <c r="Q457" s="145" t="inlineStr">
        <is>
          <t>General</t>
        </is>
      </c>
      <c r="R457" s="145" t="n"/>
      <c r="S457" s="145" t="n"/>
      <c r="T457" s="145" t="n"/>
      <c r="U457" s="145" t="n"/>
      <c r="V457" s="145" t="n"/>
      <c r="W457" s="145" t="n"/>
      <c r="X457" s="145" t="inlineStr">
        <is>
          <t>Detailed format sample from top 5 used rows</t>
        </is>
      </c>
    </row>
    <row r="458" ht="23.85" customHeight="1" s="79">
      <c r="A458" s="145" t="inlineStr">
        <is>
          <t>REGULAR_ART</t>
        </is>
      </c>
      <c r="B458" s="145" t="inlineStr">
        <is>
          <t>Top-Row Cell Format</t>
        </is>
      </c>
      <c r="C458" s="145" t="inlineStr">
        <is>
          <t>AD2</t>
        </is>
      </c>
      <c r="D458" s="145" t="inlineStr">
        <is>
          <t>REGULAR_ART!A1:AT410</t>
        </is>
      </c>
      <c r="E458" s="145" t="inlineStr">
        <is>
          <t>Percent</t>
        </is>
      </c>
      <c r="F458" s="145" t="inlineStr">
        <is>
          <t>#B4C6E7</t>
        </is>
      </c>
      <c r="G458" s="145" t="inlineStr">
        <is>
          <t>Aptos</t>
        </is>
      </c>
      <c r="H458" s="145" t="n">
        <v>8</v>
      </c>
      <c r="I458" s="145" t="inlineStr">
        <is>
          <t>Yes</t>
        </is>
      </c>
      <c r="J458" s="145" t="inlineStr">
        <is>
          <t>No</t>
        </is>
      </c>
      <c r="K458" s="145" t="inlineStr">
        <is>
          <t>None</t>
        </is>
      </c>
      <c r="L458" s="145" t="inlineStr">
        <is>
          <t>#000000</t>
        </is>
      </c>
      <c r="M458" s="145" t="inlineStr">
        <is>
          <t>Center</t>
        </is>
      </c>
      <c r="N458" s="145" t="inlineStr">
        <is>
          <t>Center</t>
        </is>
      </c>
      <c r="O458" s="145" t="inlineStr">
        <is>
          <t>No</t>
        </is>
      </c>
      <c r="P458" s="146" t="n">
        <v>0</v>
      </c>
      <c r="Q458" s="145" t="inlineStr">
        <is>
          <t>Percentage</t>
        </is>
      </c>
      <c r="R458" s="145" t="n"/>
      <c r="S458" s="145" t="n"/>
      <c r="T458" s="145" t="n"/>
      <c r="U458" s="145" t="n"/>
      <c r="V458" s="145" t="n"/>
      <c r="W458" s="145" t="n"/>
      <c r="X458" s="145" t="inlineStr">
        <is>
          <t>Detailed format sample from top 5 used rows</t>
        </is>
      </c>
    </row>
    <row r="459" ht="23.85" customHeight="1" s="79">
      <c r="A459" s="145" t="inlineStr">
        <is>
          <t>REGULAR_ART</t>
        </is>
      </c>
      <c r="B459" s="145" t="inlineStr">
        <is>
          <t>Top-Row Cell Format</t>
        </is>
      </c>
      <c r="C459" s="145" t="inlineStr">
        <is>
          <t>AD3</t>
        </is>
      </c>
      <c r="D459" s="145" t="inlineStr">
        <is>
          <t>REGULAR_ART!A1:AT410</t>
        </is>
      </c>
      <c r="E459" s="145" t="inlineStr">
        <is>
          <t>Normal</t>
        </is>
      </c>
      <c r="F459" s="145" t="inlineStr">
        <is>
          <t>#F8CBAD</t>
        </is>
      </c>
      <c r="G459" s="145" t="inlineStr">
        <is>
          <t>Aptos</t>
        </is>
      </c>
      <c r="H459" s="145" t="n">
        <v>8</v>
      </c>
      <c r="I459" s="145" t="inlineStr">
        <is>
          <t>Yes</t>
        </is>
      </c>
      <c r="J459" s="145" t="inlineStr">
        <is>
          <t>No</t>
        </is>
      </c>
      <c r="K459" s="145" t="inlineStr">
        <is>
          <t>None</t>
        </is>
      </c>
      <c r="L459" s="145" t="inlineStr">
        <is>
          <t>#000000</t>
        </is>
      </c>
      <c r="M459" s="145" t="inlineStr">
        <is>
          <t>Center</t>
        </is>
      </c>
      <c r="N459" s="145" t="inlineStr">
        <is>
          <t>Center</t>
        </is>
      </c>
      <c r="O459" s="145" t="inlineStr">
        <is>
          <t>Yes</t>
        </is>
      </c>
      <c r="P459" s="145" t="inlineStr">
        <is>
          <t>General</t>
        </is>
      </c>
      <c r="Q459" s="145" t="inlineStr">
        <is>
          <t>General</t>
        </is>
      </c>
      <c r="R459" s="145" t="n"/>
      <c r="S459" s="145" t="n"/>
      <c r="T459" s="145" t="n"/>
      <c r="U459" s="145" t="n"/>
      <c r="V459" s="145" t="n"/>
      <c r="W459" s="145" t="n"/>
      <c r="X459" s="145" t="inlineStr">
        <is>
          <t>Detailed format sample from top 5 used rows</t>
        </is>
      </c>
    </row>
    <row r="460" ht="23.85" customHeight="1" s="79">
      <c r="A460" s="145" t="inlineStr">
        <is>
          <t>REGULAR_ART</t>
        </is>
      </c>
      <c r="B460" s="145" t="inlineStr">
        <is>
          <t>Top-Row Cell Format</t>
        </is>
      </c>
      <c r="C460" s="145" t="inlineStr">
        <is>
          <t>AD4</t>
        </is>
      </c>
      <c r="D460" s="145" t="inlineStr">
        <is>
          <t>REGULAR_ART!A1:AT410</t>
        </is>
      </c>
      <c r="E460" s="145" t="inlineStr">
        <is>
          <t>Normal</t>
        </is>
      </c>
      <c r="F460" s="145" t="inlineStr">
        <is>
          <t>#F8CBAD</t>
        </is>
      </c>
      <c r="G460" s="145" t="inlineStr">
        <is>
          <t>Aptos</t>
        </is>
      </c>
      <c r="H460" s="145" t="n">
        <v>8</v>
      </c>
      <c r="I460" s="145" t="inlineStr">
        <is>
          <t>No</t>
        </is>
      </c>
      <c r="J460" s="145" t="inlineStr">
        <is>
          <t>No</t>
        </is>
      </c>
      <c r="K460" s="145" t="inlineStr">
        <is>
          <t>None</t>
        </is>
      </c>
      <c r="L460" s="145" t="inlineStr">
        <is>
          <t>#000000</t>
        </is>
      </c>
      <c r="M460" s="145" t="inlineStr">
        <is>
          <t>General</t>
        </is>
      </c>
      <c r="N460" s="145" t="inlineStr">
        <is>
          <t>Center</t>
        </is>
      </c>
      <c r="O460" s="145" t="inlineStr">
        <is>
          <t>No</t>
        </is>
      </c>
      <c r="P460" s="145" t="inlineStr">
        <is>
          <t>General</t>
        </is>
      </c>
      <c r="Q460" s="145" t="inlineStr">
        <is>
          <t>General</t>
        </is>
      </c>
      <c r="R460" s="145" t="n"/>
      <c r="S460" s="145" t="n"/>
      <c r="T460" s="145" t="n"/>
      <c r="U460" s="145" t="n"/>
      <c r="V460" s="145" t="n"/>
      <c r="W460" s="145" t="n"/>
      <c r="X460" s="145" t="inlineStr">
        <is>
          <t>Detailed format sample from top 5 used rows</t>
        </is>
      </c>
    </row>
    <row r="461" ht="23.85" customHeight="1" s="79">
      <c r="A461" s="145" t="inlineStr">
        <is>
          <t>REGULAR_ART</t>
        </is>
      </c>
      <c r="B461" s="145" t="inlineStr">
        <is>
          <t>Top-Row Cell Format</t>
        </is>
      </c>
      <c r="C461" s="145" t="inlineStr">
        <is>
          <t>AD5</t>
        </is>
      </c>
      <c r="D461" s="145" t="inlineStr">
        <is>
          <t>REGULAR_ART!A1:AT410</t>
        </is>
      </c>
      <c r="E461" s="145" t="inlineStr">
        <is>
          <t>Percent</t>
        </is>
      </c>
      <c r="F461" s="145" t="n"/>
      <c r="G461" s="145" t="inlineStr">
        <is>
          <t>Aptos</t>
        </is>
      </c>
      <c r="H461" s="145" t="n">
        <v>8</v>
      </c>
      <c r="I461" s="145" t="inlineStr">
        <is>
          <t>No</t>
        </is>
      </c>
      <c r="J461" s="145" t="inlineStr">
        <is>
          <t>No</t>
        </is>
      </c>
      <c r="K461" s="145" t="inlineStr">
        <is>
          <t>None</t>
        </is>
      </c>
      <c r="L461" s="145" t="inlineStr">
        <is>
          <t>#000000</t>
        </is>
      </c>
      <c r="M461" s="145" t="inlineStr">
        <is>
          <t>Center</t>
        </is>
      </c>
      <c r="N461" s="145" t="inlineStr">
        <is>
          <t>Center</t>
        </is>
      </c>
      <c r="O461" s="145" t="inlineStr">
        <is>
          <t>No</t>
        </is>
      </c>
      <c r="P461" s="146" t="n">
        <v>0</v>
      </c>
      <c r="Q461" s="145" t="inlineStr">
        <is>
          <t>Percentage</t>
        </is>
      </c>
      <c r="R461" s="145" t="n"/>
      <c r="S461" s="145" t="n"/>
      <c r="T461" s="145" t="n"/>
      <c r="U461" s="145" t="n"/>
      <c r="V461" s="145" t="n"/>
      <c r="W461" s="145" t="n"/>
      <c r="X461" s="145" t="inlineStr">
        <is>
          <t>Detailed format sample from top 5 used rows</t>
        </is>
      </c>
    </row>
    <row r="462" ht="46.25" customHeight="1" s="79">
      <c r="A462" s="145" t="inlineStr">
        <is>
          <t>REGULAR_ART</t>
        </is>
      </c>
      <c r="B462" s="145" t="inlineStr">
        <is>
          <t>Column Format</t>
        </is>
      </c>
      <c r="C462" s="145" t="inlineStr">
        <is>
          <t>AE:AE</t>
        </is>
      </c>
      <c r="D462" s="145" t="inlineStr">
        <is>
          <t>REGULAR_ART!A1:AT410</t>
        </is>
      </c>
      <c r="E462" s="145" t="inlineStr">
        <is>
          <t>Mixed</t>
        </is>
      </c>
      <c r="F462" s="145" t="inlineStr">
        <is>
          <t>Mixed</t>
        </is>
      </c>
      <c r="G462" s="145" t="inlineStr">
        <is>
          <t>Aptos</t>
        </is>
      </c>
      <c r="H462" s="145" t="n">
        <v>8</v>
      </c>
      <c r="I462" s="145" t="inlineStr">
        <is>
          <t>Mixed</t>
        </is>
      </c>
      <c r="J462" s="145" t="inlineStr">
        <is>
          <t>No</t>
        </is>
      </c>
      <c r="K462" s="145" t="inlineStr">
        <is>
          <t>None</t>
        </is>
      </c>
      <c r="L462" s="145" t="inlineStr">
        <is>
          <t>#000000</t>
        </is>
      </c>
      <c r="M462" s="145" t="inlineStr">
        <is>
          <t>Mixed</t>
        </is>
      </c>
      <c r="N462" s="145" t="inlineStr">
        <is>
          <t>Center</t>
        </is>
      </c>
      <c r="O462" s="145" t="inlineStr">
        <is>
          <t>Mixed</t>
        </is>
      </c>
      <c r="P462" s="145" t="n"/>
      <c r="Q462" s="145" t="n"/>
      <c r="R462" s="145" t="inlineStr">
        <is>
          <t>EdgeTop:Continuous/Thin/#000000; EdgeBottom:Continuous/Thin/#000000; EdgeRight:Continuous/Thin/#000000; InsideHorizontal:Continuous/Thin/#000000</t>
        </is>
      </c>
      <c r="S462" s="145" t="n">
        <v>0</v>
      </c>
      <c r="T462" s="145" t="n"/>
      <c r="U462" s="145" t="inlineStr">
        <is>
          <t>Yes</t>
        </is>
      </c>
      <c r="V462" s="145" t="inlineStr">
        <is>
          <t>Hidden column (possible outline/group)</t>
        </is>
      </c>
      <c r="W462" s="145" t="n"/>
      <c r="X462" s="145" t="inlineStr">
        <is>
          <t>Mixed styles within used column</t>
        </is>
      </c>
    </row>
    <row r="463" ht="23.85" customHeight="1" s="79">
      <c r="A463" s="145" t="inlineStr">
        <is>
          <t>REGULAR_ART</t>
        </is>
      </c>
      <c r="B463" s="145" t="inlineStr">
        <is>
          <t>Top-Row Cell Format</t>
        </is>
      </c>
      <c r="C463" s="145" t="inlineStr">
        <is>
          <t>AE1</t>
        </is>
      </c>
      <c r="D463" s="145" t="inlineStr">
        <is>
          <t>REGULAR_ART!A1:AT410</t>
        </is>
      </c>
      <c r="E463" s="145" t="inlineStr">
        <is>
          <t>Normal</t>
        </is>
      </c>
      <c r="F463" s="145" t="inlineStr">
        <is>
          <t>#C9C9C9</t>
        </is>
      </c>
      <c r="G463" s="145" t="inlineStr">
        <is>
          <t>Aptos</t>
        </is>
      </c>
      <c r="H463" s="145" t="n">
        <v>8</v>
      </c>
      <c r="I463" s="145" t="inlineStr">
        <is>
          <t>Yes</t>
        </is>
      </c>
      <c r="J463" s="145" t="inlineStr">
        <is>
          <t>No</t>
        </is>
      </c>
      <c r="K463" s="145" t="inlineStr">
        <is>
          <t>None</t>
        </is>
      </c>
      <c r="L463" s="145" t="inlineStr">
        <is>
          <t>#000000</t>
        </is>
      </c>
      <c r="M463" s="145" t="inlineStr">
        <is>
          <t>Center</t>
        </is>
      </c>
      <c r="N463" s="145" t="inlineStr">
        <is>
          <t>Center</t>
        </is>
      </c>
      <c r="O463" s="145" t="inlineStr">
        <is>
          <t>No</t>
        </is>
      </c>
      <c r="P463" s="145" t="inlineStr">
        <is>
          <t>General</t>
        </is>
      </c>
      <c r="Q463" s="145" t="inlineStr">
        <is>
          <t>General</t>
        </is>
      </c>
      <c r="R463" s="145" t="n"/>
      <c r="S463" s="145" t="n"/>
      <c r="T463" s="145" t="n"/>
      <c r="U463" s="145" t="n"/>
      <c r="V463" s="145" t="n"/>
      <c r="W463" s="145" t="n"/>
      <c r="X463" s="145" t="inlineStr">
        <is>
          <t>Detailed format sample from top 5 used rows</t>
        </is>
      </c>
    </row>
    <row r="464" ht="23.85" customHeight="1" s="79">
      <c r="A464" s="145" t="inlineStr">
        <is>
          <t>REGULAR_ART</t>
        </is>
      </c>
      <c r="B464" s="145" t="inlineStr">
        <is>
          <t>Top-Row Cell Format</t>
        </is>
      </c>
      <c r="C464" s="145" t="inlineStr">
        <is>
          <t>AE2</t>
        </is>
      </c>
      <c r="D464" s="145" t="inlineStr">
        <is>
          <t>REGULAR_ART!A1:AT410</t>
        </is>
      </c>
      <c r="E464" s="145" t="inlineStr">
        <is>
          <t>Percent</t>
        </is>
      </c>
      <c r="F464" s="145" t="inlineStr">
        <is>
          <t>#B4C6E7</t>
        </is>
      </c>
      <c r="G464" s="145" t="inlineStr">
        <is>
          <t>Aptos</t>
        </is>
      </c>
      <c r="H464" s="145" t="n">
        <v>8</v>
      </c>
      <c r="I464" s="145" t="inlineStr">
        <is>
          <t>Yes</t>
        </is>
      </c>
      <c r="J464" s="145" t="inlineStr">
        <is>
          <t>No</t>
        </is>
      </c>
      <c r="K464" s="145" t="inlineStr">
        <is>
          <t>None</t>
        </is>
      </c>
      <c r="L464" s="145" t="inlineStr">
        <is>
          <t>#000000</t>
        </is>
      </c>
      <c r="M464" s="145" t="inlineStr">
        <is>
          <t>Center</t>
        </is>
      </c>
      <c r="N464" s="145" t="inlineStr">
        <is>
          <t>Center</t>
        </is>
      </c>
      <c r="O464" s="145" t="inlineStr">
        <is>
          <t>No</t>
        </is>
      </c>
      <c r="P464" s="146" t="n">
        <v>0</v>
      </c>
      <c r="Q464" s="145" t="inlineStr">
        <is>
          <t>Percentage</t>
        </is>
      </c>
      <c r="R464" s="145" t="n"/>
      <c r="S464" s="145" t="n"/>
      <c r="T464" s="145" t="n"/>
      <c r="U464" s="145" t="n"/>
      <c r="V464" s="145" t="n"/>
      <c r="W464" s="145" t="n"/>
      <c r="X464" s="145" t="inlineStr">
        <is>
          <t>Detailed format sample from top 5 used rows</t>
        </is>
      </c>
    </row>
    <row r="465" ht="23.85" customHeight="1" s="79">
      <c r="A465" s="145" t="inlineStr">
        <is>
          <t>REGULAR_ART</t>
        </is>
      </c>
      <c r="B465" s="145" t="inlineStr">
        <is>
          <t>Top-Row Cell Format</t>
        </is>
      </c>
      <c r="C465" s="145" t="inlineStr">
        <is>
          <t>AE3</t>
        </is>
      </c>
      <c r="D465" s="145" t="inlineStr">
        <is>
          <t>REGULAR_ART!A1:AT410</t>
        </is>
      </c>
      <c r="E465" s="145" t="inlineStr">
        <is>
          <t>Normal</t>
        </is>
      </c>
      <c r="F465" s="145" t="inlineStr">
        <is>
          <t>#F8CBAD</t>
        </is>
      </c>
      <c r="G465" s="145" t="inlineStr">
        <is>
          <t>Aptos</t>
        </is>
      </c>
      <c r="H465" s="145" t="n">
        <v>8</v>
      </c>
      <c r="I465" s="145" t="inlineStr">
        <is>
          <t>Yes</t>
        </is>
      </c>
      <c r="J465" s="145" t="inlineStr">
        <is>
          <t>No</t>
        </is>
      </c>
      <c r="K465" s="145" t="inlineStr">
        <is>
          <t>None</t>
        </is>
      </c>
      <c r="L465" s="145" t="inlineStr">
        <is>
          <t>#000000</t>
        </is>
      </c>
      <c r="M465" s="145" t="inlineStr">
        <is>
          <t>Center</t>
        </is>
      </c>
      <c r="N465" s="145" t="inlineStr">
        <is>
          <t>Center</t>
        </is>
      </c>
      <c r="O465" s="145" t="inlineStr">
        <is>
          <t>Yes</t>
        </is>
      </c>
      <c r="P465" s="145" t="inlineStr">
        <is>
          <t>General</t>
        </is>
      </c>
      <c r="Q465" s="145" t="inlineStr">
        <is>
          <t>General</t>
        </is>
      </c>
      <c r="R465" s="145" t="n"/>
      <c r="S465" s="145" t="n"/>
      <c r="T465" s="145" t="n"/>
      <c r="U465" s="145" t="n"/>
      <c r="V465" s="145" t="n"/>
      <c r="W465" s="145" t="n"/>
      <c r="X465" s="145" t="inlineStr">
        <is>
          <t>Detailed format sample from top 5 used rows</t>
        </is>
      </c>
    </row>
    <row r="466" ht="23.85" customHeight="1" s="79">
      <c r="A466" s="145" t="inlineStr">
        <is>
          <t>REGULAR_ART</t>
        </is>
      </c>
      <c r="B466" s="145" t="inlineStr">
        <is>
          <t>Top-Row Cell Format</t>
        </is>
      </c>
      <c r="C466" s="145" t="inlineStr">
        <is>
          <t>AE4</t>
        </is>
      </c>
      <c r="D466" s="145" t="inlineStr">
        <is>
          <t>REGULAR_ART!A1:AT410</t>
        </is>
      </c>
      <c r="E466" s="145" t="inlineStr">
        <is>
          <t>Normal</t>
        </is>
      </c>
      <c r="F466" s="145" t="inlineStr">
        <is>
          <t>#F8CBAD</t>
        </is>
      </c>
      <c r="G466" s="145" t="inlineStr">
        <is>
          <t>Aptos</t>
        </is>
      </c>
      <c r="H466" s="145" t="n">
        <v>8</v>
      </c>
      <c r="I466" s="145" t="inlineStr">
        <is>
          <t>No</t>
        </is>
      </c>
      <c r="J466" s="145" t="inlineStr">
        <is>
          <t>No</t>
        </is>
      </c>
      <c r="K466" s="145" t="inlineStr">
        <is>
          <t>None</t>
        </is>
      </c>
      <c r="L466" s="145" t="inlineStr">
        <is>
          <t>#000000</t>
        </is>
      </c>
      <c r="M466" s="145" t="inlineStr">
        <is>
          <t>General</t>
        </is>
      </c>
      <c r="N466" s="145" t="inlineStr">
        <is>
          <t>Center</t>
        </is>
      </c>
      <c r="O466" s="145" t="inlineStr">
        <is>
          <t>No</t>
        </is>
      </c>
      <c r="P466" s="145" t="inlineStr">
        <is>
          <t>General</t>
        </is>
      </c>
      <c r="Q466" s="145" t="inlineStr">
        <is>
          <t>General</t>
        </is>
      </c>
      <c r="R466" s="145" t="n"/>
      <c r="S466" s="145" t="n"/>
      <c r="T466" s="145" t="n"/>
      <c r="U466" s="145" t="n"/>
      <c r="V466" s="145" t="n"/>
      <c r="W466" s="145" t="n"/>
      <c r="X466" s="145" t="inlineStr">
        <is>
          <t>Detailed format sample from top 5 used rows</t>
        </is>
      </c>
    </row>
    <row r="467" ht="23.85" customHeight="1" s="79">
      <c r="A467" s="145" t="inlineStr">
        <is>
          <t>REGULAR_ART</t>
        </is>
      </c>
      <c r="B467" s="145" t="inlineStr">
        <is>
          <t>Top-Row Cell Format</t>
        </is>
      </c>
      <c r="C467" s="145" t="inlineStr">
        <is>
          <t>AE5</t>
        </is>
      </c>
      <c r="D467" s="145" t="inlineStr">
        <is>
          <t>REGULAR_ART!A1:AT410</t>
        </is>
      </c>
      <c r="E467" s="145" t="inlineStr">
        <is>
          <t>Percent</t>
        </is>
      </c>
      <c r="F467" s="145" t="n"/>
      <c r="G467" s="145" t="inlineStr">
        <is>
          <t>Aptos</t>
        </is>
      </c>
      <c r="H467" s="145" t="n">
        <v>8</v>
      </c>
      <c r="I467" s="145" t="inlineStr">
        <is>
          <t>No</t>
        </is>
      </c>
      <c r="J467" s="145" t="inlineStr">
        <is>
          <t>No</t>
        </is>
      </c>
      <c r="K467" s="145" t="inlineStr">
        <is>
          <t>None</t>
        </is>
      </c>
      <c r="L467" s="145" t="inlineStr">
        <is>
          <t>#000000</t>
        </is>
      </c>
      <c r="M467" s="145" t="inlineStr">
        <is>
          <t>Center</t>
        </is>
      </c>
      <c r="N467" s="145" t="inlineStr">
        <is>
          <t>Center</t>
        </is>
      </c>
      <c r="O467" s="145" t="inlineStr">
        <is>
          <t>No</t>
        </is>
      </c>
      <c r="P467" s="146" t="n">
        <v>0</v>
      </c>
      <c r="Q467" s="145" t="inlineStr">
        <is>
          <t>Percentage</t>
        </is>
      </c>
      <c r="R467" s="145" t="n"/>
      <c r="S467" s="145" t="n"/>
      <c r="T467" s="145" t="n"/>
      <c r="U467" s="145" t="n"/>
      <c r="V467" s="145" t="n"/>
      <c r="W467" s="145" t="n"/>
      <c r="X467" s="145" t="inlineStr">
        <is>
          <t>Detailed format sample from top 5 used rows</t>
        </is>
      </c>
    </row>
    <row r="468" ht="46.25" customHeight="1" s="79">
      <c r="A468" s="145" t="inlineStr">
        <is>
          <t>REGULAR_ART</t>
        </is>
      </c>
      <c r="B468" s="145" t="inlineStr">
        <is>
          <t>Column Format</t>
        </is>
      </c>
      <c r="C468" s="145" t="inlineStr">
        <is>
          <t>AF:AF</t>
        </is>
      </c>
      <c r="D468" s="145" t="inlineStr">
        <is>
          <t>REGULAR_ART!A1:AT410</t>
        </is>
      </c>
      <c r="E468" s="145" t="inlineStr">
        <is>
          <t>Mixed</t>
        </is>
      </c>
      <c r="F468" s="145" t="inlineStr">
        <is>
          <t>Mixed</t>
        </is>
      </c>
      <c r="G468" s="145" t="inlineStr">
        <is>
          <t>Aptos</t>
        </is>
      </c>
      <c r="H468" s="145" t="n">
        <v>8</v>
      </c>
      <c r="I468" s="145" t="inlineStr">
        <is>
          <t>Mixed</t>
        </is>
      </c>
      <c r="J468" s="145" t="inlineStr">
        <is>
          <t>No</t>
        </is>
      </c>
      <c r="K468" s="145" t="inlineStr">
        <is>
          <t>None</t>
        </is>
      </c>
      <c r="L468" s="145" t="inlineStr">
        <is>
          <t>#000000</t>
        </is>
      </c>
      <c r="M468" s="145" t="inlineStr">
        <is>
          <t>Mixed</t>
        </is>
      </c>
      <c r="N468" s="145" t="inlineStr">
        <is>
          <t>Center</t>
        </is>
      </c>
      <c r="O468" s="145" t="inlineStr">
        <is>
          <t>Mixed</t>
        </is>
      </c>
      <c r="P468" s="145" t="n"/>
      <c r="Q468" s="145" t="n"/>
      <c r="R468" s="145" t="inlineStr">
        <is>
          <t>EdgeTop:Continuous/Thin/#000000; EdgeBottom:Continuous/Thin/#000000; EdgeRight:Continuous/Thin/#000000; InsideHorizontal:Continuous/Thin/#000000</t>
        </is>
      </c>
      <c r="S468" s="145" t="n">
        <v>0</v>
      </c>
      <c r="T468" s="145" t="n"/>
      <c r="U468" s="145" t="inlineStr">
        <is>
          <t>Yes</t>
        </is>
      </c>
      <c r="V468" s="145" t="inlineStr">
        <is>
          <t>Hidden column (possible outline/group)</t>
        </is>
      </c>
      <c r="W468" s="145" t="n"/>
      <c r="X468" s="145" t="inlineStr">
        <is>
          <t>Mixed styles within used column</t>
        </is>
      </c>
    </row>
    <row r="469" ht="23.85" customHeight="1" s="79">
      <c r="A469" s="145" t="inlineStr">
        <is>
          <t>REGULAR_ART</t>
        </is>
      </c>
      <c r="B469" s="145" t="inlineStr">
        <is>
          <t>Top-Row Cell Format</t>
        </is>
      </c>
      <c r="C469" s="145" t="inlineStr">
        <is>
          <t>AF1</t>
        </is>
      </c>
      <c r="D469" s="145" t="inlineStr">
        <is>
          <t>REGULAR_ART!A1:AT410</t>
        </is>
      </c>
      <c r="E469" s="145" t="inlineStr">
        <is>
          <t>Normal</t>
        </is>
      </c>
      <c r="F469" s="145" t="inlineStr">
        <is>
          <t>#C9C9C9</t>
        </is>
      </c>
      <c r="G469" s="145" t="inlineStr">
        <is>
          <t>Aptos</t>
        </is>
      </c>
      <c r="H469" s="145" t="n">
        <v>8</v>
      </c>
      <c r="I469" s="145" t="inlineStr">
        <is>
          <t>Yes</t>
        </is>
      </c>
      <c r="J469" s="145" t="inlineStr">
        <is>
          <t>No</t>
        </is>
      </c>
      <c r="K469" s="145" t="inlineStr">
        <is>
          <t>None</t>
        </is>
      </c>
      <c r="L469" s="145" t="inlineStr">
        <is>
          <t>#000000</t>
        </is>
      </c>
      <c r="M469" s="145" t="inlineStr">
        <is>
          <t>Center</t>
        </is>
      </c>
      <c r="N469" s="145" t="inlineStr">
        <is>
          <t>Center</t>
        </is>
      </c>
      <c r="O469" s="145" t="inlineStr">
        <is>
          <t>No</t>
        </is>
      </c>
      <c r="P469" s="145" t="inlineStr">
        <is>
          <t>General</t>
        </is>
      </c>
      <c r="Q469" s="145" t="inlineStr">
        <is>
          <t>General</t>
        </is>
      </c>
      <c r="R469" s="145" t="n"/>
      <c r="S469" s="145" t="n"/>
      <c r="T469" s="145" t="n"/>
      <c r="U469" s="145" t="n"/>
      <c r="V469" s="145" t="n"/>
      <c r="W469" s="145" t="n"/>
      <c r="X469" s="145" t="inlineStr">
        <is>
          <t>Detailed format sample from top 5 used rows</t>
        </is>
      </c>
    </row>
    <row r="470" ht="23.85" customHeight="1" s="79">
      <c r="A470" s="145" t="inlineStr">
        <is>
          <t>REGULAR_ART</t>
        </is>
      </c>
      <c r="B470" s="145" t="inlineStr">
        <is>
          <t>Top-Row Cell Format</t>
        </is>
      </c>
      <c r="C470" s="145" t="inlineStr">
        <is>
          <t>AF2</t>
        </is>
      </c>
      <c r="D470" s="145" t="inlineStr">
        <is>
          <t>REGULAR_ART!A1:AT410</t>
        </is>
      </c>
      <c r="E470" s="145" t="inlineStr">
        <is>
          <t>Percent</t>
        </is>
      </c>
      <c r="F470" s="145" t="inlineStr">
        <is>
          <t>#B4C6E7</t>
        </is>
      </c>
      <c r="G470" s="145" t="inlineStr">
        <is>
          <t>Aptos</t>
        </is>
      </c>
      <c r="H470" s="145" t="n">
        <v>8</v>
      </c>
      <c r="I470" s="145" t="inlineStr">
        <is>
          <t>Yes</t>
        </is>
      </c>
      <c r="J470" s="145" t="inlineStr">
        <is>
          <t>No</t>
        </is>
      </c>
      <c r="K470" s="145" t="inlineStr">
        <is>
          <t>None</t>
        </is>
      </c>
      <c r="L470" s="145" t="inlineStr">
        <is>
          <t>#000000</t>
        </is>
      </c>
      <c r="M470" s="145" t="inlineStr">
        <is>
          <t>Center</t>
        </is>
      </c>
      <c r="N470" s="145" t="inlineStr">
        <is>
          <t>Center</t>
        </is>
      </c>
      <c r="O470" s="145" t="inlineStr">
        <is>
          <t>No</t>
        </is>
      </c>
      <c r="P470" s="146" t="n">
        <v>0</v>
      </c>
      <c r="Q470" s="145" t="inlineStr">
        <is>
          <t>Percentage</t>
        </is>
      </c>
      <c r="R470" s="145" t="n"/>
      <c r="S470" s="145" t="n"/>
      <c r="T470" s="145" t="n"/>
      <c r="U470" s="145" t="n"/>
      <c r="V470" s="145" t="n"/>
      <c r="W470" s="145" t="n"/>
      <c r="X470" s="145" t="inlineStr">
        <is>
          <t>Detailed format sample from top 5 used rows</t>
        </is>
      </c>
    </row>
    <row r="471" ht="23.85" customHeight="1" s="79">
      <c r="A471" s="145" t="inlineStr">
        <is>
          <t>REGULAR_ART</t>
        </is>
      </c>
      <c r="B471" s="145" t="inlineStr">
        <is>
          <t>Top-Row Cell Format</t>
        </is>
      </c>
      <c r="C471" s="145" t="inlineStr">
        <is>
          <t>AF3</t>
        </is>
      </c>
      <c r="D471" s="145" t="inlineStr">
        <is>
          <t>REGULAR_ART!A1:AT410</t>
        </is>
      </c>
      <c r="E471" s="145" t="inlineStr">
        <is>
          <t>Normal</t>
        </is>
      </c>
      <c r="F471" s="145" t="inlineStr">
        <is>
          <t>#F8CBAD</t>
        </is>
      </c>
      <c r="G471" s="145" t="inlineStr">
        <is>
          <t>Aptos</t>
        </is>
      </c>
      <c r="H471" s="145" t="n">
        <v>8</v>
      </c>
      <c r="I471" s="145" t="inlineStr">
        <is>
          <t>Yes</t>
        </is>
      </c>
      <c r="J471" s="145" t="inlineStr">
        <is>
          <t>No</t>
        </is>
      </c>
      <c r="K471" s="145" t="inlineStr">
        <is>
          <t>None</t>
        </is>
      </c>
      <c r="L471" s="145" t="inlineStr">
        <is>
          <t>#000000</t>
        </is>
      </c>
      <c r="M471" s="145" t="inlineStr">
        <is>
          <t>Center</t>
        </is>
      </c>
      <c r="N471" s="145" t="inlineStr">
        <is>
          <t>Center</t>
        </is>
      </c>
      <c r="O471" s="145" t="inlineStr">
        <is>
          <t>Yes</t>
        </is>
      </c>
      <c r="P471" s="145" t="inlineStr">
        <is>
          <t>General</t>
        </is>
      </c>
      <c r="Q471" s="145" t="inlineStr">
        <is>
          <t>General</t>
        </is>
      </c>
      <c r="R471" s="145" t="n"/>
      <c r="S471" s="145" t="n"/>
      <c r="T471" s="145" t="n"/>
      <c r="U471" s="145" t="n"/>
      <c r="V471" s="145" t="n"/>
      <c r="W471" s="145" t="n"/>
      <c r="X471" s="145" t="inlineStr">
        <is>
          <t>Detailed format sample from top 5 used rows</t>
        </is>
      </c>
    </row>
    <row r="472" ht="23.85" customHeight="1" s="79">
      <c r="A472" s="145" t="inlineStr">
        <is>
          <t>REGULAR_ART</t>
        </is>
      </c>
      <c r="B472" s="145" t="inlineStr">
        <is>
          <t>Top-Row Cell Format</t>
        </is>
      </c>
      <c r="C472" s="145" t="inlineStr">
        <is>
          <t>AF4</t>
        </is>
      </c>
      <c r="D472" s="145" t="inlineStr">
        <is>
          <t>REGULAR_ART!A1:AT410</t>
        </is>
      </c>
      <c r="E472" s="145" t="inlineStr">
        <is>
          <t>Normal</t>
        </is>
      </c>
      <c r="F472" s="145" t="inlineStr">
        <is>
          <t>#F8CBAD</t>
        </is>
      </c>
      <c r="G472" s="145" t="inlineStr">
        <is>
          <t>Aptos</t>
        </is>
      </c>
      <c r="H472" s="145" t="n">
        <v>8</v>
      </c>
      <c r="I472" s="145" t="inlineStr">
        <is>
          <t>No</t>
        </is>
      </c>
      <c r="J472" s="145" t="inlineStr">
        <is>
          <t>No</t>
        </is>
      </c>
      <c r="K472" s="145" t="inlineStr">
        <is>
          <t>None</t>
        </is>
      </c>
      <c r="L472" s="145" t="inlineStr">
        <is>
          <t>#000000</t>
        </is>
      </c>
      <c r="M472" s="145" t="inlineStr">
        <is>
          <t>General</t>
        </is>
      </c>
      <c r="N472" s="145" t="inlineStr">
        <is>
          <t>Center</t>
        </is>
      </c>
      <c r="O472" s="145" t="inlineStr">
        <is>
          <t>No</t>
        </is>
      </c>
      <c r="P472" s="145" t="inlineStr">
        <is>
          <t>General</t>
        </is>
      </c>
      <c r="Q472" s="145" t="inlineStr">
        <is>
          <t>General</t>
        </is>
      </c>
      <c r="R472" s="145" t="n"/>
      <c r="S472" s="145" t="n"/>
      <c r="T472" s="145" t="n"/>
      <c r="U472" s="145" t="n"/>
      <c r="V472" s="145" t="n"/>
      <c r="W472" s="145" t="n"/>
      <c r="X472" s="145" t="inlineStr">
        <is>
          <t>Detailed format sample from top 5 used rows</t>
        </is>
      </c>
    </row>
    <row r="473" ht="23.85" customHeight="1" s="79">
      <c r="A473" s="145" t="inlineStr">
        <is>
          <t>REGULAR_ART</t>
        </is>
      </c>
      <c r="B473" s="145" t="inlineStr">
        <is>
          <t>Top-Row Cell Format</t>
        </is>
      </c>
      <c r="C473" s="145" t="inlineStr">
        <is>
          <t>AF5</t>
        </is>
      </c>
      <c r="D473" s="145" t="inlineStr">
        <is>
          <t>REGULAR_ART!A1:AT410</t>
        </is>
      </c>
      <c r="E473" s="145" t="inlineStr">
        <is>
          <t>Percent</t>
        </is>
      </c>
      <c r="F473" s="145" t="n"/>
      <c r="G473" s="145" t="inlineStr">
        <is>
          <t>Aptos</t>
        </is>
      </c>
      <c r="H473" s="145" t="n">
        <v>8</v>
      </c>
      <c r="I473" s="145" t="inlineStr">
        <is>
          <t>No</t>
        </is>
      </c>
      <c r="J473" s="145" t="inlineStr">
        <is>
          <t>No</t>
        </is>
      </c>
      <c r="K473" s="145" t="inlineStr">
        <is>
          <t>None</t>
        </is>
      </c>
      <c r="L473" s="145" t="inlineStr">
        <is>
          <t>#000000</t>
        </is>
      </c>
      <c r="M473" s="145" t="inlineStr">
        <is>
          <t>Center</t>
        </is>
      </c>
      <c r="N473" s="145" t="inlineStr">
        <is>
          <t>Center</t>
        </is>
      </c>
      <c r="O473" s="145" t="inlineStr">
        <is>
          <t>No</t>
        </is>
      </c>
      <c r="P473" s="146" t="n">
        <v>0</v>
      </c>
      <c r="Q473" s="145" t="inlineStr">
        <is>
          <t>Percentage</t>
        </is>
      </c>
      <c r="R473" s="145" t="n"/>
      <c r="S473" s="145" t="n"/>
      <c r="T473" s="145" t="n"/>
      <c r="U473" s="145" t="n"/>
      <c r="V473" s="145" t="n"/>
      <c r="W473" s="145" t="n"/>
      <c r="X473" s="145" t="inlineStr">
        <is>
          <t>Detailed format sample from top 5 used rows</t>
        </is>
      </c>
    </row>
    <row r="474" ht="46.25" customHeight="1" s="79">
      <c r="A474" s="145" t="inlineStr">
        <is>
          <t>REGULAR_ART</t>
        </is>
      </c>
      <c r="B474" s="145" t="inlineStr">
        <is>
          <t>Column Format</t>
        </is>
      </c>
      <c r="C474" s="145" t="inlineStr">
        <is>
          <t>AG:AG</t>
        </is>
      </c>
      <c r="D474" s="145" t="inlineStr">
        <is>
          <t>REGULAR_ART!A1:AT410</t>
        </is>
      </c>
      <c r="E474" s="145" t="inlineStr">
        <is>
          <t>Mixed</t>
        </is>
      </c>
      <c r="F474" s="145" t="inlineStr">
        <is>
          <t>Mixed</t>
        </is>
      </c>
      <c r="G474" s="145" t="inlineStr">
        <is>
          <t>Aptos</t>
        </is>
      </c>
      <c r="H474" s="145" t="n">
        <v>8</v>
      </c>
      <c r="I474" s="145" t="inlineStr">
        <is>
          <t>Mixed</t>
        </is>
      </c>
      <c r="J474" s="145" t="inlineStr">
        <is>
          <t>No</t>
        </is>
      </c>
      <c r="K474" s="145" t="inlineStr">
        <is>
          <t>None</t>
        </is>
      </c>
      <c r="L474" s="145" t="inlineStr">
        <is>
          <t>#000000</t>
        </is>
      </c>
      <c r="M474" s="145" t="inlineStr">
        <is>
          <t>Mixed</t>
        </is>
      </c>
      <c r="N474" s="145" t="inlineStr">
        <is>
          <t>Center</t>
        </is>
      </c>
      <c r="O474" s="145" t="inlineStr">
        <is>
          <t>Mixed</t>
        </is>
      </c>
      <c r="P474" s="145" t="n"/>
      <c r="Q474" s="145" t="n"/>
      <c r="R474" s="145" t="inlineStr">
        <is>
          <t>EdgeTop:Continuous/Thin/#000000; EdgeBottom:Continuous/Thin/#000000; EdgeRight:Continuous/Thin/#000000; InsideHorizontal:Continuous/Thin/#000000</t>
        </is>
      </c>
      <c r="S474" s="145" t="n">
        <v>0</v>
      </c>
      <c r="T474" s="145" t="n"/>
      <c r="U474" s="145" t="inlineStr">
        <is>
          <t>Yes</t>
        </is>
      </c>
      <c r="V474" s="145" t="inlineStr">
        <is>
          <t>Hidden column (possible outline/group)</t>
        </is>
      </c>
      <c r="W474" s="145" t="n"/>
      <c r="X474" s="145" t="inlineStr">
        <is>
          <t>Mixed styles within used column</t>
        </is>
      </c>
    </row>
    <row r="475" ht="23.85" customHeight="1" s="79">
      <c r="A475" s="145" t="inlineStr">
        <is>
          <t>REGULAR_ART</t>
        </is>
      </c>
      <c r="B475" s="145" t="inlineStr">
        <is>
          <t>Top-Row Cell Format</t>
        </is>
      </c>
      <c r="C475" s="145" t="inlineStr">
        <is>
          <t>AG1</t>
        </is>
      </c>
      <c r="D475" s="145" t="inlineStr">
        <is>
          <t>REGULAR_ART!A1:AT410</t>
        </is>
      </c>
      <c r="E475" s="145" t="inlineStr">
        <is>
          <t>Normal</t>
        </is>
      </c>
      <c r="F475" s="145" t="inlineStr">
        <is>
          <t>#C9C9C9</t>
        </is>
      </c>
      <c r="G475" s="145" t="inlineStr">
        <is>
          <t>Aptos</t>
        </is>
      </c>
      <c r="H475" s="145" t="n">
        <v>8</v>
      </c>
      <c r="I475" s="145" t="inlineStr">
        <is>
          <t>Yes</t>
        </is>
      </c>
      <c r="J475" s="145" t="inlineStr">
        <is>
          <t>No</t>
        </is>
      </c>
      <c r="K475" s="145" t="inlineStr">
        <is>
          <t>None</t>
        </is>
      </c>
      <c r="L475" s="145" t="inlineStr">
        <is>
          <t>#000000</t>
        </is>
      </c>
      <c r="M475" s="145" t="inlineStr">
        <is>
          <t>Center</t>
        </is>
      </c>
      <c r="N475" s="145" t="inlineStr">
        <is>
          <t>Center</t>
        </is>
      </c>
      <c r="O475" s="145" t="inlineStr">
        <is>
          <t>No</t>
        </is>
      </c>
      <c r="P475" s="145" t="inlineStr">
        <is>
          <t>General</t>
        </is>
      </c>
      <c r="Q475" s="145" t="inlineStr">
        <is>
          <t>General</t>
        </is>
      </c>
      <c r="R475" s="145" t="n"/>
      <c r="S475" s="145" t="n"/>
      <c r="T475" s="145" t="n"/>
      <c r="U475" s="145" t="n"/>
      <c r="V475" s="145" t="n"/>
      <c r="W475" s="145" t="n"/>
      <c r="X475" s="145" t="inlineStr">
        <is>
          <t>Detailed format sample from top 5 used rows</t>
        </is>
      </c>
    </row>
    <row r="476" ht="23.85" customHeight="1" s="79">
      <c r="A476" s="145" t="inlineStr">
        <is>
          <t>REGULAR_ART</t>
        </is>
      </c>
      <c r="B476" s="145" t="inlineStr">
        <is>
          <t>Top-Row Cell Format</t>
        </is>
      </c>
      <c r="C476" s="145" t="inlineStr">
        <is>
          <t>AG2</t>
        </is>
      </c>
      <c r="D476" s="145" t="inlineStr">
        <is>
          <t>REGULAR_ART!A1:AT410</t>
        </is>
      </c>
      <c r="E476" s="145" t="inlineStr">
        <is>
          <t>Percent</t>
        </is>
      </c>
      <c r="F476" s="145" t="inlineStr">
        <is>
          <t>#B4C6E7</t>
        </is>
      </c>
      <c r="G476" s="145" t="inlineStr">
        <is>
          <t>Aptos</t>
        </is>
      </c>
      <c r="H476" s="145" t="n">
        <v>8</v>
      </c>
      <c r="I476" s="145" t="inlineStr">
        <is>
          <t>Yes</t>
        </is>
      </c>
      <c r="J476" s="145" t="inlineStr">
        <is>
          <t>No</t>
        </is>
      </c>
      <c r="K476" s="145" t="inlineStr">
        <is>
          <t>None</t>
        </is>
      </c>
      <c r="L476" s="145" t="inlineStr">
        <is>
          <t>#000000</t>
        </is>
      </c>
      <c r="M476" s="145" t="inlineStr">
        <is>
          <t>Center</t>
        </is>
      </c>
      <c r="N476" s="145" t="inlineStr">
        <is>
          <t>Center</t>
        </is>
      </c>
      <c r="O476" s="145" t="inlineStr">
        <is>
          <t>No</t>
        </is>
      </c>
      <c r="P476" s="146" t="n">
        <v>0</v>
      </c>
      <c r="Q476" s="145" t="inlineStr">
        <is>
          <t>Percentage</t>
        </is>
      </c>
      <c r="R476" s="145" t="n"/>
      <c r="S476" s="145" t="n"/>
      <c r="T476" s="145" t="n"/>
      <c r="U476" s="145" t="n"/>
      <c r="V476" s="145" t="n"/>
      <c r="W476" s="145" t="n"/>
      <c r="X476" s="145" t="inlineStr">
        <is>
          <t>Detailed format sample from top 5 used rows</t>
        </is>
      </c>
    </row>
    <row r="477" ht="23.85" customHeight="1" s="79">
      <c r="A477" s="145" t="inlineStr">
        <is>
          <t>REGULAR_ART</t>
        </is>
      </c>
      <c r="B477" s="145" t="inlineStr">
        <is>
          <t>Top-Row Cell Format</t>
        </is>
      </c>
      <c r="C477" s="145" t="inlineStr">
        <is>
          <t>AG3</t>
        </is>
      </c>
      <c r="D477" s="145" t="inlineStr">
        <is>
          <t>REGULAR_ART!A1:AT410</t>
        </is>
      </c>
      <c r="E477" s="145" t="inlineStr">
        <is>
          <t>Normal</t>
        </is>
      </c>
      <c r="F477" s="145" t="inlineStr">
        <is>
          <t>#F8CBAD</t>
        </is>
      </c>
      <c r="G477" s="145" t="inlineStr">
        <is>
          <t>Aptos</t>
        </is>
      </c>
      <c r="H477" s="145" t="n">
        <v>8</v>
      </c>
      <c r="I477" s="145" t="inlineStr">
        <is>
          <t>Yes</t>
        </is>
      </c>
      <c r="J477" s="145" t="inlineStr">
        <is>
          <t>No</t>
        </is>
      </c>
      <c r="K477" s="145" t="inlineStr">
        <is>
          <t>None</t>
        </is>
      </c>
      <c r="L477" s="145" t="inlineStr">
        <is>
          <t>#000000</t>
        </is>
      </c>
      <c r="M477" s="145" t="inlineStr">
        <is>
          <t>Center</t>
        </is>
      </c>
      <c r="N477" s="145" t="inlineStr">
        <is>
          <t>Center</t>
        </is>
      </c>
      <c r="O477" s="145" t="inlineStr">
        <is>
          <t>Yes</t>
        </is>
      </c>
      <c r="P477" s="145" t="inlineStr">
        <is>
          <t>General</t>
        </is>
      </c>
      <c r="Q477" s="145" t="inlineStr">
        <is>
          <t>General</t>
        </is>
      </c>
      <c r="R477" s="145" t="n"/>
      <c r="S477" s="145" t="n"/>
      <c r="T477" s="145" t="n"/>
      <c r="U477" s="145" t="n"/>
      <c r="V477" s="145" t="n"/>
      <c r="W477" s="145" t="n"/>
      <c r="X477" s="145" t="inlineStr">
        <is>
          <t>Detailed format sample from top 5 used rows</t>
        </is>
      </c>
    </row>
    <row r="478" ht="23.85" customHeight="1" s="79">
      <c r="A478" s="145" t="inlineStr">
        <is>
          <t>REGULAR_ART</t>
        </is>
      </c>
      <c r="B478" s="145" t="inlineStr">
        <is>
          <t>Top-Row Cell Format</t>
        </is>
      </c>
      <c r="C478" s="145" t="inlineStr">
        <is>
          <t>AG4</t>
        </is>
      </c>
      <c r="D478" s="145" t="inlineStr">
        <is>
          <t>REGULAR_ART!A1:AT410</t>
        </is>
      </c>
      <c r="E478" s="145" t="inlineStr">
        <is>
          <t>Normal</t>
        </is>
      </c>
      <c r="F478" s="145" t="inlineStr">
        <is>
          <t>#F8CBAD</t>
        </is>
      </c>
      <c r="G478" s="145" t="inlineStr">
        <is>
          <t>Aptos</t>
        </is>
      </c>
      <c r="H478" s="145" t="n">
        <v>8</v>
      </c>
      <c r="I478" s="145" t="inlineStr">
        <is>
          <t>No</t>
        </is>
      </c>
      <c r="J478" s="145" t="inlineStr">
        <is>
          <t>No</t>
        </is>
      </c>
      <c r="K478" s="145" t="inlineStr">
        <is>
          <t>None</t>
        </is>
      </c>
      <c r="L478" s="145" t="inlineStr">
        <is>
          <t>#000000</t>
        </is>
      </c>
      <c r="M478" s="145" t="inlineStr">
        <is>
          <t>General</t>
        </is>
      </c>
      <c r="N478" s="145" t="inlineStr">
        <is>
          <t>Center</t>
        </is>
      </c>
      <c r="O478" s="145" t="inlineStr">
        <is>
          <t>No</t>
        </is>
      </c>
      <c r="P478" s="145" t="inlineStr">
        <is>
          <t>General</t>
        </is>
      </c>
      <c r="Q478" s="145" t="inlineStr">
        <is>
          <t>General</t>
        </is>
      </c>
      <c r="R478" s="145" t="n"/>
      <c r="S478" s="145" t="n"/>
      <c r="T478" s="145" t="n"/>
      <c r="U478" s="145" t="n"/>
      <c r="V478" s="145" t="n"/>
      <c r="W478" s="145" t="n"/>
      <c r="X478" s="145" t="inlineStr">
        <is>
          <t>Detailed format sample from top 5 used rows</t>
        </is>
      </c>
    </row>
    <row r="479" ht="23.85" customHeight="1" s="79">
      <c r="A479" s="145" t="inlineStr">
        <is>
          <t>REGULAR_ART</t>
        </is>
      </c>
      <c r="B479" s="145" t="inlineStr">
        <is>
          <t>Top-Row Cell Format</t>
        </is>
      </c>
      <c r="C479" s="145" t="inlineStr">
        <is>
          <t>AG5</t>
        </is>
      </c>
      <c r="D479" s="145" t="inlineStr">
        <is>
          <t>REGULAR_ART!A1:AT410</t>
        </is>
      </c>
      <c r="E479" s="145" t="inlineStr">
        <is>
          <t>Percent</t>
        </is>
      </c>
      <c r="F479" s="145" t="n"/>
      <c r="G479" s="145" t="inlineStr">
        <is>
          <t>Aptos</t>
        </is>
      </c>
      <c r="H479" s="145" t="n">
        <v>8</v>
      </c>
      <c r="I479" s="145" t="inlineStr">
        <is>
          <t>No</t>
        </is>
      </c>
      <c r="J479" s="145" t="inlineStr">
        <is>
          <t>No</t>
        </is>
      </c>
      <c r="K479" s="145" t="inlineStr">
        <is>
          <t>None</t>
        </is>
      </c>
      <c r="L479" s="145" t="inlineStr">
        <is>
          <t>#000000</t>
        </is>
      </c>
      <c r="M479" s="145" t="inlineStr">
        <is>
          <t>Center</t>
        </is>
      </c>
      <c r="N479" s="145" t="inlineStr">
        <is>
          <t>Center</t>
        </is>
      </c>
      <c r="O479" s="145" t="inlineStr">
        <is>
          <t>No</t>
        </is>
      </c>
      <c r="P479" s="146" t="n">
        <v>0</v>
      </c>
      <c r="Q479" s="145" t="inlineStr">
        <is>
          <t>Percentage</t>
        </is>
      </c>
      <c r="R479" s="145" t="n"/>
      <c r="S479" s="145" t="n"/>
      <c r="T479" s="145" t="n"/>
      <c r="U479" s="145" t="n"/>
      <c r="V479" s="145" t="n"/>
      <c r="W479" s="145" t="n"/>
      <c r="X479" s="145" t="inlineStr">
        <is>
          <t>Detailed format sample from top 5 used rows</t>
        </is>
      </c>
    </row>
    <row r="480" ht="46.25" customHeight="1" s="79">
      <c r="A480" s="145" t="inlineStr">
        <is>
          <t>REGULAR_ART</t>
        </is>
      </c>
      <c r="B480" s="145" t="inlineStr">
        <is>
          <t>Column Format</t>
        </is>
      </c>
      <c r="C480" s="145" t="inlineStr">
        <is>
          <t>AH:AH</t>
        </is>
      </c>
      <c r="D480" s="145" t="inlineStr">
        <is>
          <t>REGULAR_ART!A1:AT410</t>
        </is>
      </c>
      <c r="E480" s="145" t="inlineStr">
        <is>
          <t>Mixed</t>
        </is>
      </c>
      <c r="F480" s="145" t="inlineStr">
        <is>
          <t>Mixed</t>
        </is>
      </c>
      <c r="G480" s="145" t="inlineStr">
        <is>
          <t>Aptos</t>
        </is>
      </c>
      <c r="H480" s="145" t="n">
        <v>8</v>
      </c>
      <c r="I480" s="145" t="inlineStr">
        <is>
          <t>Mixed</t>
        </is>
      </c>
      <c r="J480" s="145" t="inlineStr">
        <is>
          <t>No</t>
        </is>
      </c>
      <c r="K480" s="145" t="inlineStr">
        <is>
          <t>None</t>
        </is>
      </c>
      <c r="L480" s="145" t="inlineStr">
        <is>
          <t>#000000</t>
        </is>
      </c>
      <c r="M480" s="145" t="inlineStr">
        <is>
          <t>Mixed</t>
        </is>
      </c>
      <c r="N480" s="145" t="inlineStr">
        <is>
          <t>Center</t>
        </is>
      </c>
      <c r="O480" s="145" t="inlineStr">
        <is>
          <t>Mixed</t>
        </is>
      </c>
      <c r="P480" s="145" t="n"/>
      <c r="Q480" s="145" t="n"/>
      <c r="R480" s="145" t="inlineStr">
        <is>
          <t>EdgeTop:Continuous/Thin/#000000; EdgeBottom:Continuous/Thin/#000000; EdgeRight:Continuous/Thin/#000000; InsideHorizontal:Continuous/Thin/#000000</t>
        </is>
      </c>
      <c r="S480" s="145" t="n">
        <v>45.6716417910448</v>
      </c>
      <c r="T480" s="145" t="n"/>
      <c r="U480" s="145" t="inlineStr">
        <is>
          <t>No</t>
        </is>
      </c>
      <c r="V480" s="145" t="inlineStr">
        <is>
          <t>Visible</t>
        </is>
      </c>
      <c r="W480" s="145" t="n"/>
      <c r="X480" s="145" t="inlineStr">
        <is>
          <t>Mixed styles within used column</t>
        </is>
      </c>
    </row>
    <row r="481" ht="23.85" customHeight="1" s="79">
      <c r="A481" s="145" t="inlineStr">
        <is>
          <t>REGULAR_ART</t>
        </is>
      </c>
      <c r="B481" s="145" t="inlineStr">
        <is>
          <t>Top-Row Cell Format</t>
        </is>
      </c>
      <c r="C481" s="145" t="inlineStr">
        <is>
          <t>AH1</t>
        </is>
      </c>
      <c r="D481" s="145" t="inlineStr">
        <is>
          <t>REGULAR_ART!A1:AT410</t>
        </is>
      </c>
      <c r="E481" s="145" t="inlineStr">
        <is>
          <t>Normal</t>
        </is>
      </c>
      <c r="F481" s="145" t="inlineStr">
        <is>
          <t>#C9C9C9</t>
        </is>
      </c>
      <c r="G481" s="145" t="inlineStr">
        <is>
          <t>Aptos</t>
        </is>
      </c>
      <c r="H481" s="145" t="n">
        <v>8</v>
      </c>
      <c r="I481" s="145" t="inlineStr">
        <is>
          <t>Yes</t>
        </is>
      </c>
      <c r="J481" s="145" t="inlineStr">
        <is>
          <t>No</t>
        </is>
      </c>
      <c r="K481" s="145" t="inlineStr">
        <is>
          <t>None</t>
        </is>
      </c>
      <c r="L481" s="145" t="inlineStr">
        <is>
          <t>#000000</t>
        </is>
      </c>
      <c r="M481" s="145" t="inlineStr">
        <is>
          <t>Center</t>
        </is>
      </c>
      <c r="N481" s="145" t="inlineStr">
        <is>
          <t>Center</t>
        </is>
      </c>
      <c r="O481" s="145" t="inlineStr">
        <is>
          <t>No</t>
        </is>
      </c>
      <c r="P481" s="145" t="inlineStr">
        <is>
          <t>General</t>
        </is>
      </c>
      <c r="Q481" s="145" t="inlineStr">
        <is>
          <t>General</t>
        </is>
      </c>
      <c r="R481" s="145" t="n"/>
      <c r="S481" s="145" t="n"/>
      <c r="T481" s="145" t="n"/>
      <c r="U481" s="145" t="n"/>
      <c r="V481" s="145" t="n"/>
      <c r="W481" s="145" t="n"/>
      <c r="X481" s="145" t="inlineStr">
        <is>
          <t>Detailed format sample from top 5 used rows</t>
        </is>
      </c>
    </row>
    <row r="482" ht="23.85" customHeight="1" s="79">
      <c r="A482" s="145" t="inlineStr">
        <is>
          <t>REGULAR_ART</t>
        </is>
      </c>
      <c r="B482" s="145" t="inlineStr">
        <is>
          <t>Top-Row Cell Format</t>
        </is>
      </c>
      <c r="C482" s="145" t="inlineStr">
        <is>
          <t>AH2</t>
        </is>
      </c>
      <c r="D482" s="145" t="inlineStr">
        <is>
          <t>REGULAR_ART!A1:AT410</t>
        </is>
      </c>
      <c r="E482" s="145" t="inlineStr">
        <is>
          <t>Comma</t>
        </is>
      </c>
      <c r="F482" s="145" t="inlineStr">
        <is>
          <t>#B4C6E7</t>
        </is>
      </c>
      <c r="G482" s="145" t="inlineStr">
        <is>
          <t>Aptos</t>
        </is>
      </c>
      <c r="H482" s="145" t="n">
        <v>8</v>
      </c>
      <c r="I482" s="145" t="inlineStr">
        <is>
          <t>Yes</t>
        </is>
      </c>
      <c r="J482" s="145" t="inlineStr">
        <is>
          <t>No</t>
        </is>
      </c>
      <c r="K482" s="145" t="inlineStr">
        <is>
          <t>None</t>
        </is>
      </c>
      <c r="L482" s="145" t="inlineStr">
        <is>
          <t>#000000</t>
        </is>
      </c>
      <c r="M482" s="145" t="inlineStr">
        <is>
          <t>General</t>
        </is>
      </c>
      <c r="N482" s="145" t="inlineStr">
        <is>
          <t>Center</t>
        </is>
      </c>
      <c r="O482" s="145" t="inlineStr">
        <is>
          <t>No</t>
        </is>
      </c>
      <c r="P482" s="145" t="inlineStr">
        <is>
          <t xml:space="preserve">_ * #,##0_ ;_ * -#,##0_ ;_ * "-"??_ ;_ @_ </t>
        </is>
      </c>
      <c r="Q482" s="145" t="inlineStr">
        <is>
          <t>Text</t>
        </is>
      </c>
      <c r="R482" s="145" t="n"/>
      <c r="S482" s="145" t="n"/>
      <c r="T482" s="145" t="n"/>
      <c r="U482" s="145" t="n"/>
      <c r="V482" s="145" t="n"/>
      <c r="W482" s="145" t="n"/>
      <c r="X482" s="145" t="inlineStr">
        <is>
          <t>Detailed format sample from top 5 used rows</t>
        </is>
      </c>
    </row>
    <row r="483" ht="23.85" customHeight="1" s="79">
      <c r="A483" s="145" t="inlineStr">
        <is>
          <t>REGULAR_ART</t>
        </is>
      </c>
      <c r="B483" s="145" t="inlineStr">
        <is>
          <t>Top-Row Cell Format</t>
        </is>
      </c>
      <c r="C483" s="145" t="inlineStr">
        <is>
          <t>AH3</t>
        </is>
      </c>
      <c r="D483" s="145" t="inlineStr">
        <is>
          <t>REGULAR_ART!A1:AT410</t>
        </is>
      </c>
      <c r="E483" s="145" t="inlineStr">
        <is>
          <t>Normal</t>
        </is>
      </c>
      <c r="F483" s="145" t="inlineStr">
        <is>
          <t>#F8CBAD</t>
        </is>
      </c>
      <c r="G483" s="145" t="inlineStr">
        <is>
          <t>Aptos</t>
        </is>
      </c>
      <c r="H483" s="145" t="n">
        <v>8</v>
      </c>
      <c r="I483" s="145" t="inlineStr">
        <is>
          <t>Yes</t>
        </is>
      </c>
      <c r="J483" s="145" t="inlineStr">
        <is>
          <t>No</t>
        </is>
      </c>
      <c r="K483" s="145" t="inlineStr">
        <is>
          <t>None</t>
        </is>
      </c>
      <c r="L483" s="145" t="inlineStr">
        <is>
          <t>#000000</t>
        </is>
      </c>
      <c r="M483" s="145" t="inlineStr">
        <is>
          <t>Center</t>
        </is>
      </c>
      <c r="N483" s="145" t="inlineStr">
        <is>
          <t>Center</t>
        </is>
      </c>
      <c r="O483" s="145" t="inlineStr">
        <is>
          <t>Yes</t>
        </is>
      </c>
      <c r="P483" s="145" t="inlineStr">
        <is>
          <t>General</t>
        </is>
      </c>
      <c r="Q483" s="145" t="inlineStr">
        <is>
          <t>General</t>
        </is>
      </c>
      <c r="R483" s="145" t="n"/>
      <c r="S483" s="145" t="n"/>
      <c r="T483" s="145" t="n"/>
      <c r="U483" s="145" t="n"/>
      <c r="V483" s="145" t="n"/>
      <c r="W483" s="145" t="n"/>
      <c r="X483" s="145" t="inlineStr">
        <is>
          <t>Detailed format sample from top 5 used rows</t>
        </is>
      </c>
    </row>
    <row r="484" ht="23.85" customHeight="1" s="79">
      <c r="A484" s="145" t="inlineStr">
        <is>
          <t>REGULAR_ART</t>
        </is>
      </c>
      <c r="B484" s="145" t="inlineStr">
        <is>
          <t>Top-Row Cell Format</t>
        </is>
      </c>
      <c r="C484" s="145" t="inlineStr">
        <is>
          <t>AH4</t>
        </is>
      </c>
      <c r="D484" s="145" t="inlineStr">
        <is>
          <t>REGULAR_ART!A1:AT410</t>
        </is>
      </c>
      <c r="E484" s="145" t="inlineStr">
        <is>
          <t>Normal</t>
        </is>
      </c>
      <c r="F484" s="145" t="inlineStr">
        <is>
          <t>#F8CBAD</t>
        </is>
      </c>
      <c r="G484" s="145" t="inlineStr">
        <is>
          <t>Aptos</t>
        </is>
      </c>
      <c r="H484" s="145" t="n">
        <v>8</v>
      </c>
      <c r="I484" s="145" t="inlineStr">
        <is>
          <t>No</t>
        </is>
      </c>
      <c r="J484" s="145" t="inlineStr">
        <is>
          <t>No</t>
        </is>
      </c>
      <c r="K484" s="145" t="inlineStr">
        <is>
          <t>None</t>
        </is>
      </c>
      <c r="L484" s="145" t="inlineStr">
        <is>
          <t>#000000</t>
        </is>
      </c>
      <c r="M484" s="145" t="inlineStr">
        <is>
          <t>General</t>
        </is>
      </c>
      <c r="N484" s="145" t="inlineStr">
        <is>
          <t>Center</t>
        </is>
      </c>
      <c r="O484" s="145" t="inlineStr">
        <is>
          <t>No</t>
        </is>
      </c>
      <c r="P484" s="145" t="inlineStr">
        <is>
          <t>General</t>
        </is>
      </c>
      <c r="Q484" s="145" t="inlineStr">
        <is>
          <t>General</t>
        </is>
      </c>
      <c r="R484" s="145" t="n"/>
      <c r="S484" s="145" t="n"/>
      <c r="T484" s="145" t="n"/>
      <c r="U484" s="145" t="n"/>
      <c r="V484" s="145" t="n"/>
      <c r="W484" s="145" t="n"/>
      <c r="X484" s="145" t="inlineStr">
        <is>
          <t>Detailed format sample from top 5 used rows</t>
        </is>
      </c>
    </row>
    <row r="485" ht="23.85" customHeight="1" s="79">
      <c r="A485" s="145" t="inlineStr">
        <is>
          <t>REGULAR_ART</t>
        </is>
      </c>
      <c r="B485" s="145" t="inlineStr">
        <is>
          <t>Top-Row Cell Format</t>
        </is>
      </c>
      <c r="C485" s="145" t="inlineStr">
        <is>
          <t>AH5</t>
        </is>
      </c>
      <c r="D485" s="145" t="inlineStr">
        <is>
          <t>REGULAR_ART!A1:AT410</t>
        </is>
      </c>
      <c r="E485" s="145" t="inlineStr">
        <is>
          <t>Comma</t>
        </is>
      </c>
      <c r="F485" s="145" t="n"/>
      <c r="G485" s="145" t="inlineStr">
        <is>
          <t>Aptos</t>
        </is>
      </c>
      <c r="H485" s="145" t="n">
        <v>8</v>
      </c>
      <c r="I485" s="145" t="inlineStr">
        <is>
          <t>No</t>
        </is>
      </c>
      <c r="J485" s="145" t="inlineStr">
        <is>
          <t>No</t>
        </is>
      </c>
      <c r="K485" s="145" t="inlineStr">
        <is>
          <t>None</t>
        </is>
      </c>
      <c r="L485" s="145" t="inlineStr">
        <is>
          <t>#000000</t>
        </is>
      </c>
      <c r="M485" s="145" t="inlineStr">
        <is>
          <t>General</t>
        </is>
      </c>
      <c r="N485" s="145" t="inlineStr">
        <is>
          <t>Center</t>
        </is>
      </c>
      <c r="O485" s="145" t="inlineStr">
        <is>
          <t>No</t>
        </is>
      </c>
      <c r="P485" s="145" t="inlineStr">
        <is>
          <t xml:space="preserve">_ * #,##0_ ;_ * -#,##0_ ;_ * "-"??_ ;_ @_ </t>
        </is>
      </c>
      <c r="Q485" s="145" t="inlineStr">
        <is>
          <t>Text</t>
        </is>
      </c>
      <c r="R485" s="145" t="n"/>
      <c r="S485" s="145" t="n"/>
      <c r="T485" s="145" t="n"/>
      <c r="U485" s="145" t="n"/>
      <c r="V485" s="145" t="n"/>
      <c r="W485" s="145" t="n"/>
      <c r="X485" s="145" t="inlineStr">
        <is>
          <t>Detailed format sample from top 5 used rows</t>
        </is>
      </c>
    </row>
    <row r="486" ht="35.05" customHeight="1" s="79">
      <c r="A486" s="145" t="inlineStr">
        <is>
          <t>REGULAR_ART</t>
        </is>
      </c>
      <c r="B486" s="145" t="inlineStr">
        <is>
          <t>Column Format</t>
        </is>
      </c>
      <c r="C486" s="145" t="inlineStr">
        <is>
          <t>AI:AI</t>
        </is>
      </c>
      <c r="D486" s="145" t="inlineStr">
        <is>
          <t>REGULAR_ART!A1:AT410</t>
        </is>
      </c>
      <c r="E486" s="145" t="inlineStr">
        <is>
          <t>Mixed</t>
        </is>
      </c>
      <c r="F486" s="145" t="inlineStr">
        <is>
          <t>Mixed</t>
        </is>
      </c>
      <c r="G486" s="145" t="inlineStr">
        <is>
          <t>Aptos</t>
        </is>
      </c>
      <c r="H486" s="145" t="n">
        <v>8</v>
      </c>
      <c r="I486" s="145" t="inlineStr">
        <is>
          <t>Mixed</t>
        </is>
      </c>
      <c r="J486" s="145" t="inlineStr">
        <is>
          <t>No</t>
        </is>
      </c>
      <c r="K486" s="145" t="inlineStr">
        <is>
          <t>None</t>
        </is>
      </c>
      <c r="L486" s="145" t="inlineStr">
        <is>
          <t>#000000</t>
        </is>
      </c>
      <c r="M486" s="145" t="inlineStr">
        <is>
          <t>Mixed</t>
        </is>
      </c>
      <c r="N486" s="145" t="inlineStr">
        <is>
          <t>Center</t>
        </is>
      </c>
      <c r="O486" s="145" t="inlineStr">
        <is>
          <t>Mixed</t>
        </is>
      </c>
      <c r="P486" s="145" t="n"/>
      <c r="Q486" s="145" t="n"/>
      <c r="R486" s="145" t="inlineStr">
        <is>
          <t>EdgeBottom:Continuous/Thin/#000000; EdgeLeft:Continuous/Thin/#000000; EdgeRight:Continuous/Thin/#000000</t>
        </is>
      </c>
      <c r="S486" s="145" t="n">
        <v>0</v>
      </c>
      <c r="T486" s="145" t="n"/>
      <c r="U486" s="145" t="inlineStr">
        <is>
          <t>Yes</t>
        </is>
      </c>
      <c r="V486" s="145" t="inlineStr">
        <is>
          <t>Hidden column (possible outline/group)</t>
        </is>
      </c>
      <c r="W486" s="145" t="n"/>
      <c r="X486" s="145" t="inlineStr">
        <is>
          <t>Mixed styles within used column</t>
        </is>
      </c>
    </row>
    <row r="487" ht="23.85" customHeight="1" s="79">
      <c r="A487" s="145" t="inlineStr">
        <is>
          <t>REGULAR_ART</t>
        </is>
      </c>
      <c r="B487" s="145" t="inlineStr">
        <is>
          <t>Top-Row Cell Format</t>
        </is>
      </c>
      <c r="C487" s="145" t="inlineStr">
        <is>
          <t>AI1</t>
        </is>
      </c>
      <c r="D487" s="145" t="inlineStr">
        <is>
          <t>REGULAR_ART!A1:AT410</t>
        </is>
      </c>
      <c r="E487" s="145" t="inlineStr">
        <is>
          <t>Normal</t>
        </is>
      </c>
      <c r="F487" s="145" t="n"/>
      <c r="G487" s="145" t="inlineStr">
        <is>
          <t>Aptos</t>
        </is>
      </c>
      <c r="H487" s="145" t="n">
        <v>8</v>
      </c>
      <c r="I487" s="145" t="inlineStr">
        <is>
          <t>Yes</t>
        </is>
      </c>
      <c r="J487" s="145" t="inlineStr">
        <is>
          <t>No</t>
        </is>
      </c>
      <c r="K487" s="145" t="inlineStr">
        <is>
          <t>None</t>
        </is>
      </c>
      <c r="L487" s="145" t="inlineStr">
        <is>
          <t>#000000</t>
        </is>
      </c>
      <c r="M487" s="145" t="inlineStr">
        <is>
          <t>General</t>
        </is>
      </c>
      <c r="N487" s="145" t="inlineStr">
        <is>
          <t>Center</t>
        </is>
      </c>
      <c r="O487" s="145" t="inlineStr">
        <is>
          <t>No</t>
        </is>
      </c>
      <c r="P487" s="145" t="inlineStr">
        <is>
          <t>General</t>
        </is>
      </c>
      <c r="Q487" s="145" t="inlineStr">
        <is>
          <t>General</t>
        </is>
      </c>
      <c r="R487" s="145" t="n"/>
      <c r="S487" s="145" t="n"/>
      <c r="T487" s="145" t="n"/>
      <c r="U487" s="145" t="n"/>
      <c r="V487" s="145" t="n"/>
      <c r="W487" s="145" t="n"/>
      <c r="X487" s="145" t="inlineStr">
        <is>
          <t>Detailed format sample from top 5 used rows</t>
        </is>
      </c>
    </row>
    <row r="488" ht="23.85" customHeight="1" s="79">
      <c r="A488" s="145" t="inlineStr">
        <is>
          <t>REGULAR_ART</t>
        </is>
      </c>
      <c r="B488" s="145" t="inlineStr">
        <is>
          <t>Top-Row Cell Format</t>
        </is>
      </c>
      <c r="C488" s="145" t="inlineStr">
        <is>
          <t>AI2</t>
        </is>
      </c>
      <c r="D488" s="145" t="inlineStr">
        <is>
          <t>REGULAR_ART!A1:AT410</t>
        </is>
      </c>
      <c r="E488" s="145" t="inlineStr">
        <is>
          <t>Comma</t>
        </is>
      </c>
      <c r="F488" s="145" t="inlineStr">
        <is>
          <t>#B4C6E7</t>
        </is>
      </c>
      <c r="G488" s="145" t="inlineStr">
        <is>
          <t>Aptos</t>
        </is>
      </c>
      <c r="H488" s="145" t="n">
        <v>8</v>
      </c>
      <c r="I488" s="145" t="inlineStr">
        <is>
          <t>Yes</t>
        </is>
      </c>
      <c r="J488" s="145" t="inlineStr">
        <is>
          <t>No</t>
        </is>
      </c>
      <c r="K488" s="145" t="inlineStr">
        <is>
          <t>None</t>
        </is>
      </c>
      <c r="L488" s="145" t="inlineStr">
        <is>
          <t>#000000</t>
        </is>
      </c>
      <c r="M488" s="145" t="inlineStr">
        <is>
          <t>General</t>
        </is>
      </c>
      <c r="N488" s="145" t="inlineStr">
        <is>
          <t>Center</t>
        </is>
      </c>
      <c r="O488" s="145" t="inlineStr">
        <is>
          <t>No</t>
        </is>
      </c>
      <c r="P488" s="145" t="inlineStr">
        <is>
          <t xml:space="preserve">_ * #,##0_ ;_ * -#,##0_ ;_ * "-"??_ ;_ @_ </t>
        </is>
      </c>
      <c r="Q488" s="145" t="inlineStr">
        <is>
          <t>Text</t>
        </is>
      </c>
      <c r="R488" s="145" t="n"/>
      <c r="S488" s="145" t="n"/>
      <c r="T488" s="145" t="n"/>
      <c r="U488" s="145" t="n"/>
      <c r="V488" s="145" t="n"/>
      <c r="W488" s="145" t="n"/>
      <c r="X488" s="145" t="inlineStr">
        <is>
          <t>Detailed format sample from top 5 used rows</t>
        </is>
      </c>
    </row>
    <row r="489" ht="23.85" customHeight="1" s="79">
      <c r="A489" s="145" t="inlineStr">
        <is>
          <t>REGULAR_ART</t>
        </is>
      </c>
      <c r="B489" s="145" t="inlineStr">
        <is>
          <t>Top-Row Cell Format</t>
        </is>
      </c>
      <c r="C489" s="145" t="inlineStr">
        <is>
          <t>AI3</t>
        </is>
      </c>
      <c r="D489" s="145" t="inlineStr">
        <is>
          <t>REGULAR_ART!A1:AT410</t>
        </is>
      </c>
      <c r="E489" s="145" t="inlineStr">
        <is>
          <t>Normal</t>
        </is>
      </c>
      <c r="F489" s="145" t="inlineStr">
        <is>
          <t>#F8CBAD</t>
        </is>
      </c>
      <c r="G489" s="145" t="inlineStr">
        <is>
          <t>Aptos</t>
        </is>
      </c>
      <c r="H489" s="145" t="n">
        <v>8</v>
      </c>
      <c r="I489" s="145" t="inlineStr">
        <is>
          <t>Yes</t>
        </is>
      </c>
      <c r="J489" s="145" t="inlineStr">
        <is>
          <t>No</t>
        </is>
      </c>
      <c r="K489" s="145" t="inlineStr">
        <is>
          <t>None</t>
        </is>
      </c>
      <c r="L489" s="145" t="inlineStr">
        <is>
          <t>#000000</t>
        </is>
      </c>
      <c r="M489" s="145" t="inlineStr">
        <is>
          <t>Center</t>
        </is>
      </c>
      <c r="N489" s="145" t="inlineStr">
        <is>
          <t>Center</t>
        </is>
      </c>
      <c r="O489" s="145" t="inlineStr">
        <is>
          <t>Yes</t>
        </is>
      </c>
      <c r="P489" s="145" t="inlineStr">
        <is>
          <t>General</t>
        </is>
      </c>
      <c r="Q489" s="145" t="inlineStr">
        <is>
          <t>General</t>
        </is>
      </c>
      <c r="R489" s="145" t="n"/>
      <c r="S489" s="145" t="n"/>
      <c r="T489" s="145" t="n"/>
      <c r="U489" s="145" t="n"/>
      <c r="V489" s="145" t="n"/>
      <c r="W489" s="145" t="n"/>
      <c r="X489" s="145" t="inlineStr">
        <is>
          <t>Detailed format sample from top 5 used rows</t>
        </is>
      </c>
    </row>
    <row r="490" ht="23.85" customHeight="1" s="79">
      <c r="A490" s="145" t="inlineStr">
        <is>
          <t>REGULAR_ART</t>
        </is>
      </c>
      <c r="B490" s="145" t="inlineStr">
        <is>
          <t>Top-Row Cell Format</t>
        </is>
      </c>
      <c r="C490" s="145" t="inlineStr">
        <is>
          <t>AI4</t>
        </is>
      </c>
      <c r="D490" s="145" t="inlineStr">
        <is>
          <t>REGULAR_ART!A1:AT410</t>
        </is>
      </c>
      <c r="E490" s="145" t="inlineStr">
        <is>
          <t>Normal</t>
        </is>
      </c>
      <c r="F490" s="145" t="inlineStr">
        <is>
          <t>#F8CBAD</t>
        </is>
      </c>
      <c r="G490" s="145" t="inlineStr">
        <is>
          <t>Aptos</t>
        </is>
      </c>
      <c r="H490" s="145" t="n">
        <v>8</v>
      </c>
      <c r="I490" s="145" t="inlineStr">
        <is>
          <t>No</t>
        </is>
      </c>
      <c r="J490" s="145" t="inlineStr">
        <is>
          <t>No</t>
        </is>
      </c>
      <c r="K490" s="145" t="inlineStr">
        <is>
          <t>None</t>
        </is>
      </c>
      <c r="L490" s="145" t="inlineStr">
        <is>
          <t>#000000</t>
        </is>
      </c>
      <c r="M490" s="145" t="inlineStr">
        <is>
          <t>General</t>
        </is>
      </c>
      <c r="N490" s="145" t="inlineStr">
        <is>
          <t>Center</t>
        </is>
      </c>
      <c r="O490" s="145" t="inlineStr">
        <is>
          <t>No</t>
        </is>
      </c>
      <c r="P490" s="145" t="inlineStr">
        <is>
          <t>General</t>
        </is>
      </c>
      <c r="Q490" s="145" t="inlineStr">
        <is>
          <t>General</t>
        </is>
      </c>
      <c r="R490" s="145" t="n"/>
      <c r="S490" s="145" t="n"/>
      <c r="T490" s="145" t="n"/>
      <c r="U490" s="145" t="n"/>
      <c r="V490" s="145" t="n"/>
      <c r="W490" s="145" t="n"/>
      <c r="X490" s="145" t="inlineStr">
        <is>
          <t>Detailed format sample from top 5 used rows</t>
        </is>
      </c>
    </row>
    <row r="491" ht="23.85" customHeight="1" s="79">
      <c r="A491" s="145" t="inlineStr">
        <is>
          <t>REGULAR_ART</t>
        </is>
      </c>
      <c r="B491" s="145" t="inlineStr">
        <is>
          <t>Top-Row Cell Format</t>
        </is>
      </c>
      <c r="C491" s="145" t="inlineStr">
        <is>
          <t>AI5</t>
        </is>
      </c>
      <c r="D491" s="145" t="inlineStr">
        <is>
          <t>REGULAR_ART!A1:AT410</t>
        </is>
      </c>
      <c r="E491" s="145" t="inlineStr">
        <is>
          <t>Comma</t>
        </is>
      </c>
      <c r="F491" s="145" t="n"/>
      <c r="G491" s="145" t="inlineStr">
        <is>
          <t>Aptos</t>
        </is>
      </c>
      <c r="H491" s="145" t="n">
        <v>8</v>
      </c>
      <c r="I491" s="145" t="inlineStr">
        <is>
          <t>No</t>
        </is>
      </c>
      <c r="J491" s="145" t="inlineStr">
        <is>
          <t>No</t>
        </is>
      </c>
      <c r="K491" s="145" t="inlineStr">
        <is>
          <t>None</t>
        </is>
      </c>
      <c r="L491" s="145" t="inlineStr">
        <is>
          <t>#000000</t>
        </is>
      </c>
      <c r="M491" s="145" t="inlineStr">
        <is>
          <t>General</t>
        </is>
      </c>
      <c r="N491" s="145" t="inlineStr">
        <is>
          <t>Center</t>
        </is>
      </c>
      <c r="O491" s="145" t="inlineStr">
        <is>
          <t>No</t>
        </is>
      </c>
      <c r="P491" s="145" t="inlineStr">
        <is>
          <t xml:space="preserve">_ * #,##0_ ;_ * -#,##0_ ;_ * "-"??_ ;_ @_ </t>
        </is>
      </c>
      <c r="Q491" s="145" t="inlineStr">
        <is>
          <t>Text</t>
        </is>
      </c>
      <c r="R491" s="145" t="n"/>
      <c r="S491" s="145" t="n"/>
      <c r="T491" s="145" t="n"/>
      <c r="U491" s="145" t="n"/>
      <c r="V491" s="145" t="n"/>
      <c r="W491" s="145" t="n"/>
      <c r="X491" s="145" t="inlineStr">
        <is>
          <t>Detailed format sample from top 5 used rows</t>
        </is>
      </c>
    </row>
    <row r="492" ht="35.05" customHeight="1" s="79">
      <c r="A492" s="145" t="inlineStr">
        <is>
          <t>REGULAR_ART</t>
        </is>
      </c>
      <c r="B492" s="145" t="inlineStr">
        <is>
          <t>Column Format</t>
        </is>
      </c>
      <c r="C492" s="145" t="inlineStr">
        <is>
          <t>AJ:AJ</t>
        </is>
      </c>
      <c r="D492" s="145" t="inlineStr">
        <is>
          <t>REGULAR_ART!A1:AT410</t>
        </is>
      </c>
      <c r="E492" s="145" t="inlineStr">
        <is>
          <t>Mixed</t>
        </is>
      </c>
      <c r="F492" s="145" t="inlineStr">
        <is>
          <t>Mixed</t>
        </is>
      </c>
      <c r="G492" s="145" t="inlineStr">
        <is>
          <t>Aptos</t>
        </is>
      </c>
      <c r="H492" s="145" t="n">
        <v>8</v>
      </c>
      <c r="I492" s="145" t="inlineStr">
        <is>
          <t>Mixed</t>
        </is>
      </c>
      <c r="J492" s="145" t="inlineStr">
        <is>
          <t>No</t>
        </is>
      </c>
      <c r="K492" s="145" t="inlineStr">
        <is>
          <t>None</t>
        </is>
      </c>
      <c r="L492" s="145" t="inlineStr">
        <is>
          <t>#000000</t>
        </is>
      </c>
      <c r="M492" s="145" t="inlineStr">
        <is>
          <t>Mixed</t>
        </is>
      </c>
      <c r="N492" s="145" t="inlineStr">
        <is>
          <t>Center</t>
        </is>
      </c>
      <c r="O492" s="145" t="inlineStr">
        <is>
          <t>Mixed</t>
        </is>
      </c>
      <c r="P492" s="145" t="n"/>
      <c r="Q492" s="145" t="n"/>
      <c r="R492" s="145" t="inlineStr">
        <is>
          <t>EdgeBottom:Continuous/Thin/#000000; EdgeRight:Continuous/Thin/#000000</t>
        </is>
      </c>
      <c r="S492" s="145" t="n">
        <v>0</v>
      </c>
      <c r="T492" s="145" t="n"/>
      <c r="U492" s="145" t="inlineStr">
        <is>
          <t>Yes</t>
        </is>
      </c>
      <c r="V492" s="145" t="inlineStr">
        <is>
          <t>Hidden column (possible outline/group)</t>
        </is>
      </c>
      <c r="W492" s="145" t="n"/>
      <c r="X492" s="145" t="inlineStr">
        <is>
          <t>Mixed styles within used column</t>
        </is>
      </c>
    </row>
    <row r="493" ht="23.85" customHeight="1" s="79">
      <c r="A493" s="145" t="inlineStr">
        <is>
          <t>REGULAR_ART</t>
        </is>
      </c>
      <c r="B493" s="145" t="inlineStr">
        <is>
          <t>Top-Row Cell Format</t>
        </is>
      </c>
      <c r="C493" s="145" t="inlineStr">
        <is>
          <t>AJ1</t>
        </is>
      </c>
      <c r="D493" s="145" t="inlineStr">
        <is>
          <t>REGULAR_ART!A1:AT410</t>
        </is>
      </c>
      <c r="E493" s="145" t="inlineStr">
        <is>
          <t>Normal</t>
        </is>
      </c>
      <c r="F493" s="145" t="n"/>
      <c r="G493" s="145" t="inlineStr">
        <is>
          <t>Aptos</t>
        </is>
      </c>
      <c r="H493" s="145" t="n">
        <v>8</v>
      </c>
      <c r="I493" s="145" t="inlineStr">
        <is>
          <t>Yes</t>
        </is>
      </c>
      <c r="J493" s="145" t="inlineStr">
        <is>
          <t>No</t>
        </is>
      </c>
      <c r="K493" s="145" t="inlineStr">
        <is>
          <t>None</t>
        </is>
      </c>
      <c r="L493" s="145" t="inlineStr">
        <is>
          <t>#000000</t>
        </is>
      </c>
      <c r="M493" s="145" t="inlineStr">
        <is>
          <t>General</t>
        </is>
      </c>
      <c r="N493" s="145" t="inlineStr">
        <is>
          <t>Center</t>
        </is>
      </c>
      <c r="O493" s="145" t="inlineStr">
        <is>
          <t>No</t>
        </is>
      </c>
      <c r="P493" s="145" t="inlineStr">
        <is>
          <t>General</t>
        </is>
      </c>
      <c r="Q493" s="145" t="inlineStr">
        <is>
          <t>General</t>
        </is>
      </c>
      <c r="R493" s="145" t="n"/>
      <c r="S493" s="145" t="n"/>
      <c r="T493" s="145" t="n"/>
      <c r="U493" s="145" t="n"/>
      <c r="V493" s="145" t="n"/>
      <c r="W493" s="145" t="n"/>
      <c r="X493" s="145" t="inlineStr">
        <is>
          <t>Detailed format sample from top 5 used rows</t>
        </is>
      </c>
    </row>
    <row r="494" ht="23.85" customHeight="1" s="79">
      <c r="A494" s="145" t="inlineStr">
        <is>
          <t>REGULAR_ART</t>
        </is>
      </c>
      <c r="B494" s="145" t="inlineStr">
        <is>
          <t>Top-Row Cell Format</t>
        </is>
      </c>
      <c r="C494" s="145" t="inlineStr">
        <is>
          <t>AJ2</t>
        </is>
      </c>
      <c r="D494" s="145" t="inlineStr">
        <is>
          <t>REGULAR_ART!A1:AT410</t>
        </is>
      </c>
      <c r="E494" s="145" t="inlineStr">
        <is>
          <t>Comma</t>
        </is>
      </c>
      <c r="F494" s="145" t="inlineStr">
        <is>
          <t>#B4C6E7</t>
        </is>
      </c>
      <c r="G494" s="145" t="inlineStr">
        <is>
          <t>Aptos</t>
        </is>
      </c>
      <c r="H494" s="145" t="n">
        <v>8</v>
      </c>
      <c r="I494" s="145" t="inlineStr">
        <is>
          <t>Yes</t>
        </is>
      </c>
      <c r="J494" s="145" t="inlineStr">
        <is>
          <t>No</t>
        </is>
      </c>
      <c r="K494" s="145" t="inlineStr">
        <is>
          <t>None</t>
        </is>
      </c>
      <c r="L494" s="145" t="inlineStr">
        <is>
          <t>#000000</t>
        </is>
      </c>
      <c r="M494" s="145" t="inlineStr">
        <is>
          <t>General</t>
        </is>
      </c>
      <c r="N494" s="145" t="inlineStr">
        <is>
          <t>Center</t>
        </is>
      </c>
      <c r="O494" s="145" t="inlineStr">
        <is>
          <t>No</t>
        </is>
      </c>
      <c r="P494" s="145" t="inlineStr">
        <is>
          <t xml:space="preserve">_ * #,##0_ ;_ * -#,##0_ ;_ * "-"??_ ;_ @_ </t>
        </is>
      </c>
      <c r="Q494" s="145" t="inlineStr">
        <is>
          <t>Text</t>
        </is>
      </c>
      <c r="R494" s="145" t="n"/>
      <c r="S494" s="145" t="n"/>
      <c r="T494" s="145" t="n"/>
      <c r="U494" s="145" t="n"/>
      <c r="V494" s="145" t="n"/>
      <c r="W494" s="145" t="n"/>
      <c r="X494" s="145" t="inlineStr">
        <is>
          <t>Detailed format sample from top 5 used rows</t>
        </is>
      </c>
    </row>
    <row r="495" ht="23.85" customHeight="1" s="79">
      <c r="A495" s="145" t="inlineStr">
        <is>
          <t>REGULAR_ART</t>
        </is>
      </c>
      <c r="B495" s="145" t="inlineStr">
        <is>
          <t>Top-Row Cell Format</t>
        </is>
      </c>
      <c r="C495" s="145" t="inlineStr">
        <is>
          <t>AJ3</t>
        </is>
      </c>
      <c r="D495" s="145" t="inlineStr">
        <is>
          <t>REGULAR_ART!A1:AT410</t>
        </is>
      </c>
      <c r="E495" s="145" t="inlineStr">
        <is>
          <t>Percent</t>
        </is>
      </c>
      <c r="F495" s="145" t="inlineStr">
        <is>
          <t>#F8CBAD</t>
        </is>
      </c>
      <c r="G495" s="145" t="inlineStr">
        <is>
          <t>Aptos</t>
        </is>
      </c>
      <c r="H495" s="145" t="n">
        <v>8</v>
      </c>
      <c r="I495" s="145" t="inlineStr">
        <is>
          <t>Yes</t>
        </is>
      </c>
      <c r="J495" s="145" t="inlineStr">
        <is>
          <t>No</t>
        </is>
      </c>
      <c r="K495" s="145" t="inlineStr">
        <is>
          <t>None</t>
        </is>
      </c>
      <c r="L495" s="145" t="inlineStr">
        <is>
          <t>#000000</t>
        </is>
      </c>
      <c r="M495" s="145" t="inlineStr">
        <is>
          <t>Center</t>
        </is>
      </c>
      <c r="N495" s="145" t="inlineStr">
        <is>
          <t>Center</t>
        </is>
      </c>
      <c r="O495" s="145" t="inlineStr">
        <is>
          <t>Yes</t>
        </is>
      </c>
      <c r="P495" s="146" t="n">
        <v>0</v>
      </c>
      <c r="Q495" s="145" t="inlineStr">
        <is>
          <t>Percentage</t>
        </is>
      </c>
      <c r="R495" s="145" t="n"/>
      <c r="S495" s="145" t="n"/>
      <c r="T495" s="145" t="n"/>
      <c r="U495" s="145" t="n"/>
      <c r="V495" s="145" t="n"/>
      <c r="W495" s="145" t="n"/>
      <c r="X495" s="145" t="inlineStr">
        <is>
          <t>Detailed format sample from top 5 used rows</t>
        </is>
      </c>
    </row>
    <row r="496" ht="23.85" customHeight="1" s="79">
      <c r="A496" s="145" t="inlineStr">
        <is>
          <t>REGULAR_ART</t>
        </is>
      </c>
      <c r="B496" s="145" t="inlineStr">
        <is>
          <t>Top-Row Cell Format</t>
        </is>
      </c>
      <c r="C496" s="145" t="inlineStr">
        <is>
          <t>AJ4</t>
        </is>
      </c>
      <c r="D496" s="145" t="inlineStr">
        <is>
          <t>REGULAR_ART!A1:AT410</t>
        </is>
      </c>
      <c r="E496" s="145" t="inlineStr">
        <is>
          <t>Normal</t>
        </is>
      </c>
      <c r="F496" s="145" t="inlineStr">
        <is>
          <t>#F8CBAD</t>
        </is>
      </c>
      <c r="G496" s="145" t="inlineStr">
        <is>
          <t>Aptos</t>
        </is>
      </c>
      <c r="H496" s="145" t="n">
        <v>8</v>
      </c>
      <c r="I496" s="145" t="inlineStr">
        <is>
          <t>No</t>
        </is>
      </c>
      <c r="J496" s="145" t="inlineStr">
        <is>
          <t>No</t>
        </is>
      </c>
      <c r="K496" s="145" t="inlineStr">
        <is>
          <t>None</t>
        </is>
      </c>
      <c r="L496" s="145" t="inlineStr">
        <is>
          <t>#000000</t>
        </is>
      </c>
      <c r="M496" s="145" t="inlineStr">
        <is>
          <t>General</t>
        </is>
      </c>
      <c r="N496" s="145" t="inlineStr">
        <is>
          <t>Center</t>
        </is>
      </c>
      <c r="O496" s="145" t="inlineStr">
        <is>
          <t>No</t>
        </is>
      </c>
      <c r="P496" s="145" t="inlineStr">
        <is>
          <t>General</t>
        </is>
      </c>
      <c r="Q496" s="145" t="inlineStr">
        <is>
          <t>General</t>
        </is>
      </c>
      <c r="R496" s="145" t="n"/>
      <c r="S496" s="145" t="n"/>
      <c r="T496" s="145" t="n"/>
      <c r="U496" s="145" t="n"/>
      <c r="V496" s="145" t="n"/>
      <c r="W496" s="145" t="n"/>
      <c r="X496" s="145" t="inlineStr">
        <is>
          <t>Detailed format sample from top 5 used rows</t>
        </is>
      </c>
    </row>
    <row r="497" ht="23.85" customHeight="1" s="79">
      <c r="A497" s="145" t="inlineStr">
        <is>
          <t>REGULAR_ART</t>
        </is>
      </c>
      <c r="B497" s="145" t="inlineStr">
        <is>
          <t>Top-Row Cell Format</t>
        </is>
      </c>
      <c r="C497" s="145" t="inlineStr">
        <is>
          <t>AJ5</t>
        </is>
      </c>
      <c r="D497" s="145" t="inlineStr">
        <is>
          <t>REGULAR_ART!A1:AT410</t>
        </is>
      </c>
      <c r="E497" s="145" t="inlineStr">
        <is>
          <t>Comma</t>
        </is>
      </c>
      <c r="F497" s="145" t="n"/>
      <c r="G497" s="145" t="inlineStr">
        <is>
          <t>Aptos</t>
        </is>
      </c>
      <c r="H497" s="145" t="n">
        <v>8</v>
      </c>
      <c r="I497" s="145" t="inlineStr">
        <is>
          <t>No</t>
        </is>
      </c>
      <c r="J497" s="145" t="inlineStr">
        <is>
          <t>No</t>
        </is>
      </c>
      <c r="K497" s="145" t="inlineStr">
        <is>
          <t>None</t>
        </is>
      </c>
      <c r="L497" s="145" t="inlineStr">
        <is>
          <t>#000000</t>
        </is>
      </c>
      <c r="M497" s="145" t="inlineStr">
        <is>
          <t>General</t>
        </is>
      </c>
      <c r="N497" s="145" t="inlineStr">
        <is>
          <t>Center</t>
        </is>
      </c>
      <c r="O497" s="145" t="inlineStr">
        <is>
          <t>No</t>
        </is>
      </c>
      <c r="P497" s="145" t="inlineStr">
        <is>
          <t xml:space="preserve">_ * #,##0_ ;_ * -#,##0_ ;_ * "-"??_ ;_ @_ </t>
        </is>
      </c>
      <c r="Q497" s="145" t="inlineStr">
        <is>
          <t>Text</t>
        </is>
      </c>
      <c r="R497" s="145" t="n"/>
      <c r="S497" s="145" t="n"/>
      <c r="T497" s="145" t="n"/>
      <c r="U497" s="145" t="n"/>
      <c r="V497" s="145" t="n"/>
      <c r="W497" s="145" t="n"/>
      <c r="X497" s="145" t="inlineStr">
        <is>
          <t>Detailed format sample from top 5 used rows</t>
        </is>
      </c>
    </row>
    <row r="498" ht="35.05" customHeight="1" s="79">
      <c r="A498" s="145" t="inlineStr">
        <is>
          <t>REGULAR_ART</t>
        </is>
      </c>
      <c r="B498" s="145" t="inlineStr">
        <is>
          <t>Column Format</t>
        </is>
      </c>
      <c r="C498" s="145" t="inlineStr">
        <is>
          <t>AK:AK</t>
        </is>
      </c>
      <c r="D498" s="145" t="inlineStr">
        <is>
          <t>REGULAR_ART!A1:AT410</t>
        </is>
      </c>
      <c r="E498" s="145" t="inlineStr">
        <is>
          <t>Mixed</t>
        </is>
      </c>
      <c r="F498" s="145" t="inlineStr">
        <is>
          <t>Mixed</t>
        </is>
      </c>
      <c r="G498" s="145" t="inlineStr">
        <is>
          <t>Aptos</t>
        </is>
      </c>
      <c r="H498" s="145" t="n">
        <v>8</v>
      </c>
      <c r="I498" s="145" t="inlineStr">
        <is>
          <t>Mixed</t>
        </is>
      </c>
      <c r="J498" s="145" t="inlineStr">
        <is>
          <t>No</t>
        </is>
      </c>
      <c r="K498" s="145" t="inlineStr">
        <is>
          <t>None</t>
        </is>
      </c>
      <c r="L498" s="145" t="inlineStr">
        <is>
          <t>#000000</t>
        </is>
      </c>
      <c r="M498" s="145" t="inlineStr">
        <is>
          <t>Mixed</t>
        </is>
      </c>
      <c r="N498" s="145" t="inlineStr">
        <is>
          <t>Center</t>
        </is>
      </c>
      <c r="O498" s="145" t="inlineStr">
        <is>
          <t>Mixed</t>
        </is>
      </c>
      <c r="P498" s="145" t="n"/>
      <c r="Q498" s="145" t="n"/>
      <c r="R498" s="145" t="inlineStr">
        <is>
          <t>EdgeBottom:Continuous/Thin/#000000; EdgeRight:Continuous/Thin/#000000</t>
        </is>
      </c>
      <c r="S498" s="145" t="n">
        <v>0</v>
      </c>
      <c r="T498" s="145" t="n"/>
      <c r="U498" s="145" t="inlineStr">
        <is>
          <t>Yes</t>
        </is>
      </c>
      <c r="V498" s="145" t="inlineStr">
        <is>
          <t>Hidden column (possible outline/group)</t>
        </is>
      </c>
      <c r="W498" s="145" t="n"/>
      <c r="X498" s="145" t="inlineStr">
        <is>
          <t>Mixed styles within used column</t>
        </is>
      </c>
    </row>
    <row r="499" ht="23.85" customHeight="1" s="79">
      <c r="A499" s="145" t="inlineStr">
        <is>
          <t>REGULAR_ART</t>
        </is>
      </c>
      <c r="B499" s="145" t="inlineStr">
        <is>
          <t>Top-Row Cell Format</t>
        </is>
      </c>
      <c r="C499" s="145" t="inlineStr">
        <is>
          <t>AK1</t>
        </is>
      </c>
      <c r="D499" s="145" t="inlineStr">
        <is>
          <t>REGULAR_ART!A1:AT410</t>
        </is>
      </c>
      <c r="E499" s="145" t="inlineStr">
        <is>
          <t>Normal</t>
        </is>
      </c>
      <c r="F499" s="145" t="n"/>
      <c r="G499" s="145" t="inlineStr">
        <is>
          <t>Aptos</t>
        </is>
      </c>
      <c r="H499" s="145" t="n">
        <v>8</v>
      </c>
      <c r="I499" s="145" t="inlineStr">
        <is>
          <t>Yes</t>
        </is>
      </c>
      <c r="J499" s="145" t="inlineStr">
        <is>
          <t>No</t>
        </is>
      </c>
      <c r="K499" s="145" t="inlineStr">
        <is>
          <t>None</t>
        </is>
      </c>
      <c r="L499" s="145" t="inlineStr">
        <is>
          <t>#000000</t>
        </is>
      </c>
      <c r="M499" s="145" t="inlineStr">
        <is>
          <t>General</t>
        </is>
      </c>
      <c r="N499" s="145" t="inlineStr">
        <is>
          <t>Center</t>
        </is>
      </c>
      <c r="O499" s="145" t="inlineStr">
        <is>
          <t>No</t>
        </is>
      </c>
      <c r="P499" s="145" t="inlineStr">
        <is>
          <t>General</t>
        </is>
      </c>
      <c r="Q499" s="145" t="inlineStr">
        <is>
          <t>General</t>
        </is>
      </c>
      <c r="R499" s="145" t="n"/>
      <c r="S499" s="145" t="n"/>
      <c r="T499" s="145" t="n"/>
      <c r="U499" s="145" t="n"/>
      <c r="V499" s="145" t="n"/>
      <c r="W499" s="145" t="n"/>
      <c r="X499" s="145" t="inlineStr">
        <is>
          <t>Detailed format sample from top 5 used rows</t>
        </is>
      </c>
    </row>
    <row r="500" ht="23.85" customHeight="1" s="79">
      <c r="A500" s="145" t="inlineStr">
        <is>
          <t>REGULAR_ART</t>
        </is>
      </c>
      <c r="B500" s="145" t="inlineStr">
        <is>
          <t>Top-Row Cell Format</t>
        </is>
      </c>
      <c r="C500" s="145" t="inlineStr">
        <is>
          <t>AK2</t>
        </is>
      </c>
      <c r="D500" s="145" t="inlineStr">
        <is>
          <t>REGULAR_ART!A1:AT410</t>
        </is>
      </c>
      <c r="E500" s="145" t="inlineStr">
        <is>
          <t>Comma</t>
        </is>
      </c>
      <c r="F500" s="145" t="inlineStr">
        <is>
          <t>#B4C6E7</t>
        </is>
      </c>
      <c r="G500" s="145" t="inlineStr">
        <is>
          <t>Aptos</t>
        </is>
      </c>
      <c r="H500" s="145" t="n">
        <v>8</v>
      </c>
      <c r="I500" s="145" t="inlineStr">
        <is>
          <t>Yes</t>
        </is>
      </c>
      <c r="J500" s="145" t="inlineStr">
        <is>
          <t>No</t>
        </is>
      </c>
      <c r="K500" s="145" t="inlineStr">
        <is>
          <t>None</t>
        </is>
      </c>
      <c r="L500" s="145" t="inlineStr">
        <is>
          <t>#000000</t>
        </is>
      </c>
      <c r="M500" s="145" t="inlineStr">
        <is>
          <t>General</t>
        </is>
      </c>
      <c r="N500" s="145" t="inlineStr">
        <is>
          <t>Center</t>
        </is>
      </c>
      <c r="O500" s="145" t="inlineStr">
        <is>
          <t>No</t>
        </is>
      </c>
      <c r="P500" s="145" t="inlineStr">
        <is>
          <t xml:space="preserve">_ * #,##0_ ;_ * -#,##0_ ;_ * "-"??_ ;_ @_ </t>
        </is>
      </c>
      <c r="Q500" s="145" t="inlineStr">
        <is>
          <t>Text</t>
        </is>
      </c>
      <c r="R500" s="145" t="n"/>
      <c r="S500" s="145" t="n"/>
      <c r="T500" s="145" t="n"/>
      <c r="U500" s="145" t="n"/>
      <c r="V500" s="145" t="n"/>
      <c r="W500" s="145" t="n"/>
      <c r="X500" s="145" t="inlineStr">
        <is>
          <t>Detailed format sample from top 5 used rows</t>
        </is>
      </c>
    </row>
    <row r="501" ht="23.85" customHeight="1" s="79">
      <c r="A501" s="145" t="inlineStr">
        <is>
          <t>REGULAR_ART</t>
        </is>
      </c>
      <c r="B501" s="145" t="inlineStr">
        <is>
          <t>Top-Row Cell Format</t>
        </is>
      </c>
      <c r="C501" s="145" t="inlineStr">
        <is>
          <t>AK3</t>
        </is>
      </c>
      <c r="D501" s="145" t="inlineStr">
        <is>
          <t>REGULAR_ART!A1:AT410</t>
        </is>
      </c>
      <c r="E501" s="145" t="inlineStr">
        <is>
          <t>Normal</t>
        </is>
      </c>
      <c r="F501" s="145" t="inlineStr">
        <is>
          <t>#F8CBAD</t>
        </is>
      </c>
      <c r="G501" s="145" t="inlineStr">
        <is>
          <t>Aptos</t>
        </is>
      </c>
      <c r="H501" s="145" t="n">
        <v>8</v>
      </c>
      <c r="I501" s="145" t="inlineStr">
        <is>
          <t>Yes</t>
        </is>
      </c>
      <c r="J501" s="145" t="inlineStr">
        <is>
          <t>No</t>
        </is>
      </c>
      <c r="K501" s="145" t="inlineStr">
        <is>
          <t>None</t>
        </is>
      </c>
      <c r="L501" s="145" t="inlineStr">
        <is>
          <t>#000000</t>
        </is>
      </c>
      <c r="M501" s="145" t="inlineStr">
        <is>
          <t>Center</t>
        </is>
      </c>
      <c r="N501" s="145" t="inlineStr">
        <is>
          <t>Center</t>
        </is>
      </c>
      <c r="O501" s="145" t="inlineStr">
        <is>
          <t>Yes</t>
        </is>
      </c>
      <c r="P501" s="145" t="inlineStr">
        <is>
          <t>General</t>
        </is>
      </c>
      <c r="Q501" s="145" t="inlineStr">
        <is>
          <t>General</t>
        </is>
      </c>
      <c r="R501" s="145" t="n"/>
      <c r="S501" s="145" t="n"/>
      <c r="T501" s="145" t="n"/>
      <c r="U501" s="145" t="n"/>
      <c r="V501" s="145" t="n"/>
      <c r="W501" s="145" t="n"/>
      <c r="X501" s="145" t="inlineStr">
        <is>
          <t>Detailed format sample from top 5 used rows</t>
        </is>
      </c>
    </row>
    <row r="502" ht="23.85" customHeight="1" s="79">
      <c r="A502" s="145" t="inlineStr">
        <is>
          <t>REGULAR_ART</t>
        </is>
      </c>
      <c r="B502" s="145" t="inlineStr">
        <is>
          <t>Top-Row Cell Format</t>
        </is>
      </c>
      <c r="C502" s="145" t="inlineStr">
        <is>
          <t>AK4</t>
        </is>
      </c>
      <c r="D502" s="145" t="inlineStr">
        <is>
          <t>REGULAR_ART!A1:AT410</t>
        </is>
      </c>
      <c r="E502" s="145" t="inlineStr">
        <is>
          <t>Normal</t>
        </is>
      </c>
      <c r="F502" s="145" t="inlineStr">
        <is>
          <t>#F8CBAD</t>
        </is>
      </c>
      <c r="G502" s="145" t="inlineStr">
        <is>
          <t>Aptos</t>
        </is>
      </c>
      <c r="H502" s="145" t="n">
        <v>8</v>
      </c>
      <c r="I502" s="145" t="inlineStr">
        <is>
          <t>No</t>
        </is>
      </c>
      <c r="J502" s="145" t="inlineStr">
        <is>
          <t>No</t>
        </is>
      </c>
      <c r="K502" s="145" t="inlineStr">
        <is>
          <t>None</t>
        </is>
      </c>
      <c r="L502" s="145" t="inlineStr">
        <is>
          <t>#000000</t>
        </is>
      </c>
      <c r="M502" s="145" t="inlineStr">
        <is>
          <t>General</t>
        </is>
      </c>
      <c r="N502" s="145" t="inlineStr">
        <is>
          <t>Center</t>
        </is>
      </c>
      <c r="O502" s="145" t="inlineStr">
        <is>
          <t>No</t>
        </is>
      </c>
      <c r="P502" s="145" t="inlineStr">
        <is>
          <t>General</t>
        </is>
      </c>
      <c r="Q502" s="145" t="inlineStr">
        <is>
          <t>General</t>
        </is>
      </c>
      <c r="R502" s="145" t="n"/>
      <c r="S502" s="145" t="n"/>
      <c r="T502" s="145" t="n"/>
      <c r="U502" s="145" t="n"/>
      <c r="V502" s="145" t="n"/>
      <c r="W502" s="145" t="n"/>
      <c r="X502" s="145" t="inlineStr">
        <is>
          <t>Detailed format sample from top 5 used rows</t>
        </is>
      </c>
    </row>
    <row r="503" ht="23.85" customHeight="1" s="79">
      <c r="A503" s="145" t="inlineStr">
        <is>
          <t>REGULAR_ART</t>
        </is>
      </c>
      <c r="B503" s="145" t="inlineStr">
        <is>
          <t>Top-Row Cell Format</t>
        </is>
      </c>
      <c r="C503" s="145" t="inlineStr">
        <is>
          <t>AK5</t>
        </is>
      </c>
      <c r="D503" s="145" t="inlineStr">
        <is>
          <t>REGULAR_ART!A1:AT410</t>
        </is>
      </c>
      <c r="E503" s="145" t="inlineStr">
        <is>
          <t>Comma</t>
        </is>
      </c>
      <c r="F503" s="145" t="n"/>
      <c r="G503" s="145" t="inlineStr">
        <is>
          <t>Aptos</t>
        </is>
      </c>
      <c r="H503" s="145" t="n">
        <v>8</v>
      </c>
      <c r="I503" s="145" t="inlineStr">
        <is>
          <t>No</t>
        </is>
      </c>
      <c r="J503" s="145" t="inlineStr">
        <is>
          <t>No</t>
        </is>
      </c>
      <c r="K503" s="145" t="inlineStr">
        <is>
          <t>None</t>
        </is>
      </c>
      <c r="L503" s="145" t="inlineStr">
        <is>
          <t>#000000</t>
        </is>
      </c>
      <c r="M503" s="145" t="inlineStr">
        <is>
          <t>General</t>
        </is>
      </c>
      <c r="N503" s="145" t="inlineStr">
        <is>
          <t>Center</t>
        </is>
      </c>
      <c r="O503" s="145" t="inlineStr">
        <is>
          <t>No</t>
        </is>
      </c>
      <c r="P503" s="145" t="inlineStr">
        <is>
          <t xml:space="preserve">_ * #,##0_ ;_ * -#,##0_ ;_ * "-"??_ ;_ @_ </t>
        </is>
      </c>
      <c r="Q503" s="145" t="inlineStr">
        <is>
          <t>Text</t>
        </is>
      </c>
      <c r="R503" s="145" t="n"/>
      <c r="S503" s="145" t="n"/>
      <c r="T503" s="145" t="n"/>
      <c r="U503" s="145" t="n"/>
      <c r="V503" s="145" t="n"/>
      <c r="W503" s="145" t="n"/>
      <c r="X503" s="145" t="inlineStr">
        <is>
          <t>Detailed format sample from top 5 used rows</t>
        </is>
      </c>
    </row>
    <row r="504" ht="35.05" customHeight="1" s="79">
      <c r="A504" s="145" t="inlineStr">
        <is>
          <t>REGULAR_ART</t>
        </is>
      </c>
      <c r="B504" s="145" t="inlineStr">
        <is>
          <t>Column Format</t>
        </is>
      </c>
      <c r="C504" s="145" t="inlineStr">
        <is>
          <t>AL:AL</t>
        </is>
      </c>
      <c r="D504" s="145" t="inlineStr">
        <is>
          <t>REGULAR_ART!A1:AT410</t>
        </is>
      </c>
      <c r="E504" s="145" t="inlineStr">
        <is>
          <t>Mixed</t>
        </is>
      </c>
      <c r="F504" s="145" t="inlineStr">
        <is>
          <t>Mixed</t>
        </is>
      </c>
      <c r="G504" s="145" t="inlineStr">
        <is>
          <t>Aptos</t>
        </is>
      </c>
      <c r="H504" s="145" t="n">
        <v>8</v>
      </c>
      <c r="I504" s="145" t="inlineStr">
        <is>
          <t>Mixed</t>
        </is>
      </c>
      <c r="J504" s="145" t="inlineStr">
        <is>
          <t>No</t>
        </is>
      </c>
      <c r="K504" s="145" t="inlineStr">
        <is>
          <t>None</t>
        </is>
      </c>
      <c r="L504" s="145" t="inlineStr">
        <is>
          <t>#000000</t>
        </is>
      </c>
      <c r="M504" s="145" t="inlineStr">
        <is>
          <t>Mixed</t>
        </is>
      </c>
      <c r="N504" s="145" t="inlineStr">
        <is>
          <t>Center</t>
        </is>
      </c>
      <c r="O504" s="145" t="inlineStr">
        <is>
          <t>Mixed</t>
        </is>
      </c>
      <c r="P504" s="145" t="n"/>
      <c r="Q504" s="145" t="n"/>
      <c r="R504" s="145" t="inlineStr">
        <is>
          <t>EdgeBottom:Continuous/Thin/#000000; EdgeRight:Continuous/Thin/#000000</t>
        </is>
      </c>
      <c r="S504" s="145" t="n">
        <v>0</v>
      </c>
      <c r="T504" s="145" t="n"/>
      <c r="U504" s="145" t="inlineStr">
        <is>
          <t>Yes</t>
        </is>
      </c>
      <c r="V504" s="145" t="inlineStr">
        <is>
          <t>Hidden column (possible outline/group)</t>
        </is>
      </c>
      <c r="W504" s="145" t="n"/>
      <c r="X504" s="145" t="inlineStr">
        <is>
          <t>Mixed styles within used column</t>
        </is>
      </c>
    </row>
    <row r="505" ht="23.85" customHeight="1" s="79">
      <c r="A505" s="145" t="inlineStr">
        <is>
          <t>REGULAR_ART</t>
        </is>
      </c>
      <c r="B505" s="145" t="inlineStr">
        <is>
          <t>Top-Row Cell Format</t>
        </is>
      </c>
      <c r="C505" s="145" t="inlineStr">
        <is>
          <t>AL1</t>
        </is>
      </c>
      <c r="D505" s="145" t="inlineStr">
        <is>
          <t>REGULAR_ART!A1:AT410</t>
        </is>
      </c>
      <c r="E505" s="145" t="inlineStr">
        <is>
          <t>Normal</t>
        </is>
      </c>
      <c r="F505" s="145" t="n"/>
      <c r="G505" s="145" t="inlineStr">
        <is>
          <t>Aptos</t>
        </is>
      </c>
      <c r="H505" s="145" t="n">
        <v>8</v>
      </c>
      <c r="I505" s="145" t="inlineStr">
        <is>
          <t>Yes</t>
        </is>
      </c>
      <c r="J505" s="145" t="inlineStr">
        <is>
          <t>No</t>
        </is>
      </c>
      <c r="K505" s="145" t="inlineStr">
        <is>
          <t>None</t>
        </is>
      </c>
      <c r="L505" s="145" t="inlineStr">
        <is>
          <t>#000000</t>
        </is>
      </c>
      <c r="M505" s="145" t="inlineStr">
        <is>
          <t>General</t>
        </is>
      </c>
      <c r="N505" s="145" t="inlineStr">
        <is>
          <t>Center</t>
        </is>
      </c>
      <c r="O505" s="145" t="inlineStr">
        <is>
          <t>No</t>
        </is>
      </c>
      <c r="P505" s="145" t="inlineStr">
        <is>
          <t>General</t>
        </is>
      </c>
      <c r="Q505" s="145" t="inlineStr">
        <is>
          <t>General</t>
        </is>
      </c>
      <c r="R505" s="145" t="n"/>
      <c r="S505" s="145" t="n"/>
      <c r="T505" s="145" t="n"/>
      <c r="U505" s="145" t="n"/>
      <c r="V505" s="145" t="n"/>
      <c r="W505" s="145" t="n"/>
      <c r="X505" s="145" t="inlineStr">
        <is>
          <t>Detailed format sample from top 5 used rows</t>
        </is>
      </c>
    </row>
    <row r="506" ht="23.85" customHeight="1" s="79">
      <c r="A506" s="145" t="inlineStr">
        <is>
          <t>REGULAR_ART</t>
        </is>
      </c>
      <c r="B506" s="145" t="inlineStr">
        <is>
          <t>Top-Row Cell Format</t>
        </is>
      </c>
      <c r="C506" s="145" t="inlineStr">
        <is>
          <t>AL2</t>
        </is>
      </c>
      <c r="D506" s="145" t="inlineStr">
        <is>
          <t>REGULAR_ART!A1:AT410</t>
        </is>
      </c>
      <c r="E506" s="145" t="inlineStr">
        <is>
          <t>Comma</t>
        </is>
      </c>
      <c r="F506" s="145" t="inlineStr">
        <is>
          <t>#B4C6E7</t>
        </is>
      </c>
      <c r="G506" s="145" t="inlineStr">
        <is>
          <t>Aptos</t>
        </is>
      </c>
      <c r="H506" s="145" t="n">
        <v>8</v>
      </c>
      <c r="I506" s="145" t="inlineStr">
        <is>
          <t>Yes</t>
        </is>
      </c>
      <c r="J506" s="145" t="inlineStr">
        <is>
          <t>No</t>
        </is>
      </c>
      <c r="K506" s="145" t="inlineStr">
        <is>
          <t>None</t>
        </is>
      </c>
      <c r="L506" s="145" t="inlineStr">
        <is>
          <t>#000000</t>
        </is>
      </c>
      <c r="M506" s="145" t="inlineStr">
        <is>
          <t>General</t>
        </is>
      </c>
      <c r="N506" s="145" t="inlineStr">
        <is>
          <t>Center</t>
        </is>
      </c>
      <c r="O506" s="145" t="inlineStr">
        <is>
          <t>No</t>
        </is>
      </c>
      <c r="P506" s="145" t="inlineStr">
        <is>
          <t xml:space="preserve">_ * #,##0_ ;_ * -#,##0_ ;_ * "-"??_ ;_ @_ </t>
        </is>
      </c>
      <c r="Q506" s="145" t="inlineStr">
        <is>
          <t>Text</t>
        </is>
      </c>
      <c r="R506" s="145" t="n"/>
      <c r="S506" s="145" t="n"/>
      <c r="T506" s="145" t="n"/>
      <c r="U506" s="145" t="n"/>
      <c r="V506" s="145" t="n"/>
      <c r="W506" s="145" t="n"/>
      <c r="X506" s="145" t="inlineStr">
        <is>
          <t>Detailed format sample from top 5 used rows</t>
        </is>
      </c>
    </row>
    <row r="507" ht="23.85" customHeight="1" s="79">
      <c r="A507" s="145" t="inlineStr">
        <is>
          <t>REGULAR_ART</t>
        </is>
      </c>
      <c r="B507" s="145" t="inlineStr">
        <is>
          <t>Top-Row Cell Format</t>
        </is>
      </c>
      <c r="C507" s="145" t="inlineStr">
        <is>
          <t>AL3</t>
        </is>
      </c>
      <c r="D507" s="145" t="inlineStr">
        <is>
          <t>REGULAR_ART!A1:AT410</t>
        </is>
      </c>
      <c r="E507" s="145" t="inlineStr">
        <is>
          <t>Normal</t>
        </is>
      </c>
      <c r="F507" s="145" t="inlineStr">
        <is>
          <t>#FFE699</t>
        </is>
      </c>
      <c r="G507" s="145" t="inlineStr">
        <is>
          <t>Aptos</t>
        </is>
      </c>
      <c r="H507" s="145" t="n">
        <v>8</v>
      </c>
      <c r="I507" s="145" t="inlineStr">
        <is>
          <t>Yes</t>
        </is>
      </c>
      <c r="J507" s="145" t="inlineStr">
        <is>
          <t>No</t>
        </is>
      </c>
      <c r="K507" s="145" t="inlineStr">
        <is>
          <t>None</t>
        </is>
      </c>
      <c r="L507" s="145" t="inlineStr">
        <is>
          <t>#000000</t>
        </is>
      </c>
      <c r="M507" s="145" t="inlineStr">
        <is>
          <t>Center</t>
        </is>
      </c>
      <c r="N507" s="145" t="inlineStr">
        <is>
          <t>Center</t>
        </is>
      </c>
      <c r="O507" s="145" t="inlineStr">
        <is>
          <t>Yes</t>
        </is>
      </c>
      <c r="P507" s="145" t="inlineStr">
        <is>
          <t>General</t>
        </is>
      </c>
      <c r="Q507" s="145" t="inlineStr">
        <is>
          <t>General</t>
        </is>
      </c>
      <c r="R507" s="145" t="n"/>
      <c r="S507" s="145" t="n"/>
      <c r="T507" s="145" t="n"/>
      <c r="U507" s="145" t="n"/>
      <c r="V507" s="145" t="n"/>
      <c r="W507" s="145" t="n"/>
      <c r="X507" s="145" t="inlineStr">
        <is>
          <t>Detailed format sample from top 5 used rows</t>
        </is>
      </c>
    </row>
    <row r="508" ht="23.85" customHeight="1" s="79">
      <c r="A508" s="145" t="inlineStr">
        <is>
          <t>REGULAR_ART</t>
        </is>
      </c>
      <c r="B508" s="145" t="inlineStr">
        <is>
          <t>Top-Row Cell Format</t>
        </is>
      </c>
      <c r="C508" s="145" t="inlineStr">
        <is>
          <t>AL4</t>
        </is>
      </c>
      <c r="D508" s="145" t="inlineStr">
        <is>
          <t>REGULAR_ART!A1:AT410</t>
        </is>
      </c>
      <c r="E508" s="145" t="inlineStr">
        <is>
          <t>Normal</t>
        </is>
      </c>
      <c r="F508" s="145" t="inlineStr">
        <is>
          <t>#FFE699</t>
        </is>
      </c>
      <c r="G508" s="145" t="inlineStr">
        <is>
          <t>Aptos</t>
        </is>
      </c>
      <c r="H508" s="145" t="n">
        <v>8</v>
      </c>
      <c r="I508" s="145" t="inlineStr">
        <is>
          <t>No</t>
        </is>
      </c>
      <c r="J508" s="145" t="inlineStr">
        <is>
          <t>No</t>
        </is>
      </c>
      <c r="K508" s="145" t="inlineStr">
        <is>
          <t>None</t>
        </is>
      </c>
      <c r="L508" s="145" t="inlineStr">
        <is>
          <t>#000000</t>
        </is>
      </c>
      <c r="M508" s="145" t="inlineStr">
        <is>
          <t>General</t>
        </is>
      </c>
      <c r="N508" s="145" t="inlineStr">
        <is>
          <t>Center</t>
        </is>
      </c>
      <c r="O508" s="145" t="inlineStr">
        <is>
          <t>No</t>
        </is>
      </c>
      <c r="P508" s="145" t="inlineStr">
        <is>
          <t>General</t>
        </is>
      </c>
      <c r="Q508" s="145" t="inlineStr">
        <is>
          <t>General</t>
        </is>
      </c>
      <c r="R508" s="145" t="n"/>
      <c r="S508" s="145" t="n"/>
      <c r="T508" s="145" t="n"/>
      <c r="U508" s="145" t="n"/>
      <c r="V508" s="145" t="n"/>
      <c r="W508" s="145" t="n"/>
      <c r="X508" s="145" t="inlineStr">
        <is>
          <t>Detailed format sample from top 5 used rows</t>
        </is>
      </c>
    </row>
    <row r="509" ht="23.85" customHeight="1" s="79">
      <c r="A509" s="145" t="inlineStr">
        <is>
          <t>REGULAR_ART</t>
        </is>
      </c>
      <c r="B509" s="145" t="inlineStr">
        <is>
          <t>Top-Row Cell Format</t>
        </is>
      </c>
      <c r="C509" s="145" t="inlineStr">
        <is>
          <t>AL5</t>
        </is>
      </c>
      <c r="D509" s="145" t="inlineStr">
        <is>
          <t>REGULAR_ART!A1:AT410</t>
        </is>
      </c>
      <c r="E509" s="145" t="inlineStr">
        <is>
          <t>Normal</t>
        </is>
      </c>
      <c r="F509" s="145" t="inlineStr">
        <is>
          <t>#B4C6E7</t>
        </is>
      </c>
      <c r="G509" s="145" t="inlineStr">
        <is>
          <t>Aptos</t>
        </is>
      </c>
      <c r="H509" s="145" t="n">
        <v>8</v>
      </c>
      <c r="I509" s="145" t="inlineStr">
        <is>
          <t>Yes</t>
        </is>
      </c>
      <c r="J509" s="145" t="inlineStr">
        <is>
          <t>No</t>
        </is>
      </c>
      <c r="K509" s="145" t="inlineStr">
        <is>
          <t>None</t>
        </is>
      </c>
      <c r="L509" s="145" t="inlineStr">
        <is>
          <t>#000000</t>
        </is>
      </c>
      <c r="M509" s="145" t="inlineStr">
        <is>
          <t>General</t>
        </is>
      </c>
      <c r="N509" s="145" t="inlineStr">
        <is>
          <t>Center</t>
        </is>
      </c>
      <c r="O509" s="145" t="inlineStr">
        <is>
          <t>No</t>
        </is>
      </c>
      <c r="P509" s="145" t="inlineStr">
        <is>
          <t xml:space="preserve">_ * #,##0_ ;_ * -#,##0_ ;_ * "-"??_ ;_ @_ </t>
        </is>
      </c>
      <c r="Q509" s="145" t="inlineStr">
        <is>
          <t>Text</t>
        </is>
      </c>
      <c r="R509" s="145" t="n"/>
      <c r="S509" s="145" t="n"/>
      <c r="T509" s="145" t="n"/>
      <c r="U509" s="145" t="n"/>
      <c r="V509" s="145" t="n"/>
      <c r="W509" s="145" t="n"/>
      <c r="X509" s="145" t="inlineStr">
        <is>
          <t>Detailed format sample from top 5 used rows</t>
        </is>
      </c>
    </row>
    <row r="510" ht="35.05" customHeight="1" s="79">
      <c r="A510" s="145" t="inlineStr">
        <is>
          <t>REGULAR_ART</t>
        </is>
      </c>
      <c r="B510" s="145" t="inlineStr">
        <is>
          <t>Column Format</t>
        </is>
      </c>
      <c r="C510" s="145" t="inlineStr">
        <is>
          <t>AM:AM</t>
        </is>
      </c>
      <c r="D510" s="145" t="inlineStr">
        <is>
          <t>REGULAR_ART!A1:AT410</t>
        </is>
      </c>
      <c r="E510" s="145" t="inlineStr">
        <is>
          <t>Mixed</t>
        </is>
      </c>
      <c r="F510" s="145" t="inlineStr">
        <is>
          <t>Mixed</t>
        </is>
      </c>
      <c r="G510" s="145" t="inlineStr">
        <is>
          <t>Aptos</t>
        </is>
      </c>
      <c r="H510" s="145" t="n">
        <v>8</v>
      </c>
      <c r="I510" s="145" t="inlineStr">
        <is>
          <t>Mixed</t>
        </is>
      </c>
      <c r="J510" s="145" t="inlineStr">
        <is>
          <t>No</t>
        </is>
      </c>
      <c r="K510" s="145" t="inlineStr">
        <is>
          <t>None</t>
        </is>
      </c>
      <c r="L510" s="145" t="inlineStr">
        <is>
          <t>#000000</t>
        </is>
      </c>
      <c r="M510" s="145" t="inlineStr">
        <is>
          <t>Mixed</t>
        </is>
      </c>
      <c r="N510" s="145" t="inlineStr">
        <is>
          <t>Center</t>
        </is>
      </c>
      <c r="O510" s="145" t="inlineStr">
        <is>
          <t>Mixed</t>
        </is>
      </c>
      <c r="P510" s="145" t="n"/>
      <c r="Q510" s="145" t="n"/>
      <c r="R510" s="145" t="inlineStr">
        <is>
          <t>EdgeBottom:Continuous/Thin/#000000; EdgeRight:Continuous/Thin/#000000</t>
        </is>
      </c>
      <c r="S510" s="145" t="n">
        <v>0</v>
      </c>
      <c r="T510" s="145" t="n"/>
      <c r="U510" s="145" t="inlineStr">
        <is>
          <t>Yes</t>
        </is>
      </c>
      <c r="V510" s="145" t="inlineStr">
        <is>
          <t>Hidden column (possible outline/group)</t>
        </is>
      </c>
      <c r="W510" s="145" t="n"/>
      <c r="X510" s="145" t="inlineStr">
        <is>
          <t>Mixed styles within used column</t>
        </is>
      </c>
    </row>
    <row r="511" ht="23.85" customHeight="1" s="79">
      <c r="A511" s="145" t="inlineStr">
        <is>
          <t>REGULAR_ART</t>
        </is>
      </c>
      <c r="B511" s="145" t="inlineStr">
        <is>
          <t>Top-Row Cell Format</t>
        </is>
      </c>
      <c r="C511" s="145" t="inlineStr">
        <is>
          <t>AM1</t>
        </is>
      </c>
      <c r="D511" s="145" t="inlineStr">
        <is>
          <t>REGULAR_ART!A1:AT410</t>
        </is>
      </c>
      <c r="E511" s="145" t="inlineStr">
        <is>
          <t>Normal</t>
        </is>
      </c>
      <c r="F511" s="145" t="n"/>
      <c r="G511" s="145" t="inlineStr">
        <is>
          <t>Aptos</t>
        </is>
      </c>
      <c r="H511" s="145" t="n">
        <v>8</v>
      </c>
      <c r="I511" s="145" t="inlineStr">
        <is>
          <t>Yes</t>
        </is>
      </c>
      <c r="J511" s="145" t="inlineStr">
        <is>
          <t>No</t>
        </is>
      </c>
      <c r="K511" s="145" t="inlineStr">
        <is>
          <t>None</t>
        </is>
      </c>
      <c r="L511" s="145" t="inlineStr">
        <is>
          <t>#000000</t>
        </is>
      </c>
      <c r="M511" s="145" t="inlineStr">
        <is>
          <t>General</t>
        </is>
      </c>
      <c r="N511" s="145" t="inlineStr">
        <is>
          <t>Center</t>
        </is>
      </c>
      <c r="O511" s="145" t="inlineStr">
        <is>
          <t>No</t>
        </is>
      </c>
      <c r="P511" s="145" t="inlineStr">
        <is>
          <t>General</t>
        </is>
      </c>
      <c r="Q511" s="145" t="inlineStr">
        <is>
          <t>General</t>
        </is>
      </c>
      <c r="R511" s="145" t="n"/>
      <c r="S511" s="145" t="n"/>
      <c r="T511" s="145" t="n"/>
      <c r="U511" s="145" t="n"/>
      <c r="V511" s="145" t="n"/>
      <c r="W511" s="145" t="n"/>
      <c r="X511" s="145" t="inlineStr">
        <is>
          <t>Detailed format sample from top 5 used rows</t>
        </is>
      </c>
    </row>
    <row r="512" ht="23.85" customHeight="1" s="79">
      <c r="A512" s="145" t="inlineStr">
        <is>
          <t>REGULAR_ART</t>
        </is>
      </c>
      <c r="B512" s="145" t="inlineStr">
        <is>
          <t>Top-Row Cell Format</t>
        </is>
      </c>
      <c r="C512" s="145" t="inlineStr">
        <is>
          <t>AM2</t>
        </is>
      </c>
      <c r="D512" s="145" t="inlineStr">
        <is>
          <t>REGULAR_ART!A1:AT410</t>
        </is>
      </c>
      <c r="E512" s="145" t="inlineStr">
        <is>
          <t>Comma</t>
        </is>
      </c>
      <c r="F512" s="145" t="inlineStr">
        <is>
          <t>#B4C6E7</t>
        </is>
      </c>
      <c r="G512" s="145" t="inlineStr">
        <is>
          <t>Aptos</t>
        </is>
      </c>
      <c r="H512" s="145" t="n">
        <v>8</v>
      </c>
      <c r="I512" s="145" t="inlineStr">
        <is>
          <t>Yes</t>
        </is>
      </c>
      <c r="J512" s="145" t="inlineStr">
        <is>
          <t>No</t>
        </is>
      </c>
      <c r="K512" s="145" t="inlineStr">
        <is>
          <t>None</t>
        </is>
      </c>
      <c r="L512" s="145" t="inlineStr">
        <is>
          <t>#000000</t>
        </is>
      </c>
      <c r="M512" s="145" t="inlineStr">
        <is>
          <t>General</t>
        </is>
      </c>
      <c r="N512" s="145" t="inlineStr">
        <is>
          <t>Center</t>
        </is>
      </c>
      <c r="O512" s="145" t="inlineStr">
        <is>
          <t>No</t>
        </is>
      </c>
      <c r="P512" s="145" t="inlineStr">
        <is>
          <t xml:space="preserve">_ * #,##0_ ;_ * -#,##0_ ;_ * "-"??_ ;_ @_ </t>
        </is>
      </c>
      <c r="Q512" s="145" t="inlineStr">
        <is>
          <t>Text</t>
        </is>
      </c>
      <c r="R512" s="145" t="n"/>
      <c r="S512" s="145" t="n"/>
      <c r="T512" s="145" t="n"/>
      <c r="U512" s="145" t="n"/>
      <c r="V512" s="145" t="n"/>
      <c r="W512" s="145" t="n"/>
      <c r="X512" s="145" t="inlineStr">
        <is>
          <t>Detailed format sample from top 5 used rows</t>
        </is>
      </c>
    </row>
    <row r="513" ht="23.85" customHeight="1" s="79">
      <c r="A513" s="145" t="inlineStr">
        <is>
          <t>REGULAR_ART</t>
        </is>
      </c>
      <c r="B513" s="145" t="inlineStr">
        <is>
          <t>Top-Row Cell Format</t>
        </is>
      </c>
      <c r="C513" s="145" t="inlineStr">
        <is>
          <t>AM3</t>
        </is>
      </c>
      <c r="D513" s="145" t="inlineStr">
        <is>
          <t>REGULAR_ART!A1:AT410</t>
        </is>
      </c>
      <c r="E513" s="145" t="inlineStr">
        <is>
          <t>Normal</t>
        </is>
      </c>
      <c r="F513" s="145" t="inlineStr">
        <is>
          <t>#FFE699</t>
        </is>
      </c>
      <c r="G513" s="145" t="inlineStr">
        <is>
          <t>Aptos</t>
        </is>
      </c>
      <c r="H513" s="145" t="n">
        <v>8</v>
      </c>
      <c r="I513" s="145" t="inlineStr">
        <is>
          <t>Yes</t>
        </is>
      </c>
      <c r="J513" s="145" t="inlineStr">
        <is>
          <t>No</t>
        </is>
      </c>
      <c r="K513" s="145" t="inlineStr">
        <is>
          <t>None</t>
        </is>
      </c>
      <c r="L513" s="145" t="inlineStr">
        <is>
          <t>#000000</t>
        </is>
      </c>
      <c r="M513" s="145" t="inlineStr">
        <is>
          <t>Center</t>
        </is>
      </c>
      <c r="N513" s="145" t="inlineStr">
        <is>
          <t>Center</t>
        </is>
      </c>
      <c r="O513" s="145" t="inlineStr">
        <is>
          <t>Yes</t>
        </is>
      </c>
      <c r="P513" s="145" t="inlineStr">
        <is>
          <t>General</t>
        </is>
      </c>
      <c r="Q513" s="145" t="inlineStr">
        <is>
          <t>General</t>
        </is>
      </c>
      <c r="R513" s="145" t="n"/>
      <c r="S513" s="145" t="n"/>
      <c r="T513" s="145" t="n"/>
      <c r="U513" s="145" t="n"/>
      <c r="V513" s="145" t="n"/>
      <c r="W513" s="145" t="n"/>
      <c r="X513" s="145" t="inlineStr">
        <is>
          <t>Detailed format sample from top 5 used rows</t>
        </is>
      </c>
    </row>
    <row r="514" ht="23.85" customHeight="1" s="79">
      <c r="A514" s="145" t="inlineStr">
        <is>
          <t>REGULAR_ART</t>
        </is>
      </c>
      <c r="B514" s="145" t="inlineStr">
        <is>
          <t>Top-Row Cell Format</t>
        </is>
      </c>
      <c r="C514" s="145" t="inlineStr">
        <is>
          <t>AM4</t>
        </is>
      </c>
      <c r="D514" s="145" t="inlineStr">
        <is>
          <t>REGULAR_ART!A1:AT410</t>
        </is>
      </c>
      <c r="E514" s="145" t="inlineStr">
        <is>
          <t>Normal</t>
        </is>
      </c>
      <c r="F514" s="145" t="inlineStr">
        <is>
          <t>#FFE699</t>
        </is>
      </c>
      <c r="G514" s="145" t="inlineStr">
        <is>
          <t>Aptos</t>
        </is>
      </c>
      <c r="H514" s="145" t="n">
        <v>8</v>
      </c>
      <c r="I514" s="145" t="inlineStr">
        <is>
          <t>No</t>
        </is>
      </c>
      <c r="J514" s="145" t="inlineStr">
        <is>
          <t>No</t>
        </is>
      </c>
      <c r="K514" s="145" t="inlineStr">
        <is>
          <t>None</t>
        </is>
      </c>
      <c r="L514" s="145" t="inlineStr">
        <is>
          <t>#000000</t>
        </is>
      </c>
      <c r="M514" s="145" t="inlineStr">
        <is>
          <t>General</t>
        </is>
      </c>
      <c r="N514" s="145" t="inlineStr">
        <is>
          <t>Center</t>
        </is>
      </c>
      <c r="O514" s="145" t="inlineStr">
        <is>
          <t>No</t>
        </is>
      </c>
      <c r="P514" s="145" t="inlineStr">
        <is>
          <t>General</t>
        </is>
      </c>
      <c r="Q514" s="145" t="inlineStr">
        <is>
          <t>General</t>
        </is>
      </c>
      <c r="R514" s="145" t="n"/>
      <c r="S514" s="145" t="n"/>
      <c r="T514" s="145" t="n"/>
      <c r="U514" s="145" t="n"/>
      <c r="V514" s="145" t="n"/>
      <c r="W514" s="145" t="n"/>
      <c r="X514" s="145" t="inlineStr">
        <is>
          <t>Detailed format sample from top 5 used rows</t>
        </is>
      </c>
    </row>
    <row r="515" ht="23.85" customHeight="1" s="79">
      <c r="A515" s="145" t="inlineStr">
        <is>
          <t>REGULAR_ART</t>
        </is>
      </c>
      <c r="B515" s="145" t="inlineStr">
        <is>
          <t>Top-Row Cell Format</t>
        </is>
      </c>
      <c r="C515" s="145" t="inlineStr">
        <is>
          <t>AM5</t>
        </is>
      </c>
      <c r="D515" s="145" t="inlineStr">
        <is>
          <t>REGULAR_ART!A1:AT410</t>
        </is>
      </c>
      <c r="E515" s="145" t="inlineStr">
        <is>
          <t>Normal</t>
        </is>
      </c>
      <c r="F515" s="145" t="inlineStr">
        <is>
          <t>#B4C6E7</t>
        </is>
      </c>
      <c r="G515" s="145" t="inlineStr">
        <is>
          <t>Aptos</t>
        </is>
      </c>
      <c r="H515" s="145" t="n">
        <v>8</v>
      </c>
      <c r="I515" s="145" t="inlineStr">
        <is>
          <t>Yes</t>
        </is>
      </c>
      <c r="J515" s="145" t="inlineStr">
        <is>
          <t>No</t>
        </is>
      </c>
      <c r="K515" s="145" t="inlineStr">
        <is>
          <t>None</t>
        </is>
      </c>
      <c r="L515" s="145" t="inlineStr">
        <is>
          <t>#000000</t>
        </is>
      </c>
      <c r="M515" s="145" t="inlineStr">
        <is>
          <t>General</t>
        </is>
      </c>
      <c r="N515" s="145" t="inlineStr">
        <is>
          <t>Center</t>
        </is>
      </c>
      <c r="O515" s="145" t="inlineStr">
        <is>
          <t>No</t>
        </is>
      </c>
      <c r="P515" s="145" t="inlineStr">
        <is>
          <t xml:space="preserve">_ * #,##0_ ;_ * -#,##0_ ;_ * "-"??_ ;_ @_ </t>
        </is>
      </c>
      <c r="Q515" s="145" t="inlineStr">
        <is>
          <t>Text</t>
        </is>
      </c>
      <c r="R515" s="145" t="n"/>
      <c r="S515" s="145" t="n"/>
      <c r="T515" s="145" t="n"/>
      <c r="U515" s="145" t="n"/>
      <c r="V515" s="145" t="n"/>
      <c r="W515" s="145" t="n"/>
      <c r="X515" s="145" t="inlineStr">
        <is>
          <t>Detailed format sample from top 5 used rows</t>
        </is>
      </c>
    </row>
    <row r="516" ht="23.85" customHeight="1" s="79">
      <c r="A516" s="145" t="inlineStr">
        <is>
          <t>REGULAR_ART</t>
        </is>
      </c>
      <c r="B516" s="145" t="inlineStr">
        <is>
          <t>Column Format</t>
        </is>
      </c>
      <c r="C516" s="145" t="inlineStr">
        <is>
          <t>AN:AN</t>
        </is>
      </c>
      <c r="D516" s="145" t="inlineStr">
        <is>
          <t>REGULAR_ART!A1:AT410</t>
        </is>
      </c>
      <c r="E516" s="145" t="inlineStr">
        <is>
          <t>Mixed</t>
        </is>
      </c>
      <c r="F516" s="145" t="inlineStr">
        <is>
          <t>Mixed</t>
        </is>
      </c>
      <c r="G516" s="145" t="inlineStr">
        <is>
          <t>Aptos</t>
        </is>
      </c>
      <c r="H516" s="145" t="n">
        <v>8</v>
      </c>
      <c r="I516" s="145" t="inlineStr">
        <is>
          <t>Mixed</t>
        </is>
      </c>
      <c r="J516" s="145" t="inlineStr">
        <is>
          <t>No</t>
        </is>
      </c>
      <c r="K516" s="145" t="inlineStr">
        <is>
          <t>None</t>
        </is>
      </c>
      <c r="L516" s="145" t="inlineStr">
        <is>
          <t>#000000</t>
        </is>
      </c>
      <c r="M516" s="145" t="inlineStr">
        <is>
          <t>Mixed</t>
        </is>
      </c>
      <c r="N516" s="145" t="inlineStr">
        <is>
          <t>Center</t>
        </is>
      </c>
      <c r="O516" s="145" t="inlineStr">
        <is>
          <t>Mixed</t>
        </is>
      </c>
      <c r="P516" s="145" t="n"/>
      <c r="Q516" s="145" t="n"/>
      <c r="R516" s="145" t="inlineStr">
        <is>
          <t>EdgeBottom:Continuous/Thin/#000000; EdgeRight:Continuous/Thin/#000000</t>
        </is>
      </c>
      <c r="S516" s="145" t="n">
        <v>42.9850746268657</v>
      </c>
      <c r="T516" s="145" t="n"/>
      <c r="U516" s="145" t="inlineStr">
        <is>
          <t>No</t>
        </is>
      </c>
      <c r="V516" s="145" t="inlineStr">
        <is>
          <t>Visible</t>
        </is>
      </c>
      <c r="W516" s="145" t="n"/>
      <c r="X516" s="145" t="inlineStr">
        <is>
          <t>Mixed styles within used column</t>
        </is>
      </c>
    </row>
    <row r="517" ht="23.85" customHeight="1" s="79">
      <c r="A517" s="145" t="inlineStr">
        <is>
          <t>REGULAR_ART</t>
        </is>
      </c>
      <c r="B517" s="145" t="inlineStr">
        <is>
          <t>Top-Row Cell Format</t>
        </is>
      </c>
      <c r="C517" s="145" t="inlineStr">
        <is>
          <t>AN1</t>
        </is>
      </c>
      <c r="D517" s="145" t="inlineStr">
        <is>
          <t>REGULAR_ART!A1:AT410</t>
        </is>
      </c>
      <c r="E517" s="145" t="inlineStr">
        <is>
          <t>Normal</t>
        </is>
      </c>
      <c r="F517" s="145" t="n"/>
      <c r="G517" s="145" t="inlineStr">
        <is>
          <t>Aptos</t>
        </is>
      </c>
      <c r="H517" s="145" t="n">
        <v>8</v>
      </c>
      <c r="I517" s="145" t="inlineStr">
        <is>
          <t>No</t>
        </is>
      </c>
      <c r="J517" s="145" t="inlineStr">
        <is>
          <t>No</t>
        </is>
      </c>
      <c r="K517" s="145" t="inlineStr">
        <is>
          <t>None</t>
        </is>
      </c>
      <c r="L517" s="145" t="inlineStr">
        <is>
          <t>#000000</t>
        </is>
      </c>
      <c r="M517" s="145" t="inlineStr">
        <is>
          <t>General</t>
        </is>
      </c>
      <c r="N517" s="145" t="inlineStr">
        <is>
          <t>Center</t>
        </is>
      </c>
      <c r="O517" s="145" t="inlineStr">
        <is>
          <t>No</t>
        </is>
      </c>
      <c r="P517" s="145" t="inlineStr">
        <is>
          <t>General</t>
        </is>
      </c>
      <c r="Q517" s="145" t="inlineStr">
        <is>
          <t>General</t>
        </is>
      </c>
      <c r="R517" s="145" t="n"/>
      <c r="S517" s="145" t="n"/>
      <c r="T517" s="145" t="n"/>
      <c r="U517" s="145" t="n"/>
      <c r="V517" s="145" t="n"/>
      <c r="W517" s="145" t="n"/>
      <c r="X517" s="145" t="inlineStr">
        <is>
          <t>Detailed format sample from top 5 used rows</t>
        </is>
      </c>
    </row>
    <row r="518" ht="23.85" customHeight="1" s="79">
      <c r="A518" s="145" t="inlineStr">
        <is>
          <t>REGULAR_ART</t>
        </is>
      </c>
      <c r="B518" s="145" t="inlineStr">
        <is>
          <t>Top-Row Cell Format</t>
        </is>
      </c>
      <c r="C518" s="145" t="inlineStr">
        <is>
          <t>AN2</t>
        </is>
      </c>
      <c r="D518" s="145" t="inlineStr">
        <is>
          <t>REGULAR_ART!A1:AT410</t>
        </is>
      </c>
      <c r="E518" s="145" t="inlineStr">
        <is>
          <t>Comma</t>
        </is>
      </c>
      <c r="F518" s="145" t="inlineStr">
        <is>
          <t>#B4C6E7</t>
        </is>
      </c>
      <c r="G518" s="145" t="inlineStr">
        <is>
          <t>Aptos</t>
        </is>
      </c>
      <c r="H518" s="145" t="n">
        <v>8</v>
      </c>
      <c r="I518" s="145" t="inlineStr">
        <is>
          <t>Yes</t>
        </is>
      </c>
      <c r="J518" s="145" t="inlineStr">
        <is>
          <t>No</t>
        </is>
      </c>
      <c r="K518" s="145" t="inlineStr">
        <is>
          <t>None</t>
        </is>
      </c>
      <c r="L518" s="145" t="inlineStr">
        <is>
          <t>#000000</t>
        </is>
      </c>
      <c r="M518" s="145" t="inlineStr">
        <is>
          <t>General</t>
        </is>
      </c>
      <c r="N518" s="145" t="inlineStr">
        <is>
          <t>Center</t>
        </is>
      </c>
      <c r="O518" s="145" t="inlineStr">
        <is>
          <t>No</t>
        </is>
      </c>
      <c r="P518" s="145" t="inlineStr">
        <is>
          <t xml:space="preserve">_ * #,##0_ ;_ * -#,##0_ ;_ * "-"??_ ;_ @_ </t>
        </is>
      </c>
      <c r="Q518" s="145" t="inlineStr">
        <is>
          <t>Text</t>
        </is>
      </c>
      <c r="R518" s="145" t="n"/>
      <c r="S518" s="145" t="n"/>
      <c r="T518" s="145" t="n"/>
      <c r="U518" s="145" t="n"/>
      <c r="V518" s="145" t="n"/>
      <c r="W518" s="145" t="n"/>
      <c r="X518" s="145" t="inlineStr">
        <is>
          <t>Detailed format sample from top 5 used rows</t>
        </is>
      </c>
    </row>
    <row r="519" ht="23.85" customHeight="1" s="79">
      <c r="A519" s="145" t="inlineStr">
        <is>
          <t>REGULAR_ART</t>
        </is>
      </c>
      <c r="B519" s="145" t="inlineStr">
        <is>
          <t>Top-Row Cell Format</t>
        </is>
      </c>
      <c r="C519" s="145" t="inlineStr">
        <is>
          <t>AN3</t>
        </is>
      </c>
      <c r="D519" s="145" t="inlineStr">
        <is>
          <t>REGULAR_ART!A1:AT410</t>
        </is>
      </c>
      <c r="E519" s="145" t="inlineStr">
        <is>
          <t>Normal</t>
        </is>
      </c>
      <c r="F519" s="145" t="inlineStr">
        <is>
          <t>#F8CBAD</t>
        </is>
      </c>
      <c r="G519" s="145" t="inlineStr">
        <is>
          <t>Aptos</t>
        </is>
      </c>
      <c r="H519" s="145" t="n">
        <v>8</v>
      </c>
      <c r="I519" s="145" t="inlineStr">
        <is>
          <t>Yes</t>
        </is>
      </c>
      <c r="J519" s="145" t="inlineStr">
        <is>
          <t>No</t>
        </is>
      </c>
      <c r="K519" s="145" t="inlineStr">
        <is>
          <t>None</t>
        </is>
      </c>
      <c r="L519" s="145" t="inlineStr">
        <is>
          <t>#000000</t>
        </is>
      </c>
      <c r="M519" s="145" t="inlineStr">
        <is>
          <t>Center</t>
        </is>
      </c>
      <c r="N519" s="145" t="inlineStr">
        <is>
          <t>Center</t>
        </is>
      </c>
      <c r="O519" s="145" t="inlineStr">
        <is>
          <t>Yes</t>
        </is>
      </c>
      <c r="P519" s="145" t="inlineStr">
        <is>
          <t>General</t>
        </is>
      </c>
      <c r="Q519" s="145" t="inlineStr">
        <is>
          <t>General</t>
        </is>
      </c>
      <c r="R519" s="145" t="n"/>
      <c r="S519" s="145" t="n"/>
      <c r="T519" s="145" t="n"/>
      <c r="U519" s="145" t="n"/>
      <c r="V519" s="145" t="n"/>
      <c r="W519" s="145" t="n"/>
      <c r="X519" s="145" t="inlineStr">
        <is>
          <t>Detailed format sample from top 5 used rows</t>
        </is>
      </c>
    </row>
    <row r="520" ht="23.85" customHeight="1" s="79">
      <c r="A520" s="145" t="inlineStr">
        <is>
          <t>REGULAR_ART</t>
        </is>
      </c>
      <c r="B520" s="145" t="inlineStr">
        <is>
          <t>Top-Row Cell Format</t>
        </is>
      </c>
      <c r="C520" s="145" t="inlineStr">
        <is>
          <t>AN4</t>
        </is>
      </c>
      <c r="D520" s="145" t="inlineStr">
        <is>
          <t>REGULAR_ART!A1:AT410</t>
        </is>
      </c>
      <c r="E520" s="145" t="inlineStr">
        <is>
          <t>Normal</t>
        </is>
      </c>
      <c r="F520" s="145" t="inlineStr">
        <is>
          <t>#F8CBAD</t>
        </is>
      </c>
      <c r="G520" s="145" t="inlineStr">
        <is>
          <t>Aptos</t>
        </is>
      </c>
      <c r="H520" s="145" t="n">
        <v>8</v>
      </c>
      <c r="I520" s="145" t="inlineStr">
        <is>
          <t>No</t>
        </is>
      </c>
      <c r="J520" s="145" t="inlineStr">
        <is>
          <t>No</t>
        </is>
      </c>
      <c r="K520" s="145" t="inlineStr">
        <is>
          <t>None</t>
        </is>
      </c>
      <c r="L520" s="145" t="inlineStr">
        <is>
          <t>#000000</t>
        </is>
      </c>
      <c r="M520" s="145" t="inlineStr">
        <is>
          <t>General</t>
        </is>
      </c>
      <c r="N520" s="145" t="inlineStr">
        <is>
          <t>Center</t>
        </is>
      </c>
      <c r="O520" s="145" t="inlineStr">
        <is>
          <t>No</t>
        </is>
      </c>
      <c r="P520" s="145" t="inlineStr">
        <is>
          <t>General</t>
        </is>
      </c>
      <c r="Q520" s="145" t="inlineStr">
        <is>
          <t>General</t>
        </is>
      </c>
      <c r="R520" s="145" t="n"/>
      <c r="S520" s="145" t="n"/>
      <c r="T520" s="145" t="n"/>
      <c r="U520" s="145" t="n"/>
      <c r="V520" s="145" t="n"/>
      <c r="W520" s="145" t="n"/>
      <c r="X520" s="145" t="inlineStr">
        <is>
          <t>Detailed format sample from top 5 used rows</t>
        </is>
      </c>
    </row>
    <row r="521" ht="23.85" customHeight="1" s="79">
      <c r="A521" s="145" t="inlineStr">
        <is>
          <t>REGULAR_ART</t>
        </is>
      </c>
      <c r="B521" s="145" t="inlineStr">
        <is>
          <t>Top-Row Cell Format</t>
        </is>
      </c>
      <c r="C521" s="145" t="inlineStr">
        <is>
          <t>AN5</t>
        </is>
      </c>
      <c r="D521" s="145" t="inlineStr">
        <is>
          <t>REGULAR_ART!A1:AT410</t>
        </is>
      </c>
      <c r="E521" s="145" t="inlineStr">
        <is>
          <t>Comma</t>
        </is>
      </c>
      <c r="F521" s="145" t="n"/>
      <c r="G521" s="145" t="inlineStr">
        <is>
          <t>Aptos</t>
        </is>
      </c>
      <c r="H521" s="145" t="n">
        <v>8</v>
      </c>
      <c r="I521" s="145" t="inlineStr">
        <is>
          <t>No</t>
        </is>
      </c>
      <c r="J521" s="145" t="inlineStr">
        <is>
          <t>No</t>
        </is>
      </c>
      <c r="K521" s="145" t="inlineStr">
        <is>
          <t>None</t>
        </is>
      </c>
      <c r="L521" s="145" t="inlineStr">
        <is>
          <t>#000000</t>
        </is>
      </c>
      <c r="M521" s="145" t="inlineStr">
        <is>
          <t>General</t>
        </is>
      </c>
      <c r="N521" s="145" t="inlineStr">
        <is>
          <t>Center</t>
        </is>
      </c>
      <c r="O521" s="145" t="inlineStr">
        <is>
          <t>No</t>
        </is>
      </c>
      <c r="P521" s="145" t="inlineStr">
        <is>
          <t xml:space="preserve">_ * #,##0_ ;_ * -#,##0_ ;_ * "-"??_ ;_ @_ </t>
        </is>
      </c>
      <c r="Q521" s="145" t="inlineStr">
        <is>
          <t>Text</t>
        </is>
      </c>
      <c r="R521" s="145" t="n"/>
      <c r="S521" s="145" t="n"/>
      <c r="T521" s="145" t="n"/>
      <c r="U521" s="145" t="n"/>
      <c r="V521" s="145" t="n"/>
      <c r="W521" s="145" t="n"/>
      <c r="X521" s="145" t="inlineStr">
        <is>
          <t>Detailed format sample from top 5 used rows</t>
        </is>
      </c>
    </row>
    <row r="522" ht="35.05" customHeight="1" s="79">
      <c r="A522" s="145" t="inlineStr">
        <is>
          <t>REGULAR_ART</t>
        </is>
      </c>
      <c r="B522" s="145" t="inlineStr">
        <is>
          <t>Column Format</t>
        </is>
      </c>
      <c r="C522" s="145" t="inlineStr">
        <is>
          <t>AO:AO</t>
        </is>
      </c>
      <c r="D522" s="145" t="inlineStr">
        <is>
          <t>REGULAR_ART!A1:AT410</t>
        </is>
      </c>
      <c r="E522" s="145" t="inlineStr">
        <is>
          <t>Mixed</t>
        </is>
      </c>
      <c r="F522" s="145" t="inlineStr">
        <is>
          <t>Mixed</t>
        </is>
      </c>
      <c r="G522" s="145" t="inlineStr">
        <is>
          <t>Aptos</t>
        </is>
      </c>
      <c r="H522" s="145" t="n">
        <v>8</v>
      </c>
      <c r="I522" s="145" t="inlineStr">
        <is>
          <t>Mixed</t>
        </is>
      </c>
      <c r="J522" s="145" t="inlineStr">
        <is>
          <t>No</t>
        </is>
      </c>
      <c r="K522" s="145" t="inlineStr">
        <is>
          <t>None</t>
        </is>
      </c>
      <c r="L522" s="145" t="inlineStr">
        <is>
          <t>#000000</t>
        </is>
      </c>
      <c r="M522" s="145" t="inlineStr">
        <is>
          <t>Mixed</t>
        </is>
      </c>
      <c r="N522" s="145" t="inlineStr">
        <is>
          <t>Center</t>
        </is>
      </c>
      <c r="O522" s="145" t="inlineStr">
        <is>
          <t>Mixed</t>
        </is>
      </c>
      <c r="P522" s="145" t="n"/>
      <c r="Q522" s="145" t="n"/>
      <c r="R522" s="145" t="inlineStr">
        <is>
          <t>EdgeBottom:Continuous/Thin/#000000; EdgeRight:Continuous/Thin/#000000</t>
        </is>
      </c>
      <c r="S522" s="145" t="n">
        <v>0</v>
      </c>
      <c r="T522" s="145" t="n"/>
      <c r="U522" s="145" t="inlineStr">
        <is>
          <t>Yes</t>
        </is>
      </c>
      <c r="V522" s="145" t="inlineStr">
        <is>
          <t>Hidden column (possible outline/group)</t>
        </is>
      </c>
      <c r="W522" s="145" t="n"/>
      <c r="X522" s="145" t="inlineStr">
        <is>
          <t>Mixed styles within used column</t>
        </is>
      </c>
    </row>
    <row r="523" ht="23.85" customHeight="1" s="79">
      <c r="A523" s="145" t="inlineStr">
        <is>
          <t>REGULAR_ART</t>
        </is>
      </c>
      <c r="B523" s="145" t="inlineStr">
        <is>
          <t>Top-Row Cell Format</t>
        </is>
      </c>
      <c r="C523" s="145" t="inlineStr">
        <is>
          <t>AO1</t>
        </is>
      </c>
      <c r="D523" s="145" t="inlineStr">
        <is>
          <t>REGULAR_ART!A1:AT410</t>
        </is>
      </c>
      <c r="E523" s="145" t="inlineStr">
        <is>
          <t>Normal</t>
        </is>
      </c>
      <c r="F523" s="145" t="n"/>
      <c r="G523" s="145" t="inlineStr">
        <is>
          <t>Aptos</t>
        </is>
      </c>
      <c r="H523" s="145" t="n">
        <v>8</v>
      </c>
      <c r="I523" s="145" t="inlineStr">
        <is>
          <t>No</t>
        </is>
      </c>
      <c r="J523" s="145" t="inlineStr">
        <is>
          <t>No</t>
        </is>
      </c>
      <c r="K523" s="145" t="inlineStr">
        <is>
          <t>None</t>
        </is>
      </c>
      <c r="L523" s="145" t="inlineStr">
        <is>
          <t>#000000</t>
        </is>
      </c>
      <c r="M523" s="145" t="inlineStr">
        <is>
          <t>General</t>
        </is>
      </c>
      <c r="N523" s="145" t="inlineStr">
        <is>
          <t>Center</t>
        </is>
      </c>
      <c r="O523" s="145" t="inlineStr">
        <is>
          <t>No</t>
        </is>
      </c>
      <c r="P523" s="145" t="inlineStr">
        <is>
          <t>General</t>
        </is>
      </c>
      <c r="Q523" s="145" t="inlineStr">
        <is>
          <t>General</t>
        </is>
      </c>
      <c r="R523" s="145" t="n"/>
      <c r="S523" s="145" t="n"/>
      <c r="T523" s="145" t="n"/>
      <c r="U523" s="145" t="n"/>
      <c r="V523" s="145" t="n"/>
      <c r="W523" s="145" t="n"/>
      <c r="X523" s="145" t="inlineStr">
        <is>
          <t>Detailed format sample from top 5 used rows</t>
        </is>
      </c>
    </row>
    <row r="524" ht="23.85" customHeight="1" s="79">
      <c r="A524" s="145" t="inlineStr">
        <is>
          <t>REGULAR_ART</t>
        </is>
      </c>
      <c r="B524" s="145" t="inlineStr">
        <is>
          <t>Top-Row Cell Format</t>
        </is>
      </c>
      <c r="C524" s="145" t="inlineStr">
        <is>
          <t>AO2</t>
        </is>
      </c>
      <c r="D524" s="145" t="inlineStr">
        <is>
          <t>REGULAR_ART!A1:AT410</t>
        </is>
      </c>
      <c r="E524" s="145" t="inlineStr">
        <is>
          <t>Comma</t>
        </is>
      </c>
      <c r="F524" s="145" t="inlineStr">
        <is>
          <t>#B4C6E7</t>
        </is>
      </c>
      <c r="G524" s="145" t="inlineStr">
        <is>
          <t>Aptos</t>
        </is>
      </c>
      <c r="H524" s="145" t="n">
        <v>8</v>
      </c>
      <c r="I524" s="145" t="inlineStr">
        <is>
          <t>Yes</t>
        </is>
      </c>
      <c r="J524" s="145" t="inlineStr">
        <is>
          <t>No</t>
        </is>
      </c>
      <c r="K524" s="145" t="inlineStr">
        <is>
          <t>None</t>
        </is>
      </c>
      <c r="L524" s="145" t="inlineStr">
        <is>
          <t>#000000</t>
        </is>
      </c>
      <c r="M524" s="145" t="inlineStr">
        <is>
          <t>General</t>
        </is>
      </c>
      <c r="N524" s="145" t="inlineStr">
        <is>
          <t>Center</t>
        </is>
      </c>
      <c r="O524" s="145" t="inlineStr">
        <is>
          <t>No</t>
        </is>
      </c>
      <c r="P524" s="145" t="inlineStr">
        <is>
          <t xml:space="preserve">_ * #,##0_ ;_ * -#,##0_ ;_ * "-"??_ ;_ @_ </t>
        </is>
      </c>
      <c r="Q524" s="145" t="inlineStr">
        <is>
          <t>Text</t>
        </is>
      </c>
      <c r="R524" s="145" t="n"/>
      <c r="S524" s="145" t="n"/>
      <c r="T524" s="145" t="n"/>
      <c r="U524" s="145" t="n"/>
      <c r="V524" s="145" t="n"/>
      <c r="W524" s="145" t="n"/>
      <c r="X524" s="145" t="inlineStr">
        <is>
          <t>Detailed format sample from top 5 used rows</t>
        </is>
      </c>
    </row>
    <row r="525" ht="23.85" customHeight="1" s="79">
      <c r="A525" s="145" t="inlineStr">
        <is>
          <t>REGULAR_ART</t>
        </is>
      </c>
      <c r="B525" s="145" t="inlineStr">
        <is>
          <t>Top-Row Cell Format</t>
        </is>
      </c>
      <c r="C525" s="145" t="inlineStr">
        <is>
          <t>AO3</t>
        </is>
      </c>
      <c r="D525" s="145" t="inlineStr">
        <is>
          <t>REGULAR_ART!A1:AT410</t>
        </is>
      </c>
      <c r="E525" s="145" t="inlineStr">
        <is>
          <t>Normal</t>
        </is>
      </c>
      <c r="F525" s="145" t="inlineStr">
        <is>
          <t>#F8CBAD</t>
        </is>
      </c>
      <c r="G525" s="145" t="inlineStr">
        <is>
          <t>Aptos</t>
        </is>
      </c>
      <c r="H525" s="145" t="n">
        <v>8</v>
      </c>
      <c r="I525" s="145" t="inlineStr">
        <is>
          <t>Yes</t>
        </is>
      </c>
      <c r="J525" s="145" t="inlineStr">
        <is>
          <t>No</t>
        </is>
      </c>
      <c r="K525" s="145" t="inlineStr">
        <is>
          <t>None</t>
        </is>
      </c>
      <c r="L525" s="145" t="inlineStr">
        <is>
          <t>#000000</t>
        </is>
      </c>
      <c r="M525" s="145" t="inlineStr">
        <is>
          <t>Center</t>
        </is>
      </c>
      <c r="N525" s="145" t="inlineStr">
        <is>
          <t>Center</t>
        </is>
      </c>
      <c r="O525" s="145" t="inlineStr">
        <is>
          <t>Yes</t>
        </is>
      </c>
      <c r="P525" s="145" t="inlineStr">
        <is>
          <t>General</t>
        </is>
      </c>
      <c r="Q525" s="145" t="inlineStr">
        <is>
          <t>General</t>
        </is>
      </c>
      <c r="R525" s="145" t="n"/>
      <c r="S525" s="145" t="n"/>
      <c r="T525" s="145" t="n"/>
      <c r="U525" s="145" t="n"/>
      <c r="V525" s="145" t="n"/>
      <c r="W525" s="145" t="n"/>
      <c r="X525" s="145" t="inlineStr">
        <is>
          <t>Detailed format sample from top 5 used rows</t>
        </is>
      </c>
    </row>
    <row r="526" ht="23.85" customHeight="1" s="79">
      <c r="A526" s="145" t="inlineStr">
        <is>
          <t>REGULAR_ART</t>
        </is>
      </c>
      <c r="B526" s="145" t="inlineStr">
        <is>
          <t>Top-Row Cell Format</t>
        </is>
      </c>
      <c r="C526" s="145" t="inlineStr">
        <is>
          <t>AO4</t>
        </is>
      </c>
      <c r="D526" s="145" t="inlineStr">
        <is>
          <t>REGULAR_ART!A1:AT410</t>
        </is>
      </c>
      <c r="E526" s="145" t="inlineStr">
        <is>
          <t>Normal</t>
        </is>
      </c>
      <c r="F526" s="145" t="inlineStr">
        <is>
          <t>#F8CBAD</t>
        </is>
      </c>
      <c r="G526" s="145" t="inlineStr">
        <is>
          <t>Aptos</t>
        </is>
      </c>
      <c r="H526" s="145" t="n">
        <v>8</v>
      </c>
      <c r="I526" s="145" t="inlineStr">
        <is>
          <t>No</t>
        </is>
      </c>
      <c r="J526" s="145" t="inlineStr">
        <is>
          <t>No</t>
        </is>
      </c>
      <c r="K526" s="145" t="inlineStr">
        <is>
          <t>None</t>
        </is>
      </c>
      <c r="L526" s="145" t="inlineStr">
        <is>
          <t>#000000</t>
        </is>
      </c>
      <c r="M526" s="145" t="inlineStr">
        <is>
          <t>General</t>
        </is>
      </c>
      <c r="N526" s="145" t="inlineStr">
        <is>
          <t>Center</t>
        </is>
      </c>
      <c r="O526" s="145" t="inlineStr">
        <is>
          <t>No</t>
        </is>
      </c>
      <c r="P526" s="145" t="inlineStr">
        <is>
          <t>General</t>
        </is>
      </c>
      <c r="Q526" s="145" t="inlineStr">
        <is>
          <t>General</t>
        </is>
      </c>
      <c r="R526" s="145" t="n"/>
      <c r="S526" s="145" t="n"/>
      <c r="T526" s="145" t="n"/>
      <c r="U526" s="145" t="n"/>
      <c r="V526" s="145" t="n"/>
      <c r="W526" s="145" t="n"/>
      <c r="X526" s="145" t="inlineStr">
        <is>
          <t>Detailed format sample from top 5 used rows</t>
        </is>
      </c>
    </row>
    <row r="527" ht="23.85" customHeight="1" s="79">
      <c r="A527" s="145" t="inlineStr">
        <is>
          <t>REGULAR_ART</t>
        </is>
      </c>
      <c r="B527" s="145" t="inlineStr">
        <is>
          <t>Top-Row Cell Format</t>
        </is>
      </c>
      <c r="C527" s="145" t="inlineStr">
        <is>
          <t>AO5</t>
        </is>
      </c>
      <c r="D527" s="145" t="inlineStr">
        <is>
          <t>REGULAR_ART!A1:AT410</t>
        </is>
      </c>
      <c r="E527" s="145" t="inlineStr">
        <is>
          <t>Comma</t>
        </is>
      </c>
      <c r="F527" s="145" t="n"/>
      <c r="G527" s="145" t="inlineStr">
        <is>
          <t>Aptos</t>
        </is>
      </c>
      <c r="H527" s="145" t="n">
        <v>8</v>
      </c>
      <c r="I527" s="145" t="inlineStr">
        <is>
          <t>No</t>
        </is>
      </c>
      <c r="J527" s="145" t="inlineStr">
        <is>
          <t>No</t>
        </is>
      </c>
      <c r="K527" s="145" t="inlineStr">
        <is>
          <t>None</t>
        </is>
      </c>
      <c r="L527" s="145" t="inlineStr">
        <is>
          <t>#000000</t>
        </is>
      </c>
      <c r="M527" s="145" t="inlineStr">
        <is>
          <t>General</t>
        </is>
      </c>
      <c r="N527" s="145" t="inlineStr">
        <is>
          <t>Center</t>
        </is>
      </c>
      <c r="O527" s="145" t="inlineStr">
        <is>
          <t>No</t>
        </is>
      </c>
      <c r="P527" s="145" t="inlineStr">
        <is>
          <t xml:space="preserve">_ * #,##0_ ;_ * -#,##0_ ;_ * "-"??_ ;_ @_ </t>
        </is>
      </c>
      <c r="Q527" s="145" t="inlineStr">
        <is>
          <t>Text</t>
        </is>
      </c>
      <c r="R527" s="145" t="n"/>
      <c r="S527" s="145" t="n"/>
      <c r="T527" s="145" t="n"/>
      <c r="U527" s="145" t="n"/>
      <c r="V527" s="145" t="n"/>
      <c r="W527" s="145" t="n"/>
      <c r="X527" s="145" t="inlineStr">
        <is>
          <t>Detailed format sample from top 5 used rows</t>
        </is>
      </c>
    </row>
    <row r="528" ht="35.05" customHeight="1" s="79">
      <c r="A528" s="145" t="inlineStr">
        <is>
          <t>REGULAR_ART</t>
        </is>
      </c>
      <c r="B528" s="145" t="inlineStr">
        <is>
          <t>Column Format</t>
        </is>
      </c>
      <c r="C528" s="145" t="inlineStr">
        <is>
          <t>AP:AP</t>
        </is>
      </c>
      <c r="D528" s="145" t="inlineStr">
        <is>
          <t>REGULAR_ART!A1:AT410</t>
        </is>
      </c>
      <c r="E528" s="145" t="inlineStr">
        <is>
          <t>Mixed</t>
        </is>
      </c>
      <c r="F528" s="145" t="inlineStr">
        <is>
          <t>Mixed</t>
        </is>
      </c>
      <c r="G528" s="145" t="inlineStr">
        <is>
          <t>Aptos</t>
        </is>
      </c>
      <c r="H528" s="145" t="n">
        <v>8</v>
      </c>
      <c r="I528" s="145" t="inlineStr">
        <is>
          <t>Mixed</t>
        </is>
      </c>
      <c r="J528" s="145" t="inlineStr">
        <is>
          <t>No</t>
        </is>
      </c>
      <c r="K528" s="145" t="inlineStr">
        <is>
          <t>None</t>
        </is>
      </c>
      <c r="L528" s="145" t="inlineStr">
        <is>
          <t>#000000</t>
        </is>
      </c>
      <c r="M528" s="145" t="inlineStr">
        <is>
          <t>Mixed</t>
        </is>
      </c>
      <c r="N528" s="145" t="inlineStr">
        <is>
          <t>Center</t>
        </is>
      </c>
      <c r="O528" s="145" t="inlineStr">
        <is>
          <t>Mixed</t>
        </is>
      </c>
      <c r="P528" s="145" t="n"/>
      <c r="Q528" s="145" t="n"/>
      <c r="R528" s="145" t="inlineStr">
        <is>
          <t>EdgeBottom:Continuous/Thin/#000000; EdgeRight:Continuous/Thin/#000000</t>
        </is>
      </c>
      <c r="S528" s="145" t="n">
        <v>0</v>
      </c>
      <c r="T528" s="145" t="n"/>
      <c r="U528" s="145" t="inlineStr">
        <is>
          <t>Yes</t>
        </is>
      </c>
      <c r="V528" s="145" t="inlineStr">
        <is>
          <t>Hidden column (possible outline/group)</t>
        </is>
      </c>
      <c r="W528" s="145" t="n"/>
      <c r="X528" s="145" t="inlineStr">
        <is>
          <t>Mixed styles within used column</t>
        </is>
      </c>
    </row>
    <row r="529" ht="23.85" customHeight="1" s="79">
      <c r="A529" s="145" t="inlineStr">
        <is>
          <t>REGULAR_ART</t>
        </is>
      </c>
      <c r="B529" s="145" t="inlineStr">
        <is>
          <t>Top-Row Cell Format</t>
        </is>
      </c>
      <c r="C529" s="145" t="inlineStr">
        <is>
          <t>AP1</t>
        </is>
      </c>
      <c r="D529" s="145" t="inlineStr">
        <is>
          <t>REGULAR_ART!A1:AT410</t>
        </is>
      </c>
      <c r="E529" s="145" t="inlineStr">
        <is>
          <t>Normal</t>
        </is>
      </c>
      <c r="F529" s="145" t="n"/>
      <c r="G529" s="145" t="inlineStr">
        <is>
          <t>Aptos</t>
        </is>
      </c>
      <c r="H529" s="145" t="n">
        <v>8</v>
      </c>
      <c r="I529" s="145" t="inlineStr">
        <is>
          <t>No</t>
        </is>
      </c>
      <c r="J529" s="145" t="inlineStr">
        <is>
          <t>No</t>
        </is>
      </c>
      <c r="K529" s="145" t="inlineStr">
        <is>
          <t>None</t>
        </is>
      </c>
      <c r="L529" s="145" t="inlineStr">
        <is>
          <t>#000000</t>
        </is>
      </c>
      <c r="M529" s="145" t="inlineStr">
        <is>
          <t>General</t>
        </is>
      </c>
      <c r="N529" s="145" t="inlineStr">
        <is>
          <t>Center</t>
        </is>
      </c>
      <c r="O529" s="145" t="inlineStr">
        <is>
          <t>No</t>
        </is>
      </c>
      <c r="P529" s="145" t="inlineStr">
        <is>
          <t>General</t>
        </is>
      </c>
      <c r="Q529" s="145" t="inlineStr">
        <is>
          <t>General</t>
        </is>
      </c>
      <c r="R529" s="145" t="n"/>
      <c r="S529" s="145" t="n"/>
      <c r="T529" s="145" t="n"/>
      <c r="U529" s="145" t="n"/>
      <c r="V529" s="145" t="n"/>
      <c r="W529" s="145" t="n"/>
      <c r="X529" s="145" t="inlineStr">
        <is>
          <t>Detailed format sample from top 5 used rows</t>
        </is>
      </c>
    </row>
    <row r="530" ht="23.85" customHeight="1" s="79">
      <c r="A530" s="145" t="inlineStr">
        <is>
          <t>REGULAR_ART</t>
        </is>
      </c>
      <c r="B530" s="145" t="inlineStr">
        <is>
          <t>Top-Row Cell Format</t>
        </is>
      </c>
      <c r="C530" s="145" t="inlineStr">
        <is>
          <t>AP2</t>
        </is>
      </c>
      <c r="D530" s="145" t="inlineStr">
        <is>
          <t>REGULAR_ART!A1:AT410</t>
        </is>
      </c>
      <c r="E530" s="145" t="inlineStr">
        <is>
          <t>Comma</t>
        </is>
      </c>
      <c r="F530" s="145" t="inlineStr">
        <is>
          <t>#B4C6E7</t>
        </is>
      </c>
      <c r="G530" s="145" t="inlineStr">
        <is>
          <t>Aptos</t>
        </is>
      </c>
      <c r="H530" s="145" t="n">
        <v>8</v>
      </c>
      <c r="I530" s="145" t="inlineStr">
        <is>
          <t>Yes</t>
        </is>
      </c>
      <c r="J530" s="145" t="inlineStr">
        <is>
          <t>No</t>
        </is>
      </c>
      <c r="K530" s="145" t="inlineStr">
        <is>
          <t>None</t>
        </is>
      </c>
      <c r="L530" s="145" t="inlineStr">
        <is>
          <t>#000000</t>
        </is>
      </c>
      <c r="M530" s="145" t="inlineStr">
        <is>
          <t>General</t>
        </is>
      </c>
      <c r="N530" s="145" t="inlineStr">
        <is>
          <t>Center</t>
        </is>
      </c>
      <c r="O530" s="145" t="inlineStr">
        <is>
          <t>No</t>
        </is>
      </c>
      <c r="P530" s="145" t="inlineStr">
        <is>
          <t xml:space="preserve">_ * #,##0_ ;_ * -#,##0_ ;_ * "-"??_ ;_ @_ </t>
        </is>
      </c>
      <c r="Q530" s="145" t="inlineStr">
        <is>
          <t>Text</t>
        </is>
      </c>
      <c r="R530" s="145" t="n"/>
      <c r="S530" s="145" t="n"/>
      <c r="T530" s="145" t="n"/>
      <c r="U530" s="145" t="n"/>
      <c r="V530" s="145" t="n"/>
      <c r="W530" s="145" t="n"/>
      <c r="X530" s="145" t="inlineStr">
        <is>
          <t>Detailed format sample from top 5 used rows</t>
        </is>
      </c>
    </row>
    <row r="531" ht="23.85" customHeight="1" s="79">
      <c r="A531" s="145" t="inlineStr">
        <is>
          <t>REGULAR_ART</t>
        </is>
      </c>
      <c r="B531" s="145" t="inlineStr">
        <is>
          <t>Top-Row Cell Format</t>
        </is>
      </c>
      <c r="C531" s="145" t="inlineStr">
        <is>
          <t>AP3</t>
        </is>
      </c>
      <c r="D531" s="145" t="inlineStr">
        <is>
          <t>REGULAR_ART!A1:AT410</t>
        </is>
      </c>
      <c r="E531" s="145" t="inlineStr">
        <is>
          <t>Normal</t>
        </is>
      </c>
      <c r="F531" s="145" t="inlineStr">
        <is>
          <t>#F8CBAD</t>
        </is>
      </c>
      <c r="G531" s="145" t="inlineStr">
        <is>
          <t>Aptos</t>
        </is>
      </c>
      <c r="H531" s="145" t="n">
        <v>8</v>
      </c>
      <c r="I531" s="145" t="inlineStr">
        <is>
          <t>Yes</t>
        </is>
      </c>
      <c r="J531" s="145" t="inlineStr">
        <is>
          <t>No</t>
        </is>
      </c>
      <c r="K531" s="145" t="inlineStr">
        <is>
          <t>None</t>
        </is>
      </c>
      <c r="L531" s="145" t="inlineStr">
        <is>
          <t>#000000</t>
        </is>
      </c>
      <c r="M531" s="145" t="inlineStr">
        <is>
          <t>Center</t>
        </is>
      </c>
      <c r="N531" s="145" t="inlineStr">
        <is>
          <t>Center</t>
        </is>
      </c>
      <c r="O531" s="145" t="inlineStr">
        <is>
          <t>Yes</t>
        </is>
      </c>
      <c r="P531" s="145" t="inlineStr">
        <is>
          <t>General</t>
        </is>
      </c>
      <c r="Q531" s="145" t="inlineStr">
        <is>
          <t>General</t>
        </is>
      </c>
      <c r="R531" s="145" t="n"/>
      <c r="S531" s="145" t="n"/>
      <c r="T531" s="145" t="n"/>
      <c r="U531" s="145" t="n"/>
      <c r="V531" s="145" t="n"/>
      <c r="W531" s="145" t="n"/>
      <c r="X531" s="145" t="inlineStr">
        <is>
          <t>Detailed format sample from top 5 used rows</t>
        </is>
      </c>
    </row>
    <row r="532" ht="23.85" customHeight="1" s="79">
      <c r="A532" s="145" t="inlineStr">
        <is>
          <t>REGULAR_ART</t>
        </is>
      </c>
      <c r="B532" s="145" t="inlineStr">
        <is>
          <t>Top-Row Cell Format</t>
        </is>
      </c>
      <c r="C532" s="145" t="inlineStr">
        <is>
          <t>AP4</t>
        </is>
      </c>
      <c r="D532" s="145" t="inlineStr">
        <is>
          <t>REGULAR_ART!A1:AT410</t>
        </is>
      </c>
      <c r="E532" s="145" t="inlineStr">
        <is>
          <t>Normal</t>
        </is>
      </c>
      <c r="F532" s="145" t="inlineStr">
        <is>
          <t>#F8CBAD</t>
        </is>
      </c>
      <c r="G532" s="145" t="inlineStr">
        <is>
          <t>Aptos</t>
        </is>
      </c>
      <c r="H532" s="145" t="n">
        <v>8</v>
      </c>
      <c r="I532" s="145" t="inlineStr">
        <is>
          <t>No</t>
        </is>
      </c>
      <c r="J532" s="145" t="inlineStr">
        <is>
          <t>No</t>
        </is>
      </c>
      <c r="K532" s="145" t="inlineStr">
        <is>
          <t>None</t>
        </is>
      </c>
      <c r="L532" s="145" t="inlineStr">
        <is>
          <t>#000000</t>
        </is>
      </c>
      <c r="M532" s="145" t="inlineStr">
        <is>
          <t>General</t>
        </is>
      </c>
      <c r="N532" s="145" t="inlineStr">
        <is>
          <t>Center</t>
        </is>
      </c>
      <c r="O532" s="145" t="inlineStr">
        <is>
          <t>No</t>
        </is>
      </c>
      <c r="P532" s="145" t="inlineStr">
        <is>
          <t>General</t>
        </is>
      </c>
      <c r="Q532" s="145" t="inlineStr">
        <is>
          <t>General</t>
        </is>
      </c>
      <c r="R532" s="145" t="n"/>
      <c r="S532" s="145" t="n"/>
      <c r="T532" s="145" t="n"/>
      <c r="U532" s="145" t="n"/>
      <c r="V532" s="145" t="n"/>
      <c r="W532" s="145" t="n"/>
      <c r="X532" s="145" t="inlineStr">
        <is>
          <t>Detailed format sample from top 5 used rows</t>
        </is>
      </c>
    </row>
    <row r="533" ht="23.85" customHeight="1" s="79">
      <c r="A533" s="145" t="inlineStr">
        <is>
          <t>REGULAR_ART</t>
        </is>
      </c>
      <c r="B533" s="145" t="inlineStr">
        <is>
          <t>Top-Row Cell Format</t>
        </is>
      </c>
      <c r="C533" s="145" t="inlineStr">
        <is>
          <t>AP5</t>
        </is>
      </c>
      <c r="D533" s="145" t="inlineStr">
        <is>
          <t>REGULAR_ART!A1:AT410</t>
        </is>
      </c>
      <c r="E533" s="145" t="inlineStr">
        <is>
          <t>Comma</t>
        </is>
      </c>
      <c r="F533" s="145" t="n"/>
      <c r="G533" s="145" t="inlineStr">
        <is>
          <t>Aptos</t>
        </is>
      </c>
      <c r="H533" s="145" t="n">
        <v>8</v>
      </c>
      <c r="I533" s="145" t="inlineStr">
        <is>
          <t>No</t>
        </is>
      </c>
      <c r="J533" s="145" t="inlineStr">
        <is>
          <t>No</t>
        </is>
      </c>
      <c r="K533" s="145" t="inlineStr">
        <is>
          <t>None</t>
        </is>
      </c>
      <c r="L533" s="145" t="inlineStr">
        <is>
          <t>#000000</t>
        </is>
      </c>
      <c r="M533" s="145" t="inlineStr">
        <is>
          <t>General</t>
        </is>
      </c>
      <c r="N533" s="145" t="inlineStr">
        <is>
          <t>Center</t>
        </is>
      </c>
      <c r="O533" s="145" t="inlineStr">
        <is>
          <t>No</t>
        </is>
      </c>
      <c r="P533" s="145" t="inlineStr">
        <is>
          <t xml:space="preserve">_ * #,##0_ ;_ * -#,##0_ ;_ * "-"??_ ;_ @_ </t>
        </is>
      </c>
      <c r="Q533" s="145" t="inlineStr">
        <is>
          <t>Text</t>
        </is>
      </c>
      <c r="R533" s="145" t="n"/>
      <c r="S533" s="145" t="n"/>
      <c r="T533" s="145" t="n"/>
      <c r="U533" s="145" t="n"/>
      <c r="V533" s="145" t="n"/>
      <c r="W533" s="145" t="n"/>
      <c r="X533" s="145" t="inlineStr">
        <is>
          <t>Detailed format sample from top 5 used rows</t>
        </is>
      </c>
    </row>
    <row r="534" ht="35.05" customHeight="1" s="79">
      <c r="A534" s="145" t="inlineStr">
        <is>
          <t>REGULAR_ART</t>
        </is>
      </c>
      <c r="B534" s="145" t="inlineStr">
        <is>
          <t>Column Format</t>
        </is>
      </c>
      <c r="C534" s="145" t="inlineStr">
        <is>
          <t>AQ:AQ</t>
        </is>
      </c>
      <c r="D534" s="145" t="inlineStr">
        <is>
          <t>REGULAR_ART!A1:AT410</t>
        </is>
      </c>
      <c r="E534" s="145" t="inlineStr">
        <is>
          <t>Mixed</t>
        </is>
      </c>
      <c r="F534" s="145" t="inlineStr">
        <is>
          <t>Mixed</t>
        </is>
      </c>
      <c r="G534" s="145" t="inlineStr">
        <is>
          <t>Aptos</t>
        </is>
      </c>
      <c r="H534" s="145" t="n">
        <v>8</v>
      </c>
      <c r="I534" s="145" t="inlineStr">
        <is>
          <t>Mixed</t>
        </is>
      </c>
      <c r="J534" s="145" t="inlineStr">
        <is>
          <t>No</t>
        </is>
      </c>
      <c r="K534" s="145" t="inlineStr">
        <is>
          <t>None</t>
        </is>
      </c>
      <c r="L534" s="145" t="inlineStr">
        <is>
          <t>#000000</t>
        </is>
      </c>
      <c r="M534" s="145" t="inlineStr">
        <is>
          <t>Mixed</t>
        </is>
      </c>
      <c r="N534" s="145" t="inlineStr">
        <is>
          <t>Center</t>
        </is>
      </c>
      <c r="O534" s="145" t="inlineStr">
        <is>
          <t>Mixed</t>
        </is>
      </c>
      <c r="P534" s="145" t="n"/>
      <c r="Q534" s="145" t="n"/>
      <c r="R534" s="145" t="inlineStr">
        <is>
          <t>EdgeBottom:Continuous/Thin/#000000; EdgeRight:Continuous/Thin/#000000</t>
        </is>
      </c>
      <c r="S534" s="145" t="n">
        <v>0</v>
      </c>
      <c r="T534" s="145" t="n"/>
      <c r="U534" s="145" t="inlineStr">
        <is>
          <t>Yes</t>
        </is>
      </c>
      <c r="V534" s="145" t="inlineStr">
        <is>
          <t>Hidden column (possible outline/group)</t>
        </is>
      </c>
      <c r="W534" s="145" t="n"/>
      <c r="X534" s="145" t="inlineStr">
        <is>
          <t>Mixed styles within used column</t>
        </is>
      </c>
    </row>
    <row r="535" ht="23.85" customHeight="1" s="79">
      <c r="A535" s="145" t="inlineStr">
        <is>
          <t>REGULAR_ART</t>
        </is>
      </c>
      <c r="B535" s="145" t="inlineStr">
        <is>
          <t>Top-Row Cell Format</t>
        </is>
      </c>
      <c r="C535" s="145" t="inlineStr">
        <is>
          <t>AQ1</t>
        </is>
      </c>
      <c r="D535" s="145" t="inlineStr">
        <is>
          <t>REGULAR_ART!A1:AT410</t>
        </is>
      </c>
      <c r="E535" s="145" t="inlineStr">
        <is>
          <t>Normal</t>
        </is>
      </c>
      <c r="F535" s="145" t="n"/>
      <c r="G535" s="145" t="inlineStr">
        <is>
          <t>Aptos</t>
        </is>
      </c>
      <c r="H535" s="145" t="n">
        <v>8</v>
      </c>
      <c r="I535" s="145" t="inlineStr">
        <is>
          <t>No</t>
        </is>
      </c>
      <c r="J535" s="145" t="inlineStr">
        <is>
          <t>No</t>
        </is>
      </c>
      <c r="K535" s="145" t="inlineStr">
        <is>
          <t>None</t>
        </is>
      </c>
      <c r="L535" s="145" t="inlineStr">
        <is>
          <t>#000000</t>
        </is>
      </c>
      <c r="M535" s="145" t="inlineStr">
        <is>
          <t>General</t>
        </is>
      </c>
      <c r="N535" s="145" t="inlineStr">
        <is>
          <t>Center</t>
        </is>
      </c>
      <c r="O535" s="145" t="inlineStr">
        <is>
          <t>No</t>
        </is>
      </c>
      <c r="P535" s="145" t="inlineStr">
        <is>
          <t>General</t>
        </is>
      </c>
      <c r="Q535" s="145" t="inlineStr">
        <is>
          <t>General</t>
        </is>
      </c>
      <c r="R535" s="145" t="n"/>
      <c r="S535" s="145" t="n"/>
      <c r="T535" s="145" t="n"/>
      <c r="U535" s="145" t="n"/>
      <c r="V535" s="145" t="n"/>
      <c r="W535" s="145" t="n"/>
      <c r="X535" s="145" t="inlineStr">
        <is>
          <t>Detailed format sample from top 5 used rows</t>
        </is>
      </c>
    </row>
    <row r="536" ht="23.85" customHeight="1" s="79">
      <c r="A536" s="145" t="inlineStr">
        <is>
          <t>REGULAR_ART</t>
        </is>
      </c>
      <c r="B536" s="145" t="inlineStr">
        <is>
          <t>Top-Row Cell Format</t>
        </is>
      </c>
      <c r="C536" s="145" t="inlineStr">
        <is>
          <t>AQ2</t>
        </is>
      </c>
      <c r="D536" s="145" t="inlineStr">
        <is>
          <t>REGULAR_ART!A1:AT410</t>
        </is>
      </c>
      <c r="E536" s="145" t="inlineStr">
        <is>
          <t>Comma</t>
        </is>
      </c>
      <c r="F536" s="145" t="inlineStr">
        <is>
          <t>#B4C6E7</t>
        </is>
      </c>
      <c r="G536" s="145" t="inlineStr">
        <is>
          <t>Aptos</t>
        </is>
      </c>
      <c r="H536" s="145" t="n">
        <v>8</v>
      </c>
      <c r="I536" s="145" t="inlineStr">
        <is>
          <t>Yes</t>
        </is>
      </c>
      <c r="J536" s="145" t="inlineStr">
        <is>
          <t>No</t>
        </is>
      </c>
      <c r="K536" s="145" t="inlineStr">
        <is>
          <t>None</t>
        </is>
      </c>
      <c r="L536" s="145" t="inlineStr">
        <is>
          <t>#000000</t>
        </is>
      </c>
      <c r="M536" s="145" t="inlineStr">
        <is>
          <t>General</t>
        </is>
      </c>
      <c r="N536" s="145" t="inlineStr">
        <is>
          <t>Center</t>
        </is>
      </c>
      <c r="O536" s="145" t="inlineStr">
        <is>
          <t>No</t>
        </is>
      </c>
      <c r="P536" s="145" t="inlineStr">
        <is>
          <t xml:space="preserve">_ * #,##0_ ;_ * -#,##0_ ;_ * "-"??_ ;_ @_ </t>
        </is>
      </c>
      <c r="Q536" s="145" t="inlineStr">
        <is>
          <t>Text</t>
        </is>
      </c>
      <c r="R536" s="145" t="n"/>
      <c r="S536" s="145" t="n"/>
      <c r="T536" s="145" t="n"/>
      <c r="U536" s="145" t="n"/>
      <c r="V536" s="145" t="n"/>
      <c r="W536" s="145" t="n"/>
      <c r="X536" s="145" t="inlineStr">
        <is>
          <t>Detailed format sample from top 5 used rows</t>
        </is>
      </c>
    </row>
    <row r="537" ht="23.85" customHeight="1" s="79">
      <c r="A537" s="145" t="inlineStr">
        <is>
          <t>REGULAR_ART</t>
        </is>
      </c>
      <c r="B537" s="145" t="inlineStr">
        <is>
          <t>Top-Row Cell Format</t>
        </is>
      </c>
      <c r="C537" s="145" t="inlineStr">
        <is>
          <t>AQ3</t>
        </is>
      </c>
      <c r="D537" s="145" t="inlineStr">
        <is>
          <t>REGULAR_ART!A1:AT410</t>
        </is>
      </c>
      <c r="E537" s="145" t="inlineStr">
        <is>
          <t>Normal</t>
        </is>
      </c>
      <c r="F537" s="145" t="inlineStr">
        <is>
          <t>#F8CBAD</t>
        </is>
      </c>
      <c r="G537" s="145" t="inlineStr">
        <is>
          <t>Aptos</t>
        </is>
      </c>
      <c r="H537" s="145" t="n">
        <v>8</v>
      </c>
      <c r="I537" s="145" t="inlineStr">
        <is>
          <t>Yes</t>
        </is>
      </c>
      <c r="J537" s="145" t="inlineStr">
        <is>
          <t>No</t>
        </is>
      </c>
      <c r="K537" s="145" t="inlineStr">
        <is>
          <t>None</t>
        </is>
      </c>
      <c r="L537" s="145" t="inlineStr">
        <is>
          <t>#000000</t>
        </is>
      </c>
      <c r="M537" s="145" t="inlineStr">
        <is>
          <t>Center</t>
        </is>
      </c>
      <c r="N537" s="145" t="inlineStr">
        <is>
          <t>Center</t>
        </is>
      </c>
      <c r="O537" s="145" t="inlineStr">
        <is>
          <t>Yes</t>
        </is>
      </c>
      <c r="P537" s="145" t="inlineStr">
        <is>
          <t>General</t>
        </is>
      </c>
      <c r="Q537" s="145" t="inlineStr">
        <is>
          <t>General</t>
        </is>
      </c>
      <c r="R537" s="145" t="n"/>
      <c r="S537" s="145" t="n"/>
      <c r="T537" s="145" t="n"/>
      <c r="U537" s="145" t="n"/>
      <c r="V537" s="145" t="n"/>
      <c r="W537" s="145" t="n"/>
      <c r="X537" s="145" t="inlineStr">
        <is>
          <t>Detailed format sample from top 5 used rows</t>
        </is>
      </c>
    </row>
    <row r="538" ht="23.85" customHeight="1" s="79">
      <c r="A538" s="145" t="inlineStr">
        <is>
          <t>REGULAR_ART</t>
        </is>
      </c>
      <c r="B538" s="145" t="inlineStr">
        <is>
          <t>Top-Row Cell Format</t>
        </is>
      </c>
      <c r="C538" s="145" t="inlineStr">
        <is>
          <t>AQ4</t>
        </is>
      </c>
      <c r="D538" s="145" t="inlineStr">
        <is>
          <t>REGULAR_ART!A1:AT410</t>
        </is>
      </c>
      <c r="E538" s="145" t="inlineStr">
        <is>
          <t>Normal</t>
        </is>
      </c>
      <c r="F538" s="145" t="inlineStr">
        <is>
          <t>#F8CBAD</t>
        </is>
      </c>
      <c r="G538" s="145" t="inlineStr">
        <is>
          <t>Aptos</t>
        </is>
      </c>
      <c r="H538" s="145" t="n">
        <v>8</v>
      </c>
      <c r="I538" s="145" t="inlineStr">
        <is>
          <t>No</t>
        </is>
      </c>
      <c r="J538" s="145" t="inlineStr">
        <is>
          <t>No</t>
        </is>
      </c>
      <c r="K538" s="145" t="inlineStr">
        <is>
          <t>None</t>
        </is>
      </c>
      <c r="L538" s="145" t="inlineStr">
        <is>
          <t>#000000</t>
        </is>
      </c>
      <c r="M538" s="145" t="inlineStr">
        <is>
          <t>General</t>
        </is>
      </c>
      <c r="N538" s="145" t="inlineStr">
        <is>
          <t>Center</t>
        </is>
      </c>
      <c r="O538" s="145" t="inlineStr">
        <is>
          <t>No</t>
        </is>
      </c>
      <c r="P538" s="145" t="inlineStr">
        <is>
          <t>General</t>
        </is>
      </c>
      <c r="Q538" s="145" t="inlineStr">
        <is>
          <t>General</t>
        </is>
      </c>
      <c r="R538" s="145" t="n"/>
      <c r="S538" s="145" t="n"/>
      <c r="T538" s="145" t="n"/>
      <c r="U538" s="145" t="n"/>
      <c r="V538" s="145" t="n"/>
      <c r="W538" s="145" t="n"/>
      <c r="X538" s="145" t="inlineStr">
        <is>
          <t>Detailed format sample from top 5 used rows</t>
        </is>
      </c>
    </row>
    <row r="539" ht="23.85" customHeight="1" s="79">
      <c r="A539" s="145" t="inlineStr">
        <is>
          <t>REGULAR_ART</t>
        </is>
      </c>
      <c r="B539" s="145" t="inlineStr">
        <is>
          <t>Top-Row Cell Format</t>
        </is>
      </c>
      <c r="C539" s="145" t="inlineStr">
        <is>
          <t>AQ5</t>
        </is>
      </c>
      <c r="D539" s="145" t="inlineStr">
        <is>
          <t>REGULAR_ART!A1:AT410</t>
        </is>
      </c>
      <c r="E539" s="145" t="inlineStr">
        <is>
          <t>Comma</t>
        </is>
      </c>
      <c r="F539" s="145" t="n"/>
      <c r="G539" s="145" t="inlineStr">
        <is>
          <t>Aptos</t>
        </is>
      </c>
      <c r="H539" s="145" t="n">
        <v>8</v>
      </c>
      <c r="I539" s="145" t="inlineStr">
        <is>
          <t>No</t>
        </is>
      </c>
      <c r="J539" s="145" t="inlineStr">
        <is>
          <t>No</t>
        </is>
      </c>
      <c r="K539" s="145" t="inlineStr">
        <is>
          <t>None</t>
        </is>
      </c>
      <c r="L539" s="145" t="inlineStr">
        <is>
          <t>#000000</t>
        </is>
      </c>
      <c r="M539" s="145" t="inlineStr">
        <is>
          <t>General</t>
        </is>
      </c>
      <c r="N539" s="145" t="inlineStr">
        <is>
          <t>Center</t>
        </is>
      </c>
      <c r="O539" s="145" t="inlineStr">
        <is>
          <t>No</t>
        </is>
      </c>
      <c r="P539" s="145" t="inlineStr">
        <is>
          <t xml:space="preserve">_ * #,##0_ ;_ * -#,##0_ ;_ * "-"??_ ;_ @_ </t>
        </is>
      </c>
      <c r="Q539" s="145" t="inlineStr">
        <is>
          <t>Text</t>
        </is>
      </c>
      <c r="R539" s="145" t="n"/>
      <c r="S539" s="145" t="n"/>
      <c r="T539" s="145" t="n"/>
      <c r="U539" s="145" t="n"/>
      <c r="V539" s="145" t="n"/>
      <c r="W539" s="145" t="n"/>
      <c r="X539" s="145" t="inlineStr">
        <is>
          <t>Detailed format sample from top 5 used rows</t>
        </is>
      </c>
    </row>
    <row r="540" ht="23.85" customHeight="1" s="79">
      <c r="A540" s="145" t="inlineStr">
        <is>
          <t>REGULAR_ART</t>
        </is>
      </c>
      <c r="B540" s="145" t="inlineStr">
        <is>
          <t>Column Format</t>
        </is>
      </c>
      <c r="C540" s="145" t="inlineStr">
        <is>
          <t>AR:AR</t>
        </is>
      </c>
      <c r="D540" s="145" t="inlineStr">
        <is>
          <t>REGULAR_ART!A1:AT410</t>
        </is>
      </c>
      <c r="E540" s="145" t="inlineStr">
        <is>
          <t>Mixed</t>
        </is>
      </c>
      <c r="F540" s="145" t="inlineStr">
        <is>
          <t>Mixed</t>
        </is>
      </c>
      <c r="G540" s="145" t="inlineStr">
        <is>
          <t>Aptos</t>
        </is>
      </c>
      <c r="H540" s="145" t="n">
        <v>8</v>
      </c>
      <c r="I540" s="145" t="inlineStr">
        <is>
          <t>Mixed</t>
        </is>
      </c>
      <c r="J540" s="145" t="inlineStr">
        <is>
          <t>No</t>
        </is>
      </c>
      <c r="K540" s="145" t="inlineStr">
        <is>
          <t>None</t>
        </is>
      </c>
      <c r="L540" s="145" t="inlineStr">
        <is>
          <t>#000000</t>
        </is>
      </c>
      <c r="M540" s="145" t="inlineStr">
        <is>
          <t>Mixed</t>
        </is>
      </c>
      <c r="N540" s="145" t="inlineStr">
        <is>
          <t>Center</t>
        </is>
      </c>
      <c r="O540" s="145" t="inlineStr">
        <is>
          <t>Mixed</t>
        </is>
      </c>
      <c r="P540" s="145" t="n"/>
      <c r="Q540" s="145" t="n"/>
      <c r="R540" s="145" t="inlineStr">
        <is>
          <t>EdgeBottom:Continuous/Thin/#000000; EdgeRight:Continuous/Thin/#000000</t>
        </is>
      </c>
      <c r="S540" s="145" t="n">
        <v>47.2835820895522</v>
      </c>
      <c r="T540" s="145" t="n"/>
      <c r="U540" s="145" t="inlineStr">
        <is>
          <t>No</t>
        </is>
      </c>
      <c r="V540" s="145" t="inlineStr">
        <is>
          <t>Visible</t>
        </is>
      </c>
      <c r="W540" s="145" t="n"/>
      <c r="X540" s="145" t="inlineStr">
        <is>
          <t>Mixed styles within used column</t>
        </is>
      </c>
    </row>
    <row r="541" ht="23.85" customHeight="1" s="79">
      <c r="A541" s="145" t="inlineStr">
        <is>
          <t>REGULAR_ART</t>
        </is>
      </c>
      <c r="B541" s="145" t="inlineStr">
        <is>
          <t>Top-Row Cell Format</t>
        </is>
      </c>
      <c r="C541" s="145" t="inlineStr">
        <is>
          <t>AR1</t>
        </is>
      </c>
      <c r="D541" s="145" t="inlineStr">
        <is>
          <t>REGULAR_ART!A1:AT410</t>
        </is>
      </c>
      <c r="E541" s="145" t="inlineStr">
        <is>
          <t>Normal</t>
        </is>
      </c>
      <c r="F541" s="145" t="n"/>
      <c r="G541" s="145" t="inlineStr">
        <is>
          <t>Aptos</t>
        </is>
      </c>
      <c r="H541" s="145" t="n">
        <v>8</v>
      </c>
      <c r="I541" s="145" t="inlineStr">
        <is>
          <t>No</t>
        </is>
      </c>
      <c r="J541" s="145" t="inlineStr">
        <is>
          <t>No</t>
        </is>
      </c>
      <c r="K541" s="145" t="inlineStr">
        <is>
          <t>None</t>
        </is>
      </c>
      <c r="L541" s="145" t="inlineStr">
        <is>
          <t>#000000</t>
        </is>
      </c>
      <c r="M541" s="145" t="inlineStr">
        <is>
          <t>General</t>
        </is>
      </c>
      <c r="N541" s="145" t="inlineStr">
        <is>
          <t>Center</t>
        </is>
      </c>
      <c r="O541" s="145" t="inlineStr">
        <is>
          <t>No</t>
        </is>
      </c>
      <c r="P541" s="145" t="inlineStr">
        <is>
          <t>General</t>
        </is>
      </c>
      <c r="Q541" s="145" t="inlineStr">
        <is>
          <t>General</t>
        </is>
      </c>
      <c r="R541" s="145" t="n"/>
      <c r="S541" s="145" t="n"/>
      <c r="T541" s="145" t="n"/>
      <c r="U541" s="145" t="n"/>
      <c r="V541" s="145" t="n"/>
      <c r="W541" s="145" t="n"/>
      <c r="X541" s="145" t="inlineStr">
        <is>
          <t>Detailed format sample from top 5 used rows</t>
        </is>
      </c>
    </row>
    <row r="542" ht="23.85" customHeight="1" s="79">
      <c r="A542" s="145" t="inlineStr">
        <is>
          <t>REGULAR_ART</t>
        </is>
      </c>
      <c r="B542" s="145" t="inlineStr">
        <is>
          <t>Top-Row Cell Format</t>
        </is>
      </c>
      <c r="C542" s="145" t="inlineStr">
        <is>
          <t>AR2</t>
        </is>
      </c>
      <c r="D542" s="145" t="inlineStr">
        <is>
          <t>REGULAR_ART!A1:AT410</t>
        </is>
      </c>
      <c r="E542" s="145" t="inlineStr">
        <is>
          <t>Comma</t>
        </is>
      </c>
      <c r="F542" s="145" t="inlineStr">
        <is>
          <t>#B4C6E7</t>
        </is>
      </c>
      <c r="G542" s="145" t="inlineStr">
        <is>
          <t>Aptos</t>
        </is>
      </c>
      <c r="H542" s="145" t="n">
        <v>8</v>
      </c>
      <c r="I542" s="145" t="inlineStr">
        <is>
          <t>Yes</t>
        </is>
      </c>
      <c r="J542" s="145" t="inlineStr">
        <is>
          <t>No</t>
        </is>
      </c>
      <c r="K542" s="145" t="inlineStr">
        <is>
          <t>None</t>
        </is>
      </c>
      <c r="L542" s="145" t="inlineStr">
        <is>
          <t>#000000</t>
        </is>
      </c>
      <c r="M542" s="145" t="inlineStr">
        <is>
          <t>General</t>
        </is>
      </c>
      <c r="N542" s="145" t="inlineStr">
        <is>
          <t>Center</t>
        </is>
      </c>
      <c r="O542" s="145" t="inlineStr">
        <is>
          <t>No</t>
        </is>
      </c>
      <c r="P542" s="145" t="inlineStr">
        <is>
          <t xml:space="preserve">_ * #,##0_ ;_ * -#,##0_ ;_ * "-"??_ ;_ @_ </t>
        </is>
      </c>
      <c r="Q542" s="145" t="inlineStr">
        <is>
          <t>Text</t>
        </is>
      </c>
      <c r="R542" s="145" t="n"/>
      <c r="S542" s="145" t="n"/>
      <c r="T542" s="145" t="n"/>
      <c r="U542" s="145" t="n"/>
      <c r="V542" s="145" t="n"/>
      <c r="W542" s="145" t="n"/>
      <c r="X542" s="145" t="inlineStr">
        <is>
          <t>Detailed format sample from top 5 used rows</t>
        </is>
      </c>
    </row>
    <row r="543" ht="23.85" customHeight="1" s="79">
      <c r="A543" s="145" t="inlineStr">
        <is>
          <t>REGULAR_ART</t>
        </is>
      </c>
      <c r="B543" s="145" t="inlineStr">
        <is>
          <t>Top-Row Cell Format</t>
        </is>
      </c>
      <c r="C543" s="145" t="inlineStr">
        <is>
          <t>AR3</t>
        </is>
      </c>
      <c r="D543" s="145" t="inlineStr">
        <is>
          <t>REGULAR_ART!A1:AT410</t>
        </is>
      </c>
      <c r="E543" s="145" t="inlineStr">
        <is>
          <t>Normal</t>
        </is>
      </c>
      <c r="F543" s="145" t="inlineStr">
        <is>
          <t>#F8CBAD</t>
        </is>
      </c>
      <c r="G543" s="145" t="inlineStr">
        <is>
          <t>Aptos</t>
        </is>
      </c>
      <c r="H543" s="145" t="n">
        <v>8</v>
      </c>
      <c r="I543" s="145" t="inlineStr">
        <is>
          <t>Yes</t>
        </is>
      </c>
      <c r="J543" s="145" t="inlineStr">
        <is>
          <t>No</t>
        </is>
      </c>
      <c r="K543" s="145" t="inlineStr">
        <is>
          <t>None</t>
        </is>
      </c>
      <c r="L543" s="145" t="inlineStr">
        <is>
          <t>#000000</t>
        </is>
      </c>
      <c r="M543" s="145" t="inlineStr">
        <is>
          <t>Center</t>
        </is>
      </c>
      <c r="N543" s="145" t="inlineStr">
        <is>
          <t>Center</t>
        </is>
      </c>
      <c r="O543" s="145" t="inlineStr">
        <is>
          <t>Yes</t>
        </is>
      </c>
      <c r="P543" s="145" t="inlineStr">
        <is>
          <t>General</t>
        </is>
      </c>
      <c r="Q543" s="145" t="inlineStr">
        <is>
          <t>General</t>
        </is>
      </c>
      <c r="R543" s="145" t="n"/>
      <c r="S543" s="145" t="n"/>
      <c r="T543" s="145" t="n"/>
      <c r="U543" s="145" t="n"/>
      <c r="V543" s="145" t="n"/>
      <c r="W543" s="145" t="n"/>
      <c r="X543" s="145" t="inlineStr">
        <is>
          <t>Detailed format sample from top 5 used rows</t>
        </is>
      </c>
    </row>
    <row r="544" ht="23.85" customHeight="1" s="79">
      <c r="A544" s="145" t="inlineStr">
        <is>
          <t>REGULAR_ART</t>
        </is>
      </c>
      <c r="B544" s="145" t="inlineStr">
        <is>
          <t>Top-Row Cell Format</t>
        </is>
      </c>
      <c r="C544" s="145" t="inlineStr">
        <is>
          <t>AR4</t>
        </is>
      </c>
      <c r="D544" s="145" t="inlineStr">
        <is>
          <t>REGULAR_ART!A1:AT410</t>
        </is>
      </c>
      <c r="E544" s="145" t="inlineStr">
        <is>
          <t>Normal</t>
        </is>
      </c>
      <c r="F544" s="145" t="inlineStr">
        <is>
          <t>#F8CBAD</t>
        </is>
      </c>
      <c r="G544" s="145" t="inlineStr">
        <is>
          <t>Aptos</t>
        </is>
      </c>
      <c r="H544" s="145" t="n">
        <v>8</v>
      </c>
      <c r="I544" s="145" t="inlineStr">
        <is>
          <t>No</t>
        </is>
      </c>
      <c r="J544" s="145" t="inlineStr">
        <is>
          <t>No</t>
        </is>
      </c>
      <c r="K544" s="145" t="inlineStr">
        <is>
          <t>None</t>
        </is>
      </c>
      <c r="L544" s="145" t="inlineStr">
        <is>
          <t>#000000</t>
        </is>
      </c>
      <c r="M544" s="145" t="inlineStr">
        <is>
          <t>General</t>
        </is>
      </c>
      <c r="N544" s="145" t="inlineStr">
        <is>
          <t>Center</t>
        </is>
      </c>
      <c r="O544" s="145" t="inlineStr">
        <is>
          <t>No</t>
        </is>
      </c>
      <c r="P544" s="145" t="inlineStr">
        <is>
          <t>General</t>
        </is>
      </c>
      <c r="Q544" s="145" t="inlineStr">
        <is>
          <t>General</t>
        </is>
      </c>
      <c r="R544" s="145" t="n"/>
      <c r="S544" s="145" t="n"/>
      <c r="T544" s="145" t="n"/>
      <c r="U544" s="145" t="n"/>
      <c r="V544" s="145" t="n"/>
      <c r="W544" s="145" t="n"/>
      <c r="X544" s="145" t="inlineStr">
        <is>
          <t>Detailed format sample from top 5 used rows</t>
        </is>
      </c>
    </row>
    <row r="545" ht="23.85" customHeight="1" s="79">
      <c r="A545" s="145" t="inlineStr">
        <is>
          <t>REGULAR_ART</t>
        </is>
      </c>
      <c r="B545" s="145" t="inlineStr">
        <is>
          <t>Top-Row Cell Format</t>
        </is>
      </c>
      <c r="C545" s="145" t="inlineStr">
        <is>
          <t>AR5</t>
        </is>
      </c>
      <c r="D545" s="145" t="inlineStr">
        <is>
          <t>REGULAR_ART!A1:AT410</t>
        </is>
      </c>
      <c r="E545" s="145" t="inlineStr">
        <is>
          <t>Comma</t>
        </is>
      </c>
      <c r="F545" s="145" t="n"/>
      <c r="G545" s="145" t="inlineStr">
        <is>
          <t>Aptos</t>
        </is>
      </c>
      <c r="H545" s="145" t="n">
        <v>8</v>
      </c>
      <c r="I545" s="145" t="inlineStr">
        <is>
          <t>No</t>
        </is>
      </c>
      <c r="J545" s="145" t="inlineStr">
        <is>
          <t>No</t>
        </is>
      </c>
      <c r="K545" s="145" t="inlineStr">
        <is>
          <t>None</t>
        </is>
      </c>
      <c r="L545" s="145" t="inlineStr">
        <is>
          <t>#000000</t>
        </is>
      </c>
      <c r="M545" s="145" t="inlineStr">
        <is>
          <t>General</t>
        </is>
      </c>
      <c r="N545" s="145" t="inlineStr">
        <is>
          <t>Center</t>
        </is>
      </c>
      <c r="O545" s="145" t="inlineStr">
        <is>
          <t>No</t>
        </is>
      </c>
      <c r="P545" s="145" t="inlineStr">
        <is>
          <t xml:space="preserve">_ * #,##0_ ;_ * -#,##0_ ;_ * "-"??_ ;_ @_ </t>
        </is>
      </c>
      <c r="Q545" s="145" t="inlineStr">
        <is>
          <t>Text</t>
        </is>
      </c>
      <c r="R545" s="145" t="n"/>
      <c r="S545" s="145" t="n"/>
      <c r="T545" s="145" t="n"/>
      <c r="U545" s="145" t="n"/>
      <c r="V545" s="145" t="n"/>
      <c r="W545" s="145" t="n"/>
      <c r="X545" s="145" t="inlineStr">
        <is>
          <t>Detailed format sample from top 5 used rows</t>
        </is>
      </c>
    </row>
    <row r="546" ht="23.85" customHeight="1" s="79">
      <c r="A546" s="145" t="inlineStr">
        <is>
          <t>REGULAR_ART</t>
        </is>
      </c>
      <c r="B546" s="145" t="inlineStr">
        <is>
          <t>Column Format</t>
        </is>
      </c>
      <c r="C546" s="145" t="inlineStr">
        <is>
          <t>AS:AS</t>
        </is>
      </c>
      <c r="D546" s="145" t="inlineStr">
        <is>
          <t>REGULAR_ART!A1:AT410</t>
        </is>
      </c>
      <c r="E546" s="145" t="inlineStr">
        <is>
          <t>Mixed</t>
        </is>
      </c>
      <c r="F546" s="145" t="inlineStr">
        <is>
          <t>Mixed</t>
        </is>
      </c>
      <c r="G546" s="145" t="inlineStr">
        <is>
          <t>Aptos</t>
        </is>
      </c>
      <c r="H546" s="145" t="n">
        <v>8</v>
      </c>
      <c r="I546" s="145" t="inlineStr">
        <is>
          <t>Mixed</t>
        </is>
      </c>
      <c r="J546" s="145" t="inlineStr">
        <is>
          <t>No</t>
        </is>
      </c>
      <c r="K546" s="145" t="inlineStr">
        <is>
          <t>None</t>
        </is>
      </c>
      <c r="L546" s="145" t="inlineStr">
        <is>
          <t>#000000</t>
        </is>
      </c>
      <c r="M546" s="145" t="inlineStr">
        <is>
          <t>Mixed</t>
        </is>
      </c>
      <c r="N546" s="145" t="inlineStr">
        <is>
          <t>Center</t>
        </is>
      </c>
      <c r="O546" s="145" t="inlineStr">
        <is>
          <t>Mixed</t>
        </is>
      </c>
      <c r="P546" s="145" t="n"/>
      <c r="Q546" s="145" t="n"/>
      <c r="R546" s="145" t="inlineStr">
        <is>
          <t>EdgeBottom:Continuous/Thin/#000000; EdgeRight:Continuous/Thin/#000000</t>
        </is>
      </c>
      <c r="S546" s="145" t="n">
        <v>56.4179104477612</v>
      </c>
      <c r="T546" s="145" t="n"/>
      <c r="U546" s="145" t="inlineStr">
        <is>
          <t>No</t>
        </is>
      </c>
      <c r="V546" s="145" t="inlineStr">
        <is>
          <t>Visible</t>
        </is>
      </c>
      <c r="W546" s="145" t="n"/>
      <c r="X546" s="145" t="inlineStr">
        <is>
          <t>Mixed styles within used column</t>
        </is>
      </c>
    </row>
    <row r="547" ht="23.85" customHeight="1" s="79">
      <c r="A547" s="145" t="inlineStr">
        <is>
          <t>REGULAR_ART</t>
        </is>
      </c>
      <c r="B547" s="145" t="inlineStr">
        <is>
          <t>Top-Row Cell Format</t>
        </is>
      </c>
      <c r="C547" s="145" t="inlineStr">
        <is>
          <t>AS1</t>
        </is>
      </c>
      <c r="D547" s="145" t="inlineStr">
        <is>
          <t>REGULAR_ART!A1:AT410</t>
        </is>
      </c>
      <c r="E547" s="145" t="inlineStr">
        <is>
          <t>Normal</t>
        </is>
      </c>
      <c r="F547" s="145" t="n"/>
      <c r="G547" s="145" t="inlineStr">
        <is>
          <t>Aptos</t>
        </is>
      </c>
      <c r="H547" s="145" t="n">
        <v>8</v>
      </c>
      <c r="I547" s="145" t="inlineStr">
        <is>
          <t>No</t>
        </is>
      </c>
      <c r="J547" s="145" t="inlineStr">
        <is>
          <t>No</t>
        </is>
      </c>
      <c r="K547" s="145" t="inlineStr">
        <is>
          <t>None</t>
        </is>
      </c>
      <c r="L547" s="145" t="inlineStr">
        <is>
          <t>#000000</t>
        </is>
      </c>
      <c r="M547" s="145" t="inlineStr">
        <is>
          <t>General</t>
        </is>
      </c>
      <c r="N547" s="145" t="inlineStr">
        <is>
          <t>Center</t>
        </is>
      </c>
      <c r="O547" s="145" t="inlineStr">
        <is>
          <t>No</t>
        </is>
      </c>
      <c r="P547" s="145" t="inlineStr">
        <is>
          <t>General</t>
        </is>
      </c>
      <c r="Q547" s="145" t="inlineStr">
        <is>
          <t>General</t>
        </is>
      </c>
      <c r="R547" s="145" t="n"/>
      <c r="S547" s="145" t="n"/>
      <c r="T547" s="145" t="n"/>
      <c r="U547" s="145" t="n"/>
      <c r="V547" s="145" t="n"/>
      <c r="W547" s="145" t="n"/>
      <c r="X547" s="145" t="inlineStr">
        <is>
          <t>Detailed format sample from top 5 used rows</t>
        </is>
      </c>
    </row>
    <row r="548" ht="23.85" customHeight="1" s="79">
      <c r="A548" s="145" t="inlineStr">
        <is>
          <t>REGULAR_ART</t>
        </is>
      </c>
      <c r="B548" s="145" t="inlineStr">
        <is>
          <t>Top-Row Cell Format</t>
        </is>
      </c>
      <c r="C548" s="145" t="inlineStr">
        <is>
          <t>AS2</t>
        </is>
      </c>
      <c r="D548" s="145" t="inlineStr">
        <is>
          <t>REGULAR_ART!A1:AT410</t>
        </is>
      </c>
      <c r="E548" s="145" t="inlineStr">
        <is>
          <t>Normal</t>
        </is>
      </c>
      <c r="F548" s="145" t="n"/>
      <c r="G548" s="145" t="inlineStr">
        <is>
          <t>Aptos</t>
        </is>
      </c>
      <c r="H548" s="145" t="n">
        <v>8</v>
      </c>
      <c r="I548" s="145" t="inlineStr">
        <is>
          <t>No</t>
        </is>
      </c>
      <c r="J548" s="145" t="inlineStr">
        <is>
          <t>No</t>
        </is>
      </c>
      <c r="K548" s="145" t="inlineStr">
        <is>
          <t>None</t>
        </is>
      </c>
      <c r="L548" s="145" t="inlineStr">
        <is>
          <t>#000000</t>
        </is>
      </c>
      <c r="M548" s="145" t="inlineStr">
        <is>
          <t>General</t>
        </is>
      </c>
      <c r="N548" s="145" t="inlineStr">
        <is>
          <t>Center</t>
        </is>
      </c>
      <c r="O548" s="145" t="inlineStr">
        <is>
          <t>No</t>
        </is>
      </c>
      <c r="P548" s="145" t="inlineStr">
        <is>
          <t xml:space="preserve">_ * #,##0_ ;_ * -#,##0_ ;_ * "-"??_ ;_ @_ </t>
        </is>
      </c>
      <c r="Q548" s="145" t="inlineStr">
        <is>
          <t>Text</t>
        </is>
      </c>
      <c r="R548" s="145" t="n"/>
      <c r="S548" s="145" t="n"/>
      <c r="T548" s="145" t="n"/>
      <c r="U548" s="145" t="n"/>
      <c r="V548" s="145" t="n"/>
      <c r="W548" s="145" t="n"/>
      <c r="X548" s="145" t="inlineStr">
        <is>
          <t>Detailed format sample from top 5 used rows</t>
        </is>
      </c>
    </row>
    <row r="549" ht="23.85" customHeight="1" s="79">
      <c r="A549" s="145" t="inlineStr">
        <is>
          <t>REGULAR_ART</t>
        </is>
      </c>
      <c r="B549" s="145" t="inlineStr">
        <is>
          <t>Top-Row Cell Format</t>
        </is>
      </c>
      <c r="C549" s="145" t="inlineStr">
        <is>
          <t>AS3</t>
        </is>
      </c>
      <c r="D549" s="145" t="inlineStr">
        <is>
          <t>REGULAR_ART!A1:AT410</t>
        </is>
      </c>
      <c r="E549" s="145" t="inlineStr">
        <is>
          <t>Normal</t>
        </is>
      </c>
      <c r="F549" s="145" t="inlineStr">
        <is>
          <t>#F8CBAD</t>
        </is>
      </c>
      <c r="G549" s="145" t="inlineStr">
        <is>
          <t>Aptos</t>
        </is>
      </c>
      <c r="H549" s="145" t="n">
        <v>8</v>
      </c>
      <c r="I549" s="145" t="inlineStr">
        <is>
          <t>Yes</t>
        </is>
      </c>
      <c r="J549" s="145" t="inlineStr">
        <is>
          <t>No</t>
        </is>
      </c>
      <c r="K549" s="145" t="inlineStr">
        <is>
          <t>None</t>
        </is>
      </c>
      <c r="L549" s="145" t="inlineStr">
        <is>
          <t>#000000</t>
        </is>
      </c>
      <c r="M549" s="145" t="inlineStr">
        <is>
          <t>Center</t>
        </is>
      </c>
      <c r="N549" s="145" t="inlineStr">
        <is>
          <t>Center</t>
        </is>
      </c>
      <c r="O549" s="145" t="inlineStr">
        <is>
          <t>Yes</t>
        </is>
      </c>
      <c r="P549" s="145" t="inlineStr">
        <is>
          <t>General</t>
        </is>
      </c>
      <c r="Q549" s="145" t="inlineStr">
        <is>
          <t>General</t>
        </is>
      </c>
      <c r="R549" s="145" t="n"/>
      <c r="S549" s="145" t="n"/>
      <c r="T549" s="145" t="n"/>
      <c r="U549" s="145" t="n"/>
      <c r="V549" s="145" t="n"/>
      <c r="W549" s="145" t="n"/>
      <c r="X549" s="145" t="inlineStr">
        <is>
          <t>Detailed format sample from top 5 used rows</t>
        </is>
      </c>
    </row>
    <row r="550" ht="23.85" customHeight="1" s="79">
      <c r="A550" s="145" t="inlineStr">
        <is>
          <t>REGULAR_ART</t>
        </is>
      </c>
      <c r="B550" s="145" t="inlineStr">
        <is>
          <t>Top-Row Cell Format</t>
        </is>
      </c>
      <c r="C550" s="145" t="inlineStr">
        <is>
          <t>AS4</t>
        </is>
      </c>
      <c r="D550" s="145" t="inlineStr">
        <is>
          <t>REGULAR_ART!A1:AT410</t>
        </is>
      </c>
      <c r="E550" s="145" t="inlineStr">
        <is>
          <t>Normal</t>
        </is>
      </c>
      <c r="F550" s="145" t="inlineStr">
        <is>
          <t>#F8CBAD</t>
        </is>
      </c>
      <c r="G550" s="145" t="inlineStr">
        <is>
          <t>Aptos</t>
        </is>
      </c>
      <c r="H550" s="145" t="n">
        <v>8</v>
      </c>
      <c r="I550" s="145" t="inlineStr">
        <is>
          <t>No</t>
        </is>
      </c>
      <c r="J550" s="145" t="inlineStr">
        <is>
          <t>No</t>
        </is>
      </c>
      <c r="K550" s="145" t="inlineStr">
        <is>
          <t>None</t>
        </is>
      </c>
      <c r="L550" s="145" t="inlineStr">
        <is>
          <t>#000000</t>
        </is>
      </c>
      <c r="M550" s="145" t="inlineStr">
        <is>
          <t>General</t>
        </is>
      </c>
      <c r="N550" s="145" t="inlineStr">
        <is>
          <t>Center</t>
        </is>
      </c>
      <c r="O550" s="145" t="inlineStr">
        <is>
          <t>No</t>
        </is>
      </c>
      <c r="P550" s="145" t="inlineStr">
        <is>
          <t>General</t>
        </is>
      </c>
      <c r="Q550" s="145" t="inlineStr">
        <is>
          <t>General</t>
        </is>
      </c>
      <c r="R550" s="145" t="n"/>
      <c r="S550" s="145" t="n"/>
      <c r="T550" s="145" t="n"/>
      <c r="U550" s="145" t="n"/>
      <c r="V550" s="145" t="n"/>
      <c r="W550" s="145" t="n"/>
      <c r="X550" s="145" t="inlineStr">
        <is>
          <t>Detailed format sample from top 5 used rows</t>
        </is>
      </c>
    </row>
    <row r="551" ht="23.85" customHeight="1" s="79">
      <c r="A551" s="145" t="inlineStr">
        <is>
          <t>REGULAR_ART</t>
        </is>
      </c>
      <c r="B551" s="145" t="inlineStr">
        <is>
          <t>Top-Row Cell Format</t>
        </is>
      </c>
      <c r="C551" s="145" t="inlineStr">
        <is>
          <t>AS5</t>
        </is>
      </c>
      <c r="D551" s="145" t="inlineStr">
        <is>
          <t>REGULAR_ART!A1:AT410</t>
        </is>
      </c>
      <c r="E551" s="145" t="inlineStr">
        <is>
          <t>Comma</t>
        </is>
      </c>
      <c r="F551" s="145" t="n"/>
      <c r="G551" s="145" t="inlineStr">
        <is>
          <t>Aptos</t>
        </is>
      </c>
      <c r="H551" s="145" t="n">
        <v>8</v>
      </c>
      <c r="I551" s="145" t="inlineStr">
        <is>
          <t>No</t>
        </is>
      </c>
      <c r="J551" s="145" t="inlineStr">
        <is>
          <t>No</t>
        </is>
      </c>
      <c r="K551" s="145" t="inlineStr">
        <is>
          <t>None</t>
        </is>
      </c>
      <c r="L551" s="145" t="inlineStr">
        <is>
          <t>#000000</t>
        </is>
      </c>
      <c r="M551" s="145" t="inlineStr">
        <is>
          <t>General</t>
        </is>
      </c>
      <c r="N551" s="145" t="inlineStr">
        <is>
          <t>Center</t>
        </is>
      </c>
      <c r="O551" s="145" t="inlineStr">
        <is>
          <t>No</t>
        </is>
      </c>
      <c r="P551" s="145" t="inlineStr">
        <is>
          <t xml:space="preserve">_ * #,##0_ ;_ * -#,##0_ ;_ * "-"??_ ;_ @_ </t>
        </is>
      </c>
      <c r="Q551" s="145" t="inlineStr">
        <is>
          <t>Text</t>
        </is>
      </c>
      <c r="R551" s="145" t="n"/>
      <c r="S551" s="145" t="n"/>
      <c r="T551" s="145" t="n"/>
      <c r="U551" s="145" t="n"/>
      <c r="V551" s="145" t="n"/>
      <c r="W551" s="145" t="n"/>
      <c r="X551" s="145" t="inlineStr">
        <is>
          <t>Detailed format sample from top 5 used rows</t>
        </is>
      </c>
    </row>
    <row r="552" ht="23.85" customHeight="1" s="79">
      <c r="A552" s="145" t="inlineStr">
        <is>
          <t>REGULAR_ART</t>
        </is>
      </c>
      <c r="B552" s="145" t="inlineStr">
        <is>
          <t>Column Format</t>
        </is>
      </c>
      <c r="C552" s="145" t="inlineStr">
        <is>
          <t>AT:AT</t>
        </is>
      </c>
      <c r="D552" s="145" t="inlineStr">
        <is>
          <t>REGULAR_ART!A1:AT410</t>
        </is>
      </c>
      <c r="E552" s="145" t="inlineStr">
        <is>
          <t>Mixed</t>
        </is>
      </c>
      <c r="F552" s="145" t="inlineStr">
        <is>
          <t>Mixed</t>
        </is>
      </c>
      <c r="G552" s="145" t="inlineStr">
        <is>
          <t>Aptos</t>
        </is>
      </c>
      <c r="H552" s="145" t="n">
        <v>8</v>
      </c>
      <c r="I552" s="145" t="inlineStr">
        <is>
          <t>Mixed</t>
        </is>
      </c>
      <c r="J552" s="145" t="inlineStr">
        <is>
          <t>No</t>
        </is>
      </c>
      <c r="K552" s="145" t="inlineStr">
        <is>
          <t>None</t>
        </is>
      </c>
      <c r="L552" s="145" t="inlineStr">
        <is>
          <t>#000000</t>
        </is>
      </c>
      <c r="M552" s="145" t="inlineStr">
        <is>
          <t>Mixed</t>
        </is>
      </c>
      <c r="N552" s="145" t="inlineStr">
        <is>
          <t>Center</t>
        </is>
      </c>
      <c r="O552" s="145" t="inlineStr">
        <is>
          <t>Mixed</t>
        </is>
      </c>
      <c r="P552" s="145" t="n"/>
      <c r="Q552" s="145" t="n"/>
      <c r="R552" s="145" t="inlineStr">
        <is>
          <t>EdgeBottom:Continuous/Thin/#000000; EdgeRight:Continuous/Thin/#000000</t>
        </is>
      </c>
      <c r="S552" s="145" t="n">
        <v>65.55223880597011</v>
      </c>
      <c r="T552" s="145" t="n"/>
      <c r="U552" s="145" t="inlineStr">
        <is>
          <t>No</t>
        </is>
      </c>
      <c r="V552" s="145" t="inlineStr">
        <is>
          <t>Visible</t>
        </is>
      </c>
      <c r="W552" s="145" t="n"/>
      <c r="X552" s="145" t="inlineStr">
        <is>
          <t>Mixed styles within used column</t>
        </is>
      </c>
    </row>
    <row r="553" ht="23.85" customHeight="1" s="79">
      <c r="A553" s="145" t="inlineStr">
        <is>
          <t>REGULAR_ART</t>
        </is>
      </c>
      <c r="B553" s="145" t="inlineStr">
        <is>
          <t>Top-Row Cell Format</t>
        </is>
      </c>
      <c r="C553" s="145" t="inlineStr">
        <is>
          <t>AT1</t>
        </is>
      </c>
      <c r="D553" s="145" t="inlineStr">
        <is>
          <t>REGULAR_ART!A1:AT410</t>
        </is>
      </c>
      <c r="E553" s="145" t="inlineStr">
        <is>
          <t>Normal</t>
        </is>
      </c>
      <c r="F553" s="145" t="n"/>
      <c r="G553" s="145" t="inlineStr">
        <is>
          <t>Aptos</t>
        </is>
      </c>
      <c r="H553" s="145" t="n">
        <v>8</v>
      </c>
      <c r="I553" s="145" t="inlineStr">
        <is>
          <t>No</t>
        </is>
      </c>
      <c r="J553" s="145" t="inlineStr">
        <is>
          <t>No</t>
        </is>
      </c>
      <c r="K553" s="145" t="inlineStr">
        <is>
          <t>None</t>
        </is>
      </c>
      <c r="L553" s="145" t="inlineStr">
        <is>
          <t>#000000</t>
        </is>
      </c>
      <c r="M553" s="145" t="inlineStr">
        <is>
          <t>General</t>
        </is>
      </c>
      <c r="N553" s="145" t="inlineStr">
        <is>
          <t>Center</t>
        </is>
      </c>
      <c r="O553" s="145" t="inlineStr">
        <is>
          <t>No</t>
        </is>
      </c>
      <c r="P553" s="145" t="inlineStr">
        <is>
          <t>General</t>
        </is>
      </c>
      <c r="Q553" s="145" t="inlineStr">
        <is>
          <t>General</t>
        </is>
      </c>
      <c r="R553" s="145" t="n"/>
      <c r="S553" s="145" t="n"/>
      <c r="T553" s="145" t="n"/>
      <c r="U553" s="145" t="n"/>
      <c r="V553" s="145" t="n"/>
      <c r="W553" s="145" t="n"/>
      <c r="X553" s="145" t="inlineStr">
        <is>
          <t>Detailed format sample from top 5 used rows</t>
        </is>
      </c>
    </row>
    <row r="554" ht="23.85" customHeight="1" s="79">
      <c r="A554" s="145" t="inlineStr">
        <is>
          <t>REGULAR_ART</t>
        </is>
      </c>
      <c r="B554" s="145" t="inlineStr">
        <is>
          <t>Top-Row Cell Format</t>
        </is>
      </c>
      <c r="C554" s="145" t="inlineStr">
        <is>
          <t>AT2</t>
        </is>
      </c>
      <c r="D554" s="145" t="inlineStr">
        <is>
          <t>REGULAR_ART!A1:AT410</t>
        </is>
      </c>
      <c r="E554" s="145" t="inlineStr">
        <is>
          <t>Normal</t>
        </is>
      </c>
      <c r="F554" s="145" t="n"/>
      <c r="G554" s="145" t="inlineStr">
        <is>
          <t>Aptos</t>
        </is>
      </c>
      <c r="H554" s="145" t="n">
        <v>8</v>
      </c>
      <c r="I554" s="145" t="inlineStr">
        <is>
          <t>No</t>
        </is>
      </c>
      <c r="J554" s="145" t="inlineStr">
        <is>
          <t>No</t>
        </is>
      </c>
      <c r="K554" s="145" t="inlineStr">
        <is>
          <t>None</t>
        </is>
      </c>
      <c r="L554" s="145" t="inlineStr">
        <is>
          <t>#000000</t>
        </is>
      </c>
      <c r="M554" s="145" t="inlineStr">
        <is>
          <t>General</t>
        </is>
      </c>
      <c r="N554" s="145" t="inlineStr">
        <is>
          <t>Center</t>
        </is>
      </c>
      <c r="O554" s="145" t="inlineStr">
        <is>
          <t>No</t>
        </is>
      </c>
      <c r="P554" s="145" t="inlineStr">
        <is>
          <t>General</t>
        </is>
      </c>
      <c r="Q554" s="145" t="inlineStr">
        <is>
          <t>General</t>
        </is>
      </c>
      <c r="R554" s="145" t="n"/>
      <c r="S554" s="145" t="n"/>
      <c r="T554" s="145" t="n"/>
      <c r="U554" s="145" t="n"/>
      <c r="V554" s="145" t="n"/>
      <c r="W554" s="145" t="n"/>
      <c r="X554" s="145" t="inlineStr">
        <is>
          <t>Detailed format sample from top 5 used rows</t>
        </is>
      </c>
    </row>
    <row r="555" ht="23.85" customHeight="1" s="79">
      <c r="A555" s="145" t="inlineStr">
        <is>
          <t>REGULAR_ART</t>
        </is>
      </c>
      <c r="B555" s="145" t="inlineStr">
        <is>
          <t>Top-Row Cell Format</t>
        </is>
      </c>
      <c r="C555" s="145" t="inlineStr">
        <is>
          <t>AT3</t>
        </is>
      </c>
      <c r="D555" s="145" t="inlineStr">
        <is>
          <t>REGULAR_ART!A1:AT410</t>
        </is>
      </c>
      <c r="E555" s="145" t="inlineStr">
        <is>
          <t>Normal</t>
        </is>
      </c>
      <c r="F555" s="145" t="inlineStr">
        <is>
          <t>#F8CBAD</t>
        </is>
      </c>
      <c r="G555" s="145" t="inlineStr">
        <is>
          <t>Aptos</t>
        </is>
      </c>
      <c r="H555" s="145" t="n">
        <v>8</v>
      </c>
      <c r="I555" s="145" t="inlineStr">
        <is>
          <t>Yes</t>
        </is>
      </c>
      <c r="J555" s="145" t="inlineStr">
        <is>
          <t>No</t>
        </is>
      </c>
      <c r="K555" s="145" t="inlineStr">
        <is>
          <t>None</t>
        </is>
      </c>
      <c r="L555" s="145" t="inlineStr">
        <is>
          <t>#000000</t>
        </is>
      </c>
      <c r="M555" s="145" t="inlineStr">
        <is>
          <t>Center</t>
        </is>
      </c>
      <c r="N555" s="145" t="inlineStr">
        <is>
          <t>Center</t>
        </is>
      </c>
      <c r="O555" s="145" t="inlineStr">
        <is>
          <t>Yes</t>
        </is>
      </c>
      <c r="P555" s="145" t="inlineStr">
        <is>
          <t>General</t>
        </is>
      </c>
      <c r="Q555" s="145" t="inlineStr">
        <is>
          <t>General</t>
        </is>
      </c>
      <c r="R555" s="145" t="n"/>
      <c r="S555" s="145" t="n"/>
      <c r="T555" s="145" t="n"/>
      <c r="U555" s="145" t="n"/>
      <c r="V555" s="145" t="n"/>
      <c r="W555" s="145" t="n"/>
      <c r="X555" s="145" t="inlineStr">
        <is>
          <t>Detailed format sample from top 5 used rows</t>
        </is>
      </c>
    </row>
    <row r="556" ht="23.85" customHeight="1" s="79">
      <c r="A556" s="145" t="inlineStr">
        <is>
          <t>REGULAR_ART</t>
        </is>
      </c>
      <c r="B556" s="145" t="inlineStr">
        <is>
          <t>Top-Row Cell Format</t>
        </is>
      </c>
      <c r="C556" s="145" t="inlineStr">
        <is>
          <t>AT4</t>
        </is>
      </c>
      <c r="D556" s="145" t="inlineStr">
        <is>
          <t>REGULAR_ART!A1:AT410</t>
        </is>
      </c>
      <c r="E556" s="145" t="inlineStr">
        <is>
          <t>Normal</t>
        </is>
      </c>
      <c r="F556" s="145" t="inlineStr">
        <is>
          <t>#F8CBAD</t>
        </is>
      </c>
      <c r="G556" s="145" t="inlineStr">
        <is>
          <t>Aptos</t>
        </is>
      </c>
      <c r="H556" s="145" t="n">
        <v>8</v>
      </c>
      <c r="I556" s="145" t="inlineStr">
        <is>
          <t>No</t>
        </is>
      </c>
      <c r="J556" s="145" t="inlineStr">
        <is>
          <t>No</t>
        </is>
      </c>
      <c r="K556" s="145" t="inlineStr">
        <is>
          <t>None</t>
        </is>
      </c>
      <c r="L556" s="145" t="inlineStr">
        <is>
          <t>#000000</t>
        </is>
      </c>
      <c r="M556" s="145" t="inlineStr">
        <is>
          <t>General</t>
        </is>
      </c>
      <c r="N556" s="145" t="inlineStr">
        <is>
          <t>Center</t>
        </is>
      </c>
      <c r="O556" s="145" t="inlineStr">
        <is>
          <t>No</t>
        </is>
      </c>
      <c r="P556" s="145" t="inlineStr">
        <is>
          <t>General</t>
        </is>
      </c>
      <c r="Q556" s="145" t="inlineStr">
        <is>
          <t>General</t>
        </is>
      </c>
      <c r="R556" s="145" t="n"/>
      <c r="S556" s="145" t="n"/>
      <c r="T556" s="145" t="n"/>
      <c r="U556" s="145" t="n"/>
      <c r="V556" s="145" t="n"/>
      <c r="W556" s="145" t="n"/>
      <c r="X556" s="145" t="inlineStr">
        <is>
          <t>Detailed format sample from top 5 used rows</t>
        </is>
      </c>
    </row>
    <row r="557" ht="23.85" customHeight="1" s="79">
      <c r="A557" s="145" t="inlineStr">
        <is>
          <t>REGULAR_ART</t>
        </is>
      </c>
      <c r="B557" s="145" t="inlineStr">
        <is>
          <t>Top-Row Cell Format</t>
        </is>
      </c>
      <c r="C557" s="145" t="inlineStr">
        <is>
          <t>AT5</t>
        </is>
      </c>
      <c r="D557" s="145" t="inlineStr">
        <is>
          <t>REGULAR_ART!A1:AT410</t>
        </is>
      </c>
      <c r="E557" s="145" t="inlineStr">
        <is>
          <t>Comma</t>
        </is>
      </c>
      <c r="F557" s="145" t="n"/>
      <c r="G557" s="145" t="inlineStr">
        <is>
          <t>Aptos</t>
        </is>
      </c>
      <c r="H557" s="145" t="n">
        <v>8</v>
      </c>
      <c r="I557" s="145" t="inlineStr">
        <is>
          <t>No</t>
        </is>
      </c>
      <c r="J557" s="145" t="inlineStr">
        <is>
          <t>No</t>
        </is>
      </c>
      <c r="K557" s="145" t="inlineStr">
        <is>
          <t>None</t>
        </is>
      </c>
      <c r="L557" s="145" t="inlineStr">
        <is>
          <t>#000000</t>
        </is>
      </c>
      <c r="M557" s="145" t="inlineStr">
        <is>
          <t>General</t>
        </is>
      </c>
      <c r="N557" s="145" t="inlineStr">
        <is>
          <t>Center</t>
        </is>
      </c>
      <c r="O557" s="145" t="inlineStr">
        <is>
          <t>No</t>
        </is>
      </c>
      <c r="P557" s="145" t="inlineStr">
        <is>
          <t xml:space="preserve">_ * #,##0_ ;_ * -#,##0_ ;_ * "-"??_ ;_ @_ </t>
        </is>
      </c>
      <c r="Q557" s="145" t="inlineStr">
        <is>
          <t>Text</t>
        </is>
      </c>
      <c r="R557" s="145" t="n"/>
      <c r="S557" s="145" t="n"/>
      <c r="T557" s="145" t="n"/>
      <c r="U557" s="145" t="n"/>
      <c r="V557" s="145" t="n"/>
      <c r="W557" s="145" t="n"/>
      <c r="X557" s="145" t="inlineStr">
        <is>
          <t>Detailed format sample from top 5 used rows</t>
        </is>
      </c>
    </row>
    <row r="558" ht="23.85" customHeight="1" s="79">
      <c r="A558" s="145" t="inlineStr">
        <is>
          <t>REGULAR_ART</t>
        </is>
      </c>
      <c r="B558" s="145" t="inlineStr">
        <is>
          <t>Row Dimensions</t>
        </is>
      </c>
      <c r="C558" s="147" t="n">
        <v>0.04305555555555556</v>
      </c>
      <c r="D558" s="145" t="inlineStr">
        <is>
          <t>REGULAR_ART!A1:AT410</t>
        </is>
      </c>
      <c r="E558" s="145" t="n"/>
      <c r="F558" s="145" t="n"/>
      <c r="G558" s="145" t="n"/>
      <c r="H558" s="145" t="n"/>
      <c r="I558" s="145" t="n"/>
      <c r="J558" s="145" t="n"/>
      <c r="K558" s="145" t="n"/>
      <c r="L558" s="145" t="n"/>
      <c r="M558" s="145" t="n"/>
      <c r="N558" s="145" t="n"/>
      <c r="O558" s="145" t="n"/>
      <c r="P558" s="145" t="n"/>
      <c r="Q558" s="145" t="n"/>
      <c r="R558" s="145" t="n"/>
      <c r="S558" s="145" t="n"/>
      <c r="T558" s="145" t="n">
        <v>10.75</v>
      </c>
      <c r="U558" s="145" t="inlineStr">
        <is>
          <t>No</t>
        </is>
      </c>
      <c r="V558" s="145" t="inlineStr">
        <is>
          <t>Visible</t>
        </is>
      </c>
      <c r="W558" s="145" t="n"/>
      <c r="X558" s="145" t="inlineStr">
        <is>
          <t>Contiguous rows share height/hidden status</t>
        </is>
      </c>
    </row>
    <row r="559" ht="23.85" customHeight="1" s="79">
      <c r="A559" s="145" t="inlineStr">
        <is>
          <t>REGULAR_ART</t>
        </is>
      </c>
      <c r="B559" s="145" t="inlineStr">
        <is>
          <t>Row Dimensions</t>
        </is>
      </c>
      <c r="C559" s="147" t="n">
        <v>0.1270833333333333</v>
      </c>
      <c r="D559" s="145" t="inlineStr">
        <is>
          <t>REGULAR_ART!A1:AT410</t>
        </is>
      </c>
      <c r="E559" s="145" t="n"/>
      <c r="F559" s="145" t="n"/>
      <c r="G559" s="145" t="n"/>
      <c r="H559" s="145" t="n"/>
      <c r="I559" s="145" t="n"/>
      <c r="J559" s="145" t="n"/>
      <c r="K559" s="145" t="n"/>
      <c r="L559" s="145" t="n"/>
      <c r="M559" s="145" t="n"/>
      <c r="N559" s="145" t="n"/>
      <c r="O559" s="145" t="n"/>
      <c r="P559" s="145" t="n"/>
      <c r="Q559" s="145" t="n"/>
      <c r="R559" s="145" t="n"/>
      <c r="S559" s="145" t="n"/>
      <c r="T559" s="145" t="n">
        <v>25</v>
      </c>
      <c r="U559" s="145" t="inlineStr">
        <is>
          <t>No</t>
        </is>
      </c>
      <c r="V559" s="145" t="inlineStr">
        <is>
          <t>Visible</t>
        </is>
      </c>
      <c r="W559" s="145" t="n"/>
      <c r="X559" s="145" t="inlineStr">
        <is>
          <t>Single row</t>
        </is>
      </c>
    </row>
    <row r="560" ht="23.85" customHeight="1" s="79">
      <c r="A560" s="145" t="inlineStr">
        <is>
          <t>REGULAR_ART</t>
        </is>
      </c>
      <c r="B560" s="145" t="inlineStr">
        <is>
          <t>Row Dimensions</t>
        </is>
      </c>
      <c r="C560" s="147" t="n">
        <v>0.1694444444444445</v>
      </c>
      <c r="D560" s="145" t="inlineStr">
        <is>
          <t>REGULAR_ART!A1:AT410</t>
        </is>
      </c>
      <c r="E560" s="145" t="n"/>
      <c r="F560" s="145" t="n"/>
      <c r="G560" s="145" t="n"/>
      <c r="H560" s="145" t="n"/>
      <c r="I560" s="145" t="n"/>
      <c r="J560" s="145" t="n"/>
      <c r="K560" s="145" t="n"/>
      <c r="L560" s="145" t="n"/>
      <c r="M560" s="145" t="n"/>
      <c r="N560" s="145" t="n"/>
      <c r="O560" s="145" t="n"/>
      <c r="P560" s="145" t="n"/>
      <c r="Q560" s="145" t="n"/>
      <c r="R560" s="145" t="n"/>
      <c r="S560" s="145" t="n"/>
      <c r="T560" s="145" t="n">
        <v>11.25</v>
      </c>
      <c r="U560" s="145" t="inlineStr">
        <is>
          <t>No</t>
        </is>
      </c>
      <c r="V560" s="145" t="inlineStr">
        <is>
          <t>Visible</t>
        </is>
      </c>
      <c r="W560" s="145" t="n"/>
      <c r="X560" s="145" t="inlineStr">
        <is>
          <t>Single row</t>
        </is>
      </c>
    </row>
    <row r="561" ht="23.85" customHeight="1" s="79">
      <c r="A561" s="145" t="inlineStr">
        <is>
          <t>REGULAR_ART</t>
        </is>
      </c>
      <c r="B561" s="145" t="inlineStr">
        <is>
          <t>Row Dimensions</t>
        </is>
      </c>
      <c r="C561" s="145" t="n">
        <v>0.493055555555556</v>
      </c>
      <c r="D561" s="145" t="inlineStr">
        <is>
          <t>REGULAR_ART!A1:AT410</t>
        </is>
      </c>
      <c r="E561" s="145" t="n"/>
      <c r="F561" s="145" t="n"/>
      <c r="G561" s="145" t="n"/>
      <c r="H561" s="145" t="n"/>
      <c r="I561" s="145" t="n"/>
      <c r="J561" s="145" t="n"/>
      <c r="K561" s="145" t="n"/>
      <c r="L561" s="145" t="n"/>
      <c r="M561" s="145" t="n"/>
      <c r="N561" s="145" t="n"/>
      <c r="O561" s="145" t="n"/>
      <c r="P561" s="145" t="n"/>
      <c r="Q561" s="145" t="n"/>
      <c r="R561" s="145" t="n"/>
      <c r="S561" s="145" t="n"/>
      <c r="T561" s="145" t="n">
        <v>10.75</v>
      </c>
      <c r="U561" s="145" t="inlineStr">
        <is>
          <t>No</t>
        </is>
      </c>
      <c r="V561" s="145" t="inlineStr">
        <is>
          <t>Visible</t>
        </is>
      </c>
      <c r="W561" s="145" t="n"/>
      <c r="X561" s="145" t="inlineStr">
        <is>
          <t>Contiguous rows share height/hidden status</t>
        </is>
      </c>
    </row>
    <row r="562" ht="23.85" customHeight="1" s="79">
      <c r="A562" s="145" t="inlineStr">
        <is>
          <t>WINTER_DEPT</t>
        </is>
      </c>
      <c r="B562" s="145" t="inlineStr">
        <is>
          <t>Sheet Summary</t>
        </is>
      </c>
      <c r="C562" s="145" t="inlineStr">
        <is>
          <t>WINTER_DEPT</t>
        </is>
      </c>
      <c r="D562" s="145" t="inlineStr">
        <is>
          <t>WINTER_DEPT!A1:AA31</t>
        </is>
      </c>
      <c r="E562" s="145" t="n"/>
      <c r="F562" s="145" t="n"/>
      <c r="G562" s="145" t="n"/>
      <c r="H562" s="145" t="n"/>
      <c r="I562" s="145" t="n"/>
      <c r="J562" s="145" t="n"/>
      <c r="K562" s="145" t="n"/>
      <c r="L562" s="145" t="n"/>
      <c r="M562" s="145" t="n"/>
      <c r="N562" s="145" t="n"/>
      <c r="O562" s="145" t="n"/>
      <c r="P562" s="145" t="n"/>
      <c r="Q562" s="145" t="n"/>
      <c r="R562" s="145" t="n"/>
      <c r="S562" s="145" t="n"/>
      <c r="T562" s="145" t="n"/>
      <c r="U562" s="145" t="inlineStr">
        <is>
          <t>No</t>
        </is>
      </c>
      <c r="V562" s="145" t="inlineStr">
        <is>
          <t>Visible</t>
        </is>
      </c>
      <c r="W562" s="145" t="inlineStr">
        <is>
          <t>No worksheet AutoFilter</t>
        </is>
      </c>
      <c r="X562" s="145" t="inlineStr">
        <is>
          <t>Used rows: 31; used columns: 27</t>
        </is>
      </c>
    </row>
    <row r="563" ht="57.45" customHeight="1" s="79">
      <c r="A563" s="145" t="inlineStr">
        <is>
          <t>WINTER_DEPT</t>
        </is>
      </c>
      <c r="B563" s="145" t="inlineStr">
        <is>
          <t>Column Format</t>
        </is>
      </c>
      <c r="C563" s="145" t="inlineStr">
        <is>
          <t>A:A</t>
        </is>
      </c>
      <c r="D563" s="145" t="inlineStr">
        <is>
          <t>WINTER_DEPT!A1:AA31</t>
        </is>
      </c>
      <c r="E563" s="145" t="inlineStr">
        <is>
          <t>Mixed</t>
        </is>
      </c>
      <c r="F563" s="145" t="inlineStr">
        <is>
          <t>Mixed</t>
        </is>
      </c>
      <c r="G563" s="145" t="inlineStr">
        <is>
          <t>Aptos</t>
        </is>
      </c>
      <c r="H563" s="145" t="n">
        <v>8</v>
      </c>
      <c r="I563" s="145" t="inlineStr">
        <is>
          <t>Mixed</t>
        </is>
      </c>
      <c r="J563" s="145" t="inlineStr">
        <is>
          <t>No</t>
        </is>
      </c>
      <c r="K563" s="145" t="inlineStr">
        <is>
          <t>None</t>
        </is>
      </c>
      <c r="L563" s="145" t="inlineStr">
        <is>
          <t>#000000</t>
        </is>
      </c>
      <c r="M563" s="145" t="inlineStr">
        <is>
          <t>Mixed</t>
        </is>
      </c>
      <c r="N563" s="145" t="inlineStr">
        <is>
          <t>Center</t>
        </is>
      </c>
      <c r="O563" s="145" t="inlineStr">
        <is>
          <t>Mixed</t>
        </is>
      </c>
      <c r="P563" s="145" t="n"/>
      <c r="Q563" s="145" t="n"/>
      <c r="R563" s="145" t="inlineStr">
        <is>
          <t>EdgeTop:Continuous/Thin/#000000; EdgeBottom:Continuous/Thin/#000000; EdgeLeft:Continuous/Thin/#000000; EdgeRight:Continuous/Thin/#000000; InsideHorizontal:Continuous/Thin/#000000</t>
        </is>
      </c>
      <c r="S563" s="145" t="n">
        <v>0</v>
      </c>
      <c r="T563" s="145" t="n"/>
      <c r="U563" s="145" t="inlineStr">
        <is>
          <t>Yes</t>
        </is>
      </c>
      <c r="V563" s="145" t="inlineStr">
        <is>
          <t>Hidden column (possible outline/group)</t>
        </is>
      </c>
      <c r="W563" s="145" t="n"/>
      <c r="X563" s="145" t="inlineStr">
        <is>
          <t>Mixed styles within used column</t>
        </is>
      </c>
    </row>
    <row r="564" ht="23.85" customHeight="1" s="79">
      <c r="A564" s="145" t="inlineStr">
        <is>
          <t>WINTER_DEPT</t>
        </is>
      </c>
      <c r="B564" s="145" t="inlineStr">
        <is>
          <t>Top-Row Cell Format</t>
        </is>
      </c>
      <c r="C564" s="145" t="inlineStr">
        <is>
          <t>A1</t>
        </is>
      </c>
      <c r="D564" s="145" t="inlineStr">
        <is>
          <t>WINTER_DEPT!A1:AA31</t>
        </is>
      </c>
      <c r="E564" s="145" t="inlineStr">
        <is>
          <t>Normal</t>
        </is>
      </c>
      <c r="F564" s="145" t="inlineStr">
        <is>
          <t>#C9C9C9</t>
        </is>
      </c>
      <c r="G564" s="145" t="inlineStr">
        <is>
          <t>Aptos</t>
        </is>
      </c>
      <c r="H564" s="145" t="n">
        <v>8</v>
      </c>
      <c r="I564" s="145" t="inlineStr">
        <is>
          <t>Yes</t>
        </is>
      </c>
      <c r="J564" s="145" t="inlineStr">
        <is>
          <t>No</t>
        </is>
      </c>
      <c r="K564" s="145" t="inlineStr">
        <is>
          <t>None</t>
        </is>
      </c>
      <c r="L564" s="145" t="inlineStr">
        <is>
          <t>#000000</t>
        </is>
      </c>
      <c r="M564" s="145" t="inlineStr">
        <is>
          <t>Center</t>
        </is>
      </c>
      <c r="N564" s="145" t="inlineStr">
        <is>
          <t>Center</t>
        </is>
      </c>
      <c r="O564" s="145" t="inlineStr">
        <is>
          <t>No</t>
        </is>
      </c>
      <c r="P564" s="145" t="inlineStr">
        <is>
          <t>General</t>
        </is>
      </c>
      <c r="Q564" s="145" t="inlineStr">
        <is>
          <t>General</t>
        </is>
      </c>
      <c r="R564" s="145" t="n"/>
      <c r="S564" s="145" t="n"/>
      <c r="T564" s="145" t="n"/>
      <c r="U564" s="145" t="n"/>
      <c r="V564" s="145" t="n"/>
      <c r="W564" s="145" t="n"/>
      <c r="X564" s="145" t="inlineStr">
        <is>
          <t>Detailed format sample from top 5 used rows</t>
        </is>
      </c>
    </row>
    <row r="565" ht="23.85" customHeight="1" s="79">
      <c r="A565" s="145" t="inlineStr">
        <is>
          <t>WINTER_DEPT</t>
        </is>
      </c>
      <c r="B565" s="145" t="inlineStr">
        <is>
          <t>Top-Row Cell Format</t>
        </is>
      </c>
      <c r="C565" s="145" t="inlineStr">
        <is>
          <t>A2</t>
        </is>
      </c>
      <c r="D565" s="145" t="inlineStr">
        <is>
          <t>WINTER_DEPT!A1:AA31</t>
        </is>
      </c>
      <c r="E565" s="145" t="inlineStr">
        <is>
          <t>Comma</t>
        </is>
      </c>
      <c r="F565" s="145" t="inlineStr">
        <is>
          <t>#B4C6E7</t>
        </is>
      </c>
      <c r="G565" s="145" t="inlineStr">
        <is>
          <t>Aptos</t>
        </is>
      </c>
      <c r="H565" s="145" t="n">
        <v>8</v>
      </c>
      <c r="I565" s="145" t="inlineStr">
        <is>
          <t>Yes</t>
        </is>
      </c>
      <c r="J565" s="145" t="inlineStr">
        <is>
          <t>No</t>
        </is>
      </c>
      <c r="K565" s="145" t="inlineStr">
        <is>
          <t>None</t>
        </is>
      </c>
      <c r="L565" s="145" t="inlineStr">
        <is>
          <t>#000000</t>
        </is>
      </c>
      <c r="M565" s="145" t="inlineStr">
        <is>
          <t>Center</t>
        </is>
      </c>
      <c r="N565" s="145" t="inlineStr">
        <is>
          <t>Center</t>
        </is>
      </c>
      <c r="O565" s="145" t="inlineStr">
        <is>
          <t>No</t>
        </is>
      </c>
      <c r="P565" s="145" t="inlineStr">
        <is>
          <t xml:space="preserve">_ * #,##0_ ;_ * -#,##0_ ;_ * "-"??_ ;_ @_ </t>
        </is>
      </c>
      <c r="Q565" s="145" t="inlineStr">
        <is>
          <t>Text</t>
        </is>
      </c>
      <c r="R565" s="145" t="n"/>
      <c r="S565" s="145" t="n"/>
      <c r="T565" s="145" t="n"/>
      <c r="U565" s="145" t="n"/>
      <c r="V565" s="145" t="n"/>
      <c r="W565" s="145" t="n"/>
      <c r="X565" s="145" t="inlineStr">
        <is>
          <t>Detailed format sample from top 5 used rows</t>
        </is>
      </c>
    </row>
    <row r="566" ht="23.85" customHeight="1" s="79">
      <c r="A566" s="145" t="inlineStr">
        <is>
          <t>WINTER_DEPT</t>
        </is>
      </c>
      <c r="B566" s="145" t="inlineStr">
        <is>
          <t>Top-Row Cell Format</t>
        </is>
      </c>
      <c r="C566" s="145" t="inlineStr">
        <is>
          <t>A3</t>
        </is>
      </c>
      <c r="D566" s="145" t="inlineStr">
        <is>
          <t>WINTER_DEPT!A1:AA31</t>
        </is>
      </c>
      <c r="E566" s="145" t="inlineStr">
        <is>
          <t>Normal</t>
        </is>
      </c>
      <c r="F566" s="145" t="inlineStr">
        <is>
          <t>#FFD966</t>
        </is>
      </c>
      <c r="G566" s="145" t="inlineStr">
        <is>
          <t>Aptos</t>
        </is>
      </c>
      <c r="H566" s="145" t="n">
        <v>8</v>
      </c>
      <c r="I566" s="145" t="inlineStr">
        <is>
          <t>Yes</t>
        </is>
      </c>
      <c r="J566" s="145" t="inlineStr">
        <is>
          <t>No</t>
        </is>
      </c>
      <c r="K566" s="145" t="inlineStr">
        <is>
          <t>None</t>
        </is>
      </c>
      <c r="L566" s="145" t="inlineStr">
        <is>
          <t>#000000</t>
        </is>
      </c>
      <c r="M566" s="145" t="inlineStr">
        <is>
          <t>Center</t>
        </is>
      </c>
      <c r="N566" s="145" t="inlineStr">
        <is>
          <t>Center</t>
        </is>
      </c>
      <c r="O566" s="145" t="inlineStr">
        <is>
          <t>Yes</t>
        </is>
      </c>
      <c r="P566" s="145" t="inlineStr">
        <is>
          <t>General</t>
        </is>
      </c>
      <c r="Q566" s="145" t="inlineStr">
        <is>
          <t>General</t>
        </is>
      </c>
      <c r="R566" s="145" t="n"/>
      <c r="S566" s="145" t="n"/>
      <c r="T566" s="145" t="n"/>
      <c r="U566" s="145" t="n"/>
      <c r="V566" s="145" t="n"/>
      <c r="W566" s="145" t="n"/>
      <c r="X566" s="145" t="inlineStr">
        <is>
          <t>Detailed format sample from top 5 used rows</t>
        </is>
      </c>
    </row>
    <row r="567" ht="23.85" customHeight="1" s="79">
      <c r="A567" s="145" t="inlineStr">
        <is>
          <t>WINTER_DEPT</t>
        </is>
      </c>
      <c r="B567" s="145" t="inlineStr">
        <is>
          <t>Top-Row Cell Format</t>
        </is>
      </c>
      <c r="C567" s="145" t="inlineStr">
        <is>
          <t>A4</t>
        </is>
      </c>
      <c r="D567" s="145" t="inlineStr">
        <is>
          <t>WINTER_DEPT!A1:AA31</t>
        </is>
      </c>
      <c r="E567" s="145" t="inlineStr">
        <is>
          <t>Normal</t>
        </is>
      </c>
      <c r="F567" s="145" t="inlineStr">
        <is>
          <t>#FFD966</t>
        </is>
      </c>
      <c r="G567" s="145" t="inlineStr">
        <is>
          <t>Aptos</t>
        </is>
      </c>
      <c r="H567" s="145" t="n">
        <v>8</v>
      </c>
      <c r="I567" s="145" t="inlineStr">
        <is>
          <t>No</t>
        </is>
      </c>
      <c r="J567" s="145" t="inlineStr">
        <is>
          <t>No</t>
        </is>
      </c>
      <c r="K567" s="145" t="inlineStr">
        <is>
          <t>None</t>
        </is>
      </c>
      <c r="L567" s="145" t="inlineStr">
        <is>
          <t>#000000</t>
        </is>
      </c>
      <c r="M567" s="145" t="inlineStr">
        <is>
          <t>Center</t>
        </is>
      </c>
      <c r="N567" s="145" t="inlineStr">
        <is>
          <t>Center</t>
        </is>
      </c>
      <c r="O567" s="145" t="inlineStr">
        <is>
          <t>No</t>
        </is>
      </c>
      <c r="P567" s="145" t="inlineStr">
        <is>
          <t>General</t>
        </is>
      </c>
      <c r="Q567" s="145" t="inlineStr">
        <is>
          <t>General</t>
        </is>
      </c>
      <c r="R567" s="145" t="n"/>
      <c r="S567" s="145" t="n"/>
      <c r="T567" s="145" t="n"/>
      <c r="U567" s="145" t="n"/>
      <c r="V567" s="145" t="n"/>
      <c r="W567" s="145" t="n"/>
      <c r="X567" s="145" t="inlineStr">
        <is>
          <t>Detailed format sample from top 5 used rows</t>
        </is>
      </c>
    </row>
    <row r="568" ht="23.85" customHeight="1" s="79">
      <c r="A568" s="145" t="inlineStr">
        <is>
          <t>WINTER_DEPT</t>
        </is>
      </c>
      <c r="B568" s="145" t="inlineStr">
        <is>
          <t>Top-Row Cell Format</t>
        </is>
      </c>
      <c r="C568" s="145" t="inlineStr">
        <is>
          <t>A5</t>
        </is>
      </c>
      <c r="D568" s="145" t="inlineStr">
        <is>
          <t>WINTER_DEPT!A1:AA31</t>
        </is>
      </c>
      <c r="E568" s="145" t="inlineStr">
        <is>
          <t>Comma</t>
        </is>
      </c>
      <c r="F568" s="145" t="n"/>
      <c r="G568" s="145" t="inlineStr">
        <is>
          <t>Aptos</t>
        </is>
      </c>
      <c r="H568" s="145" t="n">
        <v>8</v>
      </c>
      <c r="I568" s="145" t="inlineStr">
        <is>
          <t>No</t>
        </is>
      </c>
      <c r="J568" s="145" t="inlineStr">
        <is>
          <t>No</t>
        </is>
      </c>
      <c r="K568" s="145" t="inlineStr">
        <is>
          <t>None</t>
        </is>
      </c>
      <c r="L568" s="145" t="inlineStr">
        <is>
          <t>#000000</t>
        </is>
      </c>
      <c r="M568" s="145" t="inlineStr">
        <is>
          <t>General</t>
        </is>
      </c>
      <c r="N568" s="145" t="inlineStr">
        <is>
          <t>Center</t>
        </is>
      </c>
      <c r="O568" s="145" t="inlineStr">
        <is>
          <t>No</t>
        </is>
      </c>
      <c r="P568" s="145" t="inlineStr">
        <is>
          <t xml:space="preserve">_ * #,##0_ ;_ * -#,##0_ ;_ * "-"??_ ;_ @_ </t>
        </is>
      </c>
      <c r="Q568" s="145" t="inlineStr">
        <is>
          <t>Text</t>
        </is>
      </c>
      <c r="R568" s="145" t="n"/>
      <c r="S568" s="145" t="n"/>
      <c r="T568" s="145" t="n"/>
      <c r="U568" s="145" t="n"/>
      <c r="V568" s="145" t="n"/>
      <c r="W568" s="145" t="n"/>
      <c r="X568" s="145" t="inlineStr">
        <is>
          <t>Detailed format sample from top 5 used rows</t>
        </is>
      </c>
    </row>
    <row r="569" ht="57.45" customHeight="1" s="79">
      <c r="A569" s="145" t="inlineStr">
        <is>
          <t>WINTER_DEPT</t>
        </is>
      </c>
      <c r="B569" s="145" t="inlineStr">
        <is>
          <t>Column Format</t>
        </is>
      </c>
      <c r="C569" s="145" t="inlineStr">
        <is>
          <t>B:B</t>
        </is>
      </c>
      <c r="D569" s="145" t="inlineStr">
        <is>
          <t>WINTER_DEPT!A1:AA31</t>
        </is>
      </c>
      <c r="E569" s="145" t="inlineStr">
        <is>
          <t>Mixed</t>
        </is>
      </c>
      <c r="F569" s="145" t="inlineStr">
        <is>
          <t>Mixed</t>
        </is>
      </c>
      <c r="G569" s="145" t="inlineStr">
        <is>
          <t>Aptos</t>
        </is>
      </c>
      <c r="H569" s="145" t="n">
        <v>8</v>
      </c>
      <c r="I569" s="145" t="inlineStr">
        <is>
          <t>Mixed</t>
        </is>
      </c>
      <c r="J569" s="145" t="inlineStr">
        <is>
          <t>No</t>
        </is>
      </c>
      <c r="K569" s="145" t="inlineStr">
        <is>
          <t>None</t>
        </is>
      </c>
      <c r="L569" s="145" t="inlineStr">
        <is>
          <t>#000000</t>
        </is>
      </c>
      <c r="M569" s="145" t="inlineStr">
        <is>
          <t>Mixed</t>
        </is>
      </c>
      <c r="N569" s="145" t="inlineStr">
        <is>
          <t>Center</t>
        </is>
      </c>
      <c r="O569" s="145" t="inlineStr">
        <is>
          <t>Mixed</t>
        </is>
      </c>
      <c r="P569" s="145" t="n"/>
      <c r="Q569" s="145" t="n"/>
      <c r="R569" s="145" t="inlineStr">
        <is>
          <t>EdgeTop:Continuous/Thin/#000000; EdgeBottom:Continuous/Thin/#000000; EdgeLeft:Continuous/Thin/#000000; EdgeRight:Continuous/Thin/#000000; InsideHorizontal:Continuous/Thin/#000000</t>
        </is>
      </c>
      <c r="S569" s="145" t="n">
        <v>0</v>
      </c>
      <c r="T569" s="145" t="n"/>
      <c r="U569" s="145" t="inlineStr">
        <is>
          <t>Yes</t>
        </is>
      </c>
      <c r="V569" s="145" t="inlineStr">
        <is>
          <t>Hidden column (possible outline/group)</t>
        </is>
      </c>
      <c r="W569" s="145" t="n"/>
      <c r="X569" s="145" t="inlineStr">
        <is>
          <t>Mixed styles within used column</t>
        </is>
      </c>
    </row>
    <row r="570" ht="23.85" customHeight="1" s="79">
      <c r="A570" s="145" t="inlineStr">
        <is>
          <t>WINTER_DEPT</t>
        </is>
      </c>
      <c r="B570" s="145" t="inlineStr">
        <is>
          <t>Top-Row Cell Format</t>
        </is>
      </c>
      <c r="C570" s="145" t="inlineStr">
        <is>
          <t>B1</t>
        </is>
      </c>
      <c r="D570" s="145" t="inlineStr">
        <is>
          <t>WINTER_DEPT!A1:AA31</t>
        </is>
      </c>
      <c r="E570" s="145" t="inlineStr">
        <is>
          <t>Normal</t>
        </is>
      </c>
      <c r="F570" s="145" t="inlineStr">
        <is>
          <t>#C9C9C9</t>
        </is>
      </c>
      <c r="G570" s="145" t="inlineStr">
        <is>
          <t>Aptos</t>
        </is>
      </c>
      <c r="H570" s="145" t="n">
        <v>8</v>
      </c>
      <c r="I570" s="145" t="inlineStr">
        <is>
          <t>Yes</t>
        </is>
      </c>
      <c r="J570" s="145" t="inlineStr">
        <is>
          <t>No</t>
        </is>
      </c>
      <c r="K570" s="145" t="inlineStr">
        <is>
          <t>None</t>
        </is>
      </c>
      <c r="L570" s="145" t="inlineStr">
        <is>
          <t>#000000</t>
        </is>
      </c>
      <c r="M570" s="145" t="inlineStr">
        <is>
          <t>Center</t>
        </is>
      </c>
      <c r="N570" s="145" t="inlineStr">
        <is>
          <t>Center</t>
        </is>
      </c>
      <c r="O570" s="145" t="inlineStr">
        <is>
          <t>No</t>
        </is>
      </c>
      <c r="P570" s="145" t="inlineStr">
        <is>
          <t>General</t>
        </is>
      </c>
      <c r="Q570" s="145" t="inlineStr">
        <is>
          <t>General</t>
        </is>
      </c>
      <c r="R570" s="145" t="n"/>
      <c r="S570" s="145" t="n"/>
      <c r="T570" s="145" t="n"/>
      <c r="U570" s="145" t="n"/>
      <c r="V570" s="145" t="n"/>
      <c r="W570" s="145" t="n"/>
      <c r="X570" s="145" t="inlineStr">
        <is>
          <t>Detailed format sample from top 5 used rows</t>
        </is>
      </c>
    </row>
    <row r="571" ht="23.85" customHeight="1" s="79">
      <c r="A571" s="145" t="inlineStr">
        <is>
          <t>WINTER_DEPT</t>
        </is>
      </c>
      <c r="B571" s="145" t="inlineStr">
        <is>
          <t>Top-Row Cell Format</t>
        </is>
      </c>
      <c r="C571" s="145" t="inlineStr">
        <is>
          <t>B2</t>
        </is>
      </c>
      <c r="D571" s="145" t="inlineStr">
        <is>
          <t>WINTER_DEPT!A1:AA31</t>
        </is>
      </c>
      <c r="E571" s="145" t="inlineStr">
        <is>
          <t>Comma</t>
        </is>
      </c>
      <c r="F571" s="145" t="inlineStr">
        <is>
          <t>#B4C6E7</t>
        </is>
      </c>
      <c r="G571" s="145" t="inlineStr">
        <is>
          <t>Aptos</t>
        </is>
      </c>
      <c r="H571" s="145" t="n">
        <v>8</v>
      </c>
      <c r="I571" s="145" t="inlineStr">
        <is>
          <t>Yes</t>
        </is>
      </c>
      <c r="J571" s="145" t="inlineStr">
        <is>
          <t>No</t>
        </is>
      </c>
      <c r="K571" s="145" t="inlineStr">
        <is>
          <t>None</t>
        </is>
      </c>
      <c r="L571" s="145" t="inlineStr">
        <is>
          <t>#000000</t>
        </is>
      </c>
      <c r="M571" s="145" t="inlineStr">
        <is>
          <t>Center</t>
        </is>
      </c>
      <c r="N571" s="145" t="inlineStr">
        <is>
          <t>Center</t>
        </is>
      </c>
      <c r="O571" s="145" t="inlineStr">
        <is>
          <t>No</t>
        </is>
      </c>
      <c r="P571" s="145" t="inlineStr">
        <is>
          <t xml:space="preserve">_ * #,##0_ ;_ * -#,##0_ ;_ * "-"??_ ;_ @_ </t>
        </is>
      </c>
      <c r="Q571" s="145" t="inlineStr">
        <is>
          <t>Text</t>
        </is>
      </c>
      <c r="R571" s="145" t="n"/>
      <c r="S571" s="145" t="n"/>
      <c r="T571" s="145" t="n"/>
      <c r="U571" s="145" t="n"/>
      <c r="V571" s="145" t="n"/>
      <c r="W571" s="145" t="n"/>
      <c r="X571" s="145" t="inlineStr">
        <is>
          <t>Detailed format sample from top 5 used rows</t>
        </is>
      </c>
    </row>
    <row r="572" ht="23.85" customHeight="1" s="79">
      <c r="A572" s="145" t="inlineStr">
        <is>
          <t>WINTER_DEPT</t>
        </is>
      </c>
      <c r="B572" s="145" t="inlineStr">
        <is>
          <t>Top-Row Cell Format</t>
        </is>
      </c>
      <c r="C572" s="145" t="inlineStr">
        <is>
          <t>B3</t>
        </is>
      </c>
      <c r="D572" s="145" t="inlineStr">
        <is>
          <t>WINTER_DEPT!A1:AA31</t>
        </is>
      </c>
      <c r="E572" s="145" t="inlineStr">
        <is>
          <t>Normal</t>
        </is>
      </c>
      <c r="F572" s="145" t="inlineStr">
        <is>
          <t>#FFD966</t>
        </is>
      </c>
      <c r="G572" s="145" t="inlineStr">
        <is>
          <t>Aptos</t>
        </is>
      </c>
      <c r="H572" s="145" t="n">
        <v>8</v>
      </c>
      <c r="I572" s="145" t="inlineStr">
        <is>
          <t>Yes</t>
        </is>
      </c>
      <c r="J572" s="145" t="inlineStr">
        <is>
          <t>No</t>
        </is>
      </c>
      <c r="K572" s="145" t="inlineStr">
        <is>
          <t>None</t>
        </is>
      </c>
      <c r="L572" s="145" t="inlineStr">
        <is>
          <t>#000000</t>
        </is>
      </c>
      <c r="M572" s="145" t="inlineStr">
        <is>
          <t>Center</t>
        </is>
      </c>
      <c r="N572" s="145" t="inlineStr">
        <is>
          <t>Center</t>
        </is>
      </c>
      <c r="O572" s="145" t="inlineStr">
        <is>
          <t>Yes</t>
        </is>
      </c>
      <c r="P572" s="145" t="inlineStr">
        <is>
          <t>General</t>
        </is>
      </c>
      <c r="Q572" s="145" t="inlineStr">
        <is>
          <t>General</t>
        </is>
      </c>
      <c r="R572" s="145" t="n"/>
      <c r="S572" s="145" t="n"/>
      <c r="T572" s="145" t="n"/>
      <c r="U572" s="145" t="n"/>
      <c r="V572" s="145" t="n"/>
      <c r="W572" s="145" t="n"/>
      <c r="X572" s="145" t="inlineStr">
        <is>
          <t>Detailed format sample from top 5 used rows</t>
        </is>
      </c>
    </row>
    <row r="573" ht="23.85" customHeight="1" s="79">
      <c r="A573" s="145" t="inlineStr">
        <is>
          <t>WINTER_DEPT</t>
        </is>
      </c>
      <c r="B573" s="145" t="inlineStr">
        <is>
          <t>Top-Row Cell Format</t>
        </is>
      </c>
      <c r="C573" s="145" t="inlineStr">
        <is>
          <t>B4</t>
        </is>
      </c>
      <c r="D573" s="145" t="inlineStr">
        <is>
          <t>WINTER_DEPT!A1:AA31</t>
        </is>
      </c>
      <c r="E573" s="145" t="inlineStr">
        <is>
          <t>Normal</t>
        </is>
      </c>
      <c r="F573" s="145" t="inlineStr">
        <is>
          <t>#FFD966</t>
        </is>
      </c>
      <c r="G573" s="145" t="inlineStr">
        <is>
          <t>Aptos</t>
        </is>
      </c>
      <c r="H573" s="145" t="n">
        <v>8</v>
      </c>
      <c r="I573" s="145" t="inlineStr">
        <is>
          <t>No</t>
        </is>
      </c>
      <c r="J573" s="145" t="inlineStr">
        <is>
          <t>No</t>
        </is>
      </c>
      <c r="K573" s="145" t="inlineStr">
        <is>
          <t>None</t>
        </is>
      </c>
      <c r="L573" s="145" t="inlineStr">
        <is>
          <t>#000000</t>
        </is>
      </c>
      <c r="M573" s="145" t="inlineStr">
        <is>
          <t>Center</t>
        </is>
      </c>
      <c r="N573" s="145" t="inlineStr">
        <is>
          <t>Center</t>
        </is>
      </c>
      <c r="O573" s="145" t="inlineStr">
        <is>
          <t>No</t>
        </is>
      </c>
      <c r="P573" s="145" t="inlineStr">
        <is>
          <t>General</t>
        </is>
      </c>
      <c r="Q573" s="145" t="inlineStr">
        <is>
          <t>General</t>
        </is>
      </c>
      <c r="R573" s="145" t="n"/>
      <c r="S573" s="145" t="n"/>
      <c r="T573" s="145" t="n"/>
      <c r="U573" s="145" t="n"/>
      <c r="V573" s="145" t="n"/>
      <c r="W573" s="145" t="n"/>
      <c r="X573" s="145" t="inlineStr">
        <is>
          <t>Detailed format sample from top 5 used rows</t>
        </is>
      </c>
    </row>
    <row r="574" ht="23.85" customHeight="1" s="79">
      <c r="A574" s="145" t="inlineStr">
        <is>
          <t>WINTER_DEPT</t>
        </is>
      </c>
      <c r="B574" s="145" t="inlineStr">
        <is>
          <t>Top-Row Cell Format</t>
        </is>
      </c>
      <c r="C574" s="145" t="inlineStr">
        <is>
          <t>B5</t>
        </is>
      </c>
      <c r="D574" s="145" t="inlineStr">
        <is>
          <t>WINTER_DEPT!A1:AA31</t>
        </is>
      </c>
      <c r="E574" s="145" t="inlineStr">
        <is>
          <t>Comma</t>
        </is>
      </c>
      <c r="F574" s="145" t="n"/>
      <c r="G574" s="145" t="inlineStr">
        <is>
          <t>Aptos</t>
        </is>
      </c>
      <c r="H574" s="145" t="n">
        <v>8</v>
      </c>
      <c r="I574" s="145" t="inlineStr">
        <is>
          <t>No</t>
        </is>
      </c>
      <c r="J574" s="145" t="inlineStr">
        <is>
          <t>No</t>
        </is>
      </c>
      <c r="K574" s="145" t="inlineStr">
        <is>
          <t>None</t>
        </is>
      </c>
      <c r="L574" s="145" t="inlineStr">
        <is>
          <t>#000000</t>
        </is>
      </c>
      <c r="M574" s="145" t="inlineStr">
        <is>
          <t>General</t>
        </is>
      </c>
      <c r="N574" s="145" t="inlineStr">
        <is>
          <t>Center</t>
        </is>
      </c>
      <c r="O574" s="145" t="inlineStr">
        <is>
          <t>No</t>
        </is>
      </c>
      <c r="P574" s="145" t="inlineStr">
        <is>
          <t xml:space="preserve">_ * #,##0_ ;_ * -#,##0_ ;_ * "-"??_ ;_ @_ </t>
        </is>
      </c>
      <c r="Q574" s="145" t="inlineStr">
        <is>
          <t>Text</t>
        </is>
      </c>
      <c r="R574" s="145" t="n"/>
      <c r="S574" s="145" t="n"/>
      <c r="T574" s="145" t="n"/>
      <c r="U574" s="145" t="n"/>
      <c r="V574" s="145" t="n"/>
      <c r="W574" s="145" t="n"/>
      <c r="X574" s="145" t="inlineStr">
        <is>
          <t>Detailed format sample from top 5 used rows</t>
        </is>
      </c>
    </row>
    <row r="575" ht="57.45" customHeight="1" s="79">
      <c r="A575" s="145" t="inlineStr">
        <is>
          <t>WINTER_DEPT</t>
        </is>
      </c>
      <c r="B575" s="145" t="inlineStr">
        <is>
          <t>Column Format</t>
        </is>
      </c>
      <c r="C575" s="145" t="inlineStr">
        <is>
          <t>C:C</t>
        </is>
      </c>
      <c r="D575" s="145" t="inlineStr">
        <is>
          <t>WINTER_DEPT!A1:AA31</t>
        </is>
      </c>
      <c r="E575" s="145" t="inlineStr">
        <is>
          <t>Mixed</t>
        </is>
      </c>
      <c r="F575" s="145" t="inlineStr">
        <is>
          <t>Mixed</t>
        </is>
      </c>
      <c r="G575" s="145" t="inlineStr">
        <is>
          <t>Aptos</t>
        </is>
      </c>
      <c r="H575" s="145" t="n">
        <v>8</v>
      </c>
      <c r="I575" s="145" t="inlineStr">
        <is>
          <t>Mixed</t>
        </is>
      </c>
      <c r="J575" s="145" t="inlineStr">
        <is>
          <t>No</t>
        </is>
      </c>
      <c r="K575" s="145" t="inlineStr">
        <is>
          <t>None</t>
        </is>
      </c>
      <c r="L575" s="145" t="inlineStr">
        <is>
          <t>#000000</t>
        </is>
      </c>
      <c r="M575" s="145" t="inlineStr">
        <is>
          <t>Mixed</t>
        </is>
      </c>
      <c r="N575" s="145" t="inlineStr">
        <is>
          <t>Center</t>
        </is>
      </c>
      <c r="O575" s="145" t="inlineStr">
        <is>
          <t>Mixed</t>
        </is>
      </c>
      <c r="P575" s="145" t="n"/>
      <c r="Q575" s="145" t="n"/>
      <c r="R575" s="145" t="inlineStr">
        <is>
          <t>EdgeTop:Continuous/Thin/#000000; EdgeBottom:Continuous/Thin/#000000; EdgeLeft:Continuous/Thin/#000000; EdgeRight:Continuous/Thin/#000000; InsideHorizontal:Continuous/Thin/#000000</t>
        </is>
      </c>
      <c r="S575" s="145" t="n">
        <v>0</v>
      </c>
      <c r="T575" s="145" t="n"/>
      <c r="U575" s="145" t="inlineStr">
        <is>
          <t>Yes</t>
        </is>
      </c>
      <c r="V575" s="145" t="inlineStr">
        <is>
          <t>Hidden column (possible outline/group)</t>
        </is>
      </c>
      <c r="W575" s="145" t="n"/>
      <c r="X575" s="145" t="inlineStr">
        <is>
          <t>Mixed styles within used column</t>
        </is>
      </c>
    </row>
    <row r="576" ht="23.85" customHeight="1" s="79">
      <c r="A576" s="145" t="inlineStr">
        <is>
          <t>WINTER_DEPT</t>
        </is>
      </c>
      <c r="B576" s="145" t="inlineStr">
        <is>
          <t>Top-Row Cell Format</t>
        </is>
      </c>
      <c r="C576" s="145" t="inlineStr">
        <is>
          <t>C1</t>
        </is>
      </c>
      <c r="D576" s="145" t="inlineStr">
        <is>
          <t>WINTER_DEPT!A1:AA31</t>
        </is>
      </c>
      <c r="E576" s="145" t="inlineStr">
        <is>
          <t>Normal</t>
        </is>
      </c>
      <c r="F576" s="145" t="inlineStr">
        <is>
          <t>#C9C9C9</t>
        </is>
      </c>
      <c r="G576" s="145" t="inlineStr">
        <is>
          <t>Aptos</t>
        </is>
      </c>
      <c r="H576" s="145" t="n">
        <v>8</v>
      </c>
      <c r="I576" s="145" t="inlineStr">
        <is>
          <t>Yes</t>
        </is>
      </c>
      <c r="J576" s="145" t="inlineStr">
        <is>
          <t>No</t>
        </is>
      </c>
      <c r="K576" s="145" t="inlineStr">
        <is>
          <t>None</t>
        </is>
      </c>
      <c r="L576" s="145" t="inlineStr">
        <is>
          <t>#000000</t>
        </is>
      </c>
      <c r="M576" s="145" t="inlineStr">
        <is>
          <t>Center</t>
        </is>
      </c>
      <c r="N576" s="145" t="inlineStr">
        <is>
          <t>Center</t>
        </is>
      </c>
      <c r="O576" s="145" t="inlineStr">
        <is>
          <t>No</t>
        </is>
      </c>
      <c r="P576" s="145" t="inlineStr">
        <is>
          <t>General</t>
        </is>
      </c>
      <c r="Q576" s="145" t="inlineStr">
        <is>
          <t>General</t>
        </is>
      </c>
      <c r="R576" s="145" t="n"/>
      <c r="S576" s="145" t="n"/>
      <c r="T576" s="145" t="n"/>
      <c r="U576" s="145" t="n"/>
      <c r="V576" s="145" t="n"/>
      <c r="W576" s="145" t="n"/>
      <c r="X576" s="145" t="inlineStr">
        <is>
          <t>Detailed format sample from top 5 used rows</t>
        </is>
      </c>
    </row>
    <row r="577" ht="23.85" customHeight="1" s="79">
      <c r="A577" s="145" t="inlineStr">
        <is>
          <t>WINTER_DEPT</t>
        </is>
      </c>
      <c r="B577" s="145" t="inlineStr">
        <is>
          <t>Top-Row Cell Format</t>
        </is>
      </c>
      <c r="C577" s="145" t="inlineStr">
        <is>
          <t>C2</t>
        </is>
      </c>
      <c r="D577" s="145" t="inlineStr">
        <is>
          <t>WINTER_DEPT!A1:AA31</t>
        </is>
      </c>
      <c r="E577" s="145" t="inlineStr">
        <is>
          <t>Comma</t>
        </is>
      </c>
      <c r="F577" s="145" t="inlineStr">
        <is>
          <t>#B4C6E7</t>
        </is>
      </c>
      <c r="G577" s="145" t="inlineStr">
        <is>
          <t>Aptos</t>
        </is>
      </c>
      <c r="H577" s="145" t="n">
        <v>8</v>
      </c>
      <c r="I577" s="145" t="inlineStr">
        <is>
          <t>Yes</t>
        </is>
      </c>
      <c r="J577" s="145" t="inlineStr">
        <is>
          <t>No</t>
        </is>
      </c>
      <c r="K577" s="145" t="inlineStr">
        <is>
          <t>None</t>
        </is>
      </c>
      <c r="L577" s="145" t="inlineStr">
        <is>
          <t>#000000</t>
        </is>
      </c>
      <c r="M577" s="145" t="inlineStr">
        <is>
          <t>Center</t>
        </is>
      </c>
      <c r="N577" s="145" t="inlineStr">
        <is>
          <t>Center</t>
        </is>
      </c>
      <c r="O577" s="145" t="inlineStr">
        <is>
          <t>No</t>
        </is>
      </c>
      <c r="P577" s="145" t="inlineStr">
        <is>
          <t xml:space="preserve">_ * #,##0_ ;_ * -#,##0_ ;_ * "-"??_ ;_ @_ </t>
        </is>
      </c>
      <c r="Q577" s="145" t="inlineStr">
        <is>
          <t>Text</t>
        </is>
      </c>
      <c r="R577" s="145" t="n"/>
      <c r="S577" s="145" t="n"/>
      <c r="T577" s="145" t="n"/>
      <c r="U577" s="145" t="n"/>
      <c r="V577" s="145" t="n"/>
      <c r="W577" s="145" t="n"/>
      <c r="X577" s="145" t="inlineStr">
        <is>
          <t>Detailed format sample from top 5 used rows</t>
        </is>
      </c>
    </row>
    <row r="578" ht="23.85" customHeight="1" s="79">
      <c r="A578" s="145" t="inlineStr">
        <is>
          <t>WINTER_DEPT</t>
        </is>
      </c>
      <c r="B578" s="145" t="inlineStr">
        <is>
          <t>Top-Row Cell Format</t>
        </is>
      </c>
      <c r="C578" s="145" t="inlineStr">
        <is>
          <t>C3</t>
        </is>
      </c>
      <c r="D578" s="145" t="inlineStr">
        <is>
          <t>WINTER_DEPT!A1:AA31</t>
        </is>
      </c>
      <c r="E578" s="145" t="inlineStr">
        <is>
          <t>Normal</t>
        </is>
      </c>
      <c r="F578" s="145" t="inlineStr">
        <is>
          <t>#FFD966</t>
        </is>
      </c>
      <c r="G578" s="145" t="inlineStr">
        <is>
          <t>Aptos</t>
        </is>
      </c>
      <c r="H578" s="145" t="n">
        <v>8</v>
      </c>
      <c r="I578" s="145" t="inlineStr">
        <is>
          <t>Yes</t>
        </is>
      </c>
      <c r="J578" s="145" t="inlineStr">
        <is>
          <t>No</t>
        </is>
      </c>
      <c r="K578" s="145" t="inlineStr">
        <is>
          <t>None</t>
        </is>
      </c>
      <c r="L578" s="145" t="inlineStr">
        <is>
          <t>#000000</t>
        </is>
      </c>
      <c r="M578" s="145" t="inlineStr">
        <is>
          <t>Center</t>
        </is>
      </c>
      <c r="N578" s="145" t="inlineStr">
        <is>
          <t>Center</t>
        </is>
      </c>
      <c r="O578" s="145" t="inlineStr">
        <is>
          <t>Yes</t>
        </is>
      </c>
      <c r="P578" s="145" t="inlineStr">
        <is>
          <t>General</t>
        </is>
      </c>
      <c r="Q578" s="145" t="inlineStr">
        <is>
          <t>General</t>
        </is>
      </c>
      <c r="R578" s="145" t="n"/>
      <c r="S578" s="145" t="n"/>
      <c r="T578" s="145" t="n"/>
      <c r="U578" s="145" t="n"/>
      <c r="V578" s="145" t="n"/>
      <c r="W578" s="145" t="n"/>
      <c r="X578" s="145" t="inlineStr">
        <is>
          <t>Detailed format sample from top 5 used rows</t>
        </is>
      </c>
    </row>
    <row r="579" ht="23.85" customHeight="1" s="79">
      <c r="A579" s="145" t="inlineStr">
        <is>
          <t>WINTER_DEPT</t>
        </is>
      </c>
      <c r="B579" s="145" t="inlineStr">
        <is>
          <t>Top-Row Cell Format</t>
        </is>
      </c>
      <c r="C579" s="145" t="inlineStr">
        <is>
          <t>C4</t>
        </is>
      </c>
      <c r="D579" s="145" t="inlineStr">
        <is>
          <t>WINTER_DEPT!A1:AA31</t>
        </is>
      </c>
      <c r="E579" s="145" t="inlineStr">
        <is>
          <t>Normal</t>
        </is>
      </c>
      <c r="F579" s="145" t="inlineStr">
        <is>
          <t>#FFD966</t>
        </is>
      </c>
      <c r="G579" s="145" t="inlineStr">
        <is>
          <t>Aptos</t>
        </is>
      </c>
      <c r="H579" s="145" t="n">
        <v>8</v>
      </c>
      <c r="I579" s="145" t="inlineStr">
        <is>
          <t>No</t>
        </is>
      </c>
      <c r="J579" s="145" t="inlineStr">
        <is>
          <t>No</t>
        </is>
      </c>
      <c r="K579" s="145" t="inlineStr">
        <is>
          <t>None</t>
        </is>
      </c>
      <c r="L579" s="145" t="inlineStr">
        <is>
          <t>#000000</t>
        </is>
      </c>
      <c r="M579" s="145" t="inlineStr">
        <is>
          <t>Center</t>
        </is>
      </c>
      <c r="N579" s="145" t="inlineStr">
        <is>
          <t>Center</t>
        </is>
      </c>
      <c r="O579" s="145" t="inlineStr">
        <is>
          <t>No</t>
        </is>
      </c>
      <c r="P579" s="145" t="inlineStr">
        <is>
          <t>General</t>
        </is>
      </c>
      <c r="Q579" s="145" t="inlineStr">
        <is>
          <t>General</t>
        </is>
      </c>
      <c r="R579" s="145" t="n"/>
      <c r="S579" s="145" t="n"/>
      <c r="T579" s="145" t="n"/>
      <c r="U579" s="145" t="n"/>
      <c r="V579" s="145" t="n"/>
      <c r="W579" s="145" t="n"/>
      <c r="X579" s="145" t="inlineStr">
        <is>
          <t>Detailed format sample from top 5 used rows</t>
        </is>
      </c>
    </row>
    <row r="580" ht="23.85" customHeight="1" s="79">
      <c r="A580" s="145" t="inlineStr">
        <is>
          <t>WINTER_DEPT</t>
        </is>
      </c>
      <c r="B580" s="145" t="inlineStr">
        <is>
          <t>Top-Row Cell Format</t>
        </is>
      </c>
      <c r="C580" s="145" t="inlineStr">
        <is>
          <t>C5</t>
        </is>
      </c>
      <c r="D580" s="145" t="inlineStr">
        <is>
          <t>WINTER_DEPT!A1:AA31</t>
        </is>
      </c>
      <c r="E580" s="145" t="inlineStr">
        <is>
          <t>Comma</t>
        </is>
      </c>
      <c r="F580" s="145" t="n"/>
      <c r="G580" s="145" t="inlineStr">
        <is>
          <t>Aptos</t>
        </is>
      </c>
      <c r="H580" s="145" t="n">
        <v>8</v>
      </c>
      <c r="I580" s="145" t="inlineStr">
        <is>
          <t>No</t>
        </is>
      </c>
      <c r="J580" s="145" t="inlineStr">
        <is>
          <t>No</t>
        </is>
      </c>
      <c r="K580" s="145" t="inlineStr">
        <is>
          <t>None</t>
        </is>
      </c>
      <c r="L580" s="145" t="inlineStr">
        <is>
          <t>#000000</t>
        </is>
      </c>
      <c r="M580" s="145" t="inlineStr">
        <is>
          <t>General</t>
        </is>
      </c>
      <c r="N580" s="145" t="inlineStr">
        <is>
          <t>Center</t>
        </is>
      </c>
      <c r="O580" s="145" t="inlineStr">
        <is>
          <t>No</t>
        </is>
      </c>
      <c r="P580" s="145" t="inlineStr">
        <is>
          <t xml:space="preserve">_ * #,##0_ ;_ * -#,##0_ ;_ * "-"??_ ;_ @_ </t>
        </is>
      </c>
      <c r="Q580" s="145" t="inlineStr">
        <is>
          <t>Text</t>
        </is>
      </c>
      <c r="R580" s="145" t="n"/>
      <c r="S580" s="145" t="n"/>
      <c r="T580" s="145" t="n"/>
      <c r="U580" s="145" t="n"/>
      <c r="V580" s="145" t="n"/>
      <c r="W580" s="145" t="n"/>
      <c r="X580" s="145" t="inlineStr">
        <is>
          <t>Detailed format sample from top 5 used rows</t>
        </is>
      </c>
    </row>
    <row r="581" ht="57.45" customHeight="1" s="79">
      <c r="A581" s="145" t="inlineStr">
        <is>
          <t>WINTER_DEPT</t>
        </is>
      </c>
      <c r="B581" s="145" t="inlineStr">
        <is>
          <t>Column Format</t>
        </is>
      </c>
      <c r="C581" s="145" t="inlineStr">
        <is>
          <t>D:D</t>
        </is>
      </c>
      <c r="D581" s="145" t="inlineStr">
        <is>
          <t>WINTER_DEPT!A1:AA31</t>
        </is>
      </c>
      <c r="E581" s="145" t="inlineStr">
        <is>
          <t>Mixed</t>
        </is>
      </c>
      <c r="F581" s="145" t="inlineStr">
        <is>
          <t>Mixed</t>
        </is>
      </c>
      <c r="G581" s="145" t="inlineStr">
        <is>
          <t>Aptos</t>
        </is>
      </c>
      <c r="H581" s="145" t="n">
        <v>8</v>
      </c>
      <c r="I581" s="145" t="inlineStr">
        <is>
          <t>Mixed</t>
        </is>
      </c>
      <c r="J581" s="145" t="inlineStr">
        <is>
          <t>No</t>
        </is>
      </c>
      <c r="K581" s="145" t="inlineStr">
        <is>
          <t>None</t>
        </is>
      </c>
      <c r="L581" s="145" t="inlineStr">
        <is>
          <t>#000000</t>
        </is>
      </c>
      <c r="M581" s="145" t="inlineStr">
        <is>
          <t>Mixed</t>
        </is>
      </c>
      <c r="N581" s="145" t="inlineStr">
        <is>
          <t>Center</t>
        </is>
      </c>
      <c r="O581" s="145" t="inlineStr">
        <is>
          <t>Mixed</t>
        </is>
      </c>
      <c r="P581" s="145" t="n"/>
      <c r="Q581" s="145" t="n"/>
      <c r="R581" s="145" t="inlineStr">
        <is>
          <t>EdgeTop:Continuous/Thin/#000000; EdgeBottom:Continuous/Thin/#000000; EdgeLeft:Continuous/Thin/#000000; EdgeRight:Continuous/Thin/#000000; InsideHorizontal:Continuous/Thin/#000000</t>
        </is>
      </c>
      <c r="S581" s="145" t="n">
        <v>0</v>
      </c>
      <c r="T581" s="145" t="n"/>
      <c r="U581" s="145" t="inlineStr">
        <is>
          <t>Yes</t>
        </is>
      </c>
      <c r="V581" s="145" t="inlineStr">
        <is>
          <t>Hidden column (possible outline/group)</t>
        </is>
      </c>
      <c r="W581" s="145" t="n"/>
      <c r="X581" s="145" t="inlineStr">
        <is>
          <t>Mixed styles within used column</t>
        </is>
      </c>
    </row>
    <row r="582" ht="23.85" customHeight="1" s="79">
      <c r="A582" s="145" t="inlineStr">
        <is>
          <t>WINTER_DEPT</t>
        </is>
      </c>
      <c r="B582" s="145" t="inlineStr">
        <is>
          <t>Top-Row Cell Format</t>
        </is>
      </c>
      <c r="C582" s="145" t="inlineStr">
        <is>
          <t>D1</t>
        </is>
      </c>
      <c r="D582" s="145" t="inlineStr">
        <is>
          <t>WINTER_DEPT!A1:AA31</t>
        </is>
      </c>
      <c r="E582" s="145" t="inlineStr">
        <is>
          <t>Normal</t>
        </is>
      </c>
      <c r="F582" s="145" t="inlineStr">
        <is>
          <t>#C9C9C9</t>
        </is>
      </c>
      <c r="G582" s="145" t="inlineStr">
        <is>
          <t>Aptos</t>
        </is>
      </c>
      <c r="H582" s="145" t="n">
        <v>8</v>
      </c>
      <c r="I582" s="145" t="inlineStr">
        <is>
          <t>Yes</t>
        </is>
      </c>
      <c r="J582" s="145" t="inlineStr">
        <is>
          <t>No</t>
        </is>
      </c>
      <c r="K582" s="145" t="inlineStr">
        <is>
          <t>None</t>
        </is>
      </c>
      <c r="L582" s="145" t="inlineStr">
        <is>
          <t>#000000</t>
        </is>
      </c>
      <c r="M582" s="145" t="inlineStr">
        <is>
          <t>Center</t>
        </is>
      </c>
      <c r="N582" s="145" t="inlineStr">
        <is>
          <t>Center</t>
        </is>
      </c>
      <c r="O582" s="145" t="inlineStr">
        <is>
          <t>No</t>
        </is>
      </c>
      <c r="P582" s="145" t="inlineStr">
        <is>
          <t>General</t>
        </is>
      </c>
      <c r="Q582" s="145" t="inlineStr">
        <is>
          <t>General</t>
        </is>
      </c>
      <c r="R582" s="145" t="n"/>
      <c r="S582" s="145" t="n"/>
      <c r="T582" s="145" t="n"/>
      <c r="U582" s="145" t="n"/>
      <c r="V582" s="145" t="n"/>
      <c r="W582" s="145" t="n"/>
      <c r="X582" s="145" t="inlineStr">
        <is>
          <t>Detailed format sample from top 5 used rows</t>
        </is>
      </c>
    </row>
    <row r="583" ht="23.85" customHeight="1" s="79">
      <c r="A583" s="145" t="inlineStr">
        <is>
          <t>WINTER_DEPT</t>
        </is>
      </c>
      <c r="B583" s="145" t="inlineStr">
        <is>
          <t>Top-Row Cell Format</t>
        </is>
      </c>
      <c r="C583" s="145" t="inlineStr">
        <is>
          <t>D2</t>
        </is>
      </c>
      <c r="D583" s="145" t="inlineStr">
        <is>
          <t>WINTER_DEPT!A1:AA31</t>
        </is>
      </c>
      <c r="E583" s="145" t="inlineStr">
        <is>
          <t>Comma</t>
        </is>
      </c>
      <c r="F583" s="145" t="inlineStr">
        <is>
          <t>#B4C6E7</t>
        </is>
      </c>
      <c r="G583" s="145" t="inlineStr">
        <is>
          <t>Aptos</t>
        </is>
      </c>
      <c r="H583" s="145" t="n">
        <v>8</v>
      </c>
      <c r="I583" s="145" t="inlineStr">
        <is>
          <t>Yes</t>
        </is>
      </c>
      <c r="J583" s="145" t="inlineStr">
        <is>
          <t>No</t>
        </is>
      </c>
      <c r="K583" s="145" t="inlineStr">
        <is>
          <t>None</t>
        </is>
      </c>
      <c r="L583" s="145" t="inlineStr">
        <is>
          <t>#000000</t>
        </is>
      </c>
      <c r="M583" s="145" t="inlineStr">
        <is>
          <t>Center</t>
        </is>
      </c>
      <c r="N583" s="145" t="inlineStr">
        <is>
          <t>Center</t>
        </is>
      </c>
      <c r="O583" s="145" t="inlineStr">
        <is>
          <t>No</t>
        </is>
      </c>
      <c r="P583" s="145" t="inlineStr">
        <is>
          <t xml:space="preserve">_ * #,##0_ ;_ * -#,##0_ ;_ * "-"??_ ;_ @_ </t>
        </is>
      </c>
      <c r="Q583" s="145" t="inlineStr">
        <is>
          <t>Text</t>
        </is>
      </c>
      <c r="R583" s="145" t="n"/>
      <c r="S583" s="145" t="n"/>
      <c r="T583" s="145" t="n"/>
      <c r="U583" s="145" t="n"/>
      <c r="V583" s="145" t="n"/>
      <c r="W583" s="145" t="n"/>
      <c r="X583" s="145" t="inlineStr">
        <is>
          <t>Detailed format sample from top 5 used rows</t>
        </is>
      </c>
    </row>
    <row r="584" ht="23.85" customHeight="1" s="79">
      <c r="A584" s="145" t="inlineStr">
        <is>
          <t>WINTER_DEPT</t>
        </is>
      </c>
      <c r="B584" s="145" t="inlineStr">
        <is>
          <t>Top-Row Cell Format</t>
        </is>
      </c>
      <c r="C584" s="145" t="inlineStr">
        <is>
          <t>D3</t>
        </is>
      </c>
      <c r="D584" s="145" t="inlineStr">
        <is>
          <t>WINTER_DEPT!A1:AA31</t>
        </is>
      </c>
      <c r="E584" s="145" t="inlineStr">
        <is>
          <t>Normal</t>
        </is>
      </c>
      <c r="F584" s="145" t="inlineStr">
        <is>
          <t>#FFD966</t>
        </is>
      </c>
      <c r="G584" s="145" t="inlineStr">
        <is>
          <t>Aptos</t>
        </is>
      </c>
      <c r="H584" s="145" t="n">
        <v>8</v>
      </c>
      <c r="I584" s="145" t="inlineStr">
        <is>
          <t>Yes</t>
        </is>
      </c>
      <c r="J584" s="145" t="inlineStr">
        <is>
          <t>No</t>
        </is>
      </c>
      <c r="K584" s="145" t="inlineStr">
        <is>
          <t>None</t>
        </is>
      </c>
      <c r="L584" s="145" t="inlineStr">
        <is>
          <t>#000000</t>
        </is>
      </c>
      <c r="M584" s="145" t="inlineStr">
        <is>
          <t>Center</t>
        </is>
      </c>
      <c r="N584" s="145" t="inlineStr">
        <is>
          <t>Center</t>
        </is>
      </c>
      <c r="O584" s="145" t="inlineStr">
        <is>
          <t>Yes</t>
        </is>
      </c>
      <c r="P584" s="145" t="inlineStr">
        <is>
          <t>General</t>
        </is>
      </c>
      <c r="Q584" s="145" t="inlineStr">
        <is>
          <t>General</t>
        </is>
      </c>
      <c r="R584" s="145" t="n"/>
      <c r="S584" s="145" t="n"/>
      <c r="T584" s="145" t="n"/>
      <c r="U584" s="145" t="n"/>
      <c r="V584" s="145" t="n"/>
      <c r="W584" s="145" t="n"/>
      <c r="X584" s="145" t="inlineStr">
        <is>
          <t>Detailed format sample from top 5 used rows</t>
        </is>
      </c>
    </row>
    <row r="585" ht="23.85" customHeight="1" s="79">
      <c r="A585" s="145" t="inlineStr">
        <is>
          <t>WINTER_DEPT</t>
        </is>
      </c>
      <c r="B585" s="145" t="inlineStr">
        <is>
          <t>Top-Row Cell Format</t>
        </is>
      </c>
      <c r="C585" s="145" t="inlineStr">
        <is>
          <t>D4</t>
        </is>
      </c>
      <c r="D585" s="145" t="inlineStr">
        <is>
          <t>WINTER_DEPT!A1:AA31</t>
        </is>
      </c>
      <c r="E585" s="145" t="inlineStr">
        <is>
          <t>Normal</t>
        </is>
      </c>
      <c r="F585" s="145" t="inlineStr">
        <is>
          <t>#FFD966</t>
        </is>
      </c>
      <c r="G585" s="145" t="inlineStr">
        <is>
          <t>Aptos</t>
        </is>
      </c>
      <c r="H585" s="145" t="n">
        <v>8</v>
      </c>
      <c r="I585" s="145" t="inlineStr">
        <is>
          <t>No</t>
        </is>
      </c>
      <c r="J585" s="145" t="inlineStr">
        <is>
          <t>No</t>
        </is>
      </c>
      <c r="K585" s="145" t="inlineStr">
        <is>
          <t>None</t>
        </is>
      </c>
      <c r="L585" s="145" t="inlineStr">
        <is>
          <t>#000000</t>
        </is>
      </c>
      <c r="M585" s="145" t="inlineStr">
        <is>
          <t>Center</t>
        </is>
      </c>
      <c r="N585" s="145" t="inlineStr">
        <is>
          <t>Center</t>
        </is>
      </c>
      <c r="O585" s="145" t="inlineStr">
        <is>
          <t>No</t>
        </is>
      </c>
      <c r="P585" s="145" t="inlineStr">
        <is>
          <t>General</t>
        </is>
      </c>
      <c r="Q585" s="145" t="inlineStr">
        <is>
          <t>General</t>
        </is>
      </c>
      <c r="R585" s="145" t="n"/>
      <c r="S585" s="145" t="n"/>
      <c r="T585" s="145" t="n"/>
      <c r="U585" s="145" t="n"/>
      <c r="V585" s="145" t="n"/>
      <c r="W585" s="145" t="n"/>
      <c r="X585" s="145" t="inlineStr">
        <is>
          <t>Detailed format sample from top 5 used rows</t>
        </is>
      </c>
    </row>
    <row r="586" ht="23.85" customHeight="1" s="79">
      <c r="A586" s="145" t="inlineStr">
        <is>
          <t>WINTER_DEPT</t>
        </is>
      </c>
      <c r="B586" s="145" t="inlineStr">
        <is>
          <t>Top-Row Cell Format</t>
        </is>
      </c>
      <c r="C586" s="145" t="inlineStr">
        <is>
          <t>D5</t>
        </is>
      </c>
      <c r="D586" s="145" t="inlineStr">
        <is>
          <t>WINTER_DEPT!A1:AA31</t>
        </is>
      </c>
      <c r="E586" s="145" t="inlineStr">
        <is>
          <t>Comma</t>
        </is>
      </c>
      <c r="F586" s="145" t="n"/>
      <c r="G586" s="145" t="inlineStr">
        <is>
          <t>Aptos</t>
        </is>
      </c>
      <c r="H586" s="145" t="n">
        <v>8</v>
      </c>
      <c r="I586" s="145" t="inlineStr">
        <is>
          <t>No</t>
        </is>
      </c>
      <c r="J586" s="145" t="inlineStr">
        <is>
          <t>No</t>
        </is>
      </c>
      <c r="K586" s="145" t="inlineStr">
        <is>
          <t>None</t>
        </is>
      </c>
      <c r="L586" s="145" t="inlineStr">
        <is>
          <t>#000000</t>
        </is>
      </c>
      <c r="M586" s="145" t="inlineStr">
        <is>
          <t>General</t>
        </is>
      </c>
      <c r="N586" s="145" t="inlineStr">
        <is>
          <t>Center</t>
        </is>
      </c>
      <c r="O586" s="145" t="inlineStr">
        <is>
          <t>No</t>
        </is>
      </c>
      <c r="P586" s="145" t="inlineStr">
        <is>
          <t xml:space="preserve">_ * #,##0_ ;_ * -#,##0_ ;_ * "-"??_ ;_ @_ </t>
        </is>
      </c>
      <c r="Q586" s="145" t="inlineStr">
        <is>
          <t>Text</t>
        </is>
      </c>
      <c r="R586" s="145" t="n"/>
      <c r="S586" s="145" t="n"/>
      <c r="T586" s="145" t="n"/>
      <c r="U586" s="145" t="n"/>
      <c r="V586" s="145" t="n"/>
      <c r="W586" s="145" t="n"/>
      <c r="X586" s="145" t="inlineStr">
        <is>
          <t>Detailed format sample from top 5 used rows</t>
        </is>
      </c>
    </row>
    <row r="587" ht="57.45" customHeight="1" s="79">
      <c r="A587" s="145" t="inlineStr">
        <is>
          <t>WINTER_DEPT</t>
        </is>
      </c>
      <c r="B587" s="145" t="inlineStr">
        <is>
          <t>Column Format</t>
        </is>
      </c>
      <c r="C587" s="145" t="inlineStr">
        <is>
          <t>E:E</t>
        </is>
      </c>
      <c r="D587" s="145" t="inlineStr">
        <is>
          <t>WINTER_DEPT!A1:AA31</t>
        </is>
      </c>
      <c r="E587" s="145" t="inlineStr">
        <is>
          <t>Mixed</t>
        </is>
      </c>
      <c r="F587" s="145" t="inlineStr">
        <is>
          <t>Mixed</t>
        </is>
      </c>
      <c r="G587" s="145" t="inlineStr">
        <is>
          <t>Aptos</t>
        </is>
      </c>
      <c r="H587" s="145" t="n">
        <v>8</v>
      </c>
      <c r="I587" s="145" t="inlineStr">
        <is>
          <t>Mixed</t>
        </is>
      </c>
      <c r="J587" s="145" t="inlineStr">
        <is>
          <t>No</t>
        </is>
      </c>
      <c r="K587" s="145" t="inlineStr">
        <is>
          <t>None</t>
        </is>
      </c>
      <c r="L587" s="145" t="inlineStr">
        <is>
          <t>#000000</t>
        </is>
      </c>
      <c r="M587" s="145" t="inlineStr">
        <is>
          <t>Mixed</t>
        </is>
      </c>
      <c r="N587" s="145" t="inlineStr">
        <is>
          <t>Center</t>
        </is>
      </c>
      <c r="O587" s="145" t="inlineStr">
        <is>
          <t>Mixed</t>
        </is>
      </c>
      <c r="P587" s="145" t="n"/>
      <c r="Q587" s="145" t="n"/>
      <c r="R587" s="145" t="inlineStr">
        <is>
          <t>EdgeTop:Continuous/Thin/#000000; EdgeBottom:Continuous/Thin/#000000; EdgeLeft:Continuous/Thin/#000000; EdgeRight:Continuous/Thin/#000000; InsideHorizontal:Continuous/Thin/#000000</t>
        </is>
      </c>
      <c r="S587" s="145" t="n">
        <v>0</v>
      </c>
      <c r="T587" s="145" t="n"/>
      <c r="U587" s="145" t="inlineStr">
        <is>
          <t>Yes</t>
        </is>
      </c>
      <c r="V587" s="145" t="inlineStr">
        <is>
          <t>Hidden column (possible outline/group)</t>
        </is>
      </c>
      <c r="W587" s="145" t="n"/>
      <c r="X587" s="145" t="inlineStr">
        <is>
          <t>Mixed styles within used column</t>
        </is>
      </c>
    </row>
    <row r="588" ht="23.85" customHeight="1" s="79">
      <c r="A588" s="145" t="inlineStr">
        <is>
          <t>WINTER_DEPT</t>
        </is>
      </c>
      <c r="B588" s="145" t="inlineStr">
        <is>
          <t>Top-Row Cell Format</t>
        </is>
      </c>
      <c r="C588" s="145" t="inlineStr">
        <is>
          <t>E1</t>
        </is>
      </c>
      <c r="D588" s="145" t="inlineStr">
        <is>
          <t>WINTER_DEPT!A1:AA31</t>
        </is>
      </c>
      <c r="E588" s="145" t="inlineStr">
        <is>
          <t>Normal</t>
        </is>
      </c>
      <c r="F588" s="145" t="inlineStr">
        <is>
          <t>#C9C9C9</t>
        </is>
      </c>
      <c r="G588" s="145" t="inlineStr">
        <is>
          <t>Aptos</t>
        </is>
      </c>
      <c r="H588" s="145" t="n">
        <v>8</v>
      </c>
      <c r="I588" s="145" t="inlineStr">
        <is>
          <t>Yes</t>
        </is>
      </c>
      <c r="J588" s="145" t="inlineStr">
        <is>
          <t>No</t>
        </is>
      </c>
      <c r="K588" s="145" t="inlineStr">
        <is>
          <t>None</t>
        </is>
      </c>
      <c r="L588" s="145" t="inlineStr">
        <is>
          <t>#000000</t>
        </is>
      </c>
      <c r="M588" s="145" t="inlineStr">
        <is>
          <t>Center</t>
        </is>
      </c>
      <c r="N588" s="145" t="inlineStr">
        <is>
          <t>Center</t>
        </is>
      </c>
      <c r="O588" s="145" t="inlineStr">
        <is>
          <t>No</t>
        </is>
      </c>
      <c r="P588" s="145" t="inlineStr">
        <is>
          <t>General</t>
        </is>
      </c>
      <c r="Q588" s="145" t="inlineStr">
        <is>
          <t>General</t>
        </is>
      </c>
      <c r="R588" s="145" t="n"/>
      <c r="S588" s="145" t="n"/>
      <c r="T588" s="145" t="n"/>
      <c r="U588" s="145" t="n"/>
      <c r="V588" s="145" t="n"/>
      <c r="W588" s="145" t="n"/>
      <c r="X588" s="145" t="inlineStr">
        <is>
          <t>Detailed format sample from top 5 used rows</t>
        </is>
      </c>
    </row>
    <row r="589" ht="23.85" customHeight="1" s="79">
      <c r="A589" s="145" t="inlineStr">
        <is>
          <t>WINTER_DEPT</t>
        </is>
      </c>
      <c r="B589" s="145" t="inlineStr">
        <is>
          <t>Top-Row Cell Format</t>
        </is>
      </c>
      <c r="C589" s="145" t="inlineStr">
        <is>
          <t>E2</t>
        </is>
      </c>
      <c r="D589" s="145" t="inlineStr">
        <is>
          <t>WINTER_DEPT!A1:AA31</t>
        </is>
      </c>
      <c r="E589" s="145" t="inlineStr">
        <is>
          <t>Comma</t>
        </is>
      </c>
      <c r="F589" s="145" t="inlineStr">
        <is>
          <t>#B4C6E7</t>
        </is>
      </c>
      <c r="G589" s="145" t="inlineStr">
        <is>
          <t>Aptos</t>
        </is>
      </c>
      <c r="H589" s="145" t="n">
        <v>8</v>
      </c>
      <c r="I589" s="145" t="inlineStr">
        <is>
          <t>Yes</t>
        </is>
      </c>
      <c r="J589" s="145" t="inlineStr">
        <is>
          <t>No</t>
        </is>
      </c>
      <c r="K589" s="145" t="inlineStr">
        <is>
          <t>None</t>
        </is>
      </c>
      <c r="L589" s="145" t="inlineStr">
        <is>
          <t>#000000</t>
        </is>
      </c>
      <c r="M589" s="145" t="inlineStr">
        <is>
          <t>Center</t>
        </is>
      </c>
      <c r="N589" s="145" t="inlineStr">
        <is>
          <t>Center</t>
        </is>
      </c>
      <c r="O589" s="145" t="inlineStr">
        <is>
          <t>No</t>
        </is>
      </c>
      <c r="P589" s="145" t="inlineStr">
        <is>
          <t xml:space="preserve">_ * #,##0_ ;_ * -#,##0_ ;_ * "-"??_ ;_ @_ </t>
        </is>
      </c>
      <c r="Q589" s="145" t="inlineStr">
        <is>
          <t>Text</t>
        </is>
      </c>
      <c r="R589" s="145" t="n"/>
      <c r="S589" s="145" t="n"/>
      <c r="T589" s="145" t="n"/>
      <c r="U589" s="145" t="n"/>
      <c r="V589" s="145" t="n"/>
      <c r="W589" s="145" t="n"/>
      <c r="X589" s="145" t="inlineStr">
        <is>
          <t>Detailed format sample from top 5 used rows</t>
        </is>
      </c>
    </row>
    <row r="590" ht="23.85" customHeight="1" s="79">
      <c r="A590" s="145" t="inlineStr">
        <is>
          <t>WINTER_DEPT</t>
        </is>
      </c>
      <c r="B590" s="145" t="inlineStr">
        <is>
          <t>Top-Row Cell Format</t>
        </is>
      </c>
      <c r="C590" s="145" t="inlineStr">
        <is>
          <t>E3</t>
        </is>
      </c>
      <c r="D590" s="145" t="inlineStr">
        <is>
          <t>WINTER_DEPT!A1:AA31</t>
        </is>
      </c>
      <c r="E590" s="145" t="inlineStr">
        <is>
          <t>Normal</t>
        </is>
      </c>
      <c r="F590" s="145" t="inlineStr">
        <is>
          <t>#FFD966</t>
        </is>
      </c>
      <c r="G590" s="145" t="inlineStr">
        <is>
          <t>Aptos</t>
        </is>
      </c>
      <c r="H590" s="145" t="n">
        <v>8</v>
      </c>
      <c r="I590" s="145" t="inlineStr">
        <is>
          <t>Yes</t>
        </is>
      </c>
      <c r="J590" s="145" t="inlineStr">
        <is>
          <t>No</t>
        </is>
      </c>
      <c r="K590" s="145" t="inlineStr">
        <is>
          <t>None</t>
        </is>
      </c>
      <c r="L590" s="145" t="inlineStr">
        <is>
          <t>#000000</t>
        </is>
      </c>
      <c r="M590" s="145" t="inlineStr">
        <is>
          <t>Center</t>
        </is>
      </c>
      <c r="N590" s="145" t="inlineStr">
        <is>
          <t>Center</t>
        </is>
      </c>
      <c r="O590" s="145" t="inlineStr">
        <is>
          <t>Yes</t>
        </is>
      </c>
      <c r="P590" s="145" t="inlineStr">
        <is>
          <t>General</t>
        </is>
      </c>
      <c r="Q590" s="145" t="inlineStr">
        <is>
          <t>General</t>
        </is>
      </c>
      <c r="R590" s="145" t="n"/>
      <c r="S590" s="145" t="n"/>
      <c r="T590" s="145" t="n"/>
      <c r="U590" s="145" t="n"/>
      <c r="V590" s="145" t="n"/>
      <c r="W590" s="145" t="n"/>
      <c r="X590" s="145" t="inlineStr">
        <is>
          <t>Detailed format sample from top 5 used rows</t>
        </is>
      </c>
    </row>
    <row r="591" ht="23.85" customHeight="1" s="79">
      <c r="A591" s="145" t="inlineStr">
        <is>
          <t>WINTER_DEPT</t>
        </is>
      </c>
      <c r="B591" s="145" t="inlineStr">
        <is>
          <t>Top-Row Cell Format</t>
        </is>
      </c>
      <c r="C591" s="145" t="inlineStr">
        <is>
          <t>E4</t>
        </is>
      </c>
      <c r="D591" s="145" t="inlineStr">
        <is>
          <t>WINTER_DEPT!A1:AA31</t>
        </is>
      </c>
      <c r="E591" s="145" t="inlineStr">
        <is>
          <t>Normal</t>
        </is>
      </c>
      <c r="F591" s="145" t="inlineStr">
        <is>
          <t>#FFD966</t>
        </is>
      </c>
      <c r="G591" s="145" t="inlineStr">
        <is>
          <t>Aptos</t>
        </is>
      </c>
      <c r="H591" s="145" t="n">
        <v>8</v>
      </c>
      <c r="I591" s="145" t="inlineStr">
        <is>
          <t>No</t>
        </is>
      </c>
      <c r="J591" s="145" t="inlineStr">
        <is>
          <t>No</t>
        </is>
      </c>
      <c r="K591" s="145" t="inlineStr">
        <is>
          <t>None</t>
        </is>
      </c>
      <c r="L591" s="145" t="inlineStr">
        <is>
          <t>#000000</t>
        </is>
      </c>
      <c r="M591" s="145" t="inlineStr">
        <is>
          <t>Center</t>
        </is>
      </c>
      <c r="N591" s="145" t="inlineStr">
        <is>
          <t>Center</t>
        </is>
      </c>
      <c r="O591" s="145" t="inlineStr">
        <is>
          <t>No</t>
        </is>
      </c>
      <c r="P591" s="145" t="inlineStr">
        <is>
          <t>General</t>
        </is>
      </c>
      <c r="Q591" s="145" t="inlineStr">
        <is>
          <t>General</t>
        </is>
      </c>
      <c r="R591" s="145" t="n"/>
      <c r="S591" s="145" t="n"/>
      <c r="T591" s="145" t="n"/>
      <c r="U591" s="145" t="n"/>
      <c r="V591" s="145" t="n"/>
      <c r="W591" s="145" t="n"/>
      <c r="X591" s="145" t="inlineStr">
        <is>
          <t>Detailed format sample from top 5 used rows</t>
        </is>
      </c>
    </row>
    <row r="592" ht="23.85" customHeight="1" s="79">
      <c r="A592" s="145" t="inlineStr">
        <is>
          <t>WINTER_DEPT</t>
        </is>
      </c>
      <c r="B592" s="145" t="inlineStr">
        <is>
          <t>Top-Row Cell Format</t>
        </is>
      </c>
      <c r="C592" s="145" t="inlineStr">
        <is>
          <t>E5</t>
        </is>
      </c>
      <c r="D592" s="145" t="inlineStr">
        <is>
          <t>WINTER_DEPT!A1:AA31</t>
        </is>
      </c>
      <c r="E592" s="145" t="inlineStr">
        <is>
          <t>Comma</t>
        </is>
      </c>
      <c r="F592" s="145" t="n"/>
      <c r="G592" s="145" t="inlineStr">
        <is>
          <t>Aptos</t>
        </is>
      </c>
      <c r="H592" s="145" t="n">
        <v>8</v>
      </c>
      <c r="I592" s="145" t="inlineStr">
        <is>
          <t>No</t>
        </is>
      </c>
      <c r="J592" s="145" t="inlineStr">
        <is>
          <t>No</t>
        </is>
      </c>
      <c r="K592" s="145" t="inlineStr">
        <is>
          <t>None</t>
        </is>
      </c>
      <c r="L592" s="145" t="inlineStr">
        <is>
          <t>#000000</t>
        </is>
      </c>
      <c r="M592" s="145" t="inlineStr">
        <is>
          <t>General</t>
        </is>
      </c>
      <c r="N592" s="145" t="inlineStr">
        <is>
          <t>Center</t>
        </is>
      </c>
      <c r="O592" s="145" t="inlineStr">
        <is>
          <t>No</t>
        </is>
      </c>
      <c r="P592" s="145" t="inlineStr">
        <is>
          <t xml:space="preserve">_ * #,##0_ ;_ * -#,##0_ ;_ * "-"??_ ;_ @_ </t>
        </is>
      </c>
      <c r="Q592" s="145" t="inlineStr">
        <is>
          <t>Text</t>
        </is>
      </c>
      <c r="R592" s="145" t="n"/>
      <c r="S592" s="145" t="n"/>
      <c r="T592" s="145" t="n"/>
      <c r="U592" s="145" t="n"/>
      <c r="V592" s="145" t="n"/>
      <c r="W592" s="145" t="n"/>
      <c r="X592" s="145" t="inlineStr">
        <is>
          <t>Detailed format sample from top 5 used rows</t>
        </is>
      </c>
    </row>
    <row r="593" ht="35.05" customHeight="1" s="79">
      <c r="A593" s="145" t="inlineStr">
        <is>
          <t>WINTER_DEPT</t>
        </is>
      </c>
      <c r="B593" s="145" t="inlineStr">
        <is>
          <t>Column Format</t>
        </is>
      </c>
      <c r="C593" s="145" t="inlineStr">
        <is>
          <t>F:F</t>
        </is>
      </c>
      <c r="D593" s="145" t="inlineStr">
        <is>
          <t>WINTER_DEPT!A1:AA31</t>
        </is>
      </c>
      <c r="E593" s="145" t="inlineStr">
        <is>
          <t>Normal</t>
        </is>
      </c>
      <c r="F593" s="145" t="inlineStr">
        <is>
          <t>Mixed</t>
        </is>
      </c>
      <c r="G593" s="145" t="inlineStr">
        <is>
          <t>Aptos</t>
        </is>
      </c>
      <c r="H593" s="145" t="n">
        <v>8</v>
      </c>
      <c r="I593" s="145" t="inlineStr">
        <is>
          <t>Mixed</t>
        </is>
      </c>
      <c r="J593" s="145" t="inlineStr">
        <is>
          <t>No</t>
        </is>
      </c>
      <c r="K593" s="145" t="inlineStr">
        <is>
          <t>None</t>
        </is>
      </c>
      <c r="L593" s="145" t="inlineStr">
        <is>
          <t>#000000</t>
        </is>
      </c>
      <c r="M593" s="145" t="inlineStr">
        <is>
          <t>General</t>
        </is>
      </c>
      <c r="N593" s="145" t="inlineStr">
        <is>
          <t>Center</t>
        </is>
      </c>
      <c r="O593" s="145" t="inlineStr">
        <is>
          <t>No</t>
        </is>
      </c>
      <c r="P593" s="145" t="n"/>
      <c r="Q593" s="145" t="n"/>
      <c r="R593" s="145" t="inlineStr">
        <is>
          <t>EdgeBottom:Continuous/Thin/#000000; EdgeLeft:Continuous/Thin/#000000; EdgeRight:Continuous/Thin/#000000</t>
        </is>
      </c>
      <c r="S593" s="145" t="n">
        <v>70.9253731343284</v>
      </c>
      <c r="T593" s="145" t="n"/>
      <c r="U593" s="145" t="inlineStr">
        <is>
          <t>No</t>
        </is>
      </c>
      <c r="V593" s="145" t="inlineStr">
        <is>
          <t>Visible</t>
        </is>
      </c>
      <c r="W593" s="145" t="n"/>
      <c r="X593" s="145" t="inlineStr">
        <is>
          <t>Mixed styles within used column</t>
        </is>
      </c>
    </row>
    <row r="594" ht="23.85" customHeight="1" s="79">
      <c r="A594" s="145" t="inlineStr">
        <is>
          <t>WINTER_DEPT</t>
        </is>
      </c>
      <c r="B594" s="145" t="inlineStr">
        <is>
          <t>Top-Row Cell Format</t>
        </is>
      </c>
      <c r="C594" s="145" t="inlineStr">
        <is>
          <t>F1</t>
        </is>
      </c>
      <c r="D594" s="145" t="inlineStr">
        <is>
          <t>WINTER_DEPT!A1:AA31</t>
        </is>
      </c>
      <c r="E594" s="145" t="inlineStr">
        <is>
          <t>Normal</t>
        </is>
      </c>
      <c r="F594" s="145" t="n"/>
      <c r="G594" s="145" t="inlineStr">
        <is>
          <t>Aptos</t>
        </is>
      </c>
      <c r="H594" s="145" t="n">
        <v>8</v>
      </c>
      <c r="I594" s="145" t="inlineStr">
        <is>
          <t>No</t>
        </is>
      </c>
      <c r="J594" s="145" t="inlineStr">
        <is>
          <t>No</t>
        </is>
      </c>
      <c r="K594" s="145" t="inlineStr">
        <is>
          <t>None</t>
        </is>
      </c>
      <c r="L594" s="145" t="inlineStr">
        <is>
          <t>#000000</t>
        </is>
      </c>
      <c r="M594" s="145" t="inlineStr">
        <is>
          <t>General</t>
        </is>
      </c>
      <c r="N594" s="145" t="inlineStr">
        <is>
          <t>Center</t>
        </is>
      </c>
      <c r="O594" s="145" t="inlineStr">
        <is>
          <t>No</t>
        </is>
      </c>
      <c r="P594" s="145" t="inlineStr">
        <is>
          <t>General</t>
        </is>
      </c>
      <c r="Q594" s="145" t="inlineStr">
        <is>
          <t>General</t>
        </is>
      </c>
      <c r="R594" s="145" t="n"/>
      <c r="S594" s="145" t="n"/>
      <c r="T594" s="145" t="n"/>
      <c r="U594" s="145" t="n"/>
      <c r="V594" s="145" t="n"/>
      <c r="W594" s="145" t="n"/>
      <c r="X594" s="145" t="inlineStr">
        <is>
          <t>Detailed format sample from top 5 used rows</t>
        </is>
      </c>
    </row>
    <row r="595" ht="23.85" customHeight="1" s="79">
      <c r="A595" s="145" t="inlineStr">
        <is>
          <t>WINTER_DEPT</t>
        </is>
      </c>
      <c r="B595" s="145" t="inlineStr">
        <is>
          <t>Top-Row Cell Format</t>
        </is>
      </c>
      <c r="C595" s="145" t="inlineStr">
        <is>
          <t>F2</t>
        </is>
      </c>
      <c r="D595" s="145" t="inlineStr">
        <is>
          <t>WINTER_DEPT!A1:AA31</t>
        </is>
      </c>
      <c r="E595" s="145" t="inlineStr">
        <is>
          <t>Normal</t>
        </is>
      </c>
      <c r="F595" s="145" t="n"/>
      <c r="G595" s="145" t="inlineStr">
        <is>
          <t>Aptos</t>
        </is>
      </c>
      <c r="H595" s="145" t="n">
        <v>8</v>
      </c>
      <c r="I595" s="145" t="inlineStr">
        <is>
          <t>No</t>
        </is>
      </c>
      <c r="J595" s="145" t="inlineStr">
        <is>
          <t>No</t>
        </is>
      </c>
      <c r="K595" s="145" t="inlineStr">
        <is>
          <t>None</t>
        </is>
      </c>
      <c r="L595" s="145" t="inlineStr">
        <is>
          <t>#000000</t>
        </is>
      </c>
      <c r="M595" s="145" t="inlineStr">
        <is>
          <t>General</t>
        </is>
      </c>
      <c r="N595" s="145" t="inlineStr">
        <is>
          <t>Center</t>
        </is>
      </c>
      <c r="O595" s="145" t="inlineStr">
        <is>
          <t>No</t>
        </is>
      </c>
      <c r="P595" s="145" t="inlineStr">
        <is>
          <t>General</t>
        </is>
      </c>
      <c r="Q595" s="145" t="inlineStr">
        <is>
          <t>General</t>
        </is>
      </c>
      <c r="R595" s="145" t="n"/>
      <c r="S595" s="145" t="n"/>
      <c r="T595" s="145" t="n"/>
      <c r="U595" s="145" t="n"/>
      <c r="V595" s="145" t="n"/>
      <c r="W595" s="145" t="n"/>
      <c r="X595" s="145" t="inlineStr">
        <is>
          <t>Detailed format sample from top 5 used rows</t>
        </is>
      </c>
    </row>
    <row r="596" ht="23.85" customHeight="1" s="79">
      <c r="A596" s="145" t="inlineStr">
        <is>
          <t>WINTER_DEPT</t>
        </is>
      </c>
      <c r="B596" s="145" t="inlineStr">
        <is>
          <t>Top-Row Cell Format</t>
        </is>
      </c>
      <c r="C596" s="145" t="inlineStr">
        <is>
          <t>F3</t>
        </is>
      </c>
      <c r="D596" s="145" t="inlineStr">
        <is>
          <t>WINTER_DEPT!A1:AA31</t>
        </is>
      </c>
      <c r="E596" s="145" t="inlineStr">
        <is>
          <t>Normal</t>
        </is>
      </c>
      <c r="F596" s="145" t="inlineStr">
        <is>
          <t>#F8CBAD</t>
        </is>
      </c>
      <c r="G596" s="145" t="inlineStr">
        <is>
          <t>Aptos</t>
        </is>
      </c>
      <c r="H596" s="145" t="n">
        <v>8</v>
      </c>
      <c r="I596" s="145" t="inlineStr">
        <is>
          <t>Yes</t>
        </is>
      </c>
      <c r="J596" s="145" t="inlineStr">
        <is>
          <t>No</t>
        </is>
      </c>
      <c r="K596" s="145" t="inlineStr">
        <is>
          <t>None</t>
        </is>
      </c>
      <c r="L596" s="145" t="inlineStr">
        <is>
          <t>#000000</t>
        </is>
      </c>
      <c r="M596" s="145" t="inlineStr">
        <is>
          <t>General</t>
        </is>
      </c>
      <c r="N596" s="145" t="inlineStr">
        <is>
          <t>Center</t>
        </is>
      </c>
      <c r="O596" s="145" t="inlineStr">
        <is>
          <t>No</t>
        </is>
      </c>
      <c r="P596" s="145" t="inlineStr">
        <is>
          <t>General</t>
        </is>
      </c>
      <c r="Q596" s="145" t="inlineStr">
        <is>
          <t>General</t>
        </is>
      </c>
      <c r="R596" s="145" t="n"/>
      <c r="S596" s="145" t="n"/>
      <c r="T596" s="145" t="n"/>
      <c r="U596" s="145" t="n"/>
      <c r="V596" s="145" t="n"/>
      <c r="W596" s="145" t="n"/>
      <c r="X596" s="145" t="inlineStr">
        <is>
          <t>Detailed format sample from top 5 used rows</t>
        </is>
      </c>
    </row>
    <row r="597" ht="23.85" customHeight="1" s="79">
      <c r="A597" s="145" t="inlineStr">
        <is>
          <t>WINTER_DEPT</t>
        </is>
      </c>
      <c r="B597" s="145" t="inlineStr">
        <is>
          <t>Top-Row Cell Format</t>
        </is>
      </c>
      <c r="C597" s="145" t="inlineStr">
        <is>
          <t>F4</t>
        </is>
      </c>
      <c r="D597" s="145" t="inlineStr">
        <is>
          <t>WINTER_DEPT!A1:AA31</t>
        </is>
      </c>
      <c r="E597" s="145" t="inlineStr">
        <is>
          <t>Normal</t>
        </is>
      </c>
      <c r="F597" s="145" t="inlineStr">
        <is>
          <t>#F8CBAD</t>
        </is>
      </c>
      <c r="G597" s="145" t="inlineStr">
        <is>
          <t>Aptos</t>
        </is>
      </c>
      <c r="H597" s="145" t="n">
        <v>8</v>
      </c>
      <c r="I597" s="145" t="inlineStr">
        <is>
          <t>No</t>
        </is>
      </c>
      <c r="J597" s="145" t="inlineStr">
        <is>
          <t>No</t>
        </is>
      </c>
      <c r="K597" s="145" t="inlineStr">
        <is>
          <t>None</t>
        </is>
      </c>
      <c r="L597" s="145" t="inlineStr">
        <is>
          <t>#000000</t>
        </is>
      </c>
      <c r="M597" s="145" t="inlineStr">
        <is>
          <t>General</t>
        </is>
      </c>
      <c r="N597" s="145" t="inlineStr">
        <is>
          <t>Center</t>
        </is>
      </c>
      <c r="O597" s="145" t="inlineStr">
        <is>
          <t>No</t>
        </is>
      </c>
      <c r="P597" s="145" t="inlineStr">
        <is>
          <t>General</t>
        </is>
      </c>
      <c r="Q597" s="145" t="inlineStr">
        <is>
          <t>General</t>
        </is>
      </c>
      <c r="R597" s="145" t="n"/>
      <c r="S597" s="145" t="n"/>
      <c r="T597" s="145" t="n"/>
      <c r="U597" s="145" t="n"/>
      <c r="V597" s="145" t="n"/>
      <c r="W597" s="145" t="n"/>
      <c r="X597" s="145" t="inlineStr">
        <is>
          <t>Detailed format sample from top 5 used rows</t>
        </is>
      </c>
    </row>
    <row r="598" ht="23.85" customHeight="1" s="79">
      <c r="A598" s="145" t="inlineStr">
        <is>
          <t>WINTER_DEPT</t>
        </is>
      </c>
      <c r="B598" s="145" t="inlineStr">
        <is>
          <t>Top-Row Cell Format</t>
        </is>
      </c>
      <c r="C598" s="145" t="inlineStr">
        <is>
          <t>F5</t>
        </is>
      </c>
      <c r="D598" s="145" t="inlineStr">
        <is>
          <t>WINTER_DEPT!A1:AA31</t>
        </is>
      </c>
      <c r="E598" s="145" t="inlineStr">
        <is>
          <t>Normal</t>
        </is>
      </c>
      <c r="F598" s="145" t="n"/>
      <c r="G598" s="145" t="inlineStr">
        <is>
          <t>Aptos</t>
        </is>
      </c>
      <c r="H598" s="145" t="n">
        <v>8</v>
      </c>
      <c r="I598" s="145" t="inlineStr">
        <is>
          <t>No</t>
        </is>
      </c>
      <c r="J598" s="145" t="inlineStr">
        <is>
          <t>No</t>
        </is>
      </c>
      <c r="K598" s="145" t="inlineStr">
        <is>
          <t>None</t>
        </is>
      </c>
      <c r="L598" s="145" t="inlineStr">
        <is>
          <t>#000000</t>
        </is>
      </c>
      <c r="M598" s="145" t="inlineStr">
        <is>
          <t>General</t>
        </is>
      </c>
      <c r="N598" s="145" t="inlineStr">
        <is>
          <t>Center</t>
        </is>
      </c>
      <c r="O598" s="145" t="inlineStr">
        <is>
          <t>No</t>
        </is>
      </c>
      <c r="P598" s="145" t="inlineStr">
        <is>
          <t>General</t>
        </is>
      </c>
      <c r="Q598" s="145" t="inlineStr">
        <is>
          <t>General</t>
        </is>
      </c>
      <c r="R598" s="145" t="n"/>
      <c r="S598" s="145" t="n"/>
      <c r="T598" s="145" t="n"/>
      <c r="U598" s="145" t="n"/>
      <c r="V598" s="145" t="n"/>
      <c r="W598" s="145" t="n"/>
      <c r="X598" s="145" t="inlineStr">
        <is>
          <t>Detailed format sample from top 5 used rows</t>
        </is>
      </c>
    </row>
    <row r="599" ht="23.85" customHeight="1" s="79">
      <c r="A599" s="145" t="inlineStr">
        <is>
          <t>WINTER_DEPT</t>
        </is>
      </c>
      <c r="B599" s="145" t="inlineStr">
        <is>
          <t>Column Format</t>
        </is>
      </c>
      <c r="C599" s="145" t="inlineStr">
        <is>
          <t>G:G</t>
        </is>
      </c>
      <c r="D599" s="145" t="inlineStr">
        <is>
          <t>WINTER_DEPT!A1:AA31</t>
        </is>
      </c>
      <c r="E599" s="145" t="inlineStr">
        <is>
          <t>Normal</t>
        </is>
      </c>
      <c r="F599" s="145" t="inlineStr">
        <is>
          <t>Mixed</t>
        </is>
      </c>
      <c r="G599" s="145" t="inlineStr">
        <is>
          <t>Aptos</t>
        </is>
      </c>
      <c r="H599" s="145" t="n">
        <v>8</v>
      </c>
      <c r="I599" s="145" t="inlineStr">
        <is>
          <t>Mixed</t>
        </is>
      </c>
      <c r="J599" s="145" t="inlineStr">
        <is>
          <t>No</t>
        </is>
      </c>
      <c r="K599" s="145" t="inlineStr">
        <is>
          <t>None</t>
        </is>
      </c>
      <c r="L599" s="145" t="inlineStr">
        <is>
          <t>#000000</t>
        </is>
      </c>
      <c r="M599" s="145" t="inlineStr">
        <is>
          <t>General</t>
        </is>
      </c>
      <c r="N599" s="145" t="inlineStr">
        <is>
          <t>Center</t>
        </is>
      </c>
      <c r="O599" s="145" t="inlineStr">
        <is>
          <t>No</t>
        </is>
      </c>
      <c r="P599" s="145" t="n"/>
      <c r="Q599" s="145" t="n"/>
      <c r="R599" s="145" t="inlineStr">
        <is>
          <t>EdgeBottom:Continuous/Thin/#000000</t>
        </is>
      </c>
      <c r="S599" s="145" t="n">
        <v>54.2686567164179</v>
      </c>
      <c r="T599" s="145" t="n"/>
      <c r="U599" s="145" t="inlineStr">
        <is>
          <t>No</t>
        </is>
      </c>
      <c r="V599" s="145" t="inlineStr">
        <is>
          <t>Visible</t>
        </is>
      </c>
      <c r="W599" s="145" t="n"/>
      <c r="X599" s="145" t="inlineStr">
        <is>
          <t>Mixed styles within used column</t>
        </is>
      </c>
    </row>
    <row r="600" ht="23.85" customHeight="1" s="79">
      <c r="A600" s="145" t="inlineStr">
        <is>
          <t>WINTER_DEPT</t>
        </is>
      </c>
      <c r="B600" s="145" t="inlineStr">
        <is>
          <t>Top-Row Cell Format</t>
        </is>
      </c>
      <c r="C600" s="145" t="inlineStr">
        <is>
          <t>G1</t>
        </is>
      </c>
      <c r="D600" s="145" t="inlineStr">
        <is>
          <t>WINTER_DEPT!A1:AA31</t>
        </is>
      </c>
      <c r="E600" s="145" t="inlineStr">
        <is>
          <t>Normal</t>
        </is>
      </c>
      <c r="F600" s="145" t="n"/>
      <c r="G600" s="145" t="inlineStr">
        <is>
          <t>Aptos</t>
        </is>
      </c>
      <c r="H600" s="145" t="n">
        <v>8</v>
      </c>
      <c r="I600" s="145" t="inlineStr">
        <is>
          <t>No</t>
        </is>
      </c>
      <c r="J600" s="145" t="inlineStr">
        <is>
          <t>No</t>
        </is>
      </c>
      <c r="K600" s="145" t="inlineStr">
        <is>
          <t>None</t>
        </is>
      </c>
      <c r="L600" s="145" t="inlineStr">
        <is>
          <t>#000000</t>
        </is>
      </c>
      <c r="M600" s="145" t="inlineStr">
        <is>
          <t>General</t>
        </is>
      </c>
      <c r="N600" s="145" t="inlineStr">
        <is>
          <t>Center</t>
        </is>
      </c>
      <c r="O600" s="145" t="inlineStr">
        <is>
          <t>No</t>
        </is>
      </c>
      <c r="P600" s="145" t="inlineStr">
        <is>
          <t>General</t>
        </is>
      </c>
      <c r="Q600" s="145" t="inlineStr">
        <is>
          <t>General</t>
        </is>
      </c>
      <c r="R600" s="145" t="n"/>
      <c r="S600" s="145" t="n"/>
      <c r="T600" s="145" t="n"/>
      <c r="U600" s="145" t="n"/>
      <c r="V600" s="145" t="n"/>
      <c r="W600" s="145" t="n"/>
      <c r="X600" s="145" t="inlineStr">
        <is>
          <t>Detailed format sample from top 5 used rows</t>
        </is>
      </c>
    </row>
    <row r="601" ht="23.85" customHeight="1" s="79">
      <c r="A601" s="145" t="inlineStr">
        <is>
          <t>WINTER_DEPT</t>
        </is>
      </c>
      <c r="B601" s="145" t="inlineStr">
        <is>
          <t>Top-Row Cell Format</t>
        </is>
      </c>
      <c r="C601" s="145" t="inlineStr">
        <is>
          <t>G2</t>
        </is>
      </c>
      <c r="D601" s="145" t="inlineStr">
        <is>
          <t>WINTER_DEPT!A1:AA31</t>
        </is>
      </c>
      <c r="E601" s="145" t="inlineStr">
        <is>
          <t>Normal</t>
        </is>
      </c>
      <c r="F601" s="145" t="n"/>
      <c r="G601" s="145" t="inlineStr">
        <is>
          <t>Aptos</t>
        </is>
      </c>
      <c r="H601" s="145" t="n">
        <v>8</v>
      </c>
      <c r="I601" s="145" t="inlineStr">
        <is>
          <t>No</t>
        </is>
      </c>
      <c r="J601" s="145" t="inlineStr">
        <is>
          <t>No</t>
        </is>
      </c>
      <c r="K601" s="145" t="inlineStr">
        <is>
          <t>None</t>
        </is>
      </c>
      <c r="L601" s="145" t="inlineStr">
        <is>
          <t>#000000</t>
        </is>
      </c>
      <c r="M601" s="145" t="inlineStr">
        <is>
          <t>General</t>
        </is>
      </c>
      <c r="N601" s="145" t="inlineStr">
        <is>
          <t>Center</t>
        </is>
      </c>
      <c r="O601" s="145" t="inlineStr">
        <is>
          <t>No</t>
        </is>
      </c>
      <c r="P601" s="145" t="inlineStr">
        <is>
          <t>General</t>
        </is>
      </c>
      <c r="Q601" s="145" t="inlineStr">
        <is>
          <t>General</t>
        </is>
      </c>
      <c r="R601" s="145" t="n"/>
      <c r="S601" s="145" t="n"/>
      <c r="T601" s="145" t="n"/>
      <c r="U601" s="145" t="n"/>
      <c r="V601" s="145" t="n"/>
      <c r="W601" s="145" t="n"/>
      <c r="X601" s="145" t="inlineStr">
        <is>
          <t>Detailed format sample from top 5 used rows</t>
        </is>
      </c>
    </row>
    <row r="602" ht="23.85" customHeight="1" s="79">
      <c r="A602" s="145" t="inlineStr">
        <is>
          <t>WINTER_DEPT</t>
        </is>
      </c>
      <c r="B602" s="145" t="inlineStr">
        <is>
          <t>Top-Row Cell Format</t>
        </is>
      </c>
      <c r="C602" s="145" t="inlineStr">
        <is>
          <t>G3</t>
        </is>
      </c>
      <c r="D602" s="145" t="inlineStr">
        <is>
          <t>WINTER_DEPT!A1:AA31</t>
        </is>
      </c>
      <c r="E602" s="145" t="inlineStr">
        <is>
          <t>Normal</t>
        </is>
      </c>
      <c r="F602" s="145" t="inlineStr">
        <is>
          <t>#F8CBAD</t>
        </is>
      </c>
      <c r="G602" s="145" t="inlineStr">
        <is>
          <t>Aptos</t>
        </is>
      </c>
      <c r="H602" s="145" t="n">
        <v>8</v>
      </c>
      <c r="I602" s="145" t="inlineStr">
        <is>
          <t>Yes</t>
        </is>
      </c>
      <c r="J602" s="145" t="inlineStr">
        <is>
          <t>No</t>
        </is>
      </c>
      <c r="K602" s="145" t="inlineStr">
        <is>
          <t>None</t>
        </is>
      </c>
      <c r="L602" s="145" t="inlineStr">
        <is>
          <t>#000000</t>
        </is>
      </c>
      <c r="M602" s="145" t="inlineStr">
        <is>
          <t>General</t>
        </is>
      </c>
      <c r="N602" s="145" t="inlineStr">
        <is>
          <t>Center</t>
        </is>
      </c>
      <c r="O602" s="145" t="inlineStr">
        <is>
          <t>No</t>
        </is>
      </c>
      <c r="P602" s="145" t="inlineStr">
        <is>
          <t>General</t>
        </is>
      </c>
      <c r="Q602" s="145" t="inlineStr">
        <is>
          <t>General</t>
        </is>
      </c>
      <c r="R602" s="145" t="n"/>
      <c r="S602" s="145" t="n"/>
      <c r="T602" s="145" t="n"/>
      <c r="U602" s="145" t="n"/>
      <c r="V602" s="145" t="n"/>
      <c r="W602" s="145" t="n"/>
      <c r="X602" s="145" t="inlineStr">
        <is>
          <t>Detailed format sample from top 5 used rows</t>
        </is>
      </c>
    </row>
    <row r="603" ht="23.85" customHeight="1" s="79">
      <c r="A603" s="145" t="inlineStr">
        <is>
          <t>WINTER_DEPT</t>
        </is>
      </c>
      <c r="B603" s="145" t="inlineStr">
        <is>
          <t>Top-Row Cell Format</t>
        </is>
      </c>
      <c r="C603" s="145" t="inlineStr">
        <is>
          <t>G4</t>
        </is>
      </c>
      <c r="D603" s="145" t="inlineStr">
        <is>
          <t>WINTER_DEPT!A1:AA31</t>
        </is>
      </c>
      <c r="E603" s="145" t="inlineStr">
        <is>
          <t>Normal</t>
        </is>
      </c>
      <c r="F603" s="145" t="inlineStr">
        <is>
          <t>#F8CBAD</t>
        </is>
      </c>
      <c r="G603" s="145" t="inlineStr">
        <is>
          <t>Aptos</t>
        </is>
      </c>
      <c r="H603" s="145" t="n">
        <v>8</v>
      </c>
      <c r="I603" s="145" t="inlineStr">
        <is>
          <t>No</t>
        </is>
      </c>
      <c r="J603" s="145" t="inlineStr">
        <is>
          <t>No</t>
        </is>
      </c>
      <c r="K603" s="145" t="inlineStr">
        <is>
          <t>None</t>
        </is>
      </c>
      <c r="L603" s="145" t="inlineStr">
        <is>
          <t>#000000</t>
        </is>
      </c>
      <c r="M603" s="145" t="inlineStr">
        <is>
          <t>General</t>
        </is>
      </c>
      <c r="N603" s="145" t="inlineStr">
        <is>
          <t>Center</t>
        </is>
      </c>
      <c r="O603" s="145" t="inlineStr">
        <is>
          <t>No</t>
        </is>
      </c>
      <c r="P603" s="145" t="inlineStr">
        <is>
          <t>General</t>
        </is>
      </c>
      <c r="Q603" s="145" t="inlineStr">
        <is>
          <t>General</t>
        </is>
      </c>
      <c r="R603" s="145" t="n"/>
      <c r="S603" s="145" t="n"/>
      <c r="T603" s="145" t="n"/>
      <c r="U603" s="145" t="n"/>
      <c r="V603" s="145" t="n"/>
      <c r="W603" s="145" t="n"/>
      <c r="X603" s="145" t="inlineStr">
        <is>
          <t>Detailed format sample from top 5 used rows</t>
        </is>
      </c>
    </row>
    <row r="604" ht="23.85" customHeight="1" s="79">
      <c r="A604" s="145" t="inlineStr">
        <is>
          <t>WINTER_DEPT</t>
        </is>
      </c>
      <c r="B604" s="145" t="inlineStr">
        <is>
          <t>Top-Row Cell Format</t>
        </is>
      </c>
      <c r="C604" s="145" t="inlineStr">
        <is>
          <t>G5</t>
        </is>
      </c>
      <c r="D604" s="145" t="inlineStr">
        <is>
          <t>WINTER_DEPT!A1:AA31</t>
        </is>
      </c>
      <c r="E604" s="145" t="inlineStr">
        <is>
          <t>Normal</t>
        </is>
      </c>
      <c r="F604" s="145" t="n"/>
      <c r="G604" s="145" t="inlineStr">
        <is>
          <t>Aptos</t>
        </is>
      </c>
      <c r="H604" s="145" t="n">
        <v>8</v>
      </c>
      <c r="I604" s="145" t="inlineStr">
        <is>
          <t>No</t>
        </is>
      </c>
      <c r="J604" s="145" t="inlineStr">
        <is>
          <t>No</t>
        </is>
      </c>
      <c r="K604" s="145" t="inlineStr">
        <is>
          <t>None</t>
        </is>
      </c>
      <c r="L604" s="145" t="inlineStr">
        <is>
          <t>#000000</t>
        </is>
      </c>
      <c r="M604" s="145" t="inlineStr">
        <is>
          <t>General</t>
        </is>
      </c>
      <c r="N604" s="145" t="inlineStr">
        <is>
          <t>Center</t>
        </is>
      </c>
      <c r="O604" s="145" t="inlineStr">
        <is>
          <t>No</t>
        </is>
      </c>
      <c r="P604" s="145" t="inlineStr">
        <is>
          <t>General</t>
        </is>
      </c>
      <c r="Q604" s="145" t="inlineStr">
        <is>
          <t>General</t>
        </is>
      </c>
      <c r="R604" s="145" t="n"/>
      <c r="S604" s="145" t="n"/>
      <c r="T604" s="145" t="n"/>
      <c r="U604" s="145" t="n"/>
      <c r="V604" s="145" t="n"/>
      <c r="W604" s="145" t="n"/>
      <c r="X604" s="145" t="inlineStr">
        <is>
          <t>Detailed format sample from top 5 used rows</t>
        </is>
      </c>
    </row>
    <row r="605" ht="23.85" customHeight="1" s="79">
      <c r="A605" s="145" t="inlineStr">
        <is>
          <t>WINTER_DEPT</t>
        </is>
      </c>
      <c r="B605" s="145" t="inlineStr">
        <is>
          <t>Column Format</t>
        </is>
      </c>
      <c r="C605" s="145" t="inlineStr">
        <is>
          <t>H:H</t>
        </is>
      </c>
      <c r="D605" s="145" t="inlineStr">
        <is>
          <t>WINTER_DEPT!A1:AA31</t>
        </is>
      </c>
      <c r="E605" s="145" t="inlineStr">
        <is>
          <t>Normal</t>
        </is>
      </c>
      <c r="F605" s="145" t="inlineStr">
        <is>
          <t>Mixed</t>
        </is>
      </c>
      <c r="G605" s="145" t="inlineStr">
        <is>
          <t>Aptos</t>
        </is>
      </c>
      <c r="H605" s="145" t="n">
        <v>8</v>
      </c>
      <c r="I605" s="145" t="inlineStr">
        <is>
          <t>Mixed</t>
        </is>
      </c>
      <c r="J605" s="145" t="inlineStr">
        <is>
          <t>No</t>
        </is>
      </c>
      <c r="K605" s="145" t="inlineStr">
        <is>
          <t>None</t>
        </is>
      </c>
      <c r="L605" s="145" t="inlineStr">
        <is>
          <t>#000000</t>
        </is>
      </c>
      <c r="M605" s="145" t="inlineStr">
        <is>
          <t>General</t>
        </is>
      </c>
      <c r="N605" s="145" t="inlineStr">
        <is>
          <t>Center</t>
        </is>
      </c>
      <c r="O605" s="145" t="inlineStr">
        <is>
          <t>No</t>
        </is>
      </c>
      <c r="P605" s="145" t="n"/>
      <c r="Q605" s="145" t="n"/>
      <c r="R605" s="145" t="inlineStr">
        <is>
          <t>EdgeBottom:Continuous/Thin/#000000</t>
        </is>
      </c>
      <c r="S605" s="145" t="n">
        <v>82.20895522388059</v>
      </c>
      <c r="T605" s="145" t="n"/>
      <c r="U605" s="145" t="inlineStr">
        <is>
          <t>No</t>
        </is>
      </c>
      <c r="V605" s="145" t="inlineStr">
        <is>
          <t>Visible</t>
        </is>
      </c>
      <c r="W605" s="145" t="n"/>
      <c r="X605" s="145" t="inlineStr">
        <is>
          <t>Mixed styles within used column</t>
        </is>
      </c>
    </row>
    <row r="606" ht="23.85" customHeight="1" s="79">
      <c r="A606" s="145" t="inlineStr">
        <is>
          <t>WINTER_DEPT</t>
        </is>
      </c>
      <c r="B606" s="145" t="inlineStr">
        <is>
          <t>Top-Row Cell Format</t>
        </is>
      </c>
      <c r="C606" s="145" t="inlineStr">
        <is>
          <t>H1</t>
        </is>
      </c>
      <c r="D606" s="145" t="inlineStr">
        <is>
          <t>WINTER_DEPT!A1:AA31</t>
        </is>
      </c>
      <c r="E606" s="145" t="inlineStr">
        <is>
          <t>Normal</t>
        </is>
      </c>
      <c r="F606" s="145" t="n"/>
      <c r="G606" s="145" t="inlineStr">
        <is>
          <t>Aptos</t>
        </is>
      </c>
      <c r="H606" s="145" t="n">
        <v>8</v>
      </c>
      <c r="I606" s="145" t="inlineStr">
        <is>
          <t>No</t>
        </is>
      </c>
      <c r="J606" s="145" t="inlineStr">
        <is>
          <t>No</t>
        </is>
      </c>
      <c r="K606" s="145" t="inlineStr">
        <is>
          <t>None</t>
        </is>
      </c>
      <c r="L606" s="145" t="inlineStr">
        <is>
          <t>#000000</t>
        </is>
      </c>
      <c r="M606" s="145" t="inlineStr">
        <is>
          <t>General</t>
        </is>
      </c>
      <c r="N606" s="145" t="inlineStr">
        <is>
          <t>Center</t>
        </is>
      </c>
      <c r="O606" s="145" t="inlineStr">
        <is>
          <t>No</t>
        </is>
      </c>
      <c r="P606" s="145" t="inlineStr">
        <is>
          <t>General</t>
        </is>
      </c>
      <c r="Q606" s="145" t="inlineStr">
        <is>
          <t>General</t>
        </is>
      </c>
      <c r="R606" s="145" t="n"/>
      <c r="S606" s="145" t="n"/>
      <c r="T606" s="145" t="n"/>
      <c r="U606" s="145" t="n"/>
      <c r="V606" s="145" t="n"/>
      <c r="W606" s="145" t="n"/>
      <c r="X606" s="145" t="inlineStr">
        <is>
          <t>Detailed format sample from top 5 used rows</t>
        </is>
      </c>
    </row>
    <row r="607" ht="23.85" customHeight="1" s="79">
      <c r="A607" s="145" t="inlineStr">
        <is>
          <t>WINTER_DEPT</t>
        </is>
      </c>
      <c r="B607" s="145" t="inlineStr">
        <is>
          <t>Top-Row Cell Format</t>
        </is>
      </c>
      <c r="C607" s="145" t="inlineStr">
        <is>
          <t>H2</t>
        </is>
      </c>
      <c r="D607" s="145" t="inlineStr">
        <is>
          <t>WINTER_DEPT!A1:AA31</t>
        </is>
      </c>
      <c r="E607" s="145" t="inlineStr">
        <is>
          <t>Normal</t>
        </is>
      </c>
      <c r="F607" s="145" t="n"/>
      <c r="G607" s="145" t="inlineStr">
        <is>
          <t>Aptos</t>
        </is>
      </c>
      <c r="H607" s="145" t="n">
        <v>8</v>
      </c>
      <c r="I607" s="145" t="inlineStr">
        <is>
          <t>No</t>
        </is>
      </c>
      <c r="J607" s="145" t="inlineStr">
        <is>
          <t>No</t>
        </is>
      </c>
      <c r="K607" s="145" t="inlineStr">
        <is>
          <t>None</t>
        </is>
      </c>
      <c r="L607" s="145" t="inlineStr">
        <is>
          <t>#000000</t>
        </is>
      </c>
      <c r="M607" s="145" t="inlineStr">
        <is>
          <t>General</t>
        </is>
      </c>
      <c r="N607" s="145" t="inlineStr">
        <is>
          <t>Center</t>
        </is>
      </c>
      <c r="O607" s="145" t="inlineStr">
        <is>
          <t>No</t>
        </is>
      </c>
      <c r="P607" s="145" t="inlineStr">
        <is>
          <t>General</t>
        </is>
      </c>
      <c r="Q607" s="145" t="inlineStr">
        <is>
          <t>General</t>
        </is>
      </c>
      <c r="R607" s="145" t="n"/>
      <c r="S607" s="145" t="n"/>
      <c r="T607" s="145" t="n"/>
      <c r="U607" s="145" t="n"/>
      <c r="V607" s="145" t="n"/>
      <c r="W607" s="145" t="n"/>
      <c r="X607" s="145" t="inlineStr">
        <is>
          <t>Detailed format sample from top 5 used rows</t>
        </is>
      </c>
    </row>
    <row r="608" ht="23.85" customHeight="1" s="79">
      <c r="A608" s="145" t="inlineStr">
        <is>
          <t>WINTER_DEPT</t>
        </is>
      </c>
      <c r="B608" s="145" t="inlineStr">
        <is>
          <t>Top-Row Cell Format</t>
        </is>
      </c>
      <c r="C608" s="145" t="inlineStr">
        <is>
          <t>H3</t>
        </is>
      </c>
      <c r="D608" s="145" t="inlineStr">
        <is>
          <t>WINTER_DEPT!A1:AA31</t>
        </is>
      </c>
      <c r="E608" s="145" t="inlineStr">
        <is>
          <t>Normal</t>
        </is>
      </c>
      <c r="F608" s="145" t="inlineStr">
        <is>
          <t>#F8CBAD</t>
        </is>
      </c>
      <c r="G608" s="145" t="inlineStr">
        <is>
          <t>Aptos</t>
        </is>
      </c>
      <c r="H608" s="145" t="n">
        <v>8</v>
      </c>
      <c r="I608" s="145" t="inlineStr">
        <is>
          <t>Yes</t>
        </is>
      </c>
      <c r="J608" s="145" t="inlineStr">
        <is>
          <t>No</t>
        </is>
      </c>
      <c r="K608" s="145" t="inlineStr">
        <is>
          <t>None</t>
        </is>
      </c>
      <c r="L608" s="145" t="inlineStr">
        <is>
          <t>#000000</t>
        </is>
      </c>
      <c r="M608" s="145" t="inlineStr">
        <is>
          <t>General</t>
        </is>
      </c>
      <c r="N608" s="145" t="inlineStr">
        <is>
          <t>Center</t>
        </is>
      </c>
      <c r="O608" s="145" t="inlineStr">
        <is>
          <t>No</t>
        </is>
      </c>
      <c r="P608" s="145" t="inlineStr">
        <is>
          <t>General</t>
        </is>
      </c>
      <c r="Q608" s="145" t="inlineStr">
        <is>
          <t>General</t>
        </is>
      </c>
      <c r="R608" s="145" t="n"/>
      <c r="S608" s="145" t="n"/>
      <c r="T608" s="145" t="n"/>
      <c r="U608" s="145" t="n"/>
      <c r="V608" s="145" t="n"/>
      <c r="W608" s="145" t="n"/>
      <c r="X608" s="145" t="inlineStr">
        <is>
          <t>Detailed format sample from top 5 used rows</t>
        </is>
      </c>
    </row>
    <row r="609" ht="23.85" customHeight="1" s="79">
      <c r="A609" s="145" t="inlineStr">
        <is>
          <t>WINTER_DEPT</t>
        </is>
      </c>
      <c r="B609" s="145" t="inlineStr">
        <is>
          <t>Top-Row Cell Format</t>
        </is>
      </c>
      <c r="C609" s="145" t="inlineStr">
        <is>
          <t>H4</t>
        </is>
      </c>
      <c r="D609" s="145" t="inlineStr">
        <is>
          <t>WINTER_DEPT!A1:AA31</t>
        </is>
      </c>
      <c r="E609" s="145" t="inlineStr">
        <is>
          <t>Normal</t>
        </is>
      </c>
      <c r="F609" s="145" t="inlineStr">
        <is>
          <t>#F8CBAD</t>
        </is>
      </c>
      <c r="G609" s="145" t="inlineStr">
        <is>
          <t>Aptos</t>
        </is>
      </c>
      <c r="H609" s="145" t="n">
        <v>8</v>
      </c>
      <c r="I609" s="145" t="inlineStr">
        <is>
          <t>No</t>
        </is>
      </c>
      <c r="J609" s="145" t="inlineStr">
        <is>
          <t>No</t>
        </is>
      </c>
      <c r="K609" s="145" t="inlineStr">
        <is>
          <t>None</t>
        </is>
      </c>
      <c r="L609" s="145" t="inlineStr">
        <is>
          <t>#000000</t>
        </is>
      </c>
      <c r="M609" s="145" t="inlineStr">
        <is>
          <t>General</t>
        </is>
      </c>
      <c r="N609" s="145" t="inlineStr">
        <is>
          <t>Center</t>
        </is>
      </c>
      <c r="O609" s="145" t="inlineStr">
        <is>
          <t>No</t>
        </is>
      </c>
      <c r="P609" s="145" t="inlineStr">
        <is>
          <t>General</t>
        </is>
      </c>
      <c r="Q609" s="145" t="inlineStr">
        <is>
          <t>General</t>
        </is>
      </c>
      <c r="R609" s="145" t="n"/>
      <c r="S609" s="145" t="n"/>
      <c r="T609" s="145" t="n"/>
      <c r="U609" s="145" t="n"/>
      <c r="V609" s="145" t="n"/>
      <c r="W609" s="145" t="n"/>
      <c r="X609" s="145" t="inlineStr">
        <is>
          <t>Detailed format sample from top 5 used rows</t>
        </is>
      </c>
    </row>
    <row r="610" ht="23.85" customHeight="1" s="79">
      <c r="A610" s="145" t="inlineStr">
        <is>
          <t>WINTER_DEPT</t>
        </is>
      </c>
      <c r="B610" s="145" t="inlineStr">
        <is>
          <t>Top-Row Cell Format</t>
        </is>
      </c>
      <c r="C610" s="145" t="inlineStr">
        <is>
          <t>H5</t>
        </is>
      </c>
      <c r="D610" s="145" t="inlineStr">
        <is>
          <t>WINTER_DEPT!A1:AA31</t>
        </is>
      </c>
      <c r="E610" s="145" t="inlineStr">
        <is>
          <t>Normal</t>
        </is>
      </c>
      <c r="F610" s="145" t="n"/>
      <c r="G610" s="145" t="inlineStr">
        <is>
          <t>Aptos</t>
        </is>
      </c>
      <c r="H610" s="145" t="n">
        <v>8</v>
      </c>
      <c r="I610" s="145" t="inlineStr">
        <is>
          <t>No</t>
        </is>
      </c>
      <c r="J610" s="145" t="inlineStr">
        <is>
          <t>No</t>
        </is>
      </c>
      <c r="K610" s="145" t="inlineStr">
        <is>
          <t>None</t>
        </is>
      </c>
      <c r="L610" s="145" t="inlineStr">
        <is>
          <t>#000000</t>
        </is>
      </c>
      <c r="M610" s="145" t="inlineStr">
        <is>
          <t>General</t>
        </is>
      </c>
      <c r="N610" s="145" t="inlineStr">
        <is>
          <t>Center</t>
        </is>
      </c>
      <c r="O610" s="145" t="inlineStr">
        <is>
          <t>No</t>
        </is>
      </c>
      <c r="P610" s="145" t="inlineStr">
        <is>
          <t>General</t>
        </is>
      </c>
      <c r="Q610" s="145" t="inlineStr">
        <is>
          <t>General</t>
        </is>
      </c>
      <c r="R610" s="145" t="n"/>
      <c r="S610" s="145" t="n"/>
      <c r="T610" s="145" t="n"/>
      <c r="U610" s="145" t="n"/>
      <c r="V610" s="145" t="n"/>
      <c r="W610" s="145" t="n"/>
      <c r="X610" s="145" t="inlineStr">
        <is>
          <t>Detailed format sample from top 5 used rows</t>
        </is>
      </c>
    </row>
    <row r="611" ht="23.85" customHeight="1" s="79">
      <c r="A611" s="145" t="inlineStr">
        <is>
          <t>WINTER_DEPT</t>
        </is>
      </c>
      <c r="B611" s="145" t="inlineStr">
        <is>
          <t>Column Format</t>
        </is>
      </c>
      <c r="C611" s="145" t="inlineStr">
        <is>
          <t>I:I</t>
        </is>
      </c>
      <c r="D611" s="145" t="inlineStr">
        <is>
          <t>WINTER_DEPT!A1:AA31</t>
        </is>
      </c>
      <c r="E611" s="145" t="inlineStr">
        <is>
          <t>Normal</t>
        </is>
      </c>
      <c r="F611" s="145" t="inlineStr">
        <is>
          <t>Mixed</t>
        </is>
      </c>
      <c r="G611" s="145" t="inlineStr">
        <is>
          <t>Aptos</t>
        </is>
      </c>
      <c r="H611" s="145" t="n">
        <v>8</v>
      </c>
      <c r="I611" s="145" t="inlineStr">
        <is>
          <t>Mixed</t>
        </is>
      </c>
      <c r="J611" s="145" t="inlineStr">
        <is>
          <t>No</t>
        </is>
      </c>
      <c r="K611" s="145" t="inlineStr">
        <is>
          <t>None</t>
        </is>
      </c>
      <c r="L611" s="145" t="inlineStr">
        <is>
          <t>#000000</t>
        </is>
      </c>
      <c r="M611" s="145" t="inlineStr">
        <is>
          <t>General</t>
        </is>
      </c>
      <c r="N611" s="145" t="inlineStr">
        <is>
          <t>Center</t>
        </is>
      </c>
      <c r="O611" s="145" t="inlineStr">
        <is>
          <t>No</t>
        </is>
      </c>
      <c r="P611" s="145" t="n"/>
      <c r="Q611" s="145" t="n"/>
      <c r="R611" s="145" t="inlineStr">
        <is>
          <t>EdgeBottom:Continuous/Thin/#000000</t>
        </is>
      </c>
      <c r="S611" s="145" t="n">
        <v>80.0597014925373</v>
      </c>
      <c r="T611" s="145" t="n"/>
      <c r="U611" s="145" t="inlineStr">
        <is>
          <t>No</t>
        </is>
      </c>
      <c r="V611" s="145" t="inlineStr">
        <is>
          <t>Visible</t>
        </is>
      </c>
      <c r="W611" s="145" t="n"/>
      <c r="X611" s="145" t="inlineStr">
        <is>
          <t>Mixed styles within used column</t>
        </is>
      </c>
    </row>
    <row r="612" ht="23.85" customHeight="1" s="79">
      <c r="A612" s="145" t="inlineStr">
        <is>
          <t>WINTER_DEPT</t>
        </is>
      </c>
      <c r="B612" s="145" t="inlineStr">
        <is>
          <t>Top-Row Cell Format</t>
        </is>
      </c>
      <c r="C612" s="145" t="inlineStr">
        <is>
          <t>I1</t>
        </is>
      </c>
      <c r="D612" s="145" t="inlineStr">
        <is>
          <t>WINTER_DEPT!A1:AA31</t>
        </is>
      </c>
      <c r="E612" s="145" t="inlineStr">
        <is>
          <t>Normal</t>
        </is>
      </c>
      <c r="F612" s="145" t="n"/>
      <c r="G612" s="145" t="inlineStr">
        <is>
          <t>Aptos</t>
        </is>
      </c>
      <c r="H612" s="145" t="n">
        <v>8</v>
      </c>
      <c r="I612" s="145" t="inlineStr">
        <is>
          <t>No</t>
        </is>
      </c>
      <c r="J612" s="145" t="inlineStr">
        <is>
          <t>No</t>
        </is>
      </c>
      <c r="K612" s="145" t="inlineStr">
        <is>
          <t>None</t>
        </is>
      </c>
      <c r="L612" s="145" t="inlineStr">
        <is>
          <t>#000000</t>
        </is>
      </c>
      <c r="M612" s="145" t="inlineStr">
        <is>
          <t>General</t>
        </is>
      </c>
      <c r="N612" s="145" t="inlineStr">
        <is>
          <t>Center</t>
        </is>
      </c>
      <c r="O612" s="145" t="inlineStr">
        <is>
          <t>No</t>
        </is>
      </c>
      <c r="P612" s="145" t="inlineStr">
        <is>
          <t>General</t>
        </is>
      </c>
      <c r="Q612" s="145" t="inlineStr">
        <is>
          <t>General</t>
        </is>
      </c>
      <c r="R612" s="145" t="n"/>
      <c r="S612" s="145" t="n"/>
      <c r="T612" s="145" t="n"/>
      <c r="U612" s="145" t="n"/>
      <c r="V612" s="145" t="n"/>
      <c r="W612" s="145" t="n"/>
      <c r="X612" s="145" t="inlineStr">
        <is>
          <t>Detailed format sample from top 5 used rows</t>
        </is>
      </c>
    </row>
    <row r="613" ht="23.85" customHeight="1" s="79">
      <c r="A613" s="145" t="inlineStr">
        <is>
          <t>WINTER_DEPT</t>
        </is>
      </c>
      <c r="B613" s="145" t="inlineStr">
        <is>
          <t>Top-Row Cell Format</t>
        </is>
      </c>
      <c r="C613" s="145" t="inlineStr">
        <is>
          <t>I2</t>
        </is>
      </c>
      <c r="D613" s="145" t="inlineStr">
        <is>
          <t>WINTER_DEPT!A1:AA31</t>
        </is>
      </c>
      <c r="E613" s="145" t="inlineStr">
        <is>
          <t>Normal</t>
        </is>
      </c>
      <c r="F613" s="145" t="n"/>
      <c r="G613" s="145" t="inlineStr">
        <is>
          <t>Aptos</t>
        </is>
      </c>
      <c r="H613" s="145" t="n">
        <v>8</v>
      </c>
      <c r="I613" s="145" t="inlineStr">
        <is>
          <t>No</t>
        </is>
      </c>
      <c r="J613" s="145" t="inlineStr">
        <is>
          <t>No</t>
        </is>
      </c>
      <c r="K613" s="145" t="inlineStr">
        <is>
          <t>None</t>
        </is>
      </c>
      <c r="L613" s="145" t="inlineStr">
        <is>
          <t>#000000</t>
        </is>
      </c>
      <c r="M613" s="145" t="inlineStr">
        <is>
          <t>General</t>
        </is>
      </c>
      <c r="N613" s="145" t="inlineStr">
        <is>
          <t>Center</t>
        </is>
      </c>
      <c r="O613" s="145" t="inlineStr">
        <is>
          <t>No</t>
        </is>
      </c>
      <c r="P613" s="145" t="inlineStr">
        <is>
          <t>General</t>
        </is>
      </c>
      <c r="Q613" s="145" t="inlineStr">
        <is>
          <t>General</t>
        </is>
      </c>
      <c r="R613" s="145" t="n"/>
      <c r="S613" s="145" t="n"/>
      <c r="T613" s="145" t="n"/>
      <c r="U613" s="145" t="n"/>
      <c r="V613" s="145" t="n"/>
      <c r="W613" s="145" t="n"/>
      <c r="X613" s="145" t="inlineStr">
        <is>
          <t>Detailed format sample from top 5 used rows</t>
        </is>
      </c>
    </row>
    <row r="614" ht="23.85" customHeight="1" s="79">
      <c r="A614" s="145" t="inlineStr">
        <is>
          <t>WINTER_DEPT</t>
        </is>
      </c>
      <c r="B614" s="145" t="inlineStr">
        <is>
          <t>Top-Row Cell Format</t>
        </is>
      </c>
      <c r="C614" s="145" t="inlineStr">
        <is>
          <t>I3</t>
        </is>
      </c>
      <c r="D614" s="145" t="inlineStr">
        <is>
          <t>WINTER_DEPT!A1:AA31</t>
        </is>
      </c>
      <c r="E614" s="145" t="inlineStr">
        <is>
          <t>Normal</t>
        </is>
      </c>
      <c r="F614" s="145" t="inlineStr">
        <is>
          <t>#F8CBAD</t>
        </is>
      </c>
      <c r="G614" s="145" t="inlineStr">
        <is>
          <t>Aptos</t>
        </is>
      </c>
      <c r="H614" s="145" t="n">
        <v>8</v>
      </c>
      <c r="I614" s="145" t="inlineStr">
        <is>
          <t>Yes</t>
        </is>
      </c>
      <c r="J614" s="145" t="inlineStr">
        <is>
          <t>No</t>
        </is>
      </c>
      <c r="K614" s="145" t="inlineStr">
        <is>
          <t>None</t>
        </is>
      </c>
      <c r="L614" s="145" t="inlineStr">
        <is>
          <t>#000000</t>
        </is>
      </c>
      <c r="M614" s="145" t="inlineStr">
        <is>
          <t>General</t>
        </is>
      </c>
      <c r="N614" s="145" t="inlineStr">
        <is>
          <t>Center</t>
        </is>
      </c>
      <c r="O614" s="145" t="inlineStr">
        <is>
          <t>No</t>
        </is>
      </c>
      <c r="P614" s="145" t="inlineStr">
        <is>
          <t>General</t>
        </is>
      </c>
      <c r="Q614" s="145" t="inlineStr">
        <is>
          <t>General</t>
        </is>
      </c>
      <c r="R614" s="145" t="n"/>
      <c r="S614" s="145" t="n"/>
      <c r="T614" s="145" t="n"/>
      <c r="U614" s="145" t="n"/>
      <c r="V614" s="145" t="n"/>
      <c r="W614" s="145" t="n"/>
      <c r="X614" s="145" t="inlineStr">
        <is>
          <t>Detailed format sample from top 5 used rows</t>
        </is>
      </c>
    </row>
    <row r="615" ht="23.85" customHeight="1" s="79">
      <c r="A615" s="145" t="inlineStr">
        <is>
          <t>WINTER_DEPT</t>
        </is>
      </c>
      <c r="B615" s="145" t="inlineStr">
        <is>
          <t>Top-Row Cell Format</t>
        </is>
      </c>
      <c r="C615" s="145" t="inlineStr">
        <is>
          <t>I4</t>
        </is>
      </c>
      <c r="D615" s="145" t="inlineStr">
        <is>
          <t>WINTER_DEPT!A1:AA31</t>
        </is>
      </c>
      <c r="E615" s="145" t="inlineStr">
        <is>
          <t>Normal</t>
        </is>
      </c>
      <c r="F615" s="145" t="inlineStr">
        <is>
          <t>#F8CBAD</t>
        </is>
      </c>
      <c r="G615" s="145" t="inlineStr">
        <is>
          <t>Aptos</t>
        </is>
      </c>
      <c r="H615" s="145" t="n">
        <v>8</v>
      </c>
      <c r="I615" s="145" t="inlineStr">
        <is>
          <t>No</t>
        </is>
      </c>
      <c r="J615" s="145" t="inlineStr">
        <is>
          <t>No</t>
        </is>
      </c>
      <c r="K615" s="145" t="inlineStr">
        <is>
          <t>None</t>
        </is>
      </c>
      <c r="L615" s="145" t="inlineStr">
        <is>
          <t>#000000</t>
        </is>
      </c>
      <c r="M615" s="145" t="inlineStr">
        <is>
          <t>General</t>
        </is>
      </c>
      <c r="N615" s="145" t="inlineStr">
        <is>
          <t>Center</t>
        </is>
      </c>
      <c r="O615" s="145" t="inlineStr">
        <is>
          <t>No</t>
        </is>
      </c>
      <c r="P615" s="145" t="inlineStr">
        <is>
          <t>General</t>
        </is>
      </c>
      <c r="Q615" s="145" t="inlineStr">
        <is>
          <t>General</t>
        </is>
      </c>
      <c r="R615" s="145" t="n"/>
      <c r="S615" s="145" t="n"/>
      <c r="T615" s="145" t="n"/>
      <c r="U615" s="145" t="n"/>
      <c r="V615" s="145" t="n"/>
      <c r="W615" s="145" t="n"/>
      <c r="X615" s="145" t="inlineStr">
        <is>
          <t>Detailed format sample from top 5 used rows</t>
        </is>
      </c>
    </row>
    <row r="616" ht="23.85" customHeight="1" s="79">
      <c r="A616" s="145" t="inlineStr">
        <is>
          <t>WINTER_DEPT</t>
        </is>
      </c>
      <c r="B616" s="145" t="inlineStr">
        <is>
          <t>Top-Row Cell Format</t>
        </is>
      </c>
      <c r="C616" s="145" t="inlineStr">
        <is>
          <t>I5</t>
        </is>
      </c>
      <c r="D616" s="145" t="inlineStr">
        <is>
          <t>WINTER_DEPT!A1:AA31</t>
        </is>
      </c>
      <c r="E616" s="145" t="inlineStr">
        <is>
          <t>Normal</t>
        </is>
      </c>
      <c r="F616" s="145" t="n"/>
      <c r="G616" s="145" t="inlineStr">
        <is>
          <t>Aptos</t>
        </is>
      </c>
      <c r="H616" s="145" t="n">
        <v>8</v>
      </c>
      <c r="I616" s="145" t="inlineStr">
        <is>
          <t>No</t>
        </is>
      </c>
      <c r="J616" s="145" t="inlineStr">
        <is>
          <t>No</t>
        </is>
      </c>
      <c r="K616" s="145" t="inlineStr">
        <is>
          <t>None</t>
        </is>
      </c>
      <c r="L616" s="145" t="inlineStr">
        <is>
          <t>#000000</t>
        </is>
      </c>
      <c r="M616" s="145" t="inlineStr">
        <is>
          <t>General</t>
        </is>
      </c>
      <c r="N616" s="145" t="inlineStr">
        <is>
          <t>Center</t>
        </is>
      </c>
      <c r="O616" s="145" t="inlineStr">
        <is>
          <t>No</t>
        </is>
      </c>
      <c r="P616" s="145" t="inlineStr">
        <is>
          <t>General</t>
        </is>
      </c>
      <c r="Q616" s="145" t="inlineStr">
        <is>
          <t>General</t>
        </is>
      </c>
      <c r="R616" s="145" t="n"/>
      <c r="S616" s="145" t="n"/>
      <c r="T616" s="145" t="n"/>
      <c r="U616" s="145" t="n"/>
      <c r="V616" s="145" t="n"/>
      <c r="W616" s="145" t="n"/>
      <c r="X616" s="145" t="inlineStr">
        <is>
          <t>Detailed format sample from top 5 used rows</t>
        </is>
      </c>
    </row>
    <row r="617" ht="23.85" customHeight="1" s="79">
      <c r="A617" s="145" t="inlineStr">
        <is>
          <t>WINTER_DEPT</t>
        </is>
      </c>
      <c r="B617" s="145" t="inlineStr">
        <is>
          <t>Column Format</t>
        </is>
      </c>
      <c r="C617" s="145" t="inlineStr">
        <is>
          <t>J:J</t>
        </is>
      </c>
      <c r="D617" s="145" t="inlineStr">
        <is>
          <t>WINTER_DEPT!A1:AA31</t>
        </is>
      </c>
      <c r="E617" s="145" t="inlineStr">
        <is>
          <t>Normal</t>
        </is>
      </c>
      <c r="F617" s="145" t="inlineStr">
        <is>
          <t>Mixed</t>
        </is>
      </c>
      <c r="G617" s="145" t="inlineStr">
        <is>
          <t>Aptos</t>
        </is>
      </c>
      <c r="H617" s="145" t="n">
        <v>8</v>
      </c>
      <c r="I617" s="145" t="inlineStr">
        <is>
          <t>Mixed</t>
        </is>
      </c>
      <c r="J617" s="145" t="inlineStr">
        <is>
          <t>No</t>
        </is>
      </c>
      <c r="K617" s="145" t="inlineStr">
        <is>
          <t>None</t>
        </is>
      </c>
      <c r="L617" s="145" t="inlineStr">
        <is>
          <t>#000000</t>
        </is>
      </c>
      <c r="M617" s="145" t="inlineStr">
        <is>
          <t>General</t>
        </is>
      </c>
      <c r="N617" s="145" t="inlineStr">
        <is>
          <t>Center</t>
        </is>
      </c>
      <c r="O617" s="145" t="inlineStr">
        <is>
          <t>No</t>
        </is>
      </c>
      <c r="P617" s="145" t="n"/>
      <c r="Q617" s="145" t="n"/>
      <c r="R617" s="145" t="inlineStr">
        <is>
          <t>EdgeBottom:Continuous/Thin/#000000; EdgeRight:Continuous/Thin/#000000</t>
        </is>
      </c>
      <c r="S617" s="145" t="n">
        <v>54.8059701492537</v>
      </c>
      <c r="T617" s="145" t="n"/>
      <c r="U617" s="145" t="inlineStr">
        <is>
          <t>No</t>
        </is>
      </c>
      <c r="V617" s="145" t="inlineStr">
        <is>
          <t>Visible</t>
        </is>
      </c>
      <c r="W617" s="145" t="n"/>
      <c r="X617" s="145" t="inlineStr">
        <is>
          <t>Mixed styles within used column</t>
        </is>
      </c>
    </row>
    <row r="618" ht="23.85" customHeight="1" s="79">
      <c r="A618" s="145" t="inlineStr">
        <is>
          <t>WINTER_DEPT</t>
        </is>
      </c>
      <c r="B618" s="145" t="inlineStr">
        <is>
          <t>Top-Row Cell Format</t>
        </is>
      </c>
      <c r="C618" s="145" t="inlineStr">
        <is>
          <t>J1</t>
        </is>
      </c>
      <c r="D618" s="145" t="inlineStr">
        <is>
          <t>WINTER_DEPT!A1:AA31</t>
        </is>
      </c>
      <c r="E618" s="145" t="inlineStr">
        <is>
          <t>Normal</t>
        </is>
      </c>
      <c r="F618" s="145" t="n"/>
      <c r="G618" s="145" t="inlineStr">
        <is>
          <t>Aptos</t>
        </is>
      </c>
      <c r="H618" s="145" t="n">
        <v>8</v>
      </c>
      <c r="I618" s="145" t="inlineStr">
        <is>
          <t>No</t>
        </is>
      </c>
      <c r="J618" s="145" t="inlineStr">
        <is>
          <t>No</t>
        </is>
      </c>
      <c r="K618" s="145" t="inlineStr">
        <is>
          <t>None</t>
        </is>
      </c>
      <c r="L618" s="145" t="inlineStr">
        <is>
          <t>#000000</t>
        </is>
      </c>
      <c r="M618" s="145" t="inlineStr">
        <is>
          <t>General</t>
        </is>
      </c>
      <c r="N618" s="145" t="inlineStr">
        <is>
          <t>Center</t>
        </is>
      </c>
      <c r="O618" s="145" t="inlineStr">
        <is>
          <t>No</t>
        </is>
      </c>
      <c r="P618" s="145" t="inlineStr">
        <is>
          <t>General</t>
        </is>
      </c>
      <c r="Q618" s="145" t="inlineStr">
        <is>
          <t>General</t>
        </is>
      </c>
      <c r="R618" s="145" t="n"/>
      <c r="S618" s="145" t="n"/>
      <c r="T618" s="145" t="n"/>
      <c r="U618" s="145" t="n"/>
      <c r="V618" s="145" t="n"/>
      <c r="W618" s="145" t="n"/>
      <c r="X618" s="145" t="inlineStr">
        <is>
          <t>Detailed format sample from top 5 used rows</t>
        </is>
      </c>
    </row>
    <row r="619" ht="23.85" customHeight="1" s="79">
      <c r="A619" s="145" t="inlineStr">
        <is>
          <t>WINTER_DEPT</t>
        </is>
      </c>
      <c r="B619" s="145" t="inlineStr">
        <is>
          <t>Top-Row Cell Format</t>
        </is>
      </c>
      <c r="C619" s="145" t="inlineStr">
        <is>
          <t>J2</t>
        </is>
      </c>
      <c r="D619" s="145" t="inlineStr">
        <is>
          <t>WINTER_DEPT!A1:AA31</t>
        </is>
      </c>
      <c r="E619" s="145" t="inlineStr">
        <is>
          <t>Normal</t>
        </is>
      </c>
      <c r="F619" s="145" t="n"/>
      <c r="G619" s="145" t="inlineStr">
        <is>
          <t>Aptos</t>
        </is>
      </c>
      <c r="H619" s="145" t="n">
        <v>8</v>
      </c>
      <c r="I619" s="145" t="inlineStr">
        <is>
          <t>No</t>
        </is>
      </c>
      <c r="J619" s="145" t="inlineStr">
        <is>
          <t>No</t>
        </is>
      </c>
      <c r="K619" s="145" t="inlineStr">
        <is>
          <t>None</t>
        </is>
      </c>
      <c r="L619" s="145" t="inlineStr">
        <is>
          <t>#000000</t>
        </is>
      </c>
      <c r="M619" s="145" t="inlineStr">
        <is>
          <t>General</t>
        </is>
      </c>
      <c r="N619" s="145" t="inlineStr">
        <is>
          <t>Center</t>
        </is>
      </c>
      <c r="O619" s="145" t="inlineStr">
        <is>
          <t>No</t>
        </is>
      </c>
      <c r="P619" s="145" t="inlineStr">
        <is>
          <t>General</t>
        </is>
      </c>
      <c r="Q619" s="145" t="inlineStr">
        <is>
          <t>General</t>
        </is>
      </c>
      <c r="R619" s="145" t="n"/>
      <c r="S619" s="145" t="n"/>
      <c r="T619" s="145" t="n"/>
      <c r="U619" s="145" t="n"/>
      <c r="V619" s="145" t="n"/>
      <c r="W619" s="145" t="n"/>
      <c r="X619" s="145" t="inlineStr">
        <is>
          <t>Detailed format sample from top 5 used rows</t>
        </is>
      </c>
    </row>
    <row r="620" ht="23.85" customHeight="1" s="79">
      <c r="A620" s="145" t="inlineStr">
        <is>
          <t>WINTER_DEPT</t>
        </is>
      </c>
      <c r="B620" s="145" t="inlineStr">
        <is>
          <t>Top-Row Cell Format</t>
        </is>
      </c>
      <c r="C620" s="145" t="inlineStr">
        <is>
          <t>J3</t>
        </is>
      </c>
      <c r="D620" s="145" t="inlineStr">
        <is>
          <t>WINTER_DEPT!A1:AA31</t>
        </is>
      </c>
      <c r="E620" s="145" t="inlineStr">
        <is>
          <t>Normal</t>
        </is>
      </c>
      <c r="F620" s="145" t="inlineStr">
        <is>
          <t>#F8CBAD</t>
        </is>
      </c>
      <c r="G620" s="145" t="inlineStr">
        <is>
          <t>Aptos</t>
        </is>
      </c>
      <c r="H620" s="145" t="n">
        <v>8</v>
      </c>
      <c r="I620" s="145" t="inlineStr">
        <is>
          <t>Yes</t>
        </is>
      </c>
      <c r="J620" s="145" t="inlineStr">
        <is>
          <t>No</t>
        </is>
      </c>
      <c r="K620" s="145" t="inlineStr">
        <is>
          <t>None</t>
        </is>
      </c>
      <c r="L620" s="145" t="inlineStr">
        <is>
          <t>#000000</t>
        </is>
      </c>
      <c r="M620" s="145" t="inlineStr">
        <is>
          <t>General</t>
        </is>
      </c>
      <c r="N620" s="145" t="inlineStr">
        <is>
          <t>Center</t>
        </is>
      </c>
      <c r="O620" s="145" t="inlineStr">
        <is>
          <t>No</t>
        </is>
      </c>
      <c r="P620" s="145" t="inlineStr">
        <is>
          <t>General</t>
        </is>
      </c>
      <c r="Q620" s="145" t="inlineStr">
        <is>
          <t>General</t>
        </is>
      </c>
      <c r="R620" s="145" t="n"/>
      <c r="S620" s="145" t="n"/>
      <c r="T620" s="145" t="n"/>
      <c r="U620" s="145" t="n"/>
      <c r="V620" s="145" t="n"/>
      <c r="W620" s="145" t="n"/>
      <c r="X620" s="145" t="inlineStr">
        <is>
          <t>Detailed format sample from top 5 used rows</t>
        </is>
      </c>
    </row>
    <row r="621" ht="23.85" customHeight="1" s="79">
      <c r="A621" s="145" t="inlineStr">
        <is>
          <t>WINTER_DEPT</t>
        </is>
      </c>
      <c r="B621" s="145" t="inlineStr">
        <is>
          <t>Top-Row Cell Format</t>
        </is>
      </c>
      <c r="C621" s="145" t="inlineStr">
        <is>
          <t>J4</t>
        </is>
      </c>
      <c r="D621" s="145" t="inlineStr">
        <is>
          <t>WINTER_DEPT!A1:AA31</t>
        </is>
      </c>
      <c r="E621" s="145" t="inlineStr">
        <is>
          <t>Normal</t>
        </is>
      </c>
      <c r="F621" s="145" t="inlineStr">
        <is>
          <t>#F8CBAD</t>
        </is>
      </c>
      <c r="G621" s="145" t="inlineStr">
        <is>
          <t>Aptos</t>
        </is>
      </c>
      <c r="H621" s="145" t="n">
        <v>8</v>
      </c>
      <c r="I621" s="145" t="inlineStr">
        <is>
          <t>No</t>
        </is>
      </c>
      <c r="J621" s="145" t="inlineStr">
        <is>
          <t>No</t>
        </is>
      </c>
      <c r="K621" s="145" t="inlineStr">
        <is>
          <t>None</t>
        </is>
      </c>
      <c r="L621" s="145" t="inlineStr">
        <is>
          <t>#000000</t>
        </is>
      </c>
      <c r="M621" s="145" t="inlineStr">
        <is>
          <t>General</t>
        </is>
      </c>
      <c r="N621" s="145" t="inlineStr">
        <is>
          <t>Center</t>
        </is>
      </c>
      <c r="O621" s="145" t="inlineStr">
        <is>
          <t>No</t>
        </is>
      </c>
      <c r="P621" s="145" t="inlineStr">
        <is>
          <t>General</t>
        </is>
      </c>
      <c r="Q621" s="145" t="inlineStr">
        <is>
          <t>General</t>
        </is>
      </c>
      <c r="R621" s="145" t="n"/>
      <c r="S621" s="145" t="n"/>
      <c r="T621" s="145" t="n"/>
      <c r="U621" s="145" t="n"/>
      <c r="V621" s="145" t="n"/>
      <c r="W621" s="145" t="n"/>
      <c r="X621" s="145" t="inlineStr">
        <is>
          <t>Detailed format sample from top 5 used rows</t>
        </is>
      </c>
    </row>
    <row r="622" ht="23.85" customHeight="1" s="79">
      <c r="A622" s="145" t="inlineStr">
        <is>
          <t>WINTER_DEPT</t>
        </is>
      </c>
      <c r="B622" s="145" t="inlineStr">
        <is>
          <t>Top-Row Cell Format</t>
        </is>
      </c>
      <c r="C622" s="145" t="inlineStr">
        <is>
          <t>J5</t>
        </is>
      </c>
      <c r="D622" s="145" t="inlineStr">
        <is>
          <t>WINTER_DEPT!A1:AA31</t>
        </is>
      </c>
      <c r="E622" s="145" t="inlineStr">
        <is>
          <t>Normal</t>
        </is>
      </c>
      <c r="F622" s="145" t="n"/>
      <c r="G622" s="145" t="inlineStr">
        <is>
          <t>Aptos</t>
        </is>
      </c>
      <c r="H622" s="145" t="n">
        <v>8</v>
      </c>
      <c r="I622" s="145" t="inlineStr">
        <is>
          <t>No</t>
        </is>
      </c>
      <c r="J622" s="145" t="inlineStr">
        <is>
          <t>No</t>
        </is>
      </c>
      <c r="K622" s="145" t="inlineStr">
        <is>
          <t>None</t>
        </is>
      </c>
      <c r="L622" s="145" t="inlineStr">
        <is>
          <t>#000000</t>
        </is>
      </c>
      <c r="M622" s="145" t="inlineStr">
        <is>
          <t>General</t>
        </is>
      </c>
      <c r="N622" s="145" t="inlineStr">
        <is>
          <t>Center</t>
        </is>
      </c>
      <c r="O622" s="145" t="inlineStr">
        <is>
          <t>No</t>
        </is>
      </c>
      <c r="P622" s="145" t="inlineStr">
        <is>
          <t>General</t>
        </is>
      </c>
      <c r="Q622" s="145" t="inlineStr">
        <is>
          <t>General</t>
        </is>
      </c>
      <c r="R622" s="145" t="n"/>
      <c r="S622" s="145" t="n"/>
      <c r="T622" s="145" t="n"/>
      <c r="U622" s="145" t="n"/>
      <c r="V622" s="145" t="n"/>
      <c r="W622" s="145" t="n"/>
      <c r="X622" s="145" t="inlineStr">
        <is>
          <t>Detailed format sample from top 5 used rows</t>
        </is>
      </c>
    </row>
    <row r="623" ht="23.85" customHeight="1" s="79">
      <c r="A623" s="145" t="inlineStr">
        <is>
          <t>WINTER_DEPT</t>
        </is>
      </c>
      <c r="B623" s="145" t="inlineStr">
        <is>
          <t>Column Format</t>
        </is>
      </c>
      <c r="C623" s="145" t="inlineStr">
        <is>
          <t>K:K</t>
        </is>
      </c>
      <c r="D623" s="145" t="inlineStr">
        <is>
          <t>WINTER_DEPT!A1:AA31</t>
        </is>
      </c>
      <c r="E623" s="145" t="inlineStr">
        <is>
          <t>Normal</t>
        </is>
      </c>
      <c r="F623" s="145" t="inlineStr">
        <is>
          <t>Mixed</t>
        </is>
      </c>
      <c r="G623" s="145" t="inlineStr">
        <is>
          <t>Aptos</t>
        </is>
      </c>
      <c r="H623" s="145" t="n">
        <v>8</v>
      </c>
      <c r="I623" s="145" t="inlineStr">
        <is>
          <t>Mixed</t>
        </is>
      </c>
      <c r="J623" s="145" t="inlineStr">
        <is>
          <t>No</t>
        </is>
      </c>
      <c r="K623" s="145" t="inlineStr">
        <is>
          <t>None</t>
        </is>
      </c>
      <c r="L623" s="145" t="inlineStr">
        <is>
          <t>#000000</t>
        </is>
      </c>
      <c r="M623" s="145" t="inlineStr">
        <is>
          <t>Mixed</t>
        </is>
      </c>
      <c r="N623" s="145" t="inlineStr">
        <is>
          <t>Center</t>
        </is>
      </c>
      <c r="O623" s="145" t="inlineStr">
        <is>
          <t>Mixed</t>
        </is>
      </c>
      <c r="P623" s="145" t="n"/>
      <c r="Q623" s="145" t="n"/>
      <c r="R623" s="145" t="inlineStr">
        <is>
          <t>EdgeBottom:Continuous/Thin/#000000; EdgeRight:Continuous/Thin/#000000</t>
        </is>
      </c>
      <c r="S623" s="145" t="n">
        <v>33.3134328358209</v>
      </c>
      <c r="T623" s="145" t="n"/>
      <c r="U623" s="145" t="inlineStr">
        <is>
          <t>No</t>
        </is>
      </c>
      <c r="V623" s="145" t="inlineStr">
        <is>
          <t>Visible</t>
        </is>
      </c>
      <c r="W623" s="145" t="n"/>
      <c r="X623" s="145" t="inlineStr">
        <is>
          <t>Mixed styles within used column</t>
        </is>
      </c>
    </row>
    <row r="624" ht="23.85" customHeight="1" s="79">
      <c r="A624" s="145" t="inlineStr">
        <is>
          <t>WINTER_DEPT</t>
        </is>
      </c>
      <c r="B624" s="145" t="inlineStr">
        <is>
          <t>Top-Row Cell Format</t>
        </is>
      </c>
      <c r="C624" s="145" t="inlineStr">
        <is>
          <t>K1</t>
        </is>
      </c>
      <c r="D624" s="145" t="inlineStr">
        <is>
          <t>WINTER_DEPT!A1:AA31</t>
        </is>
      </c>
      <c r="E624" s="145" t="inlineStr">
        <is>
          <t>Normal</t>
        </is>
      </c>
      <c r="F624" s="145" t="n"/>
      <c r="G624" s="145" t="inlineStr">
        <is>
          <t>Aptos</t>
        </is>
      </c>
      <c r="H624" s="145" t="n">
        <v>8</v>
      </c>
      <c r="I624" s="145" t="inlineStr">
        <is>
          <t>No</t>
        </is>
      </c>
      <c r="J624" s="145" t="inlineStr">
        <is>
          <t>No</t>
        </is>
      </c>
      <c r="K624" s="145" t="inlineStr">
        <is>
          <t>None</t>
        </is>
      </c>
      <c r="L624" s="145" t="inlineStr">
        <is>
          <t>#000000</t>
        </is>
      </c>
      <c r="M624" s="145" t="inlineStr">
        <is>
          <t>General</t>
        </is>
      </c>
      <c r="N624" s="145" t="inlineStr">
        <is>
          <t>Center</t>
        </is>
      </c>
      <c r="O624" s="145" t="inlineStr">
        <is>
          <t>No</t>
        </is>
      </c>
      <c r="P624" s="145" t="inlineStr">
        <is>
          <t>General</t>
        </is>
      </c>
      <c r="Q624" s="145" t="inlineStr">
        <is>
          <t>General</t>
        </is>
      </c>
      <c r="R624" s="145" t="n"/>
      <c r="S624" s="145" t="n"/>
      <c r="T624" s="145" t="n"/>
      <c r="U624" s="145" t="n"/>
      <c r="V624" s="145" t="n"/>
      <c r="W624" s="145" t="n"/>
      <c r="X624" s="145" t="inlineStr">
        <is>
          <t>Detailed format sample from top 5 used rows</t>
        </is>
      </c>
    </row>
    <row r="625" ht="23.85" customHeight="1" s="79">
      <c r="A625" s="145" t="inlineStr">
        <is>
          <t>WINTER_DEPT</t>
        </is>
      </c>
      <c r="B625" s="145" t="inlineStr">
        <is>
          <t>Top-Row Cell Format</t>
        </is>
      </c>
      <c r="C625" s="145" t="inlineStr">
        <is>
          <t>K2</t>
        </is>
      </c>
      <c r="D625" s="145" t="inlineStr">
        <is>
          <t>WINTER_DEPT!A1:AA31</t>
        </is>
      </c>
      <c r="E625" s="145" t="inlineStr">
        <is>
          <t>Normal</t>
        </is>
      </c>
      <c r="F625" s="145" t="n"/>
      <c r="G625" s="145" t="inlineStr">
        <is>
          <t>Aptos</t>
        </is>
      </c>
      <c r="H625" s="145" t="n">
        <v>8</v>
      </c>
      <c r="I625" s="145" t="inlineStr">
        <is>
          <t>No</t>
        </is>
      </c>
      <c r="J625" s="145" t="inlineStr">
        <is>
          <t>No</t>
        </is>
      </c>
      <c r="K625" s="145" t="inlineStr">
        <is>
          <t>None</t>
        </is>
      </c>
      <c r="L625" s="145" t="inlineStr">
        <is>
          <t>#000000</t>
        </is>
      </c>
      <c r="M625" s="145" t="inlineStr">
        <is>
          <t>General</t>
        </is>
      </c>
      <c r="N625" s="145" t="inlineStr">
        <is>
          <t>Center</t>
        </is>
      </c>
      <c r="O625" s="145" t="inlineStr">
        <is>
          <t>No</t>
        </is>
      </c>
      <c r="P625" s="145" t="inlineStr">
        <is>
          <t>General</t>
        </is>
      </c>
      <c r="Q625" s="145" t="inlineStr">
        <is>
          <t>General</t>
        </is>
      </c>
      <c r="R625" s="145" t="n"/>
      <c r="S625" s="145" t="n"/>
      <c r="T625" s="145" t="n"/>
      <c r="U625" s="145" t="n"/>
      <c r="V625" s="145" t="n"/>
      <c r="W625" s="145" t="n"/>
      <c r="X625" s="145" t="inlineStr">
        <is>
          <t>Detailed format sample from top 5 used rows</t>
        </is>
      </c>
    </row>
    <row r="626" ht="23.85" customHeight="1" s="79">
      <c r="A626" s="145" t="inlineStr">
        <is>
          <t>WINTER_DEPT</t>
        </is>
      </c>
      <c r="B626" s="145" t="inlineStr">
        <is>
          <t>Top-Row Cell Format</t>
        </is>
      </c>
      <c r="C626" s="145" t="inlineStr">
        <is>
          <t>K3</t>
        </is>
      </c>
      <c r="D626" s="145" t="inlineStr">
        <is>
          <t>WINTER_DEPT!A1:AA31</t>
        </is>
      </c>
      <c r="E626" s="145" t="inlineStr">
        <is>
          <t>Normal</t>
        </is>
      </c>
      <c r="F626" s="145" t="inlineStr">
        <is>
          <t>#F8CBAD</t>
        </is>
      </c>
      <c r="G626" s="145" t="inlineStr">
        <is>
          <t>Aptos</t>
        </is>
      </c>
      <c r="H626" s="145" t="n">
        <v>8</v>
      </c>
      <c r="I626" s="145" t="inlineStr">
        <is>
          <t>Yes</t>
        </is>
      </c>
      <c r="J626" s="145" t="inlineStr">
        <is>
          <t>No</t>
        </is>
      </c>
      <c r="K626" s="145" t="inlineStr">
        <is>
          <t>None</t>
        </is>
      </c>
      <c r="L626" s="145" t="inlineStr">
        <is>
          <t>#000000</t>
        </is>
      </c>
      <c r="M626" s="145" t="inlineStr">
        <is>
          <t>Center</t>
        </is>
      </c>
      <c r="N626" s="145" t="inlineStr">
        <is>
          <t>Center</t>
        </is>
      </c>
      <c r="O626" s="145" t="inlineStr">
        <is>
          <t>Yes</t>
        </is>
      </c>
      <c r="P626" s="145" t="inlineStr">
        <is>
          <t>General</t>
        </is>
      </c>
      <c r="Q626" s="145" t="inlineStr">
        <is>
          <t>General</t>
        </is>
      </c>
      <c r="R626" s="145" t="n"/>
      <c r="S626" s="145" t="n"/>
      <c r="T626" s="145" t="n"/>
      <c r="U626" s="145" t="n"/>
      <c r="V626" s="145" t="n"/>
      <c r="W626" s="145" t="n"/>
      <c r="X626" s="145" t="inlineStr">
        <is>
          <t>Detailed format sample from top 5 used rows</t>
        </is>
      </c>
    </row>
    <row r="627" ht="23.85" customHeight="1" s="79">
      <c r="A627" s="145" t="inlineStr">
        <is>
          <t>WINTER_DEPT</t>
        </is>
      </c>
      <c r="B627" s="145" t="inlineStr">
        <is>
          <t>Top-Row Cell Format</t>
        </is>
      </c>
      <c r="C627" s="145" t="inlineStr">
        <is>
          <t>K4</t>
        </is>
      </c>
      <c r="D627" s="145" t="inlineStr">
        <is>
          <t>WINTER_DEPT!A1:AA31</t>
        </is>
      </c>
      <c r="E627" s="145" t="inlineStr">
        <is>
          <t>Normal</t>
        </is>
      </c>
      <c r="F627" s="145" t="inlineStr">
        <is>
          <t>#F8CBAD</t>
        </is>
      </c>
      <c r="G627" s="145" t="inlineStr">
        <is>
          <t>Aptos</t>
        </is>
      </c>
      <c r="H627" s="145" t="n">
        <v>8</v>
      </c>
      <c r="I627" s="145" t="inlineStr">
        <is>
          <t>No</t>
        </is>
      </c>
      <c r="J627" s="145" t="inlineStr">
        <is>
          <t>No</t>
        </is>
      </c>
      <c r="K627" s="145" t="inlineStr">
        <is>
          <t>None</t>
        </is>
      </c>
      <c r="L627" s="145" t="inlineStr">
        <is>
          <t>#000000</t>
        </is>
      </c>
      <c r="M627" s="145" t="inlineStr">
        <is>
          <t>General</t>
        </is>
      </c>
      <c r="N627" s="145" t="inlineStr">
        <is>
          <t>Center</t>
        </is>
      </c>
      <c r="O627" s="145" t="inlineStr">
        <is>
          <t>No</t>
        </is>
      </c>
      <c r="P627" s="145" t="inlineStr">
        <is>
          <t>General</t>
        </is>
      </c>
      <c r="Q627" s="145" t="inlineStr">
        <is>
          <t>General</t>
        </is>
      </c>
      <c r="R627" s="145" t="n"/>
      <c r="S627" s="145" t="n"/>
      <c r="T627" s="145" t="n"/>
      <c r="U627" s="145" t="n"/>
      <c r="V627" s="145" t="n"/>
      <c r="W627" s="145" t="n"/>
      <c r="X627" s="145" t="inlineStr">
        <is>
          <t>Detailed format sample from top 5 used rows</t>
        </is>
      </c>
    </row>
    <row r="628" ht="23.85" customHeight="1" s="79">
      <c r="A628" s="145" t="inlineStr">
        <is>
          <t>WINTER_DEPT</t>
        </is>
      </c>
      <c r="B628" s="145" t="inlineStr">
        <is>
          <t>Top-Row Cell Format</t>
        </is>
      </c>
      <c r="C628" s="145" t="inlineStr">
        <is>
          <t>K5</t>
        </is>
      </c>
      <c r="D628" s="145" t="inlineStr">
        <is>
          <t>WINTER_DEPT!A1:AA31</t>
        </is>
      </c>
      <c r="E628" s="145" t="inlineStr">
        <is>
          <t>Normal</t>
        </is>
      </c>
      <c r="F628" s="145" t="inlineStr">
        <is>
          <t>#EDEDED</t>
        </is>
      </c>
      <c r="G628" s="145" t="inlineStr">
        <is>
          <t>Aptos</t>
        </is>
      </c>
      <c r="H628" s="145" t="n">
        <v>8</v>
      </c>
      <c r="I628" s="145" t="inlineStr">
        <is>
          <t>Yes</t>
        </is>
      </c>
      <c r="J628" s="145" t="inlineStr">
        <is>
          <t>No</t>
        </is>
      </c>
      <c r="K628" s="145" t="inlineStr">
        <is>
          <t>None</t>
        </is>
      </c>
      <c r="L628" s="145" t="inlineStr">
        <is>
          <t>#000000</t>
        </is>
      </c>
      <c r="M628" s="145" t="inlineStr">
        <is>
          <t>Center</t>
        </is>
      </c>
      <c r="N628" s="145" t="inlineStr">
        <is>
          <t>Center</t>
        </is>
      </c>
      <c r="O628" s="145" t="inlineStr">
        <is>
          <t>No</t>
        </is>
      </c>
      <c r="P628" s="145" t="inlineStr">
        <is>
          <t>General</t>
        </is>
      </c>
      <c r="Q628" s="145" t="inlineStr">
        <is>
          <t>General</t>
        </is>
      </c>
      <c r="R628" s="145" t="n"/>
      <c r="S628" s="145" t="n"/>
      <c r="T628" s="145" t="n"/>
      <c r="U628" s="145" t="n"/>
      <c r="V628" s="145" t="n"/>
      <c r="W628" s="145" t="n"/>
      <c r="X628" s="145" t="inlineStr">
        <is>
          <t>Detailed format sample from top 5 used rows</t>
        </is>
      </c>
    </row>
    <row r="629" ht="23.85" customHeight="1" s="79">
      <c r="A629" s="145" t="inlineStr">
        <is>
          <t>WINTER_DEPT</t>
        </is>
      </c>
      <c r="B629" s="145" t="inlineStr">
        <is>
          <t>Column Format</t>
        </is>
      </c>
      <c r="C629" s="145" t="inlineStr">
        <is>
          <t>L:L</t>
        </is>
      </c>
      <c r="D629" s="145" t="inlineStr">
        <is>
          <t>WINTER_DEPT!A1:AA31</t>
        </is>
      </c>
      <c r="E629" s="145" t="inlineStr">
        <is>
          <t>Mixed</t>
        </is>
      </c>
      <c r="F629" s="145" t="inlineStr">
        <is>
          <t>Mixed</t>
        </is>
      </c>
      <c r="G629" s="145" t="inlineStr">
        <is>
          <t>Aptos</t>
        </is>
      </c>
      <c r="H629" s="145" t="n">
        <v>8</v>
      </c>
      <c r="I629" s="145" t="inlineStr">
        <is>
          <t>Mixed</t>
        </is>
      </c>
      <c r="J629" s="145" t="inlineStr">
        <is>
          <t>No</t>
        </is>
      </c>
      <c r="K629" s="145" t="inlineStr">
        <is>
          <t>None</t>
        </is>
      </c>
      <c r="L629" s="145" t="inlineStr">
        <is>
          <t>#000000</t>
        </is>
      </c>
      <c r="M629" s="145" t="inlineStr">
        <is>
          <t>Mixed</t>
        </is>
      </c>
      <c r="N629" s="145" t="inlineStr">
        <is>
          <t>Center</t>
        </is>
      </c>
      <c r="O629" s="145" t="inlineStr">
        <is>
          <t>Mixed</t>
        </is>
      </c>
      <c r="P629" s="145" t="n"/>
      <c r="Q629" s="145" t="n"/>
      <c r="R629" s="145" t="inlineStr">
        <is>
          <t>EdgeBottom:Continuous/Thin/#000000; EdgeRight:Continuous/Thin/#000000</t>
        </is>
      </c>
      <c r="S629" s="145" t="n">
        <v>44.5970149253731</v>
      </c>
      <c r="T629" s="145" t="n"/>
      <c r="U629" s="145" t="inlineStr">
        <is>
          <t>No</t>
        </is>
      </c>
      <c r="V629" s="145" t="inlineStr">
        <is>
          <t>Visible</t>
        </is>
      </c>
      <c r="W629" s="145" t="n"/>
      <c r="X629" s="145" t="inlineStr">
        <is>
          <t>Mixed styles within used column</t>
        </is>
      </c>
    </row>
    <row r="630" ht="23.85" customHeight="1" s="79">
      <c r="A630" s="145" t="inlineStr">
        <is>
          <t>WINTER_DEPT</t>
        </is>
      </c>
      <c r="B630" s="145" t="inlineStr">
        <is>
          <t>Top-Row Cell Format</t>
        </is>
      </c>
      <c r="C630" s="145" t="inlineStr">
        <is>
          <t>L1</t>
        </is>
      </c>
      <c r="D630" s="145" t="inlineStr">
        <is>
          <t>WINTER_DEPT!A1:AA31</t>
        </is>
      </c>
      <c r="E630" s="145" t="inlineStr">
        <is>
          <t>Normal</t>
        </is>
      </c>
      <c r="F630" s="145" t="n"/>
      <c r="G630" s="145" t="inlineStr">
        <is>
          <t>Aptos</t>
        </is>
      </c>
      <c r="H630" s="145" t="n">
        <v>8</v>
      </c>
      <c r="I630" s="145" t="inlineStr">
        <is>
          <t>No</t>
        </is>
      </c>
      <c r="J630" s="145" t="inlineStr">
        <is>
          <t>No</t>
        </is>
      </c>
      <c r="K630" s="145" t="inlineStr">
        <is>
          <t>None</t>
        </is>
      </c>
      <c r="L630" s="145" t="inlineStr">
        <is>
          <t>#000000</t>
        </is>
      </c>
      <c r="M630" s="145" t="inlineStr">
        <is>
          <t>General</t>
        </is>
      </c>
      <c r="N630" s="145" t="inlineStr">
        <is>
          <t>Center</t>
        </is>
      </c>
      <c r="O630" s="145" t="inlineStr">
        <is>
          <t>No</t>
        </is>
      </c>
      <c r="P630" s="145" t="inlineStr">
        <is>
          <t>General</t>
        </is>
      </c>
      <c r="Q630" s="145" t="inlineStr">
        <is>
          <t>General</t>
        </is>
      </c>
      <c r="R630" s="145" t="n"/>
      <c r="S630" s="145" t="n"/>
      <c r="T630" s="145" t="n"/>
      <c r="U630" s="145" t="n"/>
      <c r="V630" s="145" t="n"/>
      <c r="W630" s="145" t="n"/>
      <c r="X630" s="145" t="inlineStr">
        <is>
          <t>Detailed format sample from top 5 used rows</t>
        </is>
      </c>
    </row>
    <row r="631" ht="23.85" customHeight="1" s="79">
      <c r="A631" s="145" t="inlineStr">
        <is>
          <t>WINTER_DEPT</t>
        </is>
      </c>
      <c r="B631" s="145" t="inlineStr">
        <is>
          <t>Top-Row Cell Format</t>
        </is>
      </c>
      <c r="C631" s="145" t="inlineStr">
        <is>
          <t>L2</t>
        </is>
      </c>
      <c r="D631" s="145" t="inlineStr">
        <is>
          <t>WINTER_DEPT!A1:AA31</t>
        </is>
      </c>
      <c r="E631" s="145" t="inlineStr">
        <is>
          <t>Comma</t>
        </is>
      </c>
      <c r="F631" s="145" t="inlineStr">
        <is>
          <t>#B4C6E7</t>
        </is>
      </c>
      <c r="G631" s="145" t="inlineStr">
        <is>
          <t>Aptos</t>
        </is>
      </c>
      <c r="H631" s="145" t="n">
        <v>8</v>
      </c>
      <c r="I631" s="145" t="inlineStr">
        <is>
          <t>Yes</t>
        </is>
      </c>
      <c r="J631" s="145" t="inlineStr">
        <is>
          <t>No</t>
        </is>
      </c>
      <c r="K631" s="145" t="inlineStr">
        <is>
          <t>None</t>
        </is>
      </c>
      <c r="L631" s="145" t="inlineStr">
        <is>
          <t>#000000</t>
        </is>
      </c>
      <c r="M631" s="145" t="inlineStr">
        <is>
          <t>Center</t>
        </is>
      </c>
      <c r="N631" s="145" t="inlineStr">
        <is>
          <t>Center</t>
        </is>
      </c>
      <c r="O631" s="145" t="inlineStr">
        <is>
          <t>No</t>
        </is>
      </c>
      <c r="P631" s="145" t="inlineStr">
        <is>
          <t xml:space="preserve">_ * #,##0_ ;_ * -#,##0_ ;_ * "-"??_ ;_ @_ </t>
        </is>
      </c>
      <c r="Q631" s="145" t="inlineStr">
        <is>
          <t>Text</t>
        </is>
      </c>
      <c r="R631" s="145" t="n"/>
      <c r="S631" s="145" t="n"/>
      <c r="T631" s="145" t="n"/>
      <c r="U631" s="145" t="n"/>
      <c r="V631" s="145" t="n"/>
      <c r="W631" s="145" t="n"/>
      <c r="X631" s="145" t="inlineStr">
        <is>
          <t>Detailed format sample from top 5 used rows</t>
        </is>
      </c>
    </row>
    <row r="632" ht="23.85" customHeight="1" s="79">
      <c r="A632" s="145" t="inlineStr">
        <is>
          <t>WINTER_DEPT</t>
        </is>
      </c>
      <c r="B632" s="145" t="inlineStr">
        <is>
          <t>Top-Row Cell Format</t>
        </is>
      </c>
      <c r="C632" s="145" t="inlineStr">
        <is>
          <t>L3</t>
        </is>
      </c>
      <c r="D632" s="145" t="inlineStr">
        <is>
          <t>WINTER_DEPT!A1:AA31</t>
        </is>
      </c>
      <c r="E632" s="145" t="inlineStr">
        <is>
          <t>Normal</t>
        </is>
      </c>
      <c r="F632" s="145" t="inlineStr">
        <is>
          <t>#F8CBAD</t>
        </is>
      </c>
      <c r="G632" s="145" t="inlineStr">
        <is>
          <t>Aptos</t>
        </is>
      </c>
      <c r="H632" s="145" t="n">
        <v>8</v>
      </c>
      <c r="I632" s="145" t="inlineStr">
        <is>
          <t>Yes</t>
        </is>
      </c>
      <c r="J632" s="145" t="inlineStr">
        <is>
          <t>No</t>
        </is>
      </c>
      <c r="K632" s="145" t="inlineStr">
        <is>
          <t>None</t>
        </is>
      </c>
      <c r="L632" s="145" t="inlineStr">
        <is>
          <t>#000000</t>
        </is>
      </c>
      <c r="M632" s="145" t="inlineStr">
        <is>
          <t>Center</t>
        </is>
      </c>
      <c r="N632" s="145" t="inlineStr">
        <is>
          <t>Center</t>
        </is>
      </c>
      <c r="O632" s="145" t="inlineStr">
        <is>
          <t>Yes</t>
        </is>
      </c>
      <c r="P632" s="145" t="inlineStr">
        <is>
          <t>General</t>
        </is>
      </c>
      <c r="Q632" s="145" t="inlineStr">
        <is>
          <t>General</t>
        </is>
      </c>
      <c r="R632" s="145" t="n"/>
      <c r="S632" s="145" t="n"/>
      <c r="T632" s="145" t="n"/>
      <c r="U632" s="145" t="n"/>
      <c r="V632" s="145" t="n"/>
      <c r="W632" s="145" t="n"/>
      <c r="X632" s="145" t="inlineStr">
        <is>
          <t>Detailed format sample from top 5 used rows</t>
        </is>
      </c>
    </row>
    <row r="633" ht="23.85" customHeight="1" s="79">
      <c r="A633" s="145" t="inlineStr">
        <is>
          <t>WINTER_DEPT</t>
        </is>
      </c>
      <c r="B633" s="145" t="inlineStr">
        <is>
          <t>Top-Row Cell Format</t>
        </is>
      </c>
      <c r="C633" s="145" t="inlineStr">
        <is>
          <t>L4</t>
        </is>
      </c>
      <c r="D633" s="145" t="inlineStr">
        <is>
          <t>WINTER_DEPT!A1:AA31</t>
        </is>
      </c>
      <c r="E633" s="145" t="inlineStr">
        <is>
          <t>Normal</t>
        </is>
      </c>
      <c r="F633" s="145" t="inlineStr">
        <is>
          <t>#F8CBAD</t>
        </is>
      </c>
      <c r="G633" s="145" t="inlineStr">
        <is>
          <t>Aptos</t>
        </is>
      </c>
      <c r="H633" s="145" t="n">
        <v>8</v>
      </c>
      <c r="I633" s="145" t="inlineStr">
        <is>
          <t>No</t>
        </is>
      </c>
      <c r="J633" s="145" t="inlineStr">
        <is>
          <t>No</t>
        </is>
      </c>
      <c r="K633" s="145" t="inlineStr">
        <is>
          <t>None</t>
        </is>
      </c>
      <c r="L633" s="145" t="inlineStr">
        <is>
          <t>#000000</t>
        </is>
      </c>
      <c r="M633" s="145" t="inlineStr">
        <is>
          <t>Center</t>
        </is>
      </c>
      <c r="N633" s="145" t="inlineStr">
        <is>
          <t>Center</t>
        </is>
      </c>
      <c r="O633" s="145" t="inlineStr">
        <is>
          <t>No</t>
        </is>
      </c>
      <c r="P633" s="145" t="inlineStr">
        <is>
          <t>General</t>
        </is>
      </c>
      <c r="Q633" s="145" t="inlineStr">
        <is>
          <t>General</t>
        </is>
      </c>
      <c r="R633" s="145" t="n"/>
      <c r="S633" s="145" t="n"/>
      <c r="T633" s="145" t="n"/>
      <c r="U633" s="145" t="n"/>
      <c r="V633" s="145" t="n"/>
      <c r="W633" s="145" t="n"/>
      <c r="X633" s="145" t="inlineStr">
        <is>
          <t>Detailed format sample from top 5 used rows</t>
        </is>
      </c>
    </row>
    <row r="634" ht="23.85" customHeight="1" s="79">
      <c r="A634" s="145" t="inlineStr">
        <is>
          <t>WINTER_DEPT</t>
        </is>
      </c>
      <c r="B634" s="145" t="inlineStr">
        <is>
          <t>Top-Row Cell Format</t>
        </is>
      </c>
      <c r="C634" s="145" t="inlineStr">
        <is>
          <t>L5</t>
        </is>
      </c>
      <c r="D634" s="145" t="inlineStr">
        <is>
          <t>WINTER_DEPT!A1:AA31</t>
        </is>
      </c>
      <c r="E634" s="145" t="inlineStr">
        <is>
          <t>Normal</t>
        </is>
      </c>
      <c r="F634" s="145" t="inlineStr">
        <is>
          <t>#B4C6E7</t>
        </is>
      </c>
      <c r="G634" s="145" t="inlineStr">
        <is>
          <t>Aptos</t>
        </is>
      </c>
      <c r="H634" s="145" t="n">
        <v>8</v>
      </c>
      <c r="I634" s="145" t="inlineStr">
        <is>
          <t>Yes</t>
        </is>
      </c>
      <c r="J634" s="145" t="inlineStr">
        <is>
          <t>No</t>
        </is>
      </c>
      <c r="K634" s="145" t="inlineStr">
        <is>
          <t>None</t>
        </is>
      </c>
      <c r="L634" s="145" t="inlineStr">
        <is>
          <t>#000000</t>
        </is>
      </c>
      <c r="M634" s="145" t="inlineStr">
        <is>
          <t>General</t>
        </is>
      </c>
      <c r="N634" s="145" t="inlineStr">
        <is>
          <t>Center</t>
        </is>
      </c>
      <c r="O634" s="145" t="inlineStr">
        <is>
          <t>No</t>
        </is>
      </c>
      <c r="P634" s="145" t="inlineStr">
        <is>
          <t xml:space="preserve">_ * #,##0_ ;_ * -#,##0_ ;_ * "-"??_ ;_ @_ </t>
        </is>
      </c>
      <c r="Q634" s="145" t="inlineStr">
        <is>
          <t>Text</t>
        </is>
      </c>
      <c r="R634" s="145" t="n"/>
      <c r="S634" s="145" t="n"/>
      <c r="T634" s="145" t="n"/>
      <c r="U634" s="145" t="n"/>
      <c r="V634" s="145" t="n"/>
      <c r="W634" s="145" t="n"/>
      <c r="X634" s="145" t="inlineStr">
        <is>
          <t>Detailed format sample from top 5 used rows</t>
        </is>
      </c>
    </row>
    <row r="635" ht="23.85" customHeight="1" s="79">
      <c r="A635" s="145" t="inlineStr">
        <is>
          <t>WINTER_DEPT</t>
        </is>
      </c>
      <c r="B635" s="145" t="inlineStr">
        <is>
          <t>Column Format</t>
        </is>
      </c>
      <c r="C635" s="145" t="inlineStr">
        <is>
          <t>M:M</t>
        </is>
      </c>
      <c r="D635" s="145" t="inlineStr">
        <is>
          <t>WINTER_DEPT!A1:AA31</t>
        </is>
      </c>
      <c r="E635" s="145" t="inlineStr">
        <is>
          <t>Mixed</t>
        </is>
      </c>
      <c r="F635" s="145" t="inlineStr">
        <is>
          <t>Mixed</t>
        </is>
      </c>
      <c r="G635" s="145" t="inlineStr">
        <is>
          <t>Aptos</t>
        </is>
      </c>
      <c r="H635" s="145" t="n">
        <v>8</v>
      </c>
      <c r="I635" s="145" t="inlineStr">
        <is>
          <t>Mixed</t>
        </is>
      </c>
      <c r="J635" s="145" t="inlineStr">
        <is>
          <t>No</t>
        </is>
      </c>
      <c r="K635" s="145" t="inlineStr">
        <is>
          <t>None</t>
        </is>
      </c>
      <c r="L635" s="145" t="inlineStr">
        <is>
          <t>#000000</t>
        </is>
      </c>
      <c r="M635" s="145" t="inlineStr">
        <is>
          <t>Mixed</t>
        </is>
      </c>
      <c r="N635" s="145" t="inlineStr">
        <is>
          <t>Center</t>
        </is>
      </c>
      <c r="O635" s="145" t="inlineStr">
        <is>
          <t>Mixed</t>
        </is>
      </c>
      <c r="P635" s="145" t="n"/>
      <c r="Q635" s="145" t="n"/>
      <c r="R635" s="145" t="inlineStr">
        <is>
          <t>EdgeBottom:Continuous/Thin/#000000; EdgeRight:Continuous/Thin/#000000</t>
        </is>
      </c>
      <c r="S635" s="145" t="n">
        <v>46.7462686567164</v>
      </c>
      <c r="T635" s="145" t="n"/>
      <c r="U635" s="145" t="inlineStr">
        <is>
          <t>No</t>
        </is>
      </c>
      <c r="V635" s="145" t="inlineStr">
        <is>
          <t>Visible</t>
        </is>
      </c>
      <c r="W635" s="145" t="n"/>
      <c r="X635" s="145" t="inlineStr">
        <is>
          <t>Mixed styles within used column</t>
        </is>
      </c>
    </row>
    <row r="636" ht="23.85" customHeight="1" s="79">
      <c r="A636" s="145" t="inlineStr">
        <is>
          <t>WINTER_DEPT</t>
        </is>
      </c>
      <c r="B636" s="145" t="inlineStr">
        <is>
          <t>Top-Row Cell Format</t>
        </is>
      </c>
      <c r="C636" s="145" t="inlineStr">
        <is>
          <t>M1</t>
        </is>
      </c>
      <c r="D636" s="145" t="inlineStr">
        <is>
          <t>WINTER_DEPT!A1:AA31</t>
        </is>
      </c>
      <c r="E636" s="145" t="inlineStr">
        <is>
          <t>Normal</t>
        </is>
      </c>
      <c r="F636" s="145" t="n"/>
      <c r="G636" s="145" t="inlineStr">
        <is>
          <t>Aptos</t>
        </is>
      </c>
      <c r="H636" s="145" t="n">
        <v>8</v>
      </c>
      <c r="I636" s="145" t="inlineStr">
        <is>
          <t>No</t>
        </is>
      </c>
      <c r="J636" s="145" t="inlineStr">
        <is>
          <t>No</t>
        </is>
      </c>
      <c r="K636" s="145" t="inlineStr">
        <is>
          <t>None</t>
        </is>
      </c>
      <c r="L636" s="145" t="inlineStr">
        <is>
          <t>#000000</t>
        </is>
      </c>
      <c r="M636" s="145" t="inlineStr">
        <is>
          <t>General</t>
        </is>
      </c>
      <c r="N636" s="145" t="inlineStr">
        <is>
          <t>Center</t>
        </is>
      </c>
      <c r="O636" s="145" t="inlineStr">
        <is>
          <t>No</t>
        </is>
      </c>
      <c r="P636" s="145" t="inlineStr">
        <is>
          <t>General</t>
        </is>
      </c>
      <c r="Q636" s="145" t="inlineStr">
        <is>
          <t>General</t>
        </is>
      </c>
      <c r="R636" s="145" t="n"/>
      <c r="S636" s="145" t="n"/>
      <c r="T636" s="145" t="n"/>
      <c r="U636" s="145" t="n"/>
      <c r="V636" s="145" t="n"/>
      <c r="W636" s="145" t="n"/>
      <c r="X636" s="145" t="inlineStr">
        <is>
          <t>Detailed format sample from top 5 used rows</t>
        </is>
      </c>
    </row>
    <row r="637" ht="23.85" customHeight="1" s="79">
      <c r="A637" s="145" t="inlineStr">
        <is>
          <t>WINTER_DEPT</t>
        </is>
      </c>
      <c r="B637" s="145" t="inlineStr">
        <is>
          <t>Top-Row Cell Format</t>
        </is>
      </c>
      <c r="C637" s="145" t="inlineStr">
        <is>
          <t>M2</t>
        </is>
      </c>
      <c r="D637" s="145" t="inlineStr">
        <is>
          <t>WINTER_DEPT!A1:AA31</t>
        </is>
      </c>
      <c r="E637" s="145" t="inlineStr">
        <is>
          <t>Comma</t>
        </is>
      </c>
      <c r="F637" s="145" t="inlineStr">
        <is>
          <t>#B4C6E7</t>
        </is>
      </c>
      <c r="G637" s="145" t="inlineStr">
        <is>
          <t>Aptos</t>
        </is>
      </c>
      <c r="H637" s="145" t="n">
        <v>8</v>
      </c>
      <c r="I637" s="145" t="inlineStr">
        <is>
          <t>Yes</t>
        </is>
      </c>
      <c r="J637" s="145" t="inlineStr">
        <is>
          <t>No</t>
        </is>
      </c>
      <c r="K637" s="145" t="inlineStr">
        <is>
          <t>None</t>
        </is>
      </c>
      <c r="L637" s="145" t="inlineStr">
        <is>
          <t>#000000</t>
        </is>
      </c>
      <c r="M637" s="145" t="inlineStr">
        <is>
          <t>Center</t>
        </is>
      </c>
      <c r="N637" s="145" t="inlineStr">
        <is>
          <t>Center</t>
        </is>
      </c>
      <c r="O637" s="145" t="inlineStr">
        <is>
          <t>No</t>
        </is>
      </c>
      <c r="P637" s="145" t="inlineStr">
        <is>
          <t xml:space="preserve">_ * #,##0_ ;_ * -#,##0_ ;_ * "-"??_ ;_ @_ </t>
        </is>
      </c>
      <c r="Q637" s="145" t="inlineStr">
        <is>
          <t>Text</t>
        </is>
      </c>
      <c r="R637" s="145" t="n"/>
      <c r="S637" s="145" t="n"/>
      <c r="T637" s="145" t="n"/>
      <c r="U637" s="145" t="n"/>
      <c r="V637" s="145" t="n"/>
      <c r="W637" s="145" t="n"/>
      <c r="X637" s="145" t="inlineStr">
        <is>
          <t>Detailed format sample from top 5 used rows</t>
        </is>
      </c>
    </row>
    <row r="638" ht="23.85" customHeight="1" s="79">
      <c r="A638" s="145" t="inlineStr">
        <is>
          <t>WINTER_DEPT</t>
        </is>
      </c>
      <c r="B638" s="145" t="inlineStr">
        <is>
          <t>Top-Row Cell Format</t>
        </is>
      </c>
      <c r="C638" s="145" t="inlineStr">
        <is>
          <t>M3</t>
        </is>
      </c>
      <c r="D638" s="145" t="inlineStr">
        <is>
          <t>WINTER_DEPT!A1:AA31</t>
        </is>
      </c>
      <c r="E638" s="145" t="inlineStr">
        <is>
          <t>Normal</t>
        </is>
      </c>
      <c r="F638" s="145" t="inlineStr">
        <is>
          <t>#F8CBAD</t>
        </is>
      </c>
      <c r="G638" s="145" t="inlineStr">
        <is>
          <t>Aptos</t>
        </is>
      </c>
      <c r="H638" s="145" t="n">
        <v>8</v>
      </c>
      <c r="I638" s="145" t="inlineStr">
        <is>
          <t>Yes</t>
        </is>
      </c>
      <c r="J638" s="145" t="inlineStr">
        <is>
          <t>No</t>
        </is>
      </c>
      <c r="K638" s="145" t="inlineStr">
        <is>
          <t>None</t>
        </is>
      </c>
      <c r="L638" s="145" t="inlineStr">
        <is>
          <t>#000000</t>
        </is>
      </c>
      <c r="M638" s="145" t="inlineStr">
        <is>
          <t>Center</t>
        </is>
      </c>
      <c r="N638" s="145" t="inlineStr">
        <is>
          <t>Center</t>
        </is>
      </c>
      <c r="O638" s="145" t="inlineStr">
        <is>
          <t>Yes</t>
        </is>
      </c>
      <c r="P638" s="145" t="inlineStr">
        <is>
          <t>General</t>
        </is>
      </c>
      <c r="Q638" s="145" t="inlineStr">
        <is>
          <t>General</t>
        </is>
      </c>
      <c r="R638" s="145" t="n"/>
      <c r="S638" s="145" t="n"/>
      <c r="T638" s="145" t="n"/>
      <c r="U638" s="145" t="n"/>
      <c r="V638" s="145" t="n"/>
      <c r="W638" s="145" t="n"/>
      <c r="X638" s="145" t="inlineStr">
        <is>
          <t>Detailed format sample from top 5 used rows</t>
        </is>
      </c>
    </row>
    <row r="639" ht="23.85" customHeight="1" s="79">
      <c r="A639" s="145" t="inlineStr">
        <is>
          <t>WINTER_DEPT</t>
        </is>
      </c>
      <c r="B639" s="145" t="inlineStr">
        <is>
          <t>Top-Row Cell Format</t>
        </is>
      </c>
      <c r="C639" s="145" t="inlineStr">
        <is>
          <t>M4</t>
        </is>
      </c>
      <c r="D639" s="145" t="inlineStr">
        <is>
          <t>WINTER_DEPT!A1:AA31</t>
        </is>
      </c>
      <c r="E639" s="145" t="inlineStr">
        <is>
          <t>Normal</t>
        </is>
      </c>
      <c r="F639" s="145" t="inlineStr">
        <is>
          <t>#F8CBAD</t>
        </is>
      </c>
      <c r="G639" s="145" t="inlineStr">
        <is>
          <t>Aptos</t>
        </is>
      </c>
      <c r="H639" s="145" t="n">
        <v>8</v>
      </c>
      <c r="I639" s="145" t="inlineStr">
        <is>
          <t>No</t>
        </is>
      </c>
      <c r="J639" s="145" t="inlineStr">
        <is>
          <t>No</t>
        </is>
      </c>
      <c r="K639" s="145" t="inlineStr">
        <is>
          <t>None</t>
        </is>
      </c>
      <c r="L639" s="145" t="inlineStr">
        <is>
          <t>#000000</t>
        </is>
      </c>
      <c r="M639" s="145" t="inlineStr">
        <is>
          <t>Center</t>
        </is>
      </c>
      <c r="N639" s="145" t="inlineStr">
        <is>
          <t>Center</t>
        </is>
      </c>
      <c r="O639" s="145" t="inlineStr">
        <is>
          <t>No</t>
        </is>
      </c>
      <c r="P639" s="145" t="inlineStr">
        <is>
          <t>General</t>
        </is>
      </c>
      <c r="Q639" s="145" t="inlineStr">
        <is>
          <t>General</t>
        </is>
      </c>
      <c r="R639" s="145" t="n"/>
      <c r="S639" s="145" t="n"/>
      <c r="T639" s="145" t="n"/>
      <c r="U639" s="145" t="n"/>
      <c r="V639" s="145" t="n"/>
      <c r="W639" s="145" t="n"/>
      <c r="X639" s="145" t="inlineStr">
        <is>
          <t>Detailed format sample from top 5 used rows</t>
        </is>
      </c>
    </row>
    <row r="640" ht="23.85" customHeight="1" s="79">
      <c r="A640" s="145" t="inlineStr">
        <is>
          <t>WINTER_DEPT</t>
        </is>
      </c>
      <c r="B640" s="145" t="inlineStr">
        <is>
          <t>Top-Row Cell Format</t>
        </is>
      </c>
      <c r="C640" s="145" t="inlineStr">
        <is>
          <t>M5</t>
        </is>
      </c>
      <c r="D640" s="145" t="inlineStr">
        <is>
          <t>WINTER_DEPT!A1:AA31</t>
        </is>
      </c>
      <c r="E640" s="145" t="inlineStr">
        <is>
          <t>Normal</t>
        </is>
      </c>
      <c r="F640" s="145" t="inlineStr">
        <is>
          <t>#B4C6E7</t>
        </is>
      </c>
      <c r="G640" s="145" t="inlineStr">
        <is>
          <t>Aptos</t>
        </is>
      </c>
      <c r="H640" s="145" t="n">
        <v>8</v>
      </c>
      <c r="I640" s="145" t="inlineStr">
        <is>
          <t>Yes</t>
        </is>
      </c>
      <c r="J640" s="145" t="inlineStr">
        <is>
          <t>No</t>
        </is>
      </c>
      <c r="K640" s="145" t="inlineStr">
        <is>
          <t>None</t>
        </is>
      </c>
      <c r="L640" s="145" t="inlineStr">
        <is>
          <t>#000000</t>
        </is>
      </c>
      <c r="M640" s="145" t="inlineStr">
        <is>
          <t>General</t>
        </is>
      </c>
      <c r="N640" s="145" t="inlineStr">
        <is>
          <t>Center</t>
        </is>
      </c>
      <c r="O640" s="145" t="inlineStr">
        <is>
          <t>No</t>
        </is>
      </c>
      <c r="P640" s="145" t="inlineStr">
        <is>
          <t xml:space="preserve">_ * #,##0_ ;_ * -#,##0_ ;_ * "-"??_ ;_ @_ </t>
        </is>
      </c>
      <c r="Q640" s="145" t="inlineStr">
        <is>
          <t>Text</t>
        </is>
      </c>
      <c r="R640" s="145" t="n"/>
      <c r="S640" s="145" t="n"/>
      <c r="T640" s="145" t="n"/>
      <c r="U640" s="145" t="n"/>
      <c r="V640" s="145" t="n"/>
      <c r="W640" s="145" t="n"/>
      <c r="X640" s="145" t="inlineStr">
        <is>
          <t>Detailed format sample from top 5 used rows</t>
        </is>
      </c>
    </row>
    <row r="641" ht="23.85" customHeight="1" s="79">
      <c r="A641" s="145" t="inlineStr">
        <is>
          <t>WINTER_DEPT</t>
        </is>
      </c>
      <c r="B641" s="145" t="inlineStr">
        <is>
          <t>Column Format</t>
        </is>
      </c>
      <c r="C641" s="145" t="inlineStr">
        <is>
          <t>N:N</t>
        </is>
      </c>
      <c r="D641" s="145" t="inlineStr">
        <is>
          <t>WINTER_DEPT!A1:AA31</t>
        </is>
      </c>
      <c r="E641" s="145" t="inlineStr">
        <is>
          <t>Mixed</t>
        </is>
      </c>
      <c r="F641" s="145" t="inlineStr">
        <is>
          <t>Mixed</t>
        </is>
      </c>
      <c r="G641" s="145" t="inlineStr">
        <is>
          <t>Aptos</t>
        </is>
      </c>
      <c r="H641" s="145" t="n">
        <v>8</v>
      </c>
      <c r="I641" s="145" t="inlineStr">
        <is>
          <t>Mixed</t>
        </is>
      </c>
      <c r="J641" s="145" t="inlineStr">
        <is>
          <t>No</t>
        </is>
      </c>
      <c r="K641" s="145" t="inlineStr">
        <is>
          <t>None</t>
        </is>
      </c>
      <c r="L641" s="145" t="inlineStr">
        <is>
          <t>#000000</t>
        </is>
      </c>
      <c r="M641" s="145" t="inlineStr">
        <is>
          <t>Mixed</t>
        </is>
      </c>
      <c r="N641" s="145" t="inlineStr">
        <is>
          <t>Center</t>
        </is>
      </c>
      <c r="O641" s="145" t="inlineStr">
        <is>
          <t>Mixed</t>
        </is>
      </c>
      <c r="P641" s="145" t="n"/>
      <c r="Q641" s="145" t="n"/>
      <c r="R641" s="145" t="inlineStr">
        <is>
          <t>EdgeBottom:Continuous/Thin/#000000; EdgeRight:Continuous/Thin/#000000</t>
        </is>
      </c>
      <c r="S641" s="145" t="n">
        <v>45.134328358209</v>
      </c>
      <c r="T641" s="145" t="n"/>
      <c r="U641" s="145" t="inlineStr">
        <is>
          <t>No</t>
        </is>
      </c>
      <c r="V641" s="145" t="inlineStr">
        <is>
          <t>Visible</t>
        </is>
      </c>
      <c r="W641" s="145" t="n"/>
      <c r="X641" s="145" t="inlineStr">
        <is>
          <t>Mixed styles within used column</t>
        </is>
      </c>
    </row>
    <row r="642" ht="23.85" customHeight="1" s="79">
      <c r="A642" s="145" t="inlineStr">
        <is>
          <t>WINTER_DEPT</t>
        </is>
      </c>
      <c r="B642" s="145" t="inlineStr">
        <is>
          <t>Top-Row Cell Format</t>
        </is>
      </c>
      <c r="C642" s="145" t="inlineStr">
        <is>
          <t>N1</t>
        </is>
      </c>
      <c r="D642" s="145" t="inlineStr">
        <is>
          <t>WINTER_DEPT!A1:AA31</t>
        </is>
      </c>
      <c r="E642" s="145" t="inlineStr">
        <is>
          <t>Normal</t>
        </is>
      </c>
      <c r="F642" s="145" t="n"/>
      <c r="G642" s="145" t="inlineStr">
        <is>
          <t>Aptos</t>
        </is>
      </c>
      <c r="H642" s="145" t="n">
        <v>8</v>
      </c>
      <c r="I642" s="145" t="inlineStr">
        <is>
          <t>No</t>
        </is>
      </c>
      <c r="J642" s="145" t="inlineStr">
        <is>
          <t>No</t>
        </is>
      </c>
      <c r="K642" s="145" t="inlineStr">
        <is>
          <t>None</t>
        </is>
      </c>
      <c r="L642" s="145" t="inlineStr">
        <is>
          <t>#000000</t>
        </is>
      </c>
      <c r="M642" s="145" t="inlineStr">
        <is>
          <t>General</t>
        </is>
      </c>
      <c r="N642" s="145" t="inlineStr">
        <is>
          <t>Center</t>
        </is>
      </c>
      <c r="O642" s="145" t="inlineStr">
        <is>
          <t>No</t>
        </is>
      </c>
      <c r="P642" s="145" t="inlineStr">
        <is>
          <t xml:space="preserve">_ * #,##0_ ;_ * -#,##0_ ;_ * "-"??_ ;_ @_ </t>
        </is>
      </c>
      <c r="Q642" s="145" t="inlineStr">
        <is>
          <t>Text</t>
        </is>
      </c>
      <c r="R642" s="145" t="n"/>
      <c r="S642" s="145" t="n"/>
      <c r="T642" s="145" t="n"/>
      <c r="U642" s="145" t="n"/>
      <c r="V642" s="145" t="n"/>
      <c r="W642" s="145" t="n"/>
      <c r="X642" s="145" t="inlineStr">
        <is>
          <t>Detailed format sample from top 5 used rows</t>
        </is>
      </c>
    </row>
    <row r="643" ht="23.85" customHeight="1" s="79">
      <c r="A643" s="145" t="inlineStr">
        <is>
          <t>WINTER_DEPT</t>
        </is>
      </c>
      <c r="B643" s="145" t="inlineStr">
        <is>
          <t>Top-Row Cell Format</t>
        </is>
      </c>
      <c r="C643" s="145" t="inlineStr">
        <is>
          <t>N2</t>
        </is>
      </c>
      <c r="D643" s="145" t="inlineStr">
        <is>
          <t>WINTER_DEPT!A1:AA31</t>
        </is>
      </c>
      <c r="E643" s="145" t="inlineStr">
        <is>
          <t>Comma</t>
        </is>
      </c>
      <c r="F643" s="145" t="inlineStr">
        <is>
          <t>#B4C6E7</t>
        </is>
      </c>
      <c r="G643" s="145" t="inlineStr">
        <is>
          <t>Aptos</t>
        </is>
      </c>
      <c r="H643" s="145" t="n">
        <v>8</v>
      </c>
      <c r="I643" s="145" t="inlineStr">
        <is>
          <t>Yes</t>
        </is>
      </c>
      <c r="J643" s="145" t="inlineStr">
        <is>
          <t>No</t>
        </is>
      </c>
      <c r="K643" s="145" t="inlineStr">
        <is>
          <t>None</t>
        </is>
      </c>
      <c r="L643" s="145" t="inlineStr">
        <is>
          <t>#000000</t>
        </is>
      </c>
      <c r="M643" s="145" t="inlineStr">
        <is>
          <t>Center</t>
        </is>
      </c>
      <c r="N643" s="145" t="inlineStr">
        <is>
          <t>Center</t>
        </is>
      </c>
      <c r="O643" s="145" t="inlineStr">
        <is>
          <t>No</t>
        </is>
      </c>
      <c r="P643" s="145" t="inlineStr">
        <is>
          <t xml:space="preserve">_ * #,##0_ ;_ * -#,##0_ ;_ * "-"??_ ;_ @_ </t>
        </is>
      </c>
      <c r="Q643" s="145" t="inlineStr">
        <is>
          <t>Text</t>
        </is>
      </c>
      <c r="R643" s="145" t="n"/>
      <c r="S643" s="145" t="n"/>
      <c r="T643" s="145" t="n"/>
      <c r="U643" s="145" t="n"/>
      <c r="V643" s="145" t="n"/>
      <c r="W643" s="145" t="n"/>
      <c r="X643" s="145" t="inlineStr">
        <is>
          <t>Detailed format sample from top 5 used rows</t>
        </is>
      </c>
    </row>
    <row r="644" ht="23.85" customHeight="1" s="79">
      <c r="A644" s="145" t="inlineStr">
        <is>
          <t>WINTER_DEPT</t>
        </is>
      </c>
      <c r="B644" s="145" t="inlineStr">
        <is>
          <t>Top-Row Cell Format</t>
        </is>
      </c>
      <c r="C644" s="145" t="inlineStr">
        <is>
          <t>N3</t>
        </is>
      </c>
      <c r="D644" s="145" t="inlineStr">
        <is>
          <t>WINTER_DEPT!A1:AA31</t>
        </is>
      </c>
      <c r="E644" s="145" t="inlineStr">
        <is>
          <t>Percent</t>
        </is>
      </c>
      <c r="F644" s="145" t="inlineStr">
        <is>
          <t>#F8CBAD</t>
        </is>
      </c>
      <c r="G644" s="145" t="inlineStr">
        <is>
          <t>Aptos</t>
        </is>
      </c>
      <c r="H644" s="145" t="n">
        <v>8</v>
      </c>
      <c r="I644" s="145" t="inlineStr">
        <is>
          <t>Yes</t>
        </is>
      </c>
      <c r="J644" s="145" t="inlineStr">
        <is>
          <t>No</t>
        </is>
      </c>
      <c r="K644" s="145" t="inlineStr">
        <is>
          <t>None</t>
        </is>
      </c>
      <c r="L644" s="145" t="inlineStr">
        <is>
          <t>#000000</t>
        </is>
      </c>
      <c r="M644" s="145" t="inlineStr">
        <is>
          <t>Center</t>
        </is>
      </c>
      <c r="N644" s="145" t="inlineStr">
        <is>
          <t>Center</t>
        </is>
      </c>
      <c r="O644" s="145" t="inlineStr">
        <is>
          <t>Yes</t>
        </is>
      </c>
      <c r="P644" s="146" t="n">
        <v>0</v>
      </c>
      <c r="Q644" s="145" t="inlineStr">
        <is>
          <t>Percentage</t>
        </is>
      </c>
      <c r="R644" s="145" t="n"/>
      <c r="S644" s="145" t="n"/>
      <c r="T644" s="145" t="n"/>
      <c r="U644" s="145" t="n"/>
      <c r="V644" s="145" t="n"/>
      <c r="W644" s="145" t="n"/>
      <c r="X644" s="145" t="inlineStr">
        <is>
          <t>Detailed format sample from top 5 used rows</t>
        </is>
      </c>
    </row>
    <row r="645" ht="23.85" customHeight="1" s="79">
      <c r="A645" s="145" t="inlineStr">
        <is>
          <t>WINTER_DEPT</t>
        </is>
      </c>
      <c r="B645" s="145" t="inlineStr">
        <is>
          <t>Top-Row Cell Format</t>
        </is>
      </c>
      <c r="C645" s="145" t="inlineStr">
        <is>
          <t>N4</t>
        </is>
      </c>
      <c r="D645" s="145" t="inlineStr">
        <is>
          <t>WINTER_DEPT!A1:AA31</t>
        </is>
      </c>
      <c r="E645" s="145" t="inlineStr">
        <is>
          <t>Normal</t>
        </is>
      </c>
      <c r="F645" s="145" t="inlineStr">
        <is>
          <t>#F8CBAD</t>
        </is>
      </c>
      <c r="G645" s="145" t="inlineStr">
        <is>
          <t>Aptos</t>
        </is>
      </c>
      <c r="H645" s="145" t="n">
        <v>8</v>
      </c>
      <c r="I645" s="145" t="inlineStr">
        <is>
          <t>No</t>
        </is>
      </c>
      <c r="J645" s="145" t="inlineStr">
        <is>
          <t>No</t>
        </is>
      </c>
      <c r="K645" s="145" t="inlineStr">
        <is>
          <t>None</t>
        </is>
      </c>
      <c r="L645" s="145" t="inlineStr">
        <is>
          <t>#000000</t>
        </is>
      </c>
      <c r="M645" s="145" t="inlineStr">
        <is>
          <t>Center</t>
        </is>
      </c>
      <c r="N645" s="145" t="inlineStr">
        <is>
          <t>Center</t>
        </is>
      </c>
      <c r="O645" s="145" t="inlineStr">
        <is>
          <t>No</t>
        </is>
      </c>
      <c r="P645" s="145" t="inlineStr">
        <is>
          <t>General</t>
        </is>
      </c>
      <c r="Q645" s="145" t="inlineStr">
        <is>
          <t>General</t>
        </is>
      </c>
      <c r="R645" s="145" t="n"/>
      <c r="S645" s="145" t="n"/>
      <c r="T645" s="145" t="n"/>
      <c r="U645" s="145" t="n"/>
      <c r="V645" s="145" t="n"/>
      <c r="W645" s="145" t="n"/>
      <c r="X645" s="145" t="inlineStr">
        <is>
          <t>Detailed format sample from top 5 used rows</t>
        </is>
      </c>
    </row>
    <row r="646" ht="23.85" customHeight="1" s="79">
      <c r="A646" s="145" t="inlineStr">
        <is>
          <t>WINTER_DEPT</t>
        </is>
      </c>
      <c r="B646" s="145" t="inlineStr">
        <is>
          <t>Top-Row Cell Format</t>
        </is>
      </c>
      <c r="C646" s="145" t="inlineStr">
        <is>
          <t>N5</t>
        </is>
      </c>
      <c r="D646" s="145" t="inlineStr">
        <is>
          <t>WINTER_DEPT!A1:AA31</t>
        </is>
      </c>
      <c r="E646" s="145" t="inlineStr">
        <is>
          <t>Comma</t>
        </is>
      </c>
      <c r="F646" s="145" t="n"/>
      <c r="G646" s="145" t="inlineStr">
        <is>
          <t>Aptos</t>
        </is>
      </c>
      <c r="H646" s="145" t="n">
        <v>8</v>
      </c>
      <c r="I646" s="145" t="inlineStr">
        <is>
          <t>No</t>
        </is>
      </c>
      <c r="J646" s="145" t="inlineStr">
        <is>
          <t>No</t>
        </is>
      </c>
      <c r="K646" s="145" t="inlineStr">
        <is>
          <t>None</t>
        </is>
      </c>
      <c r="L646" s="145" t="inlineStr">
        <is>
          <t>#000000</t>
        </is>
      </c>
      <c r="M646" s="145" t="inlineStr">
        <is>
          <t>General</t>
        </is>
      </c>
      <c r="N646" s="145" t="inlineStr">
        <is>
          <t>Center</t>
        </is>
      </c>
      <c r="O646" s="145" t="inlineStr">
        <is>
          <t>No</t>
        </is>
      </c>
      <c r="P646" s="145" t="inlineStr">
        <is>
          <t xml:space="preserve">_ * #,##0_ ;_ * -#,##0_ ;_ * "-"??_ ;_ @_ </t>
        </is>
      </c>
      <c r="Q646" s="145" t="inlineStr">
        <is>
          <t>Text</t>
        </is>
      </c>
      <c r="R646" s="145" t="n"/>
      <c r="S646" s="145" t="n"/>
      <c r="T646" s="145" t="n"/>
      <c r="U646" s="145" t="n"/>
      <c r="V646" s="145" t="n"/>
      <c r="W646" s="145" t="n"/>
      <c r="X646" s="145" t="inlineStr">
        <is>
          <t>Detailed format sample from top 5 used rows</t>
        </is>
      </c>
    </row>
    <row r="647" ht="23.85" customHeight="1" s="79">
      <c r="A647" s="145" t="inlineStr">
        <is>
          <t>WINTER_DEPT</t>
        </is>
      </c>
      <c r="B647" s="145" t="inlineStr">
        <is>
          <t>Column Format</t>
        </is>
      </c>
      <c r="C647" s="145" t="inlineStr">
        <is>
          <t>O:O</t>
        </is>
      </c>
      <c r="D647" s="145" t="inlineStr">
        <is>
          <t>WINTER_DEPT!A1:AA31</t>
        </is>
      </c>
      <c r="E647" s="145" t="inlineStr">
        <is>
          <t>Mixed</t>
        </is>
      </c>
      <c r="F647" s="145" t="inlineStr">
        <is>
          <t>Mixed</t>
        </is>
      </c>
      <c r="G647" s="145" t="inlineStr">
        <is>
          <t>Aptos</t>
        </is>
      </c>
      <c r="H647" s="145" t="n">
        <v>8</v>
      </c>
      <c r="I647" s="145" t="inlineStr">
        <is>
          <t>Mixed</t>
        </is>
      </c>
      <c r="J647" s="145" t="inlineStr">
        <is>
          <t>No</t>
        </is>
      </c>
      <c r="K647" s="145" t="inlineStr">
        <is>
          <t>None</t>
        </is>
      </c>
      <c r="L647" s="145" t="inlineStr">
        <is>
          <t>#000000</t>
        </is>
      </c>
      <c r="M647" s="145" t="inlineStr">
        <is>
          <t>Mixed</t>
        </is>
      </c>
      <c r="N647" s="145" t="inlineStr">
        <is>
          <t>Center</t>
        </is>
      </c>
      <c r="O647" s="145" t="inlineStr">
        <is>
          <t>Mixed</t>
        </is>
      </c>
      <c r="P647" s="145" t="n"/>
      <c r="Q647" s="145" t="n"/>
      <c r="R647" s="145" t="inlineStr">
        <is>
          <t>EdgeBottom:Continuous/Thin/#000000; EdgeRight:Continuous/Thin/#000000</t>
        </is>
      </c>
      <c r="S647" s="145" t="n">
        <v>53.1940298507463</v>
      </c>
      <c r="T647" s="145" t="n"/>
      <c r="U647" s="145" t="inlineStr">
        <is>
          <t>No</t>
        </is>
      </c>
      <c r="V647" s="145" t="inlineStr">
        <is>
          <t>Visible</t>
        </is>
      </c>
      <c r="W647" s="145" t="n"/>
      <c r="X647" s="145" t="inlineStr">
        <is>
          <t>Mixed styles within used column</t>
        </is>
      </c>
    </row>
    <row r="648" ht="23.85" customHeight="1" s="79">
      <c r="A648" s="145" t="inlineStr">
        <is>
          <t>WINTER_DEPT</t>
        </is>
      </c>
      <c r="B648" s="145" t="inlineStr">
        <is>
          <t>Top-Row Cell Format</t>
        </is>
      </c>
      <c r="C648" s="145" t="inlineStr">
        <is>
          <t>O1</t>
        </is>
      </c>
      <c r="D648" s="145" t="inlineStr">
        <is>
          <t>WINTER_DEPT!A1:AA31</t>
        </is>
      </c>
      <c r="E648" s="145" t="inlineStr">
        <is>
          <t>Normal</t>
        </is>
      </c>
      <c r="F648" s="145" t="n"/>
      <c r="G648" s="145" t="inlineStr">
        <is>
          <t>Aptos</t>
        </is>
      </c>
      <c r="H648" s="145" t="n">
        <v>8</v>
      </c>
      <c r="I648" s="145" t="inlineStr">
        <is>
          <t>No</t>
        </is>
      </c>
      <c r="J648" s="145" t="inlineStr">
        <is>
          <t>No</t>
        </is>
      </c>
      <c r="K648" s="145" t="inlineStr">
        <is>
          <t>None</t>
        </is>
      </c>
      <c r="L648" s="145" t="inlineStr">
        <is>
          <t>#000000</t>
        </is>
      </c>
      <c r="M648" s="145" t="inlineStr">
        <is>
          <t>General</t>
        </is>
      </c>
      <c r="N648" s="145" t="inlineStr">
        <is>
          <t>Center</t>
        </is>
      </c>
      <c r="O648" s="145" t="inlineStr">
        <is>
          <t>No</t>
        </is>
      </c>
      <c r="P648" s="145" t="inlineStr">
        <is>
          <t>General</t>
        </is>
      </c>
      <c r="Q648" s="145" t="inlineStr">
        <is>
          <t>General</t>
        </is>
      </c>
      <c r="R648" s="145" t="n"/>
      <c r="S648" s="145" t="n"/>
      <c r="T648" s="145" t="n"/>
      <c r="U648" s="145" t="n"/>
      <c r="V648" s="145" t="n"/>
      <c r="W648" s="145" t="n"/>
      <c r="X648" s="145" t="inlineStr">
        <is>
          <t>Detailed format sample from top 5 used rows</t>
        </is>
      </c>
    </row>
    <row r="649" ht="23.85" customHeight="1" s="79">
      <c r="A649" s="145" t="inlineStr">
        <is>
          <t>WINTER_DEPT</t>
        </is>
      </c>
      <c r="B649" s="145" t="inlineStr">
        <is>
          <t>Top-Row Cell Format</t>
        </is>
      </c>
      <c r="C649" s="145" t="inlineStr">
        <is>
          <t>O2</t>
        </is>
      </c>
      <c r="D649" s="145" t="inlineStr">
        <is>
          <t>WINTER_DEPT!A1:AA31</t>
        </is>
      </c>
      <c r="E649" s="145" t="inlineStr">
        <is>
          <t>Comma</t>
        </is>
      </c>
      <c r="F649" s="145" t="inlineStr">
        <is>
          <t>#B4C6E7</t>
        </is>
      </c>
      <c r="G649" s="145" t="inlineStr">
        <is>
          <t>Aptos</t>
        </is>
      </c>
      <c r="H649" s="145" t="n">
        <v>8</v>
      </c>
      <c r="I649" s="145" t="inlineStr">
        <is>
          <t>Yes</t>
        </is>
      </c>
      <c r="J649" s="145" t="inlineStr">
        <is>
          <t>No</t>
        </is>
      </c>
      <c r="K649" s="145" t="inlineStr">
        <is>
          <t>None</t>
        </is>
      </c>
      <c r="L649" s="145" t="inlineStr">
        <is>
          <t>#000000</t>
        </is>
      </c>
      <c r="M649" s="145" t="inlineStr">
        <is>
          <t>Center</t>
        </is>
      </c>
      <c r="N649" s="145" t="inlineStr">
        <is>
          <t>Center</t>
        </is>
      </c>
      <c r="O649" s="145" t="inlineStr">
        <is>
          <t>No</t>
        </is>
      </c>
      <c r="P649" s="145" t="inlineStr">
        <is>
          <t xml:space="preserve">_ * #,##0_ ;_ * -#,##0_ ;_ * "-"??_ ;_ @_ </t>
        </is>
      </c>
      <c r="Q649" s="145" t="inlineStr">
        <is>
          <t>Text</t>
        </is>
      </c>
      <c r="R649" s="145" t="n"/>
      <c r="S649" s="145" t="n"/>
      <c r="T649" s="145" t="n"/>
      <c r="U649" s="145" t="n"/>
      <c r="V649" s="145" t="n"/>
      <c r="W649" s="145" t="n"/>
      <c r="X649" s="145" t="inlineStr">
        <is>
          <t>Detailed format sample from top 5 used rows</t>
        </is>
      </c>
    </row>
    <row r="650" ht="23.85" customHeight="1" s="79">
      <c r="A650" s="145" t="inlineStr">
        <is>
          <t>WINTER_DEPT</t>
        </is>
      </c>
      <c r="B650" s="145" t="inlineStr">
        <is>
          <t>Top-Row Cell Format</t>
        </is>
      </c>
      <c r="C650" s="145" t="inlineStr">
        <is>
          <t>O3</t>
        </is>
      </c>
      <c r="D650" s="145" t="inlineStr">
        <is>
          <t>WINTER_DEPT!A1:AA31</t>
        </is>
      </c>
      <c r="E650" s="145" t="inlineStr">
        <is>
          <t>Normal</t>
        </is>
      </c>
      <c r="F650" s="145" t="inlineStr">
        <is>
          <t>#F8CBAD</t>
        </is>
      </c>
      <c r="G650" s="145" t="inlineStr">
        <is>
          <t>Aptos</t>
        </is>
      </c>
      <c r="H650" s="145" t="n">
        <v>8</v>
      </c>
      <c r="I650" s="145" t="inlineStr">
        <is>
          <t>Yes</t>
        </is>
      </c>
      <c r="J650" s="145" t="inlineStr">
        <is>
          <t>No</t>
        </is>
      </c>
      <c r="K650" s="145" t="inlineStr">
        <is>
          <t>None</t>
        </is>
      </c>
      <c r="L650" s="145" t="inlineStr">
        <is>
          <t>#000000</t>
        </is>
      </c>
      <c r="M650" s="145" t="inlineStr">
        <is>
          <t>Center</t>
        </is>
      </c>
      <c r="N650" s="145" t="inlineStr">
        <is>
          <t>Center</t>
        </is>
      </c>
      <c r="O650" s="145" t="inlineStr">
        <is>
          <t>Yes</t>
        </is>
      </c>
      <c r="P650" s="145" t="inlineStr">
        <is>
          <t>General</t>
        </is>
      </c>
      <c r="Q650" s="145" t="inlineStr">
        <is>
          <t>General</t>
        </is>
      </c>
      <c r="R650" s="145" t="n"/>
      <c r="S650" s="145" t="n"/>
      <c r="T650" s="145" t="n"/>
      <c r="U650" s="145" t="n"/>
      <c r="V650" s="145" t="n"/>
      <c r="W650" s="145" t="n"/>
      <c r="X650" s="145" t="inlineStr">
        <is>
          <t>Detailed format sample from top 5 used rows</t>
        </is>
      </c>
    </row>
    <row r="651" ht="23.85" customHeight="1" s="79">
      <c r="A651" s="145" t="inlineStr">
        <is>
          <t>WINTER_DEPT</t>
        </is>
      </c>
      <c r="B651" s="145" t="inlineStr">
        <is>
          <t>Top-Row Cell Format</t>
        </is>
      </c>
      <c r="C651" s="145" t="inlineStr">
        <is>
          <t>O4</t>
        </is>
      </c>
      <c r="D651" s="145" t="inlineStr">
        <is>
          <t>WINTER_DEPT!A1:AA31</t>
        </is>
      </c>
      <c r="E651" s="145" t="inlineStr">
        <is>
          <t>Normal</t>
        </is>
      </c>
      <c r="F651" s="145" t="inlineStr">
        <is>
          <t>#F8CBAD</t>
        </is>
      </c>
      <c r="G651" s="145" t="inlineStr">
        <is>
          <t>Aptos</t>
        </is>
      </c>
      <c r="H651" s="145" t="n">
        <v>8</v>
      </c>
      <c r="I651" s="145" t="inlineStr">
        <is>
          <t>No</t>
        </is>
      </c>
      <c r="J651" s="145" t="inlineStr">
        <is>
          <t>No</t>
        </is>
      </c>
      <c r="K651" s="145" t="inlineStr">
        <is>
          <t>None</t>
        </is>
      </c>
      <c r="L651" s="145" t="inlineStr">
        <is>
          <t>#000000</t>
        </is>
      </c>
      <c r="M651" s="145" t="inlineStr">
        <is>
          <t>Center</t>
        </is>
      </c>
      <c r="N651" s="145" t="inlineStr">
        <is>
          <t>Center</t>
        </is>
      </c>
      <c r="O651" s="145" t="inlineStr">
        <is>
          <t>No</t>
        </is>
      </c>
      <c r="P651" s="145" t="inlineStr">
        <is>
          <t>General</t>
        </is>
      </c>
      <c r="Q651" s="145" t="inlineStr">
        <is>
          <t>General</t>
        </is>
      </c>
      <c r="R651" s="145" t="n"/>
      <c r="S651" s="145" t="n"/>
      <c r="T651" s="145" t="n"/>
      <c r="U651" s="145" t="n"/>
      <c r="V651" s="145" t="n"/>
      <c r="W651" s="145" t="n"/>
      <c r="X651" s="145" t="inlineStr">
        <is>
          <t>Detailed format sample from top 5 used rows</t>
        </is>
      </c>
    </row>
    <row r="652" ht="23.85" customHeight="1" s="79">
      <c r="A652" s="145" t="inlineStr">
        <is>
          <t>WINTER_DEPT</t>
        </is>
      </c>
      <c r="B652" s="145" t="inlineStr">
        <is>
          <t>Top-Row Cell Format</t>
        </is>
      </c>
      <c r="C652" s="145" t="inlineStr">
        <is>
          <t>O5</t>
        </is>
      </c>
      <c r="D652" s="145" t="inlineStr">
        <is>
          <t>WINTER_DEPT!A1:AA31</t>
        </is>
      </c>
      <c r="E652" s="145" t="inlineStr">
        <is>
          <t>Comma</t>
        </is>
      </c>
      <c r="F652" s="145" t="n"/>
      <c r="G652" s="145" t="inlineStr">
        <is>
          <t>Aptos</t>
        </is>
      </c>
      <c r="H652" s="145" t="n">
        <v>8</v>
      </c>
      <c r="I652" s="145" t="inlineStr">
        <is>
          <t>No</t>
        </is>
      </c>
      <c r="J652" s="145" t="inlineStr">
        <is>
          <t>No</t>
        </is>
      </c>
      <c r="K652" s="145" t="inlineStr">
        <is>
          <t>None</t>
        </is>
      </c>
      <c r="L652" s="145" t="inlineStr">
        <is>
          <t>#000000</t>
        </is>
      </c>
      <c r="M652" s="145" t="inlineStr">
        <is>
          <t>General</t>
        </is>
      </c>
      <c r="N652" s="145" t="inlineStr">
        <is>
          <t>Center</t>
        </is>
      </c>
      <c r="O652" s="145" t="inlineStr">
        <is>
          <t>No</t>
        </is>
      </c>
      <c r="P652" s="145" t="inlineStr">
        <is>
          <t xml:space="preserve">_ * #,##0_ ;_ * -#,##0_ ;_ * "-"??_ ;_ @_ </t>
        </is>
      </c>
      <c r="Q652" s="145" t="inlineStr">
        <is>
          <t>Text</t>
        </is>
      </c>
      <c r="R652" s="145" t="n"/>
      <c r="S652" s="145" t="n"/>
      <c r="T652" s="145" t="n"/>
      <c r="U652" s="145" t="n"/>
      <c r="V652" s="145" t="n"/>
      <c r="W652" s="145" t="n"/>
      <c r="X652" s="145" t="inlineStr">
        <is>
          <t>Detailed format sample from top 5 used rows</t>
        </is>
      </c>
    </row>
    <row r="653" ht="23.85" customHeight="1" s="79">
      <c r="A653" s="145" t="inlineStr">
        <is>
          <t>WINTER_DEPT</t>
        </is>
      </c>
      <c r="B653" s="145" t="inlineStr">
        <is>
          <t>Column Format</t>
        </is>
      </c>
      <c r="C653" s="145" t="inlineStr">
        <is>
          <t>P:P</t>
        </is>
      </c>
      <c r="D653" s="145" t="inlineStr">
        <is>
          <t>WINTER_DEPT!A1:AA31</t>
        </is>
      </c>
      <c r="E653" s="145" t="inlineStr">
        <is>
          <t>Mixed</t>
        </is>
      </c>
      <c r="F653" s="145" t="inlineStr">
        <is>
          <t>Mixed</t>
        </is>
      </c>
      <c r="G653" s="145" t="inlineStr">
        <is>
          <t>Aptos</t>
        </is>
      </c>
      <c r="H653" s="145" t="n">
        <v>8</v>
      </c>
      <c r="I653" s="145" t="inlineStr">
        <is>
          <t>Mixed</t>
        </is>
      </c>
      <c r="J653" s="145" t="inlineStr">
        <is>
          <t>No</t>
        </is>
      </c>
      <c r="K653" s="145" t="inlineStr">
        <is>
          <t>None</t>
        </is>
      </c>
      <c r="L653" s="145" t="inlineStr">
        <is>
          <t>#000000</t>
        </is>
      </c>
      <c r="M653" s="145" t="inlineStr">
        <is>
          <t>Mixed</t>
        </is>
      </c>
      <c r="N653" s="145" t="inlineStr">
        <is>
          <t>Center</t>
        </is>
      </c>
      <c r="O653" s="145" t="inlineStr">
        <is>
          <t>Mixed</t>
        </is>
      </c>
      <c r="P653" s="145" t="n"/>
      <c r="Q653" s="145" t="n"/>
      <c r="R653" s="145" t="inlineStr">
        <is>
          <t>EdgeBottom:Continuous/Thin/#000000; EdgeRight:Continuous/Thin/#000000</t>
        </is>
      </c>
      <c r="S653" s="145" t="n">
        <v>60.7164179104478</v>
      </c>
      <c r="T653" s="145" t="n"/>
      <c r="U653" s="145" t="inlineStr">
        <is>
          <t>No</t>
        </is>
      </c>
      <c r="V653" s="145" t="inlineStr">
        <is>
          <t>Visible</t>
        </is>
      </c>
      <c r="W653" s="145" t="n"/>
      <c r="X653" s="145" t="inlineStr">
        <is>
          <t>Mixed styles within used column</t>
        </is>
      </c>
    </row>
    <row r="654" ht="23.85" customHeight="1" s="79">
      <c r="A654" s="145" t="inlineStr">
        <is>
          <t>WINTER_DEPT</t>
        </is>
      </c>
      <c r="B654" s="145" t="inlineStr">
        <is>
          <t>Top-Row Cell Format</t>
        </is>
      </c>
      <c r="C654" s="145" t="inlineStr">
        <is>
          <t>P1</t>
        </is>
      </c>
      <c r="D654" s="145" t="inlineStr">
        <is>
          <t>WINTER_DEPT!A1:AA31</t>
        </is>
      </c>
      <c r="E654" s="145" t="inlineStr">
        <is>
          <t>Normal</t>
        </is>
      </c>
      <c r="F654" s="145" t="n"/>
      <c r="G654" s="145" t="inlineStr">
        <is>
          <t>Aptos</t>
        </is>
      </c>
      <c r="H654" s="145" t="n">
        <v>8</v>
      </c>
      <c r="I654" s="145" t="inlineStr">
        <is>
          <t>No</t>
        </is>
      </c>
      <c r="J654" s="145" t="inlineStr">
        <is>
          <t>No</t>
        </is>
      </c>
      <c r="K654" s="145" t="inlineStr">
        <is>
          <t>None</t>
        </is>
      </c>
      <c r="L654" s="145" t="inlineStr">
        <is>
          <t>#000000</t>
        </is>
      </c>
      <c r="M654" s="145" t="inlineStr">
        <is>
          <t>General</t>
        </is>
      </c>
      <c r="N654" s="145" t="inlineStr">
        <is>
          <t>Center</t>
        </is>
      </c>
      <c r="O654" s="145" t="inlineStr">
        <is>
          <t>No</t>
        </is>
      </c>
      <c r="P654" s="145" t="inlineStr">
        <is>
          <t>General</t>
        </is>
      </c>
      <c r="Q654" s="145" t="inlineStr">
        <is>
          <t>General</t>
        </is>
      </c>
      <c r="R654" s="145" t="n"/>
      <c r="S654" s="145" t="n"/>
      <c r="T654" s="145" t="n"/>
      <c r="U654" s="145" t="n"/>
      <c r="V654" s="145" t="n"/>
      <c r="W654" s="145" t="n"/>
      <c r="X654" s="145" t="inlineStr">
        <is>
          <t>Detailed format sample from top 5 used rows</t>
        </is>
      </c>
    </row>
    <row r="655" ht="23.85" customHeight="1" s="79">
      <c r="A655" s="145" t="inlineStr">
        <is>
          <t>WINTER_DEPT</t>
        </is>
      </c>
      <c r="B655" s="145" t="inlineStr">
        <is>
          <t>Top-Row Cell Format</t>
        </is>
      </c>
      <c r="C655" s="145" t="inlineStr">
        <is>
          <t>P2</t>
        </is>
      </c>
      <c r="D655" s="145" t="inlineStr">
        <is>
          <t>WINTER_DEPT!A1:AA31</t>
        </is>
      </c>
      <c r="E655" s="145" t="inlineStr">
        <is>
          <t>Comma</t>
        </is>
      </c>
      <c r="F655" s="145" t="inlineStr">
        <is>
          <t>#B4C6E7</t>
        </is>
      </c>
      <c r="G655" s="145" t="inlineStr">
        <is>
          <t>Aptos</t>
        </is>
      </c>
      <c r="H655" s="145" t="n">
        <v>8</v>
      </c>
      <c r="I655" s="145" t="inlineStr">
        <is>
          <t>Yes</t>
        </is>
      </c>
      <c r="J655" s="145" t="inlineStr">
        <is>
          <t>No</t>
        </is>
      </c>
      <c r="K655" s="145" t="inlineStr">
        <is>
          <t>None</t>
        </is>
      </c>
      <c r="L655" s="145" t="inlineStr">
        <is>
          <t>#000000</t>
        </is>
      </c>
      <c r="M655" s="145" t="inlineStr">
        <is>
          <t>Center</t>
        </is>
      </c>
      <c r="N655" s="145" t="inlineStr">
        <is>
          <t>Center</t>
        </is>
      </c>
      <c r="O655" s="145" t="inlineStr">
        <is>
          <t>No</t>
        </is>
      </c>
      <c r="P655" s="145" t="inlineStr">
        <is>
          <t xml:space="preserve">_ * #,##0_ ;_ * -#,##0_ ;_ * "-"??_ ;_ @_ </t>
        </is>
      </c>
      <c r="Q655" s="145" t="inlineStr">
        <is>
          <t>Text</t>
        </is>
      </c>
      <c r="R655" s="145" t="n"/>
      <c r="S655" s="145" t="n"/>
      <c r="T655" s="145" t="n"/>
      <c r="U655" s="145" t="n"/>
      <c r="V655" s="145" t="n"/>
      <c r="W655" s="145" t="n"/>
      <c r="X655" s="145" t="inlineStr">
        <is>
          <t>Detailed format sample from top 5 used rows</t>
        </is>
      </c>
    </row>
    <row r="656" ht="23.85" customHeight="1" s="79">
      <c r="A656" s="145" t="inlineStr">
        <is>
          <t>WINTER_DEPT</t>
        </is>
      </c>
      <c r="B656" s="145" t="inlineStr">
        <is>
          <t>Top-Row Cell Format</t>
        </is>
      </c>
      <c r="C656" s="145" t="inlineStr">
        <is>
          <t>P3</t>
        </is>
      </c>
      <c r="D656" s="145" t="inlineStr">
        <is>
          <t>WINTER_DEPT!A1:AA31</t>
        </is>
      </c>
      <c r="E656" s="145" t="inlineStr">
        <is>
          <t>Normal</t>
        </is>
      </c>
      <c r="F656" s="145" t="inlineStr">
        <is>
          <t>#F8CBAD</t>
        </is>
      </c>
      <c r="G656" s="145" t="inlineStr">
        <is>
          <t>Aptos</t>
        </is>
      </c>
      <c r="H656" s="145" t="n">
        <v>8</v>
      </c>
      <c r="I656" s="145" t="inlineStr">
        <is>
          <t>Yes</t>
        </is>
      </c>
      <c r="J656" s="145" t="inlineStr">
        <is>
          <t>No</t>
        </is>
      </c>
      <c r="K656" s="145" t="inlineStr">
        <is>
          <t>None</t>
        </is>
      </c>
      <c r="L656" s="145" t="inlineStr">
        <is>
          <t>#000000</t>
        </is>
      </c>
      <c r="M656" s="145" t="inlineStr">
        <is>
          <t>Center</t>
        </is>
      </c>
      <c r="N656" s="145" t="inlineStr">
        <is>
          <t>Center</t>
        </is>
      </c>
      <c r="O656" s="145" t="inlineStr">
        <is>
          <t>Yes</t>
        </is>
      </c>
      <c r="P656" s="145" t="inlineStr">
        <is>
          <t>General</t>
        </is>
      </c>
      <c r="Q656" s="145" t="inlineStr">
        <is>
          <t>General</t>
        </is>
      </c>
      <c r="R656" s="145" t="n"/>
      <c r="S656" s="145" t="n"/>
      <c r="T656" s="145" t="n"/>
      <c r="U656" s="145" t="n"/>
      <c r="V656" s="145" t="n"/>
      <c r="W656" s="145" t="n"/>
      <c r="X656" s="145" t="inlineStr">
        <is>
          <t>Detailed format sample from top 5 used rows</t>
        </is>
      </c>
    </row>
    <row r="657" ht="23.85" customHeight="1" s="79">
      <c r="A657" s="145" t="inlineStr">
        <is>
          <t>WINTER_DEPT</t>
        </is>
      </c>
      <c r="B657" s="145" t="inlineStr">
        <is>
          <t>Top-Row Cell Format</t>
        </is>
      </c>
      <c r="C657" s="145" t="inlineStr">
        <is>
          <t>P4</t>
        </is>
      </c>
      <c r="D657" s="145" t="inlineStr">
        <is>
          <t>WINTER_DEPT!A1:AA31</t>
        </is>
      </c>
      <c r="E657" s="145" t="inlineStr">
        <is>
          <t>Normal</t>
        </is>
      </c>
      <c r="F657" s="145" t="inlineStr">
        <is>
          <t>#F8CBAD</t>
        </is>
      </c>
      <c r="G657" s="145" t="inlineStr">
        <is>
          <t>Aptos</t>
        </is>
      </c>
      <c r="H657" s="145" t="n">
        <v>8</v>
      </c>
      <c r="I657" s="145" t="inlineStr">
        <is>
          <t>No</t>
        </is>
      </c>
      <c r="J657" s="145" t="inlineStr">
        <is>
          <t>No</t>
        </is>
      </c>
      <c r="K657" s="145" t="inlineStr">
        <is>
          <t>None</t>
        </is>
      </c>
      <c r="L657" s="145" t="inlineStr">
        <is>
          <t>#000000</t>
        </is>
      </c>
      <c r="M657" s="145" t="inlineStr">
        <is>
          <t>Center</t>
        </is>
      </c>
      <c r="N657" s="145" t="inlineStr">
        <is>
          <t>Center</t>
        </is>
      </c>
      <c r="O657" s="145" t="inlineStr">
        <is>
          <t>No</t>
        </is>
      </c>
      <c r="P657" s="145" t="inlineStr">
        <is>
          <t>General</t>
        </is>
      </c>
      <c r="Q657" s="145" t="inlineStr">
        <is>
          <t>General</t>
        </is>
      </c>
      <c r="R657" s="145" t="n"/>
      <c r="S657" s="145" t="n"/>
      <c r="T657" s="145" t="n"/>
      <c r="U657" s="145" t="n"/>
      <c r="V657" s="145" t="n"/>
      <c r="W657" s="145" t="n"/>
      <c r="X657" s="145" t="inlineStr">
        <is>
          <t>Detailed format sample from top 5 used rows</t>
        </is>
      </c>
    </row>
    <row r="658" ht="23.85" customHeight="1" s="79">
      <c r="A658" s="145" t="inlineStr">
        <is>
          <t>WINTER_DEPT</t>
        </is>
      </c>
      <c r="B658" s="145" t="inlineStr">
        <is>
          <t>Top-Row Cell Format</t>
        </is>
      </c>
      <c r="C658" s="145" t="inlineStr">
        <is>
          <t>P5</t>
        </is>
      </c>
      <c r="D658" s="145" t="inlineStr">
        <is>
          <t>WINTER_DEPT!A1:AA31</t>
        </is>
      </c>
      <c r="E658" s="145" t="inlineStr">
        <is>
          <t>Comma</t>
        </is>
      </c>
      <c r="F658" s="145" t="n"/>
      <c r="G658" s="145" t="inlineStr">
        <is>
          <t>Aptos</t>
        </is>
      </c>
      <c r="H658" s="145" t="n">
        <v>8</v>
      </c>
      <c r="I658" s="145" t="inlineStr">
        <is>
          <t>No</t>
        </is>
      </c>
      <c r="J658" s="145" t="inlineStr">
        <is>
          <t>No</t>
        </is>
      </c>
      <c r="K658" s="145" t="inlineStr">
        <is>
          <t>None</t>
        </is>
      </c>
      <c r="L658" s="145" t="inlineStr">
        <is>
          <t>#000000</t>
        </is>
      </c>
      <c r="M658" s="145" t="inlineStr">
        <is>
          <t>General</t>
        </is>
      </c>
      <c r="N658" s="145" t="inlineStr">
        <is>
          <t>Center</t>
        </is>
      </c>
      <c r="O658" s="145" t="inlineStr">
        <is>
          <t>No</t>
        </is>
      </c>
      <c r="P658" s="145" t="inlineStr">
        <is>
          <t xml:space="preserve">_ * #,##0_ ;_ * -#,##0_ ;_ * "-"??_ ;_ @_ </t>
        </is>
      </c>
      <c r="Q658" s="145" t="inlineStr">
        <is>
          <t>Text</t>
        </is>
      </c>
      <c r="R658" s="145" t="n"/>
      <c r="S658" s="145" t="n"/>
      <c r="T658" s="145" t="n"/>
      <c r="U658" s="145" t="n"/>
      <c r="V658" s="145" t="n"/>
      <c r="W658" s="145" t="n"/>
      <c r="X658" s="145" t="inlineStr">
        <is>
          <t>Detailed format sample from top 5 used rows</t>
        </is>
      </c>
    </row>
    <row r="659" ht="46.25" customHeight="1" s="79">
      <c r="A659" s="145" t="inlineStr">
        <is>
          <t>WINTER_DEPT</t>
        </is>
      </c>
      <c r="B659" s="145" t="inlineStr">
        <is>
          <t>Column Format</t>
        </is>
      </c>
      <c r="C659" s="145" t="inlineStr">
        <is>
          <t>Q:Q</t>
        </is>
      </c>
      <c r="D659" s="145" t="inlineStr">
        <is>
          <t>WINTER_DEPT!A1:AA31</t>
        </is>
      </c>
      <c r="E659" s="145" t="inlineStr">
        <is>
          <t>Mixed</t>
        </is>
      </c>
      <c r="F659" s="145" t="inlineStr">
        <is>
          <t>Mixed</t>
        </is>
      </c>
      <c r="G659" s="145" t="inlineStr">
        <is>
          <t>Aptos</t>
        </is>
      </c>
      <c r="H659" s="145" t="n">
        <v>8</v>
      </c>
      <c r="I659" s="145" t="inlineStr">
        <is>
          <t>Mixed</t>
        </is>
      </c>
      <c r="J659" s="145" t="inlineStr">
        <is>
          <t>No</t>
        </is>
      </c>
      <c r="K659" s="145" t="inlineStr">
        <is>
          <t>None</t>
        </is>
      </c>
      <c r="L659" s="145" t="inlineStr">
        <is>
          <t>#000000</t>
        </is>
      </c>
      <c r="M659" s="145" t="inlineStr">
        <is>
          <t>Center</t>
        </is>
      </c>
      <c r="N659" s="145" t="inlineStr">
        <is>
          <t>Center</t>
        </is>
      </c>
      <c r="O659" s="145" t="inlineStr">
        <is>
          <t>Mixed</t>
        </is>
      </c>
      <c r="P659" s="145" t="n"/>
      <c r="Q659" s="145" t="n"/>
      <c r="R659" s="145" t="inlineStr">
        <is>
          <t>EdgeTop:Continuous/Thin/#000000; EdgeBottom:Continuous/Thin/#000000; EdgeLeft:Continuous/Thin/#000000; EdgeRight:Continuous/Thin/#000000</t>
        </is>
      </c>
      <c r="S659" s="145" t="n">
        <v>51.5820895522388</v>
      </c>
      <c r="T659" s="145" t="n"/>
      <c r="U659" s="145" t="inlineStr">
        <is>
          <t>No</t>
        </is>
      </c>
      <c r="V659" s="145" t="inlineStr">
        <is>
          <t>Visible</t>
        </is>
      </c>
      <c r="W659" s="145" t="n"/>
      <c r="X659" s="145" t="inlineStr">
        <is>
          <t>Mixed styles within used column</t>
        </is>
      </c>
    </row>
    <row r="660" ht="23.85" customHeight="1" s="79">
      <c r="A660" s="145" t="inlineStr">
        <is>
          <t>WINTER_DEPT</t>
        </is>
      </c>
      <c r="B660" s="145" t="inlineStr">
        <is>
          <t>Top-Row Cell Format</t>
        </is>
      </c>
      <c r="C660" s="145" t="inlineStr">
        <is>
          <t>Q1</t>
        </is>
      </c>
      <c r="D660" s="145" t="inlineStr">
        <is>
          <t>WINTER_DEPT!A1:AA31</t>
        </is>
      </c>
      <c r="E660" s="145" t="inlineStr">
        <is>
          <t>Normal</t>
        </is>
      </c>
      <c r="F660" s="145" t="inlineStr">
        <is>
          <t>#C9C9C9</t>
        </is>
      </c>
      <c r="G660" s="145" t="inlineStr">
        <is>
          <t>Aptos</t>
        </is>
      </c>
      <c r="H660" s="145" t="n">
        <v>8</v>
      </c>
      <c r="I660" s="145" t="inlineStr">
        <is>
          <t>Yes</t>
        </is>
      </c>
      <c r="J660" s="145" t="inlineStr">
        <is>
          <t>No</t>
        </is>
      </c>
      <c r="K660" s="145" t="inlineStr">
        <is>
          <t>None</t>
        </is>
      </c>
      <c r="L660" s="145" t="inlineStr">
        <is>
          <t>#000000</t>
        </is>
      </c>
      <c r="M660" s="145" t="inlineStr">
        <is>
          <t>Center</t>
        </is>
      </c>
      <c r="N660" s="145" t="inlineStr">
        <is>
          <t>Center</t>
        </is>
      </c>
      <c r="O660" s="145" t="inlineStr">
        <is>
          <t>No</t>
        </is>
      </c>
      <c r="P660" s="145" t="inlineStr">
        <is>
          <t>General</t>
        </is>
      </c>
      <c r="Q660" s="145" t="inlineStr">
        <is>
          <t>General</t>
        </is>
      </c>
      <c r="R660" s="145" t="n"/>
      <c r="S660" s="145" t="n"/>
      <c r="T660" s="145" t="n"/>
      <c r="U660" s="145" t="n"/>
      <c r="V660" s="145" t="n"/>
      <c r="W660" s="145" t="n"/>
      <c r="X660" s="145" t="inlineStr">
        <is>
          <t>Detailed format sample from top 5 used rows</t>
        </is>
      </c>
    </row>
    <row r="661" ht="23.85" customHeight="1" s="79">
      <c r="A661" s="145" t="inlineStr">
        <is>
          <t>WINTER_DEPT</t>
        </is>
      </c>
      <c r="B661" s="145" t="inlineStr">
        <is>
          <t>Top-Row Cell Format</t>
        </is>
      </c>
      <c r="C661" s="145" t="inlineStr">
        <is>
          <t>Q2</t>
        </is>
      </c>
      <c r="D661" s="145" t="inlineStr">
        <is>
          <t>WINTER_DEPT!A1:AA31</t>
        </is>
      </c>
      <c r="E661" s="145" t="inlineStr">
        <is>
          <t>Percent</t>
        </is>
      </c>
      <c r="F661" s="145" t="inlineStr">
        <is>
          <t>#B4C6E7</t>
        </is>
      </c>
      <c r="G661" s="145" t="inlineStr">
        <is>
          <t>Aptos</t>
        </is>
      </c>
      <c r="H661" s="145" t="n">
        <v>8</v>
      </c>
      <c r="I661" s="145" t="inlineStr">
        <is>
          <t>Yes</t>
        </is>
      </c>
      <c r="J661" s="145" t="inlineStr">
        <is>
          <t>No</t>
        </is>
      </c>
      <c r="K661" s="145" t="inlineStr">
        <is>
          <t>None</t>
        </is>
      </c>
      <c r="L661" s="145" t="inlineStr">
        <is>
          <t>#000000</t>
        </is>
      </c>
      <c r="M661" s="145" t="inlineStr">
        <is>
          <t>Center</t>
        </is>
      </c>
      <c r="N661" s="145" t="inlineStr">
        <is>
          <t>Center</t>
        </is>
      </c>
      <c r="O661" s="145" t="inlineStr">
        <is>
          <t>No</t>
        </is>
      </c>
      <c r="P661" s="146" t="n">
        <v>0</v>
      </c>
      <c r="Q661" s="145" t="inlineStr">
        <is>
          <t>Percentage</t>
        </is>
      </c>
      <c r="R661" s="145" t="n"/>
      <c r="S661" s="145" t="n"/>
      <c r="T661" s="145" t="n"/>
      <c r="U661" s="145" t="n"/>
      <c r="V661" s="145" t="n"/>
      <c r="W661" s="145" t="n"/>
      <c r="X661" s="145" t="inlineStr">
        <is>
          <t>Detailed format sample from top 5 used rows</t>
        </is>
      </c>
    </row>
    <row r="662" ht="23.85" customHeight="1" s="79">
      <c r="A662" s="145" t="inlineStr">
        <is>
          <t>WINTER_DEPT</t>
        </is>
      </c>
      <c r="B662" s="145" t="inlineStr">
        <is>
          <t>Top-Row Cell Format</t>
        </is>
      </c>
      <c r="C662" s="145" t="inlineStr">
        <is>
          <t>Q3</t>
        </is>
      </c>
      <c r="D662" s="145" t="inlineStr">
        <is>
          <t>WINTER_DEPT!A1:AA31</t>
        </is>
      </c>
      <c r="E662" s="145" t="inlineStr">
        <is>
          <t>Normal</t>
        </is>
      </c>
      <c r="F662" s="145" t="inlineStr">
        <is>
          <t>#F8CBAD</t>
        </is>
      </c>
      <c r="G662" s="145" t="inlineStr">
        <is>
          <t>Aptos</t>
        </is>
      </c>
      <c r="H662" s="145" t="n">
        <v>8</v>
      </c>
      <c r="I662" s="145" t="inlineStr">
        <is>
          <t>Yes</t>
        </is>
      </c>
      <c r="J662" s="145" t="inlineStr">
        <is>
          <t>No</t>
        </is>
      </c>
      <c r="K662" s="145" t="inlineStr">
        <is>
          <t>None</t>
        </is>
      </c>
      <c r="L662" s="145" t="inlineStr">
        <is>
          <t>#000000</t>
        </is>
      </c>
      <c r="M662" s="145" t="inlineStr">
        <is>
          <t>Center</t>
        </is>
      </c>
      <c r="N662" s="145" t="inlineStr">
        <is>
          <t>Center</t>
        </is>
      </c>
      <c r="O662" s="145" t="inlineStr">
        <is>
          <t>Yes</t>
        </is>
      </c>
      <c r="P662" s="145" t="inlineStr">
        <is>
          <t>General</t>
        </is>
      </c>
      <c r="Q662" s="145" t="inlineStr">
        <is>
          <t>General</t>
        </is>
      </c>
      <c r="R662" s="145" t="n"/>
      <c r="S662" s="145" t="n"/>
      <c r="T662" s="145" t="n"/>
      <c r="U662" s="145" t="n"/>
      <c r="V662" s="145" t="n"/>
      <c r="W662" s="145" t="n"/>
      <c r="X662" s="145" t="inlineStr">
        <is>
          <t>Detailed format sample from top 5 used rows</t>
        </is>
      </c>
    </row>
    <row r="663" ht="23.85" customHeight="1" s="79">
      <c r="A663" s="145" t="inlineStr">
        <is>
          <t>WINTER_DEPT</t>
        </is>
      </c>
      <c r="B663" s="145" t="inlineStr">
        <is>
          <t>Top-Row Cell Format</t>
        </is>
      </c>
      <c r="C663" s="145" t="inlineStr">
        <is>
          <t>Q4</t>
        </is>
      </c>
      <c r="D663" s="145" t="inlineStr">
        <is>
          <t>WINTER_DEPT!A1:AA31</t>
        </is>
      </c>
      <c r="E663" s="145" t="inlineStr">
        <is>
          <t>Normal</t>
        </is>
      </c>
      <c r="F663" s="145" t="inlineStr">
        <is>
          <t>#F8CBAD</t>
        </is>
      </c>
      <c r="G663" s="145" t="inlineStr">
        <is>
          <t>Aptos</t>
        </is>
      </c>
      <c r="H663" s="145" t="n">
        <v>8</v>
      </c>
      <c r="I663" s="145" t="inlineStr">
        <is>
          <t>No</t>
        </is>
      </c>
      <c r="J663" s="145" t="inlineStr">
        <is>
          <t>No</t>
        </is>
      </c>
      <c r="K663" s="145" t="inlineStr">
        <is>
          <t>None</t>
        </is>
      </c>
      <c r="L663" s="145" t="inlineStr">
        <is>
          <t>#000000</t>
        </is>
      </c>
      <c r="M663" s="145" t="inlineStr">
        <is>
          <t>Center</t>
        </is>
      </c>
      <c r="N663" s="145" t="inlineStr">
        <is>
          <t>Center</t>
        </is>
      </c>
      <c r="O663" s="145" t="inlineStr">
        <is>
          <t>No</t>
        </is>
      </c>
      <c r="P663" s="145" t="inlineStr">
        <is>
          <t>General</t>
        </is>
      </c>
      <c r="Q663" s="145" t="inlineStr">
        <is>
          <t>General</t>
        </is>
      </c>
      <c r="R663" s="145" t="n"/>
      <c r="S663" s="145" t="n"/>
      <c r="T663" s="145" t="n"/>
      <c r="U663" s="145" t="n"/>
      <c r="V663" s="145" t="n"/>
      <c r="W663" s="145" t="n"/>
      <c r="X663" s="145" t="inlineStr">
        <is>
          <t>Detailed format sample from top 5 used rows</t>
        </is>
      </c>
    </row>
    <row r="664" ht="23.85" customHeight="1" s="79">
      <c r="A664" s="145" t="inlineStr">
        <is>
          <t>WINTER_DEPT</t>
        </is>
      </c>
      <c r="B664" s="145" t="inlineStr">
        <is>
          <t>Top-Row Cell Format</t>
        </is>
      </c>
      <c r="C664" s="145" t="inlineStr">
        <is>
          <t>Q5</t>
        </is>
      </c>
      <c r="D664" s="145" t="inlineStr">
        <is>
          <t>WINTER_DEPT!A1:AA31</t>
        </is>
      </c>
      <c r="E664" s="145" t="inlineStr">
        <is>
          <t>Percent</t>
        </is>
      </c>
      <c r="F664" s="145" t="n"/>
      <c r="G664" s="145" t="inlineStr">
        <is>
          <t>Aptos</t>
        </is>
      </c>
      <c r="H664" s="145" t="n">
        <v>8</v>
      </c>
      <c r="I664" s="145" t="inlineStr">
        <is>
          <t>No</t>
        </is>
      </c>
      <c r="J664" s="145" t="inlineStr">
        <is>
          <t>No</t>
        </is>
      </c>
      <c r="K664" s="145" t="inlineStr">
        <is>
          <t>None</t>
        </is>
      </c>
      <c r="L664" s="145" t="inlineStr">
        <is>
          <t>#000000</t>
        </is>
      </c>
      <c r="M664" s="145" t="inlineStr">
        <is>
          <t>Center</t>
        </is>
      </c>
      <c r="N664" s="145" t="inlineStr">
        <is>
          <t>Center</t>
        </is>
      </c>
      <c r="O664" s="145" t="inlineStr">
        <is>
          <t>No</t>
        </is>
      </c>
      <c r="P664" s="146" t="n">
        <v>0</v>
      </c>
      <c r="Q664" s="145" t="inlineStr">
        <is>
          <t>Percentage</t>
        </is>
      </c>
      <c r="R664" s="145" t="n"/>
      <c r="S664" s="145" t="n"/>
      <c r="T664" s="145" t="n"/>
      <c r="U664" s="145" t="n"/>
      <c r="V664" s="145" t="n"/>
      <c r="W664" s="145" t="n"/>
      <c r="X664" s="145" t="inlineStr">
        <is>
          <t>Detailed format sample from top 5 used rows</t>
        </is>
      </c>
    </row>
    <row r="665" ht="35.05" customHeight="1" s="79">
      <c r="A665" s="145" t="inlineStr">
        <is>
          <t>WINTER_DEPT</t>
        </is>
      </c>
      <c r="B665" s="145" t="inlineStr">
        <is>
          <t>Column Format</t>
        </is>
      </c>
      <c r="C665" s="145" t="inlineStr">
        <is>
          <t>R:R</t>
        </is>
      </c>
      <c r="D665" s="145" t="inlineStr">
        <is>
          <t>WINTER_DEPT!A1:AA31</t>
        </is>
      </c>
      <c r="E665" s="145" t="inlineStr">
        <is>
          <t>Mixed</t>
        </is>
      </c>
      <c r="F665" s="145" t="inlineStr">
        <is>
          <t>Mixed</t>
        </is>
      </c>
      <c r="G665" s="145" t="inlineStr">
        <is>
          <t>Aptos</t>
        </is>
      </c>
      <c r="H665" s="145" t="n">
        <v>8</v>
      </c>
      <c r="I665" s="145" t="inlineStr">
        <is>
          <t>Mixed</t>
        </is>
      </c>
      <c r="J665" s="145" t="inlineStr">
        <is>
          <t>No</t>
        </is>
      </c>
      <c r="K665" s="145" t="inlineStr">
        <is>
          <t>None</t>
        </is>
      </c>
      <c r="L665" s="145" t="inlineStr">
        <is>
          <t>#000000</t>
        </is>
      </c>
      <c r="M665" s="145" t="inlineStr">
        <is>
          <t>Center</t>
        </is>
      </c>
      <c r="N665" s="145" t="inlineStr">
        <is>
          <t>Center</t>
        </is>
      </c>
      <c r="O665" s="145" t="inlineStr">
        <is>
          <t>Mixed</t>
        </is>
      </c>
      <c r="P665" s="145" t="n"/>
      <c r="Q665" s="145" t="n"/>
      <c r="R665" s="145" t="inlineStr">
        <is>
          <t>EdgeTop:Continuous/Thin/#000000; EdgeBottom:Continuous/Thin/#000000; EdgeRight:Continuous/Thin/#000000</t>
        </is>
      </c>
      <c r="S665" s="145" t="n">
        <v>51.5820895522388</v>
      </c>
      <c r="T665" s="145" t="n"/>
      <c r="U665" s="145" t="inlineStr">
        <is>
          <t>No</t>
        </is>
      </c>
      <c r="V665" s="145" t="inlineStr">
        <is>
          <t>Visible</t>
        </is>
      </c>
      <c r="W665" s="145" t="n"/>
      <c r="X665" s="145" t="inlineStr">
        <is>
          <t>Mixed styles within used column</t>
        </is>
      </c>
    </row>
    <row r="666" ht="23.85" customHeight="1" s="79">
      <c r="A666" s="145" t="inlineStr">
        <is>
          <t>WINTER_DEPT</t>
        </is>
      </c>
      <c r="B666" s="145" t="inlineStr">
        <is>
          <t>Top-Row Cell Format</t>
        </is>
      </c>
      <c r="C666" s="145" t="inlineStr">
        <is>
          <t>R1</t>
        </is>
      </c>
      <c r="D666" s="145" t="inlineStr">
        <is>
          <t>WINTER_DEPT!A1:AA31</t>
        </is>
      </c>
      <c r="E666" s="145" t="inlineStr">
        <is>
          <t>Normal</t>
        </is>
      </c>
      <c r="F666" s="145" t="inlineStr">
        <is>
          <t>#C9C9C9</t>
        </is>
      </c>
      <c r="G666" s="145" t="inlineStr">
        <is>
          <t>Aptos</t>
        </is>
      </c>
      <c r="H666" s="145" t="n">
        <v>8</v>
      </c>
      <c r="I666" s="145" t="inlineStr">
        <is>
          <t>Yes</t>
        </is>
      </c>
      <c r="J666" s="145" t="inlineStr">
        <is>
          <t>No</t>
        </is>
      </c>
      <c r="K666" s="145" t="inlineStr">
        <is>
          <t>None</t>
        </is>
      </c>
      <c r="L666" s="145" t="inlineStr">
        <is>
          <t>#000000</t>
        </is>
      </c>
      <c r="M666" s="145" t="inlineStr">
        <is>
          <t>Center</t>
        </is>
      </c>
      <c r="N666" s="145" t="inlineStr">
        <is>
          <t>Center</t>
        </is>
      </c>
      <c r="O666" s="145" t="inlineStr">
        <is>
          <t>No</t>
        </is>
      </c>
      <c r="P666" s="145" t="inlineStr">
        <is>
          <t>General</t>
        </is>
      </c>
      <c r="Q666" s="145" t="inlineStr">
        <is>
          <t>General</t>
        </is>
      </c>
      <c r="R666" s="145" t="n"/>
      <c r="S666" s="145" t="n"/>
      <c r="T666" s="145" t="n"/>
      <c r="U666" s="145" t="n"/>
      <c r="V666" s="145" t="n"/>
      <c r="W666" s="145" t="n"/>
      <c r="X666" s="145" t="inlineStr">
        <is>
          <t>Detailed format sample from top 5 used rows</t>
        </is>
      </c>
    </row>
    <row r="667" ht="23.85" customHeight="1" s="79">
      <c r="A667" s="145" t="inlineStr">
        <is>
          <t>WINTER_DEPT</t>
        </is>
      </c>
      <c r="B667" s="145" t="inlineStr">
        <is>
          <t>Top-Row Cell Format</t>
        </is>
      </c>
      <c r="C667" s="145" t="inlineStr">
        <is>
          <t>R2</t>
        </is>
      </c>
      <c r="D667" s="145" t="inlineStr">
        <is>
          <t>WINTER_DEPT!A1:AA31</t>
        </is>
      </c>
      <c r="E667" s="145" t="inlineStr">
        <is>
          <t>Percent</t>
        </is>
      </c>
      <c r="F667" s="145" t="inlineStr">
        <is>
          <t>#B4C6E7</t>
        </is>
      </c>
      <c r="G667" s="145" t="inlineStr">
        <is>
          <t>Aptos</t>
        </is>
      </c>
      <c r="H667" s="145" t="n">
        <v>8</v>
      </c>
      <c r="I667" s="145" t="inlineStr">
        <is>
          <t>Yes</t>
        </is>
      </c>
      <c r="J667" s="145" t="inlineStr">
        <is>
          <t>No</t>
        </is>
      </c>
      <c r="K667" s="145" t="inlineStr">
        <is>
          <t>None</t>
        </is>
      </c>
      <c r="L667" s="145" t="inlineStr">
        <is>
          <t>#000000</t>
        </is>
      </c>
      <c r="M667" s="145" t="inlineStr">
        <is>
          <t>Center</t>
        </is>
      </c>
      <c r="N667" s="145" t="inlineStr">
        <is>
          <t>Center</t>
        </is>
      </c>
      <c r="O667" s="145" t="inlineStr">
        <is>
          <t>No</t>
        </is>
      </c>
      <c r="P667" s="146" t="n">
        <v>0</v>
      </c>
      <c r="Q667" s="145" t="inlineStr">
        <is>
          <t>Percentage</t>
        </is>
      </c>
      <c r="R667" s="145" t="n"/>
      <c r="S667" s="145" t="n"/>
      <c r="T667" s="145" t="n"/>
      <c r="U667" s="145" t="n"/>
      <c r="V667" s="145" t="n"/>
      <c r="W667" s="145" t="n"/>
      <c r="X667" s="145" t="inlineStr">
        <is>
          <t>Detailed format sample from top 5 used rows</t>
        </is>
      </c>
    </row>
    <row r="668" ht="23.85" customHeight="1" s="79">
      <c r="A668" s="145" t="inlineStr">
        <is>
          <t>WINTER_DEPT</t>
        </is>
      </c>
      <c r="B668" s="145" t="inlineStr">
        <is>
          <t>Top-Row Cell Format</t>
        </is>
      </c>
      <c r="C668" s="145" t="inlineStr">
        <is>
          <t>R3</t>
        </is>
      </c>
      <c r="D668" s="145" t="inlineStr">
        <is>
          <t>WINTER_DEPT!A1:AA31</t>
        </is>
      </c>
      <c r="E668" s="145" t="inlineStr">
        <is>
          <t>Normal</t>
        </is>
      </c>
      <c r="F668" s="145" t="inlineStr">
        <is>
          <t>#F8CBAD</t>
        </is>
      </c>
      <c r="G668" s="145" t="inlineStr">
        <is>
          <t>Aptos</t>
        </is>
      </c>
      <c r="H668" s="145" t="n">
        <v>8</v>
      </c>
      <c r="I668" s="145" t="inlineStr">
        <is>
          <t>Yes</t>
        </is>
      </c>
      <c r="J668" s="145" t="inlineStr">
        <is>
          <t>No</t>
        </is>
      </c>
      <c r="K668" s="145" t="inlineStr">
        <is>
          <t>None</t>
        </is>
      </c>
      <c r="L668" s="145" t="inlineStr">
        <is>
          <t>#000000</t>
        </is>
      </c>
      <c r="M668" s="145" t="inlineStr">
        <is>
          <t>Center</t>
        </is>
      </c>
      <c r="N668" s="145" t="inlineStr">
        <is>
          <t>Center</t>
        </is>
      </c>
      <c r="O668" s="145" t="inlineStr">
        <is>
          <t>Yes</t>
        </is>
      </c>
      <c r="P668" s="145" t="inlineStr">
        <is>
          <t>General</t>
        </is>
      </c>
      <c r="Q668" s="145" t="inlineStr">
        <is>
          <t>General</t>
        </is>
      </c>
      <c r="R668" s="145" t="n"/>
      <c r="S668" s="145" t="n"/>
      <c r="T668" s="145" t="n"/>
      <c r="U668" s="145" t="n"/>
      <c r="V668" s="145" t="n"/>
      <c r="W668" s="145" t="n"/>
      <c r="X668" s="145" t="inlineStr">
        <is>
          <t>Detailed format sample from top 5 used rows</t>
        </is>
      </c>
    </row>
    <row r="669" ht="23.85" customHeight="1" s="79">
      <c r="A669" s="145" t="inlineStr">
        <is>
          <t>WINTER_DEPT</t>
        </is>
      </c>
      <c r="B669" s="145" t="inlineStr">
        <is>
          <t>Top-Row Cell Format</t>
        </is>
      </c>
      <c r="C669" s="145" t="inlineStr">
        <is>
          <t>R4</t>
        </is>
      </c>
      <c r="D669" s="145" t="inlineStr">
        <is>
          <t>WINTER_DEPT!A1:AA31</t>
        </is>
      </c>
      <c r="E669" s="145" t="inlineStr">
        <is>
          <t>Normal</t>
        </is>
      </c>
      <c r="F669" s="145" t="inlineStr">
        <is>
          <t>#F8CBAD</t>
        </is>
      </c>
      <c r="G669" s="145" t="inlineStr">
        <is>
          <t>Aptos</t>
        </is>
      </c>
      <c r="H669" s="145" t="n">
        <v>8</v>
      </c>
      <c r="I669" s="145" t="inlineStr">
        <is>
          <t>No</t>
        </is>
      </c>
      <c r="J669" s="145" t="inlineStr">
        <is>
          <t>No</t>
        </is>
      </c>
      <c r="K669" s="145" t="inlineStr">
        <is>
          <t>None</t>
        </is>
      </c>
      <c r="L669" s="145" t="inlineStr">
        <is>
          <t>#000000</t>
        </is>
      </c>
      <c r="M669" s="145" t="inlineStr">
        <is>
          <t>Center</t>
        </is>
      </c>
      <c r="N669" s="145" t="inlineStr">
        <is>
          <t>Center</t>
        </is>
      </c>
      <c r="O669" s="145" t="inlineStr">
        <is>
          <t>No</t>
        </is>
      </c>
      <c r="P669" s="145" t="inlineStr">
        <is>
          <t>General</t>
        </is>
      </c>
      <c r="Q669" s="145" t="inlineStr">
        <is>
          <t>General</t>
        </is>
      </c>
      <c r="R669" s="145" t="n"/>
      <c r="S669" s="145" t="n"/>
      <c r="T669" s="145" t="n"/>
      <c r="U669" s="145" t="n"/>
      <c r="V669" s="145" t="n"/>
      <c r="W669" s="145" t="n"/>
      <c r="X669" s="145" t="inlineStr">
        <is>
          <t>Detailed format sample from top 5 used rows</t>
        </is>
      </c>
    </row>
    <row r="670" ht="23.85" customHeight="1" s="79">
      <c r="A670" s="145" t="inlineStr">
        <is>
          <t>WINTER_DEPT</t>
        </is>
      </c>
      <c r="B670" s="145" t="inlineStr">
        <is>
          <t>Top-Row Cell Format</t>
        </is>
      </c>
      <c r="C670" s="145" t="inlineStr">
        <is>
          <t>R5</t>
        </is>
      </c>
      <c r="D670" s="145" t="inlineStr">
        <is>
          <t>WINTER_DEPT!A1:AA31</t>
        </is>
      </c>
      <c r="E670" s="145" t="inlineStr">
        <is>
          <t>Percent</t>
        </is>
      </c>
      <c r="F670" s="145" t="n"/>
      <c r="G670" s="145" t="inlineStr">
        <is>
          <t>Aptos</t>
        </is>
      </c>
      <c r="H670" s="145" t="n">
        <v>8</v>
      </c>
      <c r="I670" s="145" t="inlineStr">
        <is>
          <t>No</t>
        </is>
      </c>
      <c r="J670" s="145" t="inlineStr">
        <is>
          <t>No</t>
        </is>
      </c>
      <c r="K670" s="145" t="inlineStr">
        <is>
          <t>None</t>
        </is>
      </c>
      <c r="L670" s="145" t="inlineStr">
        <is>
          <t>#000000</t>
        </is>
      </c>
      <c r="M670" s="145" t="inlineStr">
        <is>
          <t>Center</t>
        </is>
      </c>
      <c r="N670" s="145" t="inlineStr">
        <is>
          <t>Center</t>
        </is>
      </c>
      <c r="O670" s="145" t="inlineStr">
        <is>
          <t>No</t>
        </is>
      </c>
      <c r="P670" s="146" t="n">
        <v>0</v>
      </c>
      <c r="Q670" s="145" t="inlineStr">
        <is>
          <t>Percentage</t>
        </is>
      </c>
      <c r="R670" s="145" t="n"/>
      <c r="S670" s="145" t="n"/>
      <c r="T670" s="145" t="n"/>
      <c r="U670" s="145" t="n"/>
      <c r="V670" s="145" t="n"/>
      <c r="W670" s="145" t="n"/>
      <c r="X670" s="145" t="inlineStr">
        <is>
          <t>Detailed format sample from top 5 used rows</t>
        </is>
      </c>
    </row>
    <row r="671" ht="46.25" customHeight="1" s="79">
      <c r="A671" s="145" t="inlineStr">
        <is>
          <t>WINTER_DEPT</t>
        </is>
      </c>
      <c r="B671" s="145" t="inlineStr">
        <is>
          <t>Column Format</t>
        </is>
      </c>
      <c r="C671" s="145" t="inlineStr">
        <is>
          <t>S:S</t>
        </is>
      </c>
      <c r="D671" s="145" t="inlineStr">
        <is>
          <t>WINTER_DEPT!A1:AA31</t>
        </is>
      </c>
      <c r="E671" s="145" t="inlineStr">
        <is>
          <t>Mixed</t>
        </is>
      </c>
      <c r="F671" s="145" t="inlineStr">
        <is>
          <t>Mixed</t>
        </is>
      </c>
      <c r="G671" s="145" t="inlineStr">
        <is>
          <t>Aptos</t>
        </is>
      </c>
      <c r="H671" s="145" t="n">
        <v>8</v>
      </c>
      <c r="I671" s="145" t="inlineStr">
        <is>
          <t>Mixed</t>
        </is>
      </c>
      <c r="J671" s="145" t="inlineStr">
        <is>
          <t>No</t>
        </is>
      </c>
      <c r="K671" s="145" t="inlineStr">
        <is>
          <t>None</t>
        </is>
      </c>
      <c r="L671" s="145" t="inlineStr">
        <is>
          <t>#000000</t>
        </is>
      </c>
      <c r="M671" s="145" t="inlineStr">
        <is>
          <t>Center</t>
        </is>
      </c>
      <c r="N671" s="145" t="inlineStr">
        <is>
          <t>Center</t>
        </is>
      </c>
      <c r="O671" s="145" t="inlineStr">
        <is>
          <t>Mixed</t>
        </is>
      </c>
      <c r="P671" s="145" t="n"/>
      <c r="Q671" s="145" t="n"/>
      <c r="R671" s="145" t="inlineStr">
        <is>
          <t>EdgeTop:Continuous/Thin/#000000; EdgeBottom:Continuous/Thin/#000000; EdgeLeft:Continuous/Thin/#000000; EdgeRight:Continuous/Thin/#000000</t>
        </is>
      </c>
      <c r="S671" s="145" t="n">
        <v>53.7313432835821</v>
      </c>
      <c r="T671" s="145" t="n"/>
      <c r="U671" s="145" t="inlineStr">
        <is>
          <t>No</t>
        </is>
      </c>
      <c r="V671" s="145" t="inlineStr">
        <is>
          <t>Visible</t>
        </is>
      </c>
      <c r="W671" s="145" t="n"/>
      <c r="X671" s="145" t="inlineStr">
        <is>
          <t>Mixed styles within used column</t>
        </is>
      </c>
    </row>
    <row r="672" ht="23.85" customHeight="1" s="79">
      <c r="A672" s="145" t="inlineStr">
        <is>
          <t>WINTER_DEPT</t>
        </is>
      </c>
      <c r="B672" s="145" t="inlineStr">
        <is>
          <t>Top-Row Cell Format</t>
        </is>
      </c>
      <c r="C672" s="145" t="inlineStr">
        <is>
          <t>S1</t>
        </is>
      </c>
      <c r="D672" s="145" t="inlineStr">
        <is>
          <t>WINTER_DEPT!A1:AA31</t>
        </is>
      </c>
      <c r="E672" s="145" t="inlineStr">
        <is>
          <t>Normal</t>
        </is>
      </c>
      <c r="F672" s="145" t="inlineStr">
        <is>
          <t>#C9C9C9</t>
        </is>
      </c>
      <c r="G672" s="145" t="inlineStr">
        <is>
          <t>Aptos</t>
        </is>
      </c>
      <c r="H672" s="145" t="n">
        <v>8</v>
      </c>
      <c r="I672" s="145" t="inlineStr">
        <is>
          <t>Yes</t>
        </is>
      </c>
      <c r="J672" s="145" t="inlineStr">
        <is>
          <t>No</t>
        </is>
      </c>
      <c r="K672" s="145" t="inlineStr">
        <is>
          <t>None</t>
        </is>
      </c>
      <c r="L672" s="145" t="inlineStr">
        <is>
          <t>#000000</t>
        </is>
      </c>
      <c r="M672" s="145" t="inlineStr">
        <is>
          <t>Center</t>
        </is>
      </c>
      <c r="N672" s="145" t="inlineStr">
        <is>
          <t>Center</t>
        </is>
      </c>
      <c r="O672" s="145" t="inlineStr">
        <is>
          <t>No</t>
        </is>
      </c>
      <c r="P672" s="145" t="inlineStr">
        <is>
          <t>General</t>
        </is>
      </c>
      <c r="Q672" s="145" t="inlineStr">
        <is>
          <t>General</t>
        </is>
      </c>
      <c r="R672" s="145" t="n"/>
      <c r="S672" s="145" t="n"/>
      <c r="T672" s="145" t="n"/>
      <c r="U672" s="145" t="n"/>
      <c r="V672" s="145" t="n"/>
      <c r="W672" s="145" t="n"/>
      <c r="X672" s="145" t="inlineStr">
        <is>
          <t>Detailed format sample from top 5 used rows</t>
        </is>
      </c>
    </row>
    <row r="673" ht="23.85" customHeight="1" s="79">
      <c r="A673" s="145" t="inlineStr">
        <is>
          <t>WINTER_DEPT</t>
        </is>
      </c>
      <c r="B673" s="145" t="inlineStr">
        <is>
          <t>Top-Row Cell Format</t>
        </is>
      </c>
      <c r="C673" s="145" t="inlineStr">
        <is>
          <t>S2</t>
        </is>
      </c>
      <c r="D673" s="145" t="inlineStr">
        <is>
          <t>WINTER_DEPT!A1:AA31</t>
        </is>
      </c>
      <c r="E673" s="145" t="inlineStr">
        <is>
          <t>Percent</t>
        </is>
      </c>
      <c r="F673" s="145" t="inlineStr">
        <is>
          <t>#B4C6E7</t>
        </is>
      </c>
      <c r="G673" s="145" t="inlineStr">
        <is>
          <t>Aptos</t>
        </is>
      </c>
      <c r="H673" s="145" t="n">
        <v>8</v>
      </c>
      <c r="I673" s="145" t="inlineStr">
        <is>
          <t>Yes</t>
        </is>
      </c>
      <c r="J673" s="145" t="inlineStr">
        <is>
          <t>No</t>
        </is>
      </c>
      <c r="K673" s="145" t="inlineStr">
        <is>
          <t>None</t>
        </is>
      </c>
      <c r="L673" s="145" t="inlineStr">
        <is>
          <t>#000000</t>
        </is>
      </c>
      <c r="M673" s="145" t="inlineStr">
        <is>
          <t>Center</t>
        </is>
      </c>
      <c r="N673" s="145" t="inlineStr">
        <is>
          <t>Center</t>
        </is>
      </c>
      <c r="O673" s="145" t="inlineStr">
        <is>
          <t>No</t>
        </is>
      </c>
      <c r="P673" s="146" t="n">
        <v>0</v>
      </c>
      <c r="Q673" s="145" t="inlineStr">
        <is>
          <t>Percentage</t>
        </is>
      </c>
      <c r="R673" s="145" t="n"/>
      <c r="S673" s="145" t="n"/>
      <c r="T673" s="145" t="n"/>
      <c r="U673" s="145" t="n"/>
      <c r="V673" s="145" t="n"/>
      <c r="W673" s="145" t="n"/>
      <c r="X673" s="145" t="inlineStr">
        <is>
          <t>Detailed format sample from top 5 used rows</t>
        </is>
      </c>
    </row>
    <row r="674" ht="23.85" customHeight="1" s="79">
      <c r="A674" s="145" t="inlineStr">
        <is>
          <t>WINTER_DEPT</t>
        </is>
      </c>
      <c r="B674" s="145" t="inlineStr">
        <is>
          <t>Top-Row Cell Format</t>
        </is>
      </c>
      <c r="C674" s="145" t="inlineStr">
        <is>
          <t>S3</t>
        </is>
      </c>
      <c r="D674" s="145" t="inlineStr">
        <is>
          <t>WINTER_DEPT!A1:AA31</t>
        </is>
      </c>
      <c r="E674" s="145" t="inlineStr">
        <is>
          <t>Normal</t>
        </is>
      </c>
      <c r="F674" s="145" t="inlineStr">
        <is>
          <t>#F8CBAD</t>
        </is>
      </c>
      <c r="G674" s="145" t="inlineStr">
        <is>
          <t>Aptos</t>
        </is>
      </c>
      <c r="H674" s="145" t="n">
        <v>8</v>
      </c>
      <c r="I674" s="145" t="inlineStr">
        <is>
          <t>Yes</t>
        </is>
      </c>
      <c r="J674" s="145" t="inlineStr">
        <is>
          <t>No</t>
        </is>
      </c>
      <c r="K674" s="145" t="inlineStr">
        <is>
          <t>None</t>
        </is>
      </c>
      <c r="L674" s="145" t="inlineStr">
        <is>
          <t>#000000</t>
        </is>
      </c>
      <c r="M674" s="145" t="inlineStr">
        <is>
          <t>Center</t>
        </is>
      </c>
      <c r="N674" s="145" t="inlineStr">
        <is>
          <t>Center</t>
        </is>
      </c>
      <c r="O674" s="145" t="inlineStr">
        <is>
          <t>Yes</t>
        </is>
      </c>
      <c r="P674" s="145" t="inlineStr">
        <is>
          <t>General</t>
        </is>
      </c>
      <c r="Q674" s="145" t="inlineStr">
        <is>
          <t>General</t>
        </is>
      </c>
      <c r="R674" s="145" t="n"/>
      <c r="S674" s="145" t="n"/>
      <c r="T674" s="145" t="n"/>
      <c r="U674" s="145" t="n"/>
      <c r="V674" s="145" t="n"/>
      <c r="W674" s="145" t="n"/>
      <c r="X674" s="145" t="inlineStr">
        <is>
          <t>Detailed format sample from top 5 used rows</t>
        </is>
      </c>
    </row>
    <row r="675" ht="23.85" customHeight="1" s="79">
      <c r="A675" s="145" t="inlineStr">
        <is>
          <t>WINTER_DEPT</t>
        </is>
      </c>
      <c r="B675" s="145" t="inlineStr">
        <is>
          <t>Top-Row Cell Format</t>
        </is>
      </c>
      <c r="C675" s="145" t="inlineStr">
        <is>
          <t>S4</t>
        </is>
      </c>
      <c r="D675" s="145" t="inlineStr">
        <is>
          <t>WINTER_DEPT!A1:AA31</t>
        </is>
      </c>
      <c r="E675" s="145" t="inlineStr">
        <is>
          <t>Normal</t>
        </is>
      </c>
      <c r="F675" s="145" t="inlineStr">
        <is>
          <t>#F8CBAD</t>
        </is>
      </c>
      <c r="G675" s="145" t="inlineStr">
        <is>
          <t>Aptos</t>
        </is>
      </c>
      <c r="H675" s="145" t="n">
        <v>8</v>
      </c>
      <c r="I675" s="145" t="inlineStr">
        <is>
          <t>No</t>
        </is>
      </c>
      <c r="J675" s="145" t="inlineStr">
        <is>
          <t>No</t>
        </is>
      </c>
      <c r="K675" s="145" t="inlineStr">
        <is>
          <t>None</t>
        </is>
      </c>
      <c r="L675" s="145" t="inlineStr">
        <is>
          <t>#000000</t>
        </is>
      </c>
      <c r="M675" s="145" t="inlineStr">
        <is>
          <t>Center</t>
        </is>
      </c>
      <c r="N675" s="145" t="inlineStr">
        <is>
          <t>Center</t>
        </is>
      </c>
      <c r="O675" s="145" t="inlineStr">
        <is>
          <t>No</t>
        </is>
      </c>
      <c r="P675" s="145" t="inlineStr">
        <is>
          <t>General</t>
        </is>
      </c>
      <c r="Q675" s="145" t="inlineStr">
        <is>
          <t>General</t>
        </is>
      </c>
      <c r="R675" s="145" t="n"/>
      <c r="S675" s="145" t="n"/>
      <c r="T675" s="145" t="n"/>
      <c r="U675" s="145" t="n"/>
      <c r="V675" s="145" t="n"/>
      <c r="W675" s="145" t="n"/>
      <c r="X675" s="145" t="inlineStr">
        <is>
          <t>Detailed format sample from top 5 used rows</t>
        </is>
      </c>
    </row>
    <row r="676" ht="23.85" customHeight="1" s="79">
      <c r="A676" s="145" t="inlineStr">
        <is>
          <t>WINTER_DEPT</t>
        </is>
      </c>
      <c r="B676" s="145" t="inlineStr">
        <is>
          <t>Top-Row Cell Format</t>
        </is>
      </c>
      <c r="C676" s="145" t="inlineStr">
        <is>
          <t>S5</t>
        </is>
      </c>
      <c r="D676" s="145" t="inlineStr">
        <is>
          <t>WINTER_DEPT!A1:AA31</t>
        </is>
      </c>
      <c r="E676" s="145" t="inlineStr">
        <is>
          <t>Percent</t>
        </is>
      </c>
      <c r="F676" s="145" t="n"/>
      <c r="G676" s="145" t="inlineStr">
        <is>
          <t>Aptos</t>
        </is>
      </c>
      <c r="H676" s="145" t="n">
        <v>8</v>
      </c>
      <c r="I676" s="145" t="inlineStr">
        <is>
          <t>No</t>
        </is>
      </c>
      <c r="J676" s="145" t="inlineStr">
        <is>
          <t>No</t>
        </is>
      </c>
      <c r="K676" s="145" t="inlineStr">
        <is>
          <t>None</t>
        </is>
      </c>
      <c r="L676" s="145" t="inlineStr">
        <is>
          <t>#000000</t>
        </is>
      </c>
      <c r="M676" s="145" t="inlineStr">
        <is>
          <t>Center</t>
        </is>
      </c>
      <c r="N676" s="145" t="inlineStr">
        <is>
          <t>Center</t>
        </is>
      </c>
      <c r="O676" s="145" t="inlineStr">
        <is>
          <t>No</t>
        </is>
      </c>
      <c r="P676" s="146" t="n">
        <v>0</v>
      </c>
      <c r="Q676" s="145" t="inlineStr">
        <is>
          <t>Percentage</t>
        </is>
      </c>
      <c r="R676" s="145" t="n"/>
      <c r="S676" s="145" t="n"/>
      <c r="T676" s="145" t="n"/>
      <c r="U676" s="145" t="n"/>
      <c r="V676" s="145" t="n"/>
      <c r="W676" s="145" t="n"/>
      <c r="X676" s="145" t="inlineStr">
        <is>
          <t>Detailed format sample from top 5 used rows</t>
        </is>
      </c>
    </row>
    <row r="677" ht="35.05" customHeight="1" s="79">
      <c r="A677" s="145" t="inlineStr">
        <is>
          <t>WINTER_DEPT</t>
        </is>
      </c>
      <c r="B677" s="145" t="inlineStr">
        <is>
          <t>Column Format</t>
        </is>
      </c>
      <c r="C677" s="145" t="inlineStr">
        <is>
          <t>T:T</t>
        </is>
      </c>
      <c r="D677" s="145" t="inlineStr">
        <is>
          <t>WINTER_DEPT!A1:AA31</t>
        </is>
      </c>
      <c r="E677" s="145" t="inlineStr">
        <is>
          <t>Mixed</t>
        </is>
      </c>
      <c r="F677" s="145" t="inlineStr">
        <is>
          <t>Mixed</t>
        </is>
      </c>
      <c r="G677" s="145" t="inlineStr">
        <is>
          <t>Aptos</t>
        </is>
      </c>
      <c r="H677" s="145" t="n">
        <v>8</v>
      </c>
      <c r="I677" s="145" t="inlineStr">
        <is>
          <t>Mixed</t>
        </is>
      </c>
      <c r="J677" s="145" t="inlineStr">
        <is>
          <t>No</t>
        </is>
      </c>
      <c r="K677" s="145" t="inlineStr">
        <is>
          <t>None</t>
        </is>
      </c>
      <c r="L677" s="145" t="inlineStr">
        <is>
          <t>#000000</t>
        </is>
      </c>
      <c r="M677" s="145" t="inlineStr">
        <is>
          <t>Center</t>
        </is>
      </c>
      <c r="N677" s="145" t="inlineStr">
        <is>
          <t>Center</t>
        </is>
      </c>
      <c r="O677" s="145" t="inlineStr">
        <is>
          <t>Mixed</t>
        </is>
      </c>
      <c r="P677" s="145" t="n"/>
      <c r="Q677" s="145" t="n"/>
      <c r="R677" s="145" t="inlineStr">
        <is>
          <t>EdgeTop:Continuous/Thin/#000000; EdgeBottom:Continuous/Thin/#000000; EdgeRight:Continuous/Thin/#000000</t>
        </is>
      </c>
      <c r="S677" s="145" t="n">
        <v>53.7313432835821</v>
      </c>
      <c r="T677" s="145" t="n"/>
      <c r="U677" s="145" t="inlineStr">
        <is>
          <t>No</t>
        </is>
      </c>
      <c r="V677" s="145" t="inlineStr">
        <is>
          <t>Visible</t>
        </is>
      </c>
      <c r="W677" s="145" t="n"/>
      <c r="X677" s="145" t="inlineStr">
        <is>
          <t>Mixed styles within used column</t>
        </is>
      </c>
    </row>
    <row r="678" ht="23.85" customHeight="1" s="79">
      <c r="A678" s="145" t="inlineStr">
        <is>
          <t>WINTER_DEPT</t>
        </is>
      </c>
      <c r="B678" s="145" t="inlineStr">
        <is>
          <t>Top-Row Cell Format</t>
        </is>
      </c>
      <c r="C678" s="145" t="inlineStr">
        <is>
          <t>T1</t>
        </is>
      </c>
      <c r="D678" s="145" t="inlineStr">
        <is>
          <t>WINTER_DEPT!A1:AA31</t>
        </is>
      </c>
      <c r="E678" s="145" t="inlineStr">
        <is>
          <t>Normal</t>
        </is>
      </c>
      <c r="F678" s="145" t="inlineStr">
        <is>
          <t>#C9C9C9</t>
        </is>
      </c>
      <c r="G678" s="145" t="inlineStr">
        <is>
          <t>Aptos</t>
        </is>
      </c>
      <c r="H678" s="145" t="n">
        <v>8</v>
      </c>
      <c r="I678" s="145" t="inlineStr">
        <is>
          <t>Yes</t>
        </is>
      </c>
      <c r="J678" s="145" t="inlineStr">
        <is>
          <t>No</t>
        </is>
      </c>
      <c r="K678" s="145" t="inlineStr">
        <is>
          <t>None</t>
        </is>
      </c>
      <c r="L678" s="145" t="inlineStr">
        <is>
          <t>#000000</t>
        </is>
      </c>
      <c r="M678" s="145" t="inlineStr">
        <is>
          <t>Center</t>
        </is>
      </c>
      <c r="N678" s="145" t="inlineStr">
        <is>
          <t>Center</t>
        </is>
      </c>
      <c r="O678" s="145" t="inlineStr">
        <is>
          <t>No</t>
        </is>
      </c>
      <c r="P678" s="145" t="inlineStr">
        <is>
          <t>General</t>
        </is>
      </c>
      <c r="Q678" s="145" t="inlineStr">
        <is>
          <t>General</t>
        </is>
      </c>
      <c r="R678" s="145" t="n"/>
      <c r="S678" s="145" t="n"/>
      <c r="T678" s="145" t="n"/>
      <c r="U678" s="145" t="n"/>
      <c r="V678" s="145" t="n"/>
      <c r="W678" s="145" t="n"/>
      <c r="X678" s="145" t="inlineStr">
        <is>
          <t>Detailed format sample from top 5 used rows</t>
        </is>
      </c>
    </row>
    <row r="679" ht="23.85" customHeight="1" s="79">
      <c r="A679" s="145" t="inlineStr">
        <is>
          <t>WINTER_DEPT</t>
        </is>
      </c>
      <c r="B679" s="145" t="inlineStr">
        <is>
          <t>Top-Row Cell Format</t>
        </is>
      </c>
      <c r="C679" s="145" t="inlineStr">
        <is>
          <t>T2</t>
        </is>
      </c>
      <c r="D679" s="145" t="inlineStr">
        <is>
          <t>WINTER_DEPT!A1:AA31</t>
        </is>
      </c>
      <c r="E679" s="145" t="inlineStr">
        <is>
          <t>Percent</t>
        </is>
      </c>
      <c r="F679" s="145" t="inlineStr">
        <is>
          <t>#B4C6E7</t>
        </is>
      </c>
      <c r="G679" s="145" t="inlineStr">
        <is>
          <t>Aptos</t>
        </is>
      </c>
      <c r="H679" s="145" t="n">
        <v>8</v>
      </c>
      <c r="I679" s="145" t="inlineStr">
        <is>
          <t>Yes</t>
        </is>
      </c>
      <c r="J679" s="145" t="inlineStr">
        <is>
          <t>No</t>
        </is>
      </c>
      <c r="K679" s="145" t="inlineStr">
        <is>
          <t>None</t>
        </is>
      </c>
      <c r="L679" s="145" t="inlineStr">
        <is>
          <t>#000000</t>
        </is>
      </c>
      <c r="M679" s="145" t="inlineStr">
        <is>
          <t>Center</t>
        </is>
      </c>
      <c r="N679" s="145" t="inlineStr">
        <is>
          <t>Center</t>
        </is>
      </c>
      <c r="O679" s="145" t="inlineStr">
        <is>
          <t>No</t>
        </is>
      </c>
      <c r="P679" s="146" t="n">
        <v>0</v>
      </c>
      <c r="Q679" s="145" t="inlineStr">
        <is>
          <t>Percentage</t>
        </is>
      </c>
      <c r="R679" s="145" t="n"/>
      <c r="S679" s="145" t="n"/>
      <c r="T679" s="145" t="n"/>
      <c r="U679" s="145" t="n"/>
      <c r="V679" s="145" t="n"/>
      <c r="W679" s="145" t="n"/>
      <c r="X679" s="145" t="inlineStr">
        <is>
          <t>Detailed format sample from top 5 used rows</t>
        </is>
      </c>
    </row>
    <row r="680" ht="23.85" customHeight="1" s="79">
      <c r="A680" s="145" t="inlineStr">
        <is>
          <t>WINTER_DEPT</t>
        </is>
      </c>
      <c r="B680" s="145" t="inlineStr">
        <is>
          <t>Top-Row Cell Format</t>
        </is>
      </c>
      <c r="C680" s="145" t="inlineStr">
        <is>
          <t>T3</t>
        </is>
      </c>
      <c r="D680" s="145" t="inlineStr">
        <is>
          <t>WINTER_DEPT!A1:AA31</t>
        </is>
      </c>
      <c r="E680" s="145" t="inlineStr">
        <is>
          <t>Normal</t>
        </is>
      </c>
      <c r="F680" s="145" t="inlineStr">
        <is>
          <t>#F8CBAD</t>
        </is>
      </c>
      <c r="G680" s="145" t="inlineStr">
        <is>
          <t>Aptos</t>
        </is>
      </c>
      <c r="H680" s="145" t="n">
        <v>8</v>
      </c>
      <c r="I680" s="145" t="inlineStr">
        <is>
          <t>Yes</t>
        </is>
      </c>
      <c r="J680" s="145" t="inlineStr">
        <is>
          <t>No</t>
        </is>
      </c>
      <c r="K680" s="145" t="inlineStr">
        <is>
          <t>None</t>
        </is>
      </c>
      <c r="L680" s="145" t="inlineStr">
        <is>
          <t>#000000</t>
        </is>
      </c>
      <c r="M680" s="145" t="inlineStr">
        <is>
          <t>Center</t>
        </is>
      </c>
      <c r="N680" s="145" t="inlineStr">
        <is>
          <t>Center</t>
        </is>
      </c>
      <c r="O680" s="145" t="inlineStr">
        <is>
          <t>Yes</t>
        </is>
      </c>
      <c r="P680" s="145" t="inlineStr">
        <is>
          <t>General</t>
        </is>
      </c>
      <c r="Q680" s="145" t="inlineStr">
        <is>
          <t>General</t>
        </is>
      </c>
      <c r="R680" s="145" t="n"/>
      <c r="S680" s="145" t="n"/>
      <c r="T680" s="145" t="n"/>
      <c r="U680" s="145" t="n"/>
      <c r="V680" s="145" t="n"/>
      <c r="W680" s="145" t="n"/>
      <c r="X680" s="145" t="inlineStr">
        <is>
          <t>Detailed format sample from top 5 used rows</t>
        </is>
      </c>
    </row>
    <row r="681" ht="23.85" customHeight="1" s="79">
      <c r="A681" s="145" t="inlineStr">
        <is>
          <t>WINTER_DEPT</t>
        </is>
      </c>
      <c r="B681" s="145" t="inlineStr">
        <is>
          <t>Top-Row Cell Format</t>
        </is>
      </c>
      <c r="C681" s="145" t="inlineStr">
        <is>
          <t>T4</t>
        </is>
      </c>
      <c r="D681" s="145" t="inlineStr">
        <is>
          <t>WINTER_DEPT!A1:AA31</t>
        </is>
      </c>
      <c r="E681" s="145" t="inlineStr">
        <is>
          <t>Normal</t>
        </is>
      </c>
      <c r="F681" s="145" t="inlineStr">
        <is>
          <t>#F8CBAD</t>
        </is>
      </c>
      <c r="G681" s="145" t="inlineStr">
        <is>
          <t>Aptos</t>
        </is>
      </c>
      <c r="H681" s="145" t="n">
        <v>8</v>
      </c>
      <c r="I681" s="145" t="inlineStr">
        <is>
          <t>No</t>
        </is>
      </c>
      <c r="J681" s="145" t="inlineStr">
        <is>
          <t>No</t>
        </is>
      </c>
      <c r="K681" s="145" t="inlineStr">
        <is>
          <t>None</t>
        </is>
      </c>
      <c r="L681" s="145" t="inlineStr">
        <is>
          <t>#000000</t>
        </is>
      </c>
      <c r="M681" s="145" t="inlineStr">
        <is>
          <t>Center</t>
        </is>
      </c>
      <c r="N681" s="145" t="inlineStr">
        <is>
          <t>Center</t>
        </is>
      </c>
      <c r="O681" s="145" t="inlineStr">
        <is>
          <t>No</t>
        </is>
      </c>
      <c r="P681" s="145" t="inlineStr">
        <is>
          <t>General</t>
        </is>
      </c>
      <c r="Q681" s="145" t="inlineStr">
        <is>
          <t>General</t>
        </is>
      </c>
      <c r="R681" s="145" t="n"/>
      <c r="S681" s="145" t="n"/>
      <c r="T681" s="145" t="n"/>
      <c r="U681" s="145" t="n"/>
      <c r="V681" s="145" t="n"/>
      <c r="W681" s="145" t="n"/>
      <c r="X681" s="145" t="inlineStr">
        <is>
          <t>Detailed format sample from top 5 used rows</t>
        </is>
      </c>
    </row>
    <row r="682" ht="23.85" customHeight="1" s="79">
      <c r="A682" s="145" t="inlineStr">
        <is>
          <t>WINTER_DEPT</t>
        </is>
      </c>
      <c r="B682" s="145" t="inlineStr">
        <is>
          <t>Top-Row Cell Format</t>
        </is>
      </c>
      <c r="C682" s="145" t="inlineStr">
        <is>
          <t>T5</t>
        </is>
      </c>
      <c r="D682" s="145" t="inlineStr">
        <is>
          <t>WINTER_DEPT!A1:AA31</t>
        </is>
      </c>
      <c r="E682" s="145" t="inlineStr">
        <is>
          <t>Percent</t>
        </is>
      </c>
      <c r="F682" s="145" t="n"/>
      <c r="G682" s="145" t="inlineStr">
        <is>
          <t>Aptos</t>
        </is>
      </c>
      <c r="H682" s="145" t="n">
        <v>8</v>
      </c>
      <c r="I682" s="145" t="inlineStr">
        <is>
          <t>No</t>
        </is>
      </c>
      <c r="J682" s="145" t="inlineStr">
        <is>
          <t>No</t>
        </is>
      </c>
      <c r="K682" s="145" t="inlineStr">
        <is>
          <t>None</t>
        </is>
      </c>
      <c r="L682" s="145" t="inlineStr">
        <is>
          <t>#000000</t>
        </is>
      </c>
      <c r="M682" s="145" t="inlineStr">
        <is>
          <t>Center</t>
        </is>
      </c>
      <c r="N682" s="145" t="inlineStr">
        <is>
          <t>Center</t>
        </is>
      </c>
      <c r="O682" s="145" t="inlineStr">
        <is>
          <t>No</t>
        </is>
      </c>
      <c r="P682" s="146" t="n">
        <v>0</v>
      </c>
      <c r="Q682" s="145" t="inlineStr">
        <is>
          <t>Percentage</t>
        </is>
      </c>
      <c r="R682" s="145" t="n"/>
      <c r="S682" s="145" t="n"/>
      <c r="T682" s="145" t="n"/>
      <c r="U682" s="145" t="n"/>
      <c r="V682" s="145" t="n"/>
      <c r="W682" s="145" t="n"/>
      <c r="X682" s="145" t="inlineStr">
        <is>
          <t>Detailed format sample from top 5 used rows</t>
        </is>
      </c>
    </row>
    <row r="683" ht="23.85" customHeight="1" s="79">
      <c r="A683" s="145" t="inlineStr">
        <is>
          <t>WINTER_DEPT</t>
        </is>
      </c>
      <c r="B683" s="145" t="inlineStr">
        <is>
          <t>Column Format</t>
        </is>
      </c>
      <c r="C683" s="145" t="inlineStr">
        <is>
          <t>U:U</t>
        </is>
      </c>
      <c r="D683" s="145" t="inlineStr">
        <is>
          <t>WINTER_DEPT!A1:AA31</t>
        </is>
      </c>
      <c r="E683" s="145" t="inlineStr">
        <is>
          <t>Normal</t>
        </is>
      </c>
      <c r="F683" s="145" t="inlineStr">
        <is>
          <t>#8EA9DB</t>
        </is>
      </c>
      <c r="G683" s="145" t="inlineStr">
        <is>
          <t>Aptos</t>
        </is>
      </c>
      <c r="H683" s="145" t="n">
        <v>8</v>
      </c>
      <c r="I683" s="145" t="inlineStr">
        <is>
          <t>No</t>
        </is>
      </c>
      <c r="J683" s="145" t="inlineStr">
        <is>
          <t>No</t>
        </is>
      </c>
      <c r="K683" s="145" t="inlineStr">
        <is>
          <t>None</t>
        </is>
      </c>
      <c r="L683" s="145" t="inlineStr">
        <is>
          <t>#000000</t>
        </is>
      </c>
      <c r="M683" s="145" t="inlineStr">
        <is>
          <t>General</t>
        </is>
      </c>
      <c r="N683" s="145" t="inlineStr">
        <is>
          <t>Center</t>
        </is>
      </c>
      <c r="O683" s="145" t="inlineStr">
        <is>
          <t>No</t>
        </is>
      </c>
      <c r="P683" s="145" t="n"/>
      <c r="Q683" s="145" t="n"/>
      <c r="R683" s="145" t="inlineStr">
        <is>
          <t>EdgeLeft:Continuous/Thin/#000000; EdgeRight:Continuous/Thin/#000000</t>
        </is>
      </c>
      <c r="S683" s="145" t="n">
        <v>4.29850746268657</v>
      </c>
      <c r="T683" s="145" t="n"/>
      <c r="U683" s="145" t="inlineStr">
        <is>
          <t>No</t>
        </is>
      </c>
      <c r="V683" s="145" t="inlineStr">
        <is>
          <t>Visible</t>
        </is>
      </c>
      <c r="W683" s="145" t="n"/>
      <c r="X683" s="145" t="inlineStr">
        <is>
          <t>Uniform style across used column</t>
        </is>
      </c>
    </row>
    <row r="684" ht="23.85" customHeight="1" s="79">
      <c r="A684" s="145" t="inlineStr">
        <is>
          <t>WINTER_DEPT</t>
        </is>
      </c>
      <c r="B684" s="145" t="inlineStr">
        <is>
          <t>Top-Row Cell Format</t>
        </is>
      </c>
      <c r="C684" s="145" t="inlineStr">
        <is>
          <t>U1</t>
        </is>
      </c>
      <c r="D684" s="145" t="inlineStr">
        <is>
          <t>WINTER_DEPT!A1:AA31</t>
        </is>
      </c>
      <c r="E684" s="145" t="inlineStr">
        <is>
          <t>Normal</t>
        </is>
      </c>
      <c r="F684" s="145" t="inlineStr">
        <is>
          <t>#8EA9DB</t>
        </is>
      </c>
      <c r="G684" s="145" t="inlineStr">
        <is>
          <t>Aptos</t>
        </is>
      </c>
      <c r="H684" s="145" t="n">
        <v>8</v>
      </c>
      <c r="I684" s="145" t="inlineStr">
        <is>
          <t>No</t>
        </is>
      </c>
      <c r="J684" s="145" t="inlineStr">
        <is>
          <t>No</t>
        </is>
      </c>
      <c r="K684" s="145" t="inlineStr">
        <is>
          <t>None</t>
        </is>
      </c>
      <c r="L684" s="145" t="inlineStr">
        <is>
          <t>#000000</t>
        </is>
      </c>
      <c r="M684" s="145" t="inlineStr">
        <is>
          <t>General</t>
        </is>
      </c>
      <c r="N684" s="145" t="inlineStr">
        <is>
          <t>Center</t>
        </is>
      </c>
      <c r="O684" s="145" t="inlineStr">
        <is>
          <t>No</t>
        </is>
      </c>
      <c r="P684" s="145" t="inlineStr">
        <is>
          <t>General</t>
        </is>
      </c>
      <c r="Q684" s="145" t="inlineStr">
        <is>
          <t>General</t>
        </is>
      </c>
      <c r="R684" s="145" t="n"/>
      <c r="S684" s="145" t="n"/>
      <c r="T684" s="145" t="n"/>
      <c r="U684" s="145" t="n"/>
      <c r="V684" s="145" t="n"/>
      <c r="W684" s="145" t="n"/>
      <c r="X684" s="145" t="inlineStr">
        <is>
          <t>Detailed format sample from top 5 used rows</t>
        </is>
      </c>
    </row>
    <row r="685" ht="23.85" customHeight="1" s="79">
      <c r="A685" s="145" t="inlineStr">
        <is>
          <t>WINTER_DEPT</t>
        </is>
      </c>
      <c r="B685" s="145" t="inlineStr">
        <is>
          <t>Top-Row Cell Format</t>
        </is>
      </c>
      <c r="C685" s="145" t="inlineStr">
        <is>
          <t>U2</t>
        </is>
      </c>
      <c r="D685" s="145" t="inlineStr">
        <is>
          <t>WINTER_DEPT!A1:AA31</t>
        </is>
      </c>
      <c r="E685" s="145" t="inlineStr">
        <is>
          <t>Normal</t>
        </is>
      </c>
      <c r="F685" s="145" t="inlineStr">
        <is>
          <t>#8EA9DB</t>
        </is>
      </c>
      <c r="G685" s="145" t="inlineStr">
        <is>
          <t>Aptos</t>
        </is>
      </c>
      <c r="H685" s="145" t="n">
        <v>8</v>
      </c>
      <c r="I685" s="145" t="inlineStr">
        <is>
          <t>No</t>
        </is>
      </c>
      <c r="J685" s="145" t="inlineStr">
        <is>
          <t>No</t>
        </is>
      </c>
      <c r="K685" s="145" t="inlineStr">
        <is>
          <t>None</t>
        </is>
      </c>
      <c r="L685" s="145" t="inlineStr">
        <is>
          <t>#000000</t>
        </is>
      </c>
      <c r="M685" s="145" t="inlineStr">
        <is>
          <t>General</t>
        </is>
      </c>
      <c r="N685" s="145" t="inlineStr">
        <is>
          <t>Center</t>
        </is>
      </c>
      <c r="O685" s="145" t="inlineStr">
        <is>
          <t>No</t>
        </is>
      </c>
      <c r="P685" s="145" t="inlineStr">
        <is>
          <t>General</t>
        </is>
      </c>
      <c r="Q685" s="145" t="inlineStr">
        <is>
          <t>General</t>
        </is>
      </c>
      <c r="R685" s="145" t="n"/>
      <c r="S685" s="145" t="n"/>
      <c r="T685" s="145" t="n"/>
      <c r="U685" s="145" t="n"/>
      <c r="V685" s="145" t="n"/>
      <c r="W685" s="145" t="n"/>
      <c r="X685" s="145" t="inlineStr">
        <is>
          <t>Detailed format sample from top 5 used rows</t>
        </is>
      </c>
    </row>
    <row r="686" ht="23.85" customHeight="1" s="79">
      <c r="A686" s="145" t="inlineStr">
        <is>
          <t>WINTER_DEPT</t>
        </is>
      </c>
      <c r="B686" s="145" t="inlineStr">
        <is>
          <t>Top-Row Cell Format</t>
        </is>
      </c>
      <c r="C686" s="145" t="inlineStr">
        <is>
          <t>U3</t>
        </is>
      </c>
      <c r="D686" s="145" t="inlineStr">
        <is>
          <t>WINTER_DEPT!A1:AA31</t>
        </is>
      </c>
      <c r="E686" s="145" t="inlineStr">
        <is>
          <t>Normal</t>
        </is>
      </c>
      <c r="F686" s="145" t="inlineStr">
        <is>
          <t>#8EA9DB</t>
        </is>
      </c>
      <c r="G686" s="145" t="inlineStr">
        <is>
          <t>Aptos</t>
        </is>
      </c>
      <c r="H686" s="145" t="n">
        <v>8</v>
      </c>
      <c r="I686" s="145" t="inlineStr">
        <is>
          <t>No</t>
        </is>
      </c>
      <c r="J686" s="145" t="inlineStr">
        <is>
          <t>No</t>
        </is>
      </c>
      <c r="K686" s="145" t="inlineStr">
        <is>
          <t>None</t>
        </is>
      </c>
      <c r="L686" s="145" t="inlineStr">
        <is>
          <t>#000000</t>
        </is>
      </c>
      <c r="M686" s="145" t="inlineStr">
        <is>
          <t>General</t>
        </is>
      </c>
      <c r="N686" s="145" t="inlineStr">
        <is>
          <t>Center</t>
        </is>
      </c>
      <c r="O686" s="145" t="inlineStr">
        <is>
          <t>No</t>
        </is>
      </c>
      <c r="P686" s="145" t="inlineStr">
        <is>
          <t>General</t>
        </is>
      </c>
      <c r="Q686" s="145" t="inlineStr">
        <is>
          <t>General</t>
        </is>
      </c>
      <c r="R686" s="145" t="n"/>
      <c r="S686" s="145" t="n"/>
      <c r="T686" s="145" t="n"/>
      <c r="U686" s="145" t="n"/>
      <c r="V686" s="145" t="n"/>
      <c r="W686" s="145" t="n"/>
      <c r="X686" s="145" t="inlineStr">
        <is>
          <t>Detailed format sample from top 5 used rows</t>
        </is>
      </c>
    </row>
    <row r="687" ht="23.85" customHeight="1" s="79">
      <c r="A687" s="145" t="inlineStr">
        <is>
          <t>WINTER_DEPT</t>
        </is>
      </c>
      <c r="B687" s="145" t="inlineStr">
        <is>
          <t>Top-Row Cell Format</t>
        </is>
      </c>
      <c r="C687" s="145" t="inlineStr">
        <is>
          <t>U4</t>
        </is>
      </c>
      <c r="D687" s="145" t="inlineStr">
        <is>
          <t>WINTER_DEPT!A1:AA31</t>
        </is>
      </c>
      <c r="E687" s="145" t="inlineStr">
        <is>
          <t>Normal</t>
        </is>
      </c>
      <c r="F687" s="145" t="inlineStr">
        <is>
          <t>#8EA9DB</t>
        </is>
      </c>
      <c r="G687" s="145" t="inlineStr">
        <is>
          <t>Aptos</t>
        </is>
      </c>
      <c r="H687" s="145" t="n">
        <v>8</v>
      </c>
      <c r="I687" s="145" t="inlineStr">
        <is>
          <t>No</t>
        </is>
      </c>
      <c r="J687" s="145" t="inlineStr">
        <is>
          <t>No</t>
        </is>
      </c>
      <c r="K687" s="145" t="inlineStr">
        <is>
          <t>None</t>
        </is>
      </c>
      <c r="L687" s="145" t="inlineStr">
        <is>
          <t>#000000</t>
        </is>
      </c>
      <c r="M687" s="145" t="inlineStr">
        <is>
          <t>General</t>
        </is>
      </c>
      <c r="N687" s="145" t="inlineStr">
        <is>
          <t>Center</t>
        </is>
      </c>
      <c r="O687" s="145" t="inlineStr">
        <is>
          <t>No</t>
        </is>
      </c>
      <c r="P687" s="145" t="inlineStr">
        <is>
          <t>General</t>
        </is>
      </c>
      <c r="Q687" s="145" t="inlineStr">
        <is>
          <t>General</t>
        </is>
      </c>
      <c r="R687" s="145" t="n"/>
      <c r="S687" s="145" t="n"/>
      <c r="T687" s="145" t="n"/>
      <c r="U687" s="145" t="n"/>
      <c r="V687" s="145" t="n"/>
      <c r="W687" s="145" t="n"/>
      <c r="X687" s="145" t="inlineStr">
        <is>
          <t>Detailed format sample from top 5 used rows</t>
        </is>
      </c>
    </row>
    <row r="688" ht="23.85" customHeight="1" s="79">
      <c r="A688" s="145" t="inlineStr">
        <is>
          <t>WINTER_DEPT</t>
        </is>
      </c>
      <c r="B688" s="145" t="inlineStr">
        <is>
          <t>Top-Row Cell Format</t>
        </is>
      </c>
      <c r="C688" s="145" t="inlineStr">
        <is>
          <t>U5</t>
        </is>
      </c>
      <c r="D688" s="145" t="inlineStr">
        <is>
          <t>WINTER_DEPT!A1:AA31</t>
        </is>
      </c>
      <c r="E688" s="145" t="inlineStr">
        <is>
          <t>Normal</t>
        </is>
      </c>
      <c r="F688" s="145" t="inlineStr">
        <is>
          <t>#8EA9DB</t>
        </is>
      </c>
      <c r="G688" s="145" t="inlineStr">
        <is>
          <t>Aptos</t>
        </is>
      </c>
      <c r="H688" s="145" t="n">
        <v>8</v>
      </c>
      <c r="I688" s="145" t="inlineStr">
        <is>
          <t>No</t>
        </is>
      </c>
      <c r="J688" s="145" t="inlineStr">
        <is>
          <t>No</t>
        </is>
      </c>
      <c r="K688" s="145" t="inlineStr">
        <is>
          <t>None</t>
        </is>
      </c>
      <c r="L688" s="145" t="inlineStr">
        <is>
          <t>#000000</t>
        </is>
      </c>
      <c r="M688" s="145" t="inlineStr">
        <is>
          <t>General</t>
        </is>
      </c>
      <c r="N688" s="145" t="inlineStr">
        <is>
          <t>Center</t>
        </is>
      </c>
      <c r="O688" s="145" t="inlineStr">
        <is>
          <t>No</t>
        </is>
      </c>
      <c r="P688" s="145" t="inlineStr">
        <is>
          <t>General</t>
        </is>
      </c>
      <c r="Q688" s="145" t="inlineStr">
        <is>
          <t>General</t>
        </is>
      </c>
      <c r="R688" s="145" t="n"/>
      <c r="S688" s="145" t="n"/>
      <c r="T688" s="145" t="n"/>
      <c r="U688" s="145" t="n"/>
      <c r="V688" s="145" t="n"/>
      <c r="W688" s="145" t="n"/>
      <c r="X688" s="145" t="inlineStr">
        <is>
          <t>Detailed format sample from top 5 used rows</t>
        </is>
      </c>
    </row>
    <row r="689" ht="46.25" customHeight="1" s="79">
      <c r="A689" s="145" t="inlineStr">
        <is>
          <t>WINTER_DEPT</t>
        </is>
      </c>
      <c r="B689" s="145" t="inlineStr">
        <is>
          <t>Column Format</t>
        </is>
      </c>
      <c r="C689" s="145" t="inlineStr">
        <is>
          <t>V:V</t>
        </is>
      </c>
      <c r="D689" s="145" t="inlineStr">
        <is>
          <t>WINTER_DEPT!A1:AA31</t>
        </is>
      </c>
      <c r="E689" s="145" t="inlineStr">
        <is>
          <t>Mixed</t>
        </is>
      </c>
      <c r="F689" s="145" t="inlineStr">
        <is>
          <t>Mixed</t>
        </is>
      </c>
      <c r="G689" s="145" t="inlineStr">
        <is>
          <t>Aptos</t>
        </is>
      </c>
      <c r="H689" s="145" t="n">
        <v>8</v>
      </c>
      <c r="I689" s="145" t="inlineStr">
        <is>
          <t>Mixed</t>
        </is>
      </c>
      <c r="J689" s="145" t="inlineStr">
        <is>
          <t>No</t>
        </is>
      </c>
      <c r="K689" s="145" t="inlineStr">
        <is>
          <t>None</t>
        </is>
      </c>
      <c r="L689" s="145" t="inlineStr">
        <is>
          <t>#000000</t>
        </is>
      </c>
      <c r="M689" s="145" t="inlineStr">
        <is>
          <t>Center</t>
        </is>
      </c>
      <c r="N689" s="145" t="inlineStr">
        <is>
          <t>Center</t>
        </is>
      </c>
      <c r="O689" s="145" t="inlineStr">
        <is>
          <t>Mixed</t>
        </is>
      </c>
      <c r="P689" s="145" t="n"/>
      <c r="Q689" s="145" t="n"/>
      <c r="R689" s="145" t="inlineStr">
        <is>
          <t>EdgeTop:Continuous/Thin/#000000; EdgeBottom:Continuous/Thin/#000000; EdgeLeft:Continuous/Thin/#000000; EdgeRight:Continuous/Thin/#000000</t>
        </is>
      </c>
      <c r="S689" s="145" t="n">
        <v>53.7313432835821</v>
      </c>
      <c r="T689" s="145" t="n"/>
      <c r="U689" s="145" t="inlineStr">
        <is>
          <t>No</t>
        </is>
      </c>
      <c r="V689" s="145" t="inlineStr">
        <is>
          <t>Visible</t>
        </is>
      </c>
      <c r="W689" s="145" t="n"/>
      <c r="X689" s="145" t="inlineStr">
        <is>
          <t>Mixed styles within used column</t>
        </is>
      </c>
    </row>
    <row r="690" ht="23.85" customHeight="1" s="79">
      <c r="A690" s="145" t="inlineStr">
        <is>
          <t>WINTER_DEPT</t>
        </is>
      </c>
      <c r="B690" s="145" t="inlineStr">
        <is>
          <t>Top-Row Cell Format</t>
        </is>
      </c>
      <c r="C690" s="145" t="inlineStr">
        <is>
          <t>V1</t>
        </is>
      </c>
      <c r="D690" s="145" t="inlineStr">
        <is>
          <t>WINTER_DEPT!A1:AA31</t>
        </is>
      </c>
      <c r="E690" s="145" t="inlineStr">
        <is>
          <t>Normal</t>
        </is>
      </c>
      <c r="F690" s="145" t="inlineStr">
        <is>
          <t>#C9C9C9</t>
        </is>
      </c>
      <c r="G690" s="145" t="inlineStr">
        <is>
          <t>Aptos</t>
        </is>
      </c>
      <c r="H690" s="145" t="n">
        <v>8</v>
      </c>
      <c r="I690" s="145" t="inlineStr">
        <is>
          <t>Yes</t>
        </is>
      </c>
      <c r="J690" s="145" t="inlineStr">
        <is>
          <t>No</t>
        </is>
      </c>
      <c r="K690" s="145" t="inlineStr">
        <is>
          <t>None</t>
        </is>
      </c>
      <c r="L690" s="145" t="inlineStr">
        <is>
          <t>#000000</t>
        </is>
      </c>
      <c r="M690" s="145" t="inlineStr">
        <is>
          <t>Center</t>
        </is>
      </c>
      <c r="N690" s="145" t="inlineStr">
        <is>
          <t>Center</t>
        </is>
      </c>
      <c r="O690" s="145" t="inlineStr">
        <is>
          <t>No</t>
        </is>
      </c>
      <c r="P690" s="145" t="inlineStr">
        <is>
          <t>General</t>
        </is>
      </c>
      <c r="Q690" s="145" t="inlineStr">
        <is>
          <t>General</t>
        </is>
      </c>
      <c r="R690" s="145" t="n"/>
      <c r="S690" s="145" t="n"/>
      <c r="T690" s="145" t="n"/>
      <c r="U690" s="145" t="n"/>
      <c r="V690" s="145" t="n"/>
      <c r="W690" s="145" t="n"/>
      <c r="X690" s="145" t="inlineStr">
        <is>
          <t>Detailed format sample from top 5 used rows</t>
        </is>
      </c>
    </row>
    <row r="691" ht="23.85" customHeight="1" s="79">
      <c r="A691" s="145" t="inlineStr">
        <is>
          <t>WINTER_DEPT</t>
        </is>
      </c>
      <c r="B691" s="145" t="inlineStr">
        <is>
          <t>Top-Row Cell Format</t>
        </is>
      </c>
      <c r="C691" s="145" t="inlineStr">
        <is>
          <t>V2</t>
        </is>
      </c>
      <c r="D691" s="145" t="inlineStr">
        <is>
          <t>WINTER_DEPT!A1:AA31</t>
        </is>
      </c>
      <c r="E691" s="145" t="inlineStr">
        <is>
          <t>Percent</t>
        </is>
      </c>
      <c r="F691" s="145" t="inlineStr">
        <is>
          <t>#B4C6E7</t>
        </is>
      </c>
      <c r="G691" s="145" t="inlineStr">
        <is>
          <t>Aptos</t>
        </is>
      </c>
      <c r="H691" s="145" t="n">
        <v>8</v>
      </c>
      <c r="I691" s="145" t="inlineStr">
        <is>
          <t>Yes</t>
        </is>
      </c>
      <c r="J691" s="145" t="inlineStr">
        <is>
          <t>No</t>
        </is>
      </c>
      <c r="K691" s="145" t="inlineStr">
        <is>
          <t>None</t>
        </is>
      </c>
      <c r="L691" s="145" t="inlineStr">
        <is>
          <t>#000000</t>
        </is>
      </c>
      <c r="M691" s="145" t="inlineStr">
        <is>
          <t>Center</t>
        </is>
      </c>
      <c r="N691" s="145" t="inlineStr">
        <is>
          <t>Center</t>
        </is>
      </c>
      <c r="O691" s="145" t="inlineStr">
        <is>
          <t>No</t>
        </is>
      </c>
      <c r="P691" s="146" t="n">
        <v>0</v>
      </c>
      <c r="Q691" s="145" t="inlineStr">
        <is>
          <t>Percentage</t>
        </is>
      </c>
      <c r="R691" s="145" t="n"/>
      <c r="S691" s="145" t="n"/>
      <c r="T691" s="145" t="n"/>
      <c r="U691" s="145" t="n"/>
      <c r="V691" s="145" t="n"/>
      <c r="W691" s="145" t="n"/>
      <c r="X691" s="145" t="inlineStr">
        <is>
          <t>Detailed format sample from top 5 used rows</t>
        </is>
      </c>
    </row>
    <row r="692" ht="23.85" customHeight="1" s="79">
      <c r="A692" s="145" t="inlineStr">
        <is>
          <t>WINTER_DEPT</t>
        </is>
      </c>
      <c r="B692" s="145" t="inlineStr">
        <is>
          <t>Top-Row Cell Format</t>
        </is>
      </c>
      <c r="C692" s="145" t="inlineStr">
        <is>
          <t>V3</t>
        </is>
      </c>
      <c r="D692" s="145" t="inlineStr">
        <is>
          <t>WINTER_DEPT!A1:AA31</t>
        </is>
      </c>
      <c r="E692" s="145" t="inlineStr">
        <is>
          <t>Normal</t>
        </is>
      </c>
      <c r="F692" s="145" t="inlineStr">
        <is>
          <t>#F8CBAD</t>
        </is>
      </c>
      <c r="G692" s="145" t="inlineStr">
        <is>
          <t>Aptos</t>
        </is>
      </c>
      <c r="H692" s="145" t="n">
        <v>8</v>
      </c>
      <c r="I692" s="145" t="inlineStr">
        <is>
          <t>Yes</t>
        </is>
      </c>
      <c r="J692" s="145" t="inlineStr">
        <is>
          <t>No</t>
        </is>
      </c>
      <c r="K692" s="145" t="inlineStr">
        <is>
          <t>None</t>
        </is>
      </c>
      <c r="L692" s="145" t="inlineStr">
        <is>
          <t>#000000</t>
        </is>
      </c>
      <c r="M692" s="145" t="inlineStr">
        <is>
          <t>Center</t>
        </is>
      </c>
      <c r="N692" s="145" t="inlineStr">
        <is>
          <t>Center</t>
        </is>
      </c>
      <c r="O692" s="145" t="inlineStr">
        <is>
          <t>Yes</t>
        </is>
      </c>
      <c r="P692" s="145" t="inlineStr">
        <is>
          <t>General</t>
        </is>
      </c>
      <c r="Q692" s="145" t="inlineStr">
        <is>
          <t>General</t>
        </is>
      </c>
      <c r="R692" s="145" t="n"/>
      <c r="S692" s="145" t="n"/>
      <c r="T692" s="145" t="n"/>
      <c r="U692" s="145" t="n"/>
      <c r="V692" s="145" t="n"/>
      <c r="W692" s="145" t="n"/>
      <c r="X692" s="145" t="inlineStr">
        <is>
          <t>Detailed format sample from top 5 used rows</t>
        </is>
      </c>
    </row>
    <row r="693" ht="23.85" customHeight="1" s="79">
      <c r="A693" s="145" t="inlineStr">
        <is>
          <t>WINTER_DEPT</t>
        </is>
      </c>
      <c r="B693" s="145" t="inlineStr">
        <is>
          <t>Top-Row Cell Format</t>
        </is>
      </c>
      <c r="C693" s="145" t="inlineStr">
        <is>
          <t>V4</t>
        </is>
      </c>
      <c r="D693" s="145" t="inlineStr">
        <is>
          <t>WINTER_DEPT!A1:AA31</t>
        </is>
      </c>
      <c r="E693" s="145" t="inlineStr">
        <is>
          <t>Normal</t>
        </is>
      </c>
      <c r="F693" s="145" t="inlineStr">
        <is>
          <t>#F8CBAD</t>
        </is>
      </c>
      <c r="G693" s="145" t="inlineStr">
        <is>
          <t>Aptos</t>
        </is>
      </c>
      <c r="H693" s="145" t="n">
        <v>8</v>
      </c>
      <c r="I693" s="145" t="inlineStr">
        <is>
          <t>No</t>
        </is>
      </c>
      <c r="J693" s="145" t="inlineStr">
        <is>
          <t>No</t>
        </is>
      </c>
      <c r="K693" s="145" t="inlineStr">
        <is>
          <t>None</t>
        </is>
      </c>
      <c r="L693" s="145" t="inlineStr">
        <is>
          <t>#000000</t>
        </is>
      </c>
      <c r="M693" s="145" t="inlineStr">
        <is>
          <t>Center</t>
        </is>
      </c>
      <c r="N693" s="145" t="inlineStr">
        <is>
          <t>Center</t>
        </is>
      </c>
      <c r="O693" s="145" t="inlineStr">
        <is>
          <t>No</t>
        </is>
      </c>
      <c r="P693" s="145" t="inlineStr">
        <is>
          <t>General</t>
        </is>
      </c>
      <c r="Q693" s="145" t="inlineStr">
        <is>
          <t>General</t>
        </is>
      </c>
      <c r="R693" s="145" t="n"/>
      <c r="S693" s="145" t="n"/>
      <c r="T693" s="145" t="n"/>
      <c r="U693" s="145" t="n"/>
      <c r="V693" s="145" t="n"/>
      <c r="W693" s="145" t="n"/>
      <c r="X693" s="145" t="inlineStr">
        <is>
          <t>Detailed format sample from top 5 used rows</t>
        </is>
      </c>
    </row>
    <row r="694" ht="23.85" customHeight="1" s="79">
      <c r="A694" s="145" t="inlineStr">
        <is>
          <t>WINTER_DEPT</t>
        </is>
      </c>
      <c r="B694" s="145" t="inlineStr">
        <is>
          <t>Top-Row Cell Format</t>
        </is>
      </c>
      <c r="C694" s="145" t="inlineStr">
        <is>
          <t>V5</t>
        </is>
      </c>
      <c r="D694" s="145" t="inlineStr">
        <is>
          <t>WINTER_DEPT!A1:AA31</t>
        </is>
      </c>
      <c r="E694" s="145" t="inlineStr">
        <is>
          <t>Percent</t>
        </is>
      </c>
      <c r="F694" s="145" t="n"/>
      <c r="G694" s="145" t="inlineStr">
        <is>
          <t>Aptos</t>
        </is>
      </c>
      <c r="H694" s="145" t="n">
        <v>8</v>
      </c>
      <c r="I694" s="145" t="inlineStr">
        <is>
          <t>No</t>
        </is>
      </c>
      <c r="J694" s="145" t="inlineStr">
        <is>
          <t>No</t>
        </is>
      </c>
      <c r="K694" s="145" t="inlineStr">
        <is>
          <t>None</t>
        </is>
      </c>
      <c r="L694" s="145" t="inlineStr">
        <is>
          <t>#000000</t>
        </is>
      </c>
      <c r="M694" s="145" t="inlineStr">
        <is>
          <t>Center</t>
        </is>
      </c>
      <c r="N694" s="145" t="inlineStr">
        <is>
          <t>Center</t>
        </is>
      </c>
      <c r="O694" s="145" t="inlineStr">
        <is>
          <t>No</t>
        </is>
      </c>
      <c r="P694" s="146" t="n">
        <v>0</v>
      </c>
      <c r="Q694" s="145" t="inlineStr">
        <is>
          <t>Percentage</t>
        </is>
      </c>
      <c r="R694" s="145" t="n"/>
      <c r="S694" s="145" t="n"/>
      <c r="T694" s="145" t="n"/>
      <c r="U694" s="145" t="n"/>
      <c r="V694" s="145" t="n"/>
      <c r="W694" s="145" t="n"/>
      <c r="X694" s="145" t="inlineStr">
        <is>
          <t>Detailed format sample from top 5 used rows</t>
        </is>
      </c>
    </row>
    <row r="695" ht="35.05" customHeight="1" s="79">
      <c r="A695" s="145" t="inlineStr">
        <is>
          <t>WINTER_DEPT</t>
        </is>
      </c>
      <c r="B695" s="145" t="inlineStr">
        <is>
          <t>Column Format</t>
        </is>
      </c>
      <c r="C695" s="145" t="inlineStr">
        <is>
          <t>W:W</t>
        </is>
      </c>
      <c r="D695" s="145" t="inlineStr">
        <is>
          <t>WINTER_DEPT!A1:AA31</t>
        </is>
      </c>
      <c r="E695" s="145" t="inlineStr">
        <is>
          <t>Mixed</t>
        </is>
      </c>
      <c r="F695" s="145" t="inlineStr">
        <is>
          <t>Mixed</t>
        </is>
      </c>
      <c r="G695" s="145" t="inlineStr">
        <is>
          <t>Aptos</t>
        </is>
      </c>
      <c r="H695" s="145" t="n">
        <v>8</v>
      </c>
      <c r="I695" s="145" t="inlineStr">
        <is>
          <t>Mixed</t>
        </is>
      </c>
      <c r="J695" s="145" t="inlineStr">
        <is>
          <t>No</t>
        </is>
      </c>
      <c r="K695" s="145" t="inlineStr">
        <is>
          <t>None</t>
        </is>
      </c>
      <c r="L695" s="145" t="inlineStr">
        <is>
          <t>#000000</t>
        </is>
      </c>
      <c r="M695" s="145" t="inlineStr">
        <is>
          <t>Mixed</t>
        </is>
      </c>
      <c r="N695" s="145" t="inlineStr">
        <is>
          <t>Center</t>
        </is>
      </c>
      <c r="O695" s="145" t="inlineStr">
        <is>
          <t>Mixed</t>
        </is>
      </c>
      <c r="P695" s="145" t="n"/>
      <c r="Q695" s="145" t="n"/>
      <c r="R695" s="145" t="inlineStr">
        <is>
          <t>EdgeTop:Continuous/Thin/#000000; EdgeBottom:Continuous/Thin/#000000; EdgeRight:Continuous/Thin/#000000</t>
        </is>
      </c>
      <c r="S695" s="145" t="n">
        <v>53.7313432835821</v>
      </c>
      <c r="T695" s="145" t="n"/>
      <c r="U695" s="145" t="inlineStr">
        <is>
          <t>No</t>
        </is>
      </c>
      <c r="V695" s="145" t="inlineStr">
        <is>
          <t>Visible</t>
        </is>
      </c>
      <c r="W695" s="145" t="n"/>
      <c r="X695" s="145" t="inlineStr">
        <is>
          <t>Mixed styles within used column</t>
        </is>
      </c>
    </row>
    <row r="696" ht="23.85" customHeight="1" s="79">
      <c r="A696" s="145" t="inlineStr">
        <is>
          <t>WINTER_DEPT</t>
        </is>
      </c>
      <c r="B696" s="145" t="inlineStr">
        <is>
          <t>Top-Row Cell Format</t>
        </is>
      </c>
      <c r="C696" s="145" t="inlineStr">
        <is>
          <t>W1</t>
        </is>
      </c>
      <c r="D696" s="145" t="inlineStr">
        <is>
          <t>WINTER_DEPT!A1:AA31</t>
        </is>
      </c>
      <c r="E696" s="145" t="inlineStr">
        <is>
          <t>Normal</t>
        </is>
      </c>
      <c r="F696" s="145" t="inlineStr">
        <is>
          <t>#C9C9C9</t>
        </is>
      </c>
      <c r="G696" s="145" t="inlineStr">
        <is>
          <t>Aptos</t>
        </is>
      </c>
      <c r="H696" s="145" t="n">
        <v>8</v>
      </c>
      <c r="I696" s="145" t="inlineStr">
        <is>
          <t>Yes</t>
        </is>
      </c>
      <c r="J696" s="145" t="inlineStr">
        <is>
          <t>No</t>
        </is>
      </c>
      <c r="K696" s="145" t="inlineStr">
        <is>
          <t>None</t>
        </is>
      </c>
      <c r="L696" s="145" t="inlineStr">
        <is>
          <t>#000000</t>
        </is>
      </c>
      <c r="M696" s="145" t="inlineStr">
        <is>
          <t>Center</t>
        </is>
      </c>
      <c r="N696" s="145" t="inlineStr">
        <is>
          <t>Center</t>
        </is>
      </c>
      <c r="O696" s="145" t="inlineStr">
        <is>
          <t>No</t>
        </is>
      </c>
      <c r="P696" s="145" t="inlineStr">
        <is>
          <t>General</t>
        </is>
      </c>
      <c r="Q696" s="145" t="inlineStr">
        <is>
          <t>General</t>
        </is>
      </c>
      <c r="R696" s="145" t="n"/>
      <c r="S696" s="145" t="n"/>
      <c r="T696" s="145" t="n"/>
      <c r="U696" s="145" t="n"/>
      <c r="V696" s="145" t="n"/>
      <c r="W696" s="145" t="n"/>
      <c r="X696" s="145" t="inlineStr">
        <is>
          <t>Detailed format sample from top 5 used rows</t>
        </is>
      </c>
    </row>
    <row r="697" ht="23.85" customHeight="1" s="79">
      <c r="A697" s="145" t="inlineStr">
        <is>
          <t>WINTER_DEPT</t>
        </is>
      </c>
      <c r="B697" s="145" t="inlineStr">
        <is>
          <t>Top-Row Cell Format</t>
        </is>
      </c>
      <c r="C697" s="145" t="inlineStr">
        <is>
          <t>W2</t>
        </is>
      </c>
      <c r="D697" s="145" t="inlineStr">
        <is>
          <t>WINTER_DEPT!A1:AA31</t>
        </is>
      </c>
      <c r="E697" s="145" t="inlineStr">
        <is>
          <t>Comma</t>
        </is>
      </c>
      <c r="F697" s="145" t="inlineStr">
        <is>
          <t>#B4C6E7</t>
        </is>
      </c>
      <c r="G697" s="145" t="inlineStr">
        <is>
          <t>Aptos</t>
        </is>
      </c>
      <c r="H697" s="145" t="n">
        <v>8</v>
      </c>
      <c r="I697" s="145" t="inlineStr">
        <is>
          <t>Yes</t>
        </is>
      </c>
      <c r="J697" s="145" t="inlineStr">
        <is>
          <t>No</t>
        </is>
      </c>
      <c r="K697" s="145" t="inlineStr">
        <is>
          <t>None</t>
        </is>
      </c>
      <c r="L697" s="145" t="inlineStr">
        <is>
          <t>#000000</t>
        </is>
      </c>
      <c r="M697" s="145" t="inlineStr">
        <is>
          <t>Center</t>
        </is>
      </c>
      <c r="N697" s="145" t="inlineStr">
        <is>
          <t>Center</t>
        </is>
      </c>
      <c r="O697" s="145" t="inlineStr">
        <is>
          <t>No</t>
        </is>
      </c>
      <c r="P697" s="145" t="inlineStr">
        <is>
          <t xml:space="preserve">_ * #,##0_ ;_ * -#,##0_ ;_ * "-"??_ ;_ @_ </t>
        </is>
      </c>
      <c r="Q697" s="145" t="inlineStr">
        <is>
          <t>Text</t>
        </is>
      </c>
      <c r="R697" s="145" t="n"/>
      <c r="S697" s="145" t="n"/>
      <c r="T697" s="145" t="n"/>
      <c r="U697" s="145" t="n"/>
      <c r="V697" s="145" t="n"/>
      <c r="W697" s="145" t="n"/>
      <c r="X697" s="145" t="inlineStr">
        <is>
          <t>Detailed format sample from top 5 used rows</t>
        </is>
      </c>
    </row>
    <row r="698" ht="23.85" customHeight="1" s="79">
      <c r="A698" s="145" t="inlineStr">
        <is>
          <t>WINTER_DEPT</t>
        </is>
      </c>
      <c r="B698" s="145" t="inlineStr">
        <is>
          <t>Top-Row Cell Format</t>
        </is>
      </c>
      <c r="C698" s="145" t="inlineStr">
        <is>
          <t>W3</t>
        </is>
      </c>
      <c r="D698" s="145" t="inlineStr">
        <is>
          <t>WINTER_DEPT!A1:AA31</t>
        </is>
      </c>
      <c r="E698" s="145" t="inlineStr">
        <is>
          <t>Normal</t>
        </is>
      </c>
      <c r="F698" s="145" t="inlineStr">
        <is>
          <t>#F8CBAD</t>
        </is>
      </c>
      <c r="G698" s="145" t="inlineStr">
        <is>
          <t>Aptos</t>
        </is>
      </c>
      <c r="H698" s="145" t="n">
        <v>8</v>
      </c>
      <c r="I698" s="145" t="inlineStr">
        <is>
          <t>Yes</t>
        </is>
      </c>
      <c r="J698" s="145" t="inlineStr">
        <is>
          <t>No</t>
        </is>
      </c>
      <c r="K698" s="145" t="inlineStr">
        <is>
          <t>None</t>
        </is>
      </c>
      <c r="L698" s="145" t="inlineStr">
        <is>
          <t>#000000</t>
        </is>
      </c>
      <c r="M698" s="145" t="inlineStr">
        <is>
          <t>Center</t>
        </is>
      </c>
      <c r="N698" s="145" t="inlineStr">
        <is>
          <t>Center</t>
        </is>
      </c>
      <c r="O698" s="145" t="inlineStr">
        <is>
          <t>Yes</t>
        </is>
      </c>
      <c r="P698" s="145" t="inlineStr">
        <is>
          <t>General</t>
        </is>
      </c>
      <c r="Q698" s="145" t="inlineStr">
        <is>
          <t>General</t>
        </is>
      </c>
      <c r="R698" s="145" t="n"/>
      <c r="S698" s="145" t="n"/>
      <c r="T698" s="145" t="n"/>
      <c r="U698" s="145" t="n"/>
      <c r="V698" s="145" t="n"/>
      <c r="W698" s="145" t="n"/>
      <c r="X698" s="145" t="inlineStr">
        <is>
          <t>Detailed format sample from top 5 used rows</t>
        </is>
      </c>
    </row>
    <row r="699" ht="23.85" customHeight="1" s="79">
      <c r="A699" s="145" t="inlineStr">
        <is>
          <t>WINTER_DEPT</t>
        </is>
      </c>
      <c r="B699" s="145" t="inlineStr">
        <is>
          <t>Top-Row Cell Format</t>
        </is>
      </c>
      <c r="C699" s="145" t="inlineStr">
        <is>
          <t>W4</t>
        </is>
      </c>
      <c r="D699" s="145" t="inlineStr">
        <is>
          <t>WINTER_DEPT!A1:AA31</t>
        </is>
      </c>
      <c r="E699" s="145" t="inlineStr">
        <is>
          <t>Normal</t>
        </is>
      </c>
      <c r="F699" s="145" t="inlineStr">
        <is>
          <t>#F8CBAD</t>
        </is>
      </c>
      <c r="G699" s="145" t="inlineStr">
        <is>
          <t>Aptos</t>
        </is>
      </c>
      <c r="H699" s="145" t="n">
        <v>8</v>
      </c>
      <c r="I699" s="145" t="inlineStr">
        <is>
          <t>No</t>
        </is>
      </c>
      <c r="J699" s="145" t="inlineStr">
        <is>
          <t>No</t>
        </is>
      </c>
      <c r="K699" s="145" t="inlineStr">
        <is>
          <t>None</t>
        </is>
      </c>
      <c r="L699" s="145" t="inlineStr">
        <is>
          <t>#000000</t>
        </is>
      </c>
      <c r="M699" s="145" t="inlineStr">
        <is>
          <t>Center</t>
        </is>
      </c>
      <c r="N699" s="145" t="inlineStr">
        <is>
          <t>Center</t>
        </is>
      </c>
      <c r="O699" s="145" t="inlineStr">
        <is>
          <t>No</t>
        </is>
      </c>
      <c r="P699" s="145" t="inlineStr">
        <is>
          <t>General</t>
        </is>
      </c>
      <c r="Q699" s="145" t="inlineStr">
        <is>
          <t>General</t>
        </is>
      </c>
      <c r="R699" s="145" t="n"/>
      <c r="S699" s="145" t="n"/>
      <c r="T699" s="145" t="n"/>
      <c r="U699" s="145" t="n"/>
      <c r="V699" s="145" t="n"/>
      <c r="W699" s="145" t="n"/>
      <c r="X699" s="145" t="inlineStr">
        <is>
          <t>Detailed format sample from top 5 used rows</t>
        </is>
      </c>
    </row>
    <row r="700" ht="23.85" customHeight="1" s="79">
      <c r="A700" s="145" t="inlineStr">
        <is>
          <t>WINTER_DEPT</t>
        </is>
      </c>
      <c r="B700" s="145" t="inlineStr">
        <is>
          <t>Top-Row Cell Format</t>
        </is>
      </c>
      <c r="C700" s="145" t="inlineStr">
        <is>
          <t>W5</t>
        </is>
      </c>
      <c r="D700" s="145" t="inlineStr">
        <is>
          <t>WINTER_DEPT!A1:AA31</t>
        </is>
      </c>
      <c r="E700" s="145" t="inlineStr">
        <is>
          <t>Comma</t>
        </is>
      </c>
      <c r="F700" s="145" t="n"/>
      <c r="G700" s="145" t="inlineStr">
        <is>
          <t>Aptos</t>
        </is>
      </c>
      <c r="H700" s="145" t="n">
        <v>8</v>
      </c>
      <c r="I700" s="145" t="inlineStr">
        <is>
          <t>No</t>
        </is>
      </c>
      <c r="J700" s="145" t="inlineStr">
        <is>
          <t>No</t>
        </is>
      </c>
      <c r="K700" s="145" t="inlineStr">
        <is>
          <t>None</t>
        </is>
      </c>
      <c r="L700" s="145" t="inlineStr">
        <is>
          <t>#000000</t>
        </is>
      </c>
      <c r="M700" s="145" t="inlineStr">
        <is>
          <t>General</t>
        </is>
      </c>
      <c r="N700" s="145" t="inlineStr">
        <is>
          <t>Center</t>
        </is>
      </c>
      <c r="O700" s="145" t="inlineStr">
        <is>
          <t>No</t>
        </is>
      </c>
      <c r="P700" s="145" t="inlineStr">
        <is>
          <t xml:space="preserve">_ * #,##0_ ;_ * -#,##0_ ;_ * "-"??_ ;_ @_ </t>
        </is>
      </c>
      <c r="Q700" s="145" t="inlineStr">
        <is>
          <t>Text</t>
        </is>
      </c>
      <c r="R700" s="145" t="n"/>
      <c r="S700" s="145" t="n"/>
      <c r="T700" s="145" t="n"/>
      <c r="U700" s="145" t="n"/>
      <c r="V700" s="145" t="n"/>
      <c r="W700" s="145" t="n"/>
      <c r="X700" s="145" t="inlineStr">
        <is>
          <t>Detailed format sample from top 5 used rows</t>
        </is>
      </c>
    </row>
    <row r="701" ht="35.05" customHeight="1" s="79">
      <c r="A701" s="145" t="inlineStr">
        <is>
          <t>WINTER_DEPT</t>
        </is>
      </c>
      <c r="B701" s="145" t="inlineStr">
        <is>
          <t>Column Format</t>
        </is>
      </c>
      <c r="C701" s="145" t="inlineStr">
        <is>
          <t>X:X</t>
        </is>
      </c>
      <c r="D701" s="145" t="inlineStr">
        <is>
          <t>WINTER_DEPT!A1:AA31</t>
        </is>
      </c>
      <c r="E701" s="145" t="inlineStr">
        <is>
          <t>Mixed</t>
        </is>
      </c>
      <c r="F701" s="145" t="inlineStr">
        <is>
          <t>Mixed</t>
        </is>
      </c>
      <c r="G701" s="145" t="inlineStr">
        <is>
          <t>Aptos</t>
        </is>
      </c>
      <c r="H701" s="145" t="n">
        <v>8</v>
      </c>
      <c r="I701" s="145" t="inlineStr">
        <is>
          <t>Mixed</t>
        </is>
      </c>
      <c r="J701" s="145" t="inlineStr">
        <is>
          <t>No</t>
        </is>
      </c>
      <c r="K701" s="145" t="inlineStr">
        <is>
          <t>None</t>
        </is>
      </c>
      <c r="L701" s="145" t="inlineStr">
        <is>
          <t>#000000</t>
        </is>
      </c>
      <c r="M701" s="145" t="inlineStr">
        <is>
          <t>Mixed</t>
        </is>
      </c>
      <c r="N701" s="145" t="inlineStr">
        <is>
          <t>Center</t>
        </is>
      </c>
      <c r="O701" s="145" t="inlineStr">
        <is>
          <t>Mixed</t>
        </is>
      </c>
      <c r="P701" s="145" t="n"/>
      <c r="Q701" s="145" t="n"/>
      <c r="R701" s="145" t="inlineStr">
        <is>
          <t>EdgeBottom:Continuous/Thin/#000000; EdgeLeft:Continuous/Thin/#000000; EdgeRight:Continuous/Thin/#000000</t>
        </is>
      </c>
      <c r="S701" s="145" t="n">
        <v>42.9850746268657</v>
      </c>
      <c r="T701" s="145" t="n"/>
      <c r="U701" s="145" t="inlineStr">
        <is>
          <t>No</t>
        </is>
      </c>
      <c r="V701" s="145" t="inlineStr">
        <is>
          <t>Visible</t>
        </is>
      </c>
      <c r="W701" s="145" t="n"/>
      <c r="X701" s="145" t="inlineStr">
        <is>
          <t>Mixed styles within used column</t>
        </is>
      </c>
    </row>
    <row r="702" ht="23.85" customHeight="1" s="79">
      <c r="A702" s="145" t="inlineStr">
        <is>
          <t>WINTER_DEPT</t>
        </is>
      </c>
      <c r="B702" s="145" t="inlineStr">
        <is>
          <t>Top-Row Cell Format</t>
        </is>
      </c>
      <c r="C702" s="145" t="inlineStr">
        <is>
          <t>X1</t>
        </is>
      </c>
      <c r="D702" s="145" t="inlineStr">
        <is>
          <t>WINTER_DEPT!A1:AA31</t>
        </is>
      </c>
      <c r="E702" s="145" t="inlineStr">
        <is>
          <t>Normal</t>
        </is>
      </c>
      <c r="F702" s="145" t="n"/>
      <c r="G702" s="145" t="inlineStr">
        <is>
          <t>Aptos</t>
        </is>
      </c>
      <c r="H702" s="145" t="n">
        <v>8</v>
      </c>
      <c r="I702" s="145" t="inlineStr">
        <is>
          <t>No</t>
        </is>
      </c>
      <c r="J702" s="145" t="inlineStr">
        <is>
          <t>No</t>
        </is>
      </c>
      <c r="K702" s="145" t="inlineStr">
        <is>
          <t>None</t>
        </is>
      </c>
      <c r="L702" s="145" t="inlineStr">
        <is>
          <t>#000000</t>
        </is>
      </c>
      <c r="M702" s="145" t="inlineStr">
        <is>
          <t>General</t>
        </is>
      </c>
      <c r="N702" s="145" t="inlineStr">
        <is>
          <t>Center</t>
        </is>
      </c>
      <c r="O702" s="145" t="inlineStr">
        <is>
          <t>No</t>
        </is>
      </c>
      <c r="P702" s="145" t="inlineStr">
        <is>
          <t>General</t>
        </is>
      </c>
      <c r="Q702" s="145" t="inlineStr">
        <is>
          <t>General</t>
        </is>
      </c>
      <c r="R702" s="145" t="n"/>
      <c r="S702" s="145" t="n"/>
      <c r="T702" s="145" t="n"/>
      <c r="U702" s="145" t="n"/>
      <c r="V702" s="145" t="n"/>
      <c r="W702" s="145" t="n"/>
      <c r="X702" s="145" t="inlineStr">
        <is>
          <t>Detailed format sample from top 5 used rows</t>
        </is>
      </c>
    </row>
    <row r="703" ht="23.85" customHeight="1" s="79">
      <c r="A703" s="145" t="inlineStr">
        <is>
          <t>WINTER_DEPT</t>
        </is>
      </c>
      <c r="B703" s="145" t="inlineStr">
        <is>
          <t>Top-Row Cell Format</t>
        </is>
      </c>
      <c r="C703" s="145" t="inlineStr">
        <is>
          <t>X2</t>
        </is>
      </c>
      <c r="D703" s="145" t="inlineStr">
        <is>
          <t>WINTER_DEPT!A1:AA31</t>
        </is>
      </c>
      <c r="E703" s="145" t="inlineStr">
        <is>
          <t>Comma</t>
        </is>
      </c>
      <c r="F703" s="145" t="inlineStr">
        <is>
          <t>#B4C6E7</t>
        </is>
      </c>
      <c r="G703" s="145" t="inlineStr">
        <is>
          <t>Aptos</t>
        </is>
      </c>
      <c r="H703" s="145" t="n">
        <v>8</v>
      </c>
      <c r="I703" s="145" t="inlineStr">
        <is>
          <t>Yes</t>
        </is>
      </c>
      <c r="J703" s="145" t="inlineStr">
        <is>
          <t>No</t>
        </is>
      </c>
      <c r="K703" s="145" t="inlineStr">
        <is>
          <t>None</t>
        </is>
      </c>
      <c r="L703" s="145" t="inlineStr">
        <is>
          <t>#000000</t>
        </is>
      </c>
      <c r="M703" s="145" t="inlineStr">
        <is>
          <t>Center</t>
        </is>
      </c>
      <c r="N703" s="145" t="inlineStr">
        <is>
          <t>Center</t>
        </is>
      </c>
      <c r="O703" s="145" t="inlineStr">
        <is>
          <t>No</t>
        </is>
      </c>
      <c r="P703" s="145" t="inlineStr">
        <is>
          <t xml:space="preserve">_ * #,##0_ ;_ * -#,##0_ ;_ * "-"??_ ;_ @_ </t>
        </is>
      </c>
      <c r="Q703" s="145" t="inlineStr">
        <is>
          <t>Text</t>
        </is>
      </c>
      <c r="R703" s="145" t="n"/>
      <c r="S703" s="145" t="n"/>
      <c r="T703" s="145" t="n"/>
      <c r="U703" s="145" t="n"/>
      <c r="V703" s="145" t="n"/>
      <c r="W703" s="145" t="n"/>
      <c r="X703" s="145" t="inlineStr">
        <is>
          <t>Detailed format sample from top 5 used rows</t>
        </is>
      </c>
    </row>
    <row r="704" ht="23.85" customHeight="1" s="79">
      <c r="A704" s="145" t="inlineStr">
        <is>
          <t>WINTER_DEPT</t>
        </is>
      </c>
      <c r="B704" s="145" t="inlineStr">
        <is>
          <t>Top-Row Cell Format</t>
        </is>
      </c>
      <c r="C704" s="145" t="inlineStr">
        <is>
          <t>X3</t>
        </is>
      </c>
      <c r="D704" s="145" t="inlineStr">
        <is>
          <t>WINTER_DEPT!A1:AA31</t>
        </is>
      </c>
      <c r="E704" s="145" t="inlineStr">
        <is>
          <t>Normal</t>
        </is>
      </c>
      <c r="F704" s="145" t="inlineStr">
        <is>
          <t>#F8CBAD</t>
        </is>
      </c>
      <c r="G704" s="145" t="inlineStr">
        <is>
          <t>Aptos</t>
        </is>
      </c>
      <c r="H704" s="145" t="n">
        <v>8</v>
      </c>
      <c r="I704" s="145" t="inlineStr">
        <is>
          <t>Yes</t>
        </is>
      </c>
      <c r="J704" s="145" t="inlineStr">
        <is>
          <t>No</t>
        </is>
      </c>
      <c r="K704" s="145" t="inlineStr">
        <is>
          <t>None</t>
        </is>
      </c>
      <c r="L704" s="145" t="inlineStr">
        <is>
          <t>#000000</t>
        </is>
      </c>
      <c r="M704" s="145" t="inlineStr">
        <is>
          <t>Center</t>
        </is>
      </c>
      <c r="N704" s="145" t="inlineStr">
        <is>
          <t>Center</t>
        </is>
      </c>
      <c r="O704" s="145" t="inlineStr">
        <is>
          <t>Yes</t>
        </is>
      </c>
      <c r="P704" s="145" t="inlineStr">
        <is>
          <t>General</t>
        </is>
      </c>
      <c r="Q704" s="145" t="inlineStr">
        <is>
          <t>General</t>
        </is>
      </c>
      <c r="R704" s="145" t="n"/>
      <c r="S704" s="145" t="n"/>
      <c r="T704" s="145" t="n"/>
      <c r="U704" s="145" t="n"/>
      <c r="V704" s="145" t="n"/>
      <c r="W704" s="145" t="n"/>
      <c r="X704" s="145" t="inlineStr">
        <is>
          <t>Detailed format sample from top 5 used rows</t>
        </is>
      </c>
    </row>
    <row r="705" ht="23.85" customHeight="1" s="79">
      <c r="A705" s="145" t="inlineStr">
        <is>
          <t>WINTER_DEPT</t>
        </is>
      </c>
      <c r="B705" s="145" t="inlineStr">
        <is>
          <t>Top-Row Cell Format</t>
        </is>
      </c>
      <c r="C705" s="145" t="inlineStr">
        <is>
          <t>X4</t>
        </is>
      </c>
      <c r="D705" s="145" t="inlineStr">
        <is>
          <t>WINTER_DEPT!A1:AA31</t>
        </is>
      </c>
      <c r="E705" s="145" t="inlineStr">
        <is>
          <t>Normal</t>
        </is>
      </c>
      <c r="F705" s="145" t="inlineStr">
        <is>
          <t>#F8CBAD</t>
        </is>
      </c>
      <c r="G705" s="145" t="inlineStr">
        <is>
          <t>Aptos</t>
        </is>
      </c>
      <c r="H705" s="145" t="n">
        <v>8</v>
      </c>
      <c r="I705" s="145" t="inlineStr">
        <is>
          <t>No</t>
        </is>
      </c>
      <c r="J705" s="145" t="inlineStr">
        <is>
          <t>No</t>
        </is>
      </c>
      <c r="K705" s="145" t="inlineStr">
        <is>
          <t>None</t>
        </is>
      </c>
      <c r="L705" s="145" t="inlineStr">
        <is>
          <t>#000000</t>
        </is>
      </c>
      <c r="M705" s="145" t="inlineStr">
        <is>
          <t>Center</t>
        </is>
      </c>
      <c r="N705" s="145" t="inlineStr">
        <is>
          <t>Center</t>
        </is>
      </c>
      <c r="O705" s="145" t="inlineStr">
        <is>
          <t>No</t>
        </is>
      </c>
      <c r="P705" s="145" t="inlineStr">
        <is>
          <t>General</t>
        </is>
      </c>
      <c r="Q705" s="145" t="inlineStr">
        <is>
          <t>General</t>
        </is>
      </c>
      <c r="R705" s="145" t="n"/>
      <c r="S705" s="145" t="n"/>
      <c r="T705" s="145" t="n"/>
      <c r="U705" s="145" t="n"/>
      <c r="V705" s="145" t="n"/>
      <c r="W705" s="145" t="n"/>
      <c r="X705" s="145" t="inlineStr">
        <is>
          <t>Detailed format sample from top 5 used rows</t>
        </is>
      </c>
    </row>
    <row r="706" ht="23.85" customHeight="1" s="79">
      <c r="A706" s="145" t="inlineStr">
        <is>
          <t>WINTER_DEPT</t>
        </is>
      </c>
      <c r="B706" s="145" t="inlineStr">
        <is>
          <t>Top-Row Cell Format</t>
        </is>
      </c>
      <c r="C706" s="145" t="inlineStr">
        <is>
          <t>X5</t>
        </is>
      </c>
      <c r="D706" s="145" t="inlineStr">
        <is>
          <t>WINTER_DEPT!A1:AA31</t>
        </is>
      </c>
      <c r="E706" s="145" t="inlineStr">
        <is>
          <t>Comma</t>
        </is>
      </c>
      <c r="F706" s="145" t="n"/>
      <c r="G706" s="145" t="inlineStr">
        <is>
          <t>Aptos</t>
        </is>
      </c>
      <c r="H706" s="145" t="n">
        <v>8</v>
      </c>
      <c r="I706" s="145" t="inlineStr">
        <is>
          <t>No</t>
        </is>
      </c>
      <c r="J706" s="145" t="inlineStr">
        <is>
          <t>No</t>
        </is>
      </c>
      <c r="K706" s="145" t="inlineStr">
        <is>
          <t>None</t>
        </is>
      </c>
      <c r="L706" s="145" t="inlineStr">
        <is>
          <t>#000000</t>
        </is>
      </c>
      <c r="M706" s="145" t="inlineStr">
        <is>
          <t>General</t>
        </is>
      </c>
      <c r="N706" s="145" t="inlineStr">
        <is>
          <t>Center</t>
        </is>
      </c>
      <c r="O706" s="145" t="inlineStr">
        <is>
          <t>No</t>
        </is>
      </c>
      <c r="P706" s="145" t="inlineStr">
        <is>
          <t xml:space="preserve">_ * #,##0_ ;_ * -#,##0_ ;_ * "-"??_ ;_ @_ </t>
        </is>
      </c>
      <c r="Q706" s="145" t="inlineStr">
        <is>
          <t>Text</t>
        </is>
      </c>
      <c r="R706" s="145" t="n"/>
      <c r="S706" s="145" t="n"/>
      <c r="T706" s="145" t="n"/>
      <c r="U706" s="145" t="n"/>
      <c r="V706" s="145" t="n"/>
      <c r="W706" s="145" t="n"/>
      <c r="X706" s="145" t="inlineStr">
        <is>
          <t>Detailed format sample from top 5 used rows</t>
        </is>
      </c>
    </row>
    <row r="707" ht="23.85" customHeight="1" s="79">
      <c r="A707" s="145" t="inlineStr">
        <is>
          <t>WINTER_DEPT</t>
        </is>
      </c>
      <c r="B707" s="145" t="inlineStr">
        <is>
          <t>Column Format</t>
        </is>
      </c>
      <c r="C707" s="145" t="inlineStr">
        <is>
          <t>Y:Y</t>
        </is>
      </c>
      <c r="D707" s="145" t="inlineStr">
        <is>
          <t>WINTER_DEPT!A1:AA31</t>
        </is>
      </c>
      <c r="E707" s="145" t="inlineStr">
        <is>
          <t>Mixed</t>
        </is>
      </c>
      <c r="F707" s="145" t="inlineStr">
        <is>
          <t>Mixed</t>
        </is>
      </c>
      <c r="G707" s="145" t="inlineStr">
        <is>
          <t>Aptos</t>
        </is>
      </c>
      <c r="H707" s="145" t="n">
        <v>8</v>
      </c>
      <c r="I707" s="145" t="inlineStr">
        <is>
          <t>Mixed</t>
        </is>
      </c>
      <c r="J707" s="145" t="inlineStr">
        <is>
          <t>No</t>
        </is>
      </c>
      <c r="K707" s="145" t="inlineStr">
        <is>
          <t>None</t>
        </is>
      </c>
      <c r="L707" s="145" t="inlineStr">
        <is>
          <t>#000000</t>
        </is>
      </c>
      <c r="M707" s="145" t="inlineStr">
        <is>
          <t>Mixed</t>
        </is>
      </c>
      <c r="N707" s="145" t="inlineStr">
        <is>
          <t>Center</t>
        </is>
      </c>
      <c r="O707" s="145" t="inlineStr">
        <is>
          <t>Mixed</t>
        </is>
      </c>
      <c r="P707" s="145" t="n"/>
      <c r="Q707" s="145" t="n"/>
      <c r="R707" s="145" t="inlineStr">
        <is>
          <t>EdgeBottom:Continuous/Thin/#000000; EdgeRight:Continuous/Thin/#000000</t>
        </is>
      </c>
      <c r="S707" s="145" t="n">
        <v>42.9850746268657</v>
      </c>
      <c r="T707" s="145" t="n"/>
      <c r="U707" s="145" t="inlineStr">
        <is>
          <t>No</t>
        </is>
      </c>
      <c r="V707" s="145" t="inlineStr">
        <is>
          <t>Visible</t>
        </is>
      </c>
      <c r="W707" s="145" t="n"/>
      <c r="X707" s="145" t="inlineStr">
        <is>
          <t>Mixed styles within used column</t>
        </is>
      </c>
    </row>
    <row r="708" ht="23.85" customHeight="1" s="79">
      <c r="A708" s="145" t="inlineStr">
        <is>
          <t>WINTER_DEPT</t>
        </is>
      </c>
      <c r="B708" s="145" t="inlineStr">
        <is>
          <t>Top-Row Cell Format</t>
        </is>
      </c>
      <c r="C708" s="145" t="inlineStr">
        <is>
          <t>Y1</t>
        </is>
      </c>
      <c r="D708" s="145" t="inlineStr">
        <is>
          <t>WINTER_DEPT!A1:AA31</t>
        </is>
      </c>
      <c r="E708" s="145" t="inlineStr">
        <is>
          <t>Normal</t>
        </is>
      </c>
      <c r="F708" s="145" t="n"/>
      <c r="G708" s="145" t="inlineStr">
        <is>
          <t>Aptos</t>
        </is>
      </c>
      <c r="H708" s="145" t="n">
        <v>8</v>
      </c>
      <c r="I708" s="145" t="inlineStr">
        <is>
          <t>No</t>
        </is>
      </c>
      <c r="J708" s="145" t="inlineStr">
        <is>
          <t>No</t>
        </is>
      </c>
      <c r="K708" s="145" t="inlineStr">
        <is>
          <t>None</t>
        </is>
      </c>
      <c r="L708" s="145" t="inlineStr">
        <is>
          <t>#000000</t>
        </is>
      </c>
      <c r="M708" s="145" t="inlineStr">
        <is>
          <t>General</t>
        </is>
      </c>
      <c r="N708" s="145" t="inlineStr">
        <is>
          <t>Center</t>
        </is>
      </c>
      <c r="O708" s="145" t="inlineStr">
        <is>
          <t>No</t>
        </is>
      </c>
      <c r="P708" s="145" t="inlineStr">
        <is>
          <t>General</t>
        </is>
      </c>
      <c r="Q708" s="145" t="inlineStr">
        <is>
          <t>General</t>
        </is>
      </c>
      <c r="R708" s="145" t="n"/>
      <c r="S708" s="145" t="n"/>
      <c r="T708" s="145" t="n"/>
      <c r="U708" s="145" t="n"/>
      <c r="V708" s="145" t="n"/>
      <c r="W708" s="145" t="n"/>
      <c r="X708" s="145" t="inlineStr">
        <is>
          <t>Detailed format sample from top 5 used rows</t>
        </is>
      </c>
    </row>
    <row r="709" ht="23.85" customHeight="1" s="79">
      <c r="A709" s="145" t="inlineStr">
        <is>
          <t>WINTER_DEPT</t>
        </is>
      </c>
      <c r="B709" s="145" t="inlineStr">
        <is>
          <t>Top-Row Cell Format</t>
        </is>
      </c>
      <c r="C709" s="145" t="inlineStr">
        <is>
          <t>Y2</t>
        </is>
      </c>
      <c r="D709" s="145" t="inlineStr">
        <is>
          <t>WINTER_DEPT!A1:AA31</t>
        </is>
      </c>
      <c r="E709" s="145" t="inlineStr">
        <is>
          <t>Comma</t>
        </is>
      </c>
      <c r="F709" s="145" t="inlineStr">
        <is>
          <t>#B4C6E7</t>
        </is>
      </c>
      <c r="G709" s="145" t="inlineStr">
        <is>
          <t>Aptos</t>
        </is>
      </c>
      <c r="H709" s="145" t="n">
        <v>8</v>
      </c>
      <c r="I709" s="145" t="inlineStr">
        <is>
          <t>Yes</t>
        </is>
      </c>
      <c r="J709" s="145" t="inlineStr">
        <is>
          <t>No</t>
        </is>
      </c>
      <c r="K709" s="145" t="inlineStr">
        <is>
          <t>None</t>
        </is>
      </c>
      <c r="L709" s="145" t="inlineStr">
        <is>
          <t>#000000</t>
        </is>
      </c>
      <c r="M709" s="145" t="inlineStr">
        <is>
          <t>Center</t>
        </is>
      </c>
      <c r="N709" s="145" t="inlineStr">
        <is>
          <t>Center</t>
        </is>
      </c>
      <c r="O709" s="145" t="inlineStr">
        <is>
          <t>No</t>
        </is>
      </c>
      <c r="P709" s="145" t="inlineStr">
        <is>
          <t xml:space="preserve">_ * #,##0_ ;_ * -#,##0_ ;_ * "-"??_ ;_ @_ </t>
        </is>
      </c>
      <c r="Q709" s="145" t="inlineStr">
        <is>
          <t>Text</t>
        </is>
      </c>
      <c r="R709" s="145" t="n"/>
      <c r="S709" s="145" t="n"/>
      <c r="T709" s="145" t="n"/>
      <c r="U709" s="145" t="n"/>
      <c r="V709" s="145" t="n"/>
      <c r="W709" s="145" t="n"/>
      <c r="X709" s="145" t="inlineStr">
        <is>
          <t>Detailed format sample from top 5 used rows</t>
        </is>
      </c>
    </row>
    <row r="710" ht="23.85" customHeight="1" s="79">
      <c r="A710" s="145" t="inlineStr">
        <is>
          <t>WINTER_DEPT</t>
        </is>
      </c>
      <c r="B710" s="145" t="inlineStr">
        <is>
          <t>Top-Row Cell Format</t>
        </is>
      </c>
      <c r="C710" s="145" t="inlineStr">
        <is>
          <t>Y3</t>
        </is>
      </c>
      <c r="D710" s="145" t="inlineStr">
        <is>
          <t>WINTER_DEPT!A1:AA31</t>
        </is>
      </c>
      <c r="E710" s="145" t="inlineStr">
        <is>
          <t>Normal</t>
        </is>
      </c>
      <c r="F710" s="145" t="inlineStr">
        <is>
          <t>#F8CBAD</t>
        </is>
      </c>
      <c r="G710" s="145" t="inlineStr">
        <is>
          <t>Aptos</t>
        </is>
      </c>
      <c r="H710" s="145" t="n">
        <v>8</v>
      </c>
      <c r="I710" s="145" t="inlineStr">
        <is>
          <t>Yes</t>
        </is>
      </c>
      <c r="J710" s="145" t="inlineStr">
        <is>
          <t>No</t>
        </is>
      </c>
      <c r="K710" s="145" t="inlineStr">
        <is>
          <t>None</t>
        </is>
      </c>
      <c r="L710" s="145" t="inlineStr">
        <is>
          <t>#000000</t>
        </is>
      </c>
      <c r="M710" s="145" t="inlineStr">
        <is>
          <t>Center</t>
        </is>
      </c>
      <c r="N710" s="145" t="inlineStr">
        <is>
          <t>Center</t>
        </is>
      </c>
      <c r="O710" s="145" t="inlineStr">
        <is>
          <t>Yes</t>
        </is>
      </c>
      <c r="P710" s="145" t="inlineStr">
        <is>
          <t>General</t>
        </is>
      </c>
      <c r="Q710" s="145" t="inlineStr">
        <is>
          <t>General</t>
        </is>
      </c>
      <c r="R710" s="145" t="n"/>
      <c r="S710" s="145" t="n"/>
      <c r="T710" s="145" t="n"/>
      <c r="U710" s="145" t="n"/>
      <c r="V710" s="145" t="n"/>
      <c r="W710" s="145" t="n"/>
      <c r="X710" s="145" t="inlineStr">
        <is>
          <t>Detailed format sample from top 5 used rows</t>
        </is>
      </c>
    </row>
    <row r="711" ht="23.85" customHeight="1" s="79">
      <c r="A711" s="145" t="inlineStr">
        <is>
          <t>WINTER_DEPT</t>
        </is>
      </c>
      <c r="B711" s="145" t="inlineStr">
        <is>
          <t>Top-Row Cell Format</t>
        </is>
      </c>
      <c r="C711" s="145" t="inlineStr">
        <is>
          <t>Y4</t>
        </is>
      </c>
      <c r="D711" s="145" t="inlineStr">
        <is>
          <t>WINTER_DEPT!A1:AA31</t>
        </is>
      </c>
      <c r="E711" s="145" t="inlineStr">
        <is>
          <t>Normal</t>
        </is>
      </c>
      <c r="F711" s="145" t="inlineStr">
        <is>
          <t>#F8CBAD</t>
        </is>
      </c>
      <c r="G711" s="145" t="inlineStr">
        <is>
          <t>Aptos</t>
        </is>
      </c>
      <c r="H711" s="145" t="n">
        <v>8</v>
      </c>
      <c r="I711" s="145" t="inlineStr">
        <is>
          <t>No</t>
        </is>
      </c>
      <c r="J711" s="145" t="inlineStr">
        <is>
          <t>No</t>
        </is>
      </c>
      <c r="K711" s="145" t="inlineStr">
        <is>
          <t>None</t>
        </is>
      </c>
      <c r="L711" s="145" t="inlineStr">
        <is>
          <t>#000000</t>
        </is>
      </c>
      <c r="M711" s="145" t="inlineStr">
        <is>
          <t>Center</t>
        </is>
      </c>
      <c r="N711" s="145" t="inlineStr">
        <is>
          <t>Center</t>
        </is>
      </c>
      <c r="O711" s="145" t="inlineStr">
        <is>
          <t>No</t>
        </is>
      </c>
      <c r="P711" s="145" t="inlineStr">
        <is>
          <t>General</t>
        </is>
      </c>
      <c r="Q711" s="145" t="inlineStr">
        <is>
          <t>General</t>
        </is>
      </c>
      <c r="R711" s="145" t="n"/>
      <c r="S711" s="145" t="n"/>
      <c r="T711" s="145" t="n"/>
      <c r="U711" s="145" t="n"/>
      <c r="V711" s="145" t="n"/>
      <c r="W711" s="145" t="n"/>
      <c r="X711" s="145" t="inlineStr">
        <is>
          <t>Detailed format sample from top 5 used rows</t>
        </is>
      </c>
    </row>
    <row r="712" ht="23.85" customHeight="1" s="79">
      <c r="A712" s="145" t="inlineStr">
        <is>
          <t>WINTER_DEPT</t>
        </is>
      </c>
      <c r="B712" s="145" t="inlineStr">
        <is>
          <t>Top-Row Cell Format</t>
        </is>
      </c>
      <c r="C712" s="145" t="inlineStr">
        <is>
          <t>Y5</t>
        </is>
      </c>
      <c r="D712" s="145" t="inlineStr">
        <is>
          <t>WINTER_DEPT!A1:AA31</t>
        </is>
      </c>
      <c r="E712" s="145" t="inlineStr">
        <is>
          <t>Comma</t>
        </is>
      </c>
      <c r="F712" s="145" t="n"/>
      <c r="G712" s="145" t="inlineStr">
        <is>
          <t>Aptos</t>
        </is>
      </c>
      <c r="H712" s="145" t="n">
        <v>8</v>
      </c>
      <c r="I712" s="145" t="inlineStr">
        <is>
          <t>No</t>
        </is>
      </c>
      <c r="J712" s="145" t="inlineStr">
        <is>
          <t>No</t>
        </is>
      </c>
      <c r="K712" s="145" t="inlineStr">
        <is>
          <t>None</t>
        </is>
      </c>
      <c r="L712" s="145" t="inlineStr">
        <is>
          <t>#000000</t>
        </is>
      </c>
      <c r="M712" s="145" t="inlineStr">
        <is>
          <t>General</t>
        </is>
      </c>
      <c r="N712" s="145" t="inlineStr">
        <is>
          <t>Center</t>
        </is>
      </c>
      <c r="O712" s="145" t="inlineStr">
        <is>
          <t>No</t>
        </is>
      </c>
      <c r="P712" s="145" t="inlineStr">
        <is>
          <t xml:space="preserve">_ * #,##0_ ;_ * -#,##0_ ;_ * "-"??_ ;_ @_ </t>
        </is>
      </c>
      <c r="Q712" s="145" t="inlineStr">
        <is>
          <t>Text</t>
        </is>
      </c>
      <c r="R712" s="145" t="n"/>
      <c r="S712" s="145" t="n"/>
      <c r="T712" s="145" t="n"/>
      <c r="U712" s="145" t="n"/>
      <c r="V712" s="145" t="n"/>
      <c r="W712" s="145" t="n"/>
      <c r="X712" s="145" t="inlineStr">
        <is>
          <t>Detailed format sample from top 5 used rows</t>
        </is>
      </c>
    </row>
    <row r="713" ht="23.85" customHeight="1" s="79">
      <c r="A713" s="145" t="inlineStr">
        <is>
          <t>WINTER_DEPT</t>
        </is>
      </c>
      <c r="B713" s="145" t="inlineStr">
        <is>
          <t>Column Format</t>
        </is>
      </c>
      <c r="C713" s="145" t="inlineStr">
        <is>
          <t>Z:Z</t>
        </is>
      </c>
      <c r="D713" s="145" t="inlineStr">
        <is>
          <t>WINTER_DEPT!A1:AA31</t>
        </is>
      </c>
      <c r="E713" s="145" t="inlineStr">
        <is>
          <t>Mixed</t>
        </is>
      </c>
      <c r="F713" s="145" t="inlineStr">
        <is>
          <t>Mixed</t>
        </is>
      </c>
      <c r="G713" s="145" t="inlineStr">
        <is>
          <t>Aptos</t>
        </is>
      </c>
      <c r="H713" s="145" t="n">
        <v>8</v>
      </c>
      <c r="I713" s="145" t="inlineStr">
        <is>
          <t>Mixed</t>
        </is>
      </c>
      <c r="J713" s="145" t="inlineStr">
        <is>
          <t>No</t>
        </is>
      </c>
      <c r="K713" s="145" t="inlineStr">
        <is>
          <t>None</t>
        </is>
      </c>
      <c r="L713" s="145" t="inlineStr">
        <is>
          <t>#000000</t>
        </is>
      </c>
      <c r="M713" s="145" t="inlineStr">
        <is>
          <t>Mixed</t>
        </is>
      </c>
      <c r="N713" s="145" t="inlineStr">
        <is>
          <t>Center</t>
        </is>
      </c>
      <c r="O713" s="145" t="inlineStr">
        <is>
          <t>Mixed</t>
        </is>
      </c>
      <c r="P713" s="145" t="n"/>
      <c r="Q713" s="145" t="n"/>
      <c r="R713" s="145" t="inlineStr">
        <is>
          <t>EdgeBottom:Continuous/Thin/#000000; EdgeRight:Continuous/Thin/#000000</t>
        </is>
      </c>
      <c r="S713" s="145" t="n">
        <v>58.0298507462687</v>
      </c>
      <c r="T713" s="145" t="n"/>
      <c r="U713" s="145" t="inlineStr">
        <is>
          <t>No</t>
        </is>
      </c>
      <c r="V713" s="145" t="inlineStr">
        <is>
          <t>Visible</t>
        </is>
      </c>
      <c r="W713" s="145" t="n"/>
      <c r="X713" s="145" t="inlineStr">
        <is>
          <t>Mixed styles within used column</t>
        </is>
      </c>
    </row>
    <row r="714" ht="23.85" customHeight="1" s="79">
      <c r="A714" s="145" t="inlineStr">
        <is>
          <t>WINTER_DEPT</t>
        </is>
      </c>
      <c r="B714" s="145" t="inlineStr">
        <is>
          <t>Top-Row Cell Format</t>
        </is>
      </c>
      <c r="C714" s="145" t="inlineStr">
        <is>
          <t>Z1</t>
        </is>
      </c>
      <c r="D714" s="145" t="inlineStr">
        <is>
          <t>WINTER_DEPT!A1:AA31</t>
        </is>
      </c>
      <c r="E714" s="145" t="inlineStr">
        <is>
          <t>Normal</t>
        </is>
      </c>
      <c r="F714" s="145" t="n"/>
      <c r="G714" s="145" t="inlineStr">
        <is>
          <t>Aptos</t>
        </is>
      </c>
      <c r="H714" s="145" t="n">
        <v>8</v>
      </c>
      <c r="I714" s="145" t="inlineStr">
        <is>
          <t>No</t>
        </is>
      </c>
      <c r="J714" s="145" t="inlineStr">
        <is>
          <t>No</t>
        </is>
      </c>
      <c r="K714" s="145" t="inlineStr">
        <is>
          <t>None</t>
        </is>
      </c>
      <c r="L714" s="145" t="inlineStr">
        <is>
          <t>#000000</t>
        </is>
      </c>
      <c r="M714" s="145" t="inlineStr">
        <is>
          <t>General</t>
        </is>
      </c>
      <c r="N714" s="145" t="inlineStr">
        <is>
          <t>Center</t>
        </is>
      </c>
      <c r="O714" s="145" t="inlineStr">
        <is>
          <t>No</t>
        </is>
      </c>
      <c r="P714" s="145" t="inlineStr">
        <is>
          <t>General</t>
        </is>
      </c>
      <c r="Q714" s="145" t="inlineStr">
        <is>
          <t>General</t>
        </is>
      </c>
      <c r="R714" s="145" t="n"/>
      <c r="S714" s="145" t="n"/>
      <c r="T714" s="145" t="n"/>
      <c r="U714" s="145" t="n"/>
      <c r="V714" s="145" t="n"/>
      <c r="W714" s="145" t="n"/>
      <c r="X714" s="145" t="inlineStr">
        <is>
          <t>Detailed format sample from top 5 used rows</t>
        </is>
      </c>
    </row>
    <row r="715" ht="23.85" customHeight="1" s="79">
      <c r="A715" s="145" t="inlineStr">
        <is>
          <t>WINTER_DEPT</t>
        </is>
      </c>
      <c r="B715" s="145" t="inlineStr">
        <is>
          <t>Top-Row Cell Format</t>
        </is>
      </c>
      <c r="C715" s="145" t="inlineStr">
        <is>
          <t>Z2</t>
        </is>
      </c>
      <c r="D715" s="145" t="inlineStr">
        <is>
          <t>WINTER_DEPT!A1:AA31</t>
        </is>
      </c>
      <c r="E715" s="145" t="inlineStr">
        <is>
          <t>Normal</t>
        </is>
      </c>
      <c r="F715" s="145" t="n"/>
      <c r="G715" s="145" t="inlineStr">
        <is>
          <t>Aptos</t>
        </is>
      </c>
      <c r="H715" s="145" t="n">
        <v>8</v>
      </c>
      <c r="I715" s="145" t="inlineStr">
        <is>
          <t>No</t>
        </is>
      </c>
      <c r="J715" s="145" t="inlineStr">
        <is>
          <t>No</t>
        </is>
      </c>
      <c r="K715" s="145" t="inlineStr">
        <is>
          <t>None</t>
        </is>
      </c>
      <c r="L715" s="145" t="inlineStr">
        <is>
          <t>#000000</t>
        </is>
      </c>
      <c r="M715" s="145" t="inlineStr">
        <is>
          <t>General</t>
        </is>
      </c>
      <c r="N715" s="145" t="inlineStr">
        <is>
          <t>Center</t>
        </is>
      </c>
      <c r="O715" s="145" t="inlineStr">
        <is>
          <t>No</t>
        </is>
      </c>
      <c r="P715" s="145" t="inlineStr">
        <is>
          <t xml:space="preserve">_ * #,##0_ ;_ * -#,##0_ ;_ * "-"??_ ;_ @_ </t>
        </is>
      </c>
      <c r="Q715" s="145" t="inlineStr">
        <is>
          <t>Text</t>
        </is>
      </c>
      <c r="R715" s="145" t="n"/>
      <c r="S715" s="145" t="n"/>
      <c r="T715" s="145" t="n"/>
      <c r="U715" s="145" t="n"/>
      <c r="V715" s="145" t="n"/>
      <c r="W715" s="145" t="n"/>
      <c r="X715" s="145" t="inlineStr">
        <is>
          <t>Detailed format sample from top 5 used rows</t>
        </is>
      </c>
    </row>
    <row r="716" ht="23.85" customHeight="1" s="79">
      <c r="A716" s="145" t="inlineStr">
        <is>
          <t>WINTER_DEPT</t>
        </is>
      </c>
      <c r="B716" s="145" t="inlineStr">
        <is>
          <t>Top-Row Cell Format</t>
        </is>
      </c>
      <c r="C716" s="145" t="inlineStr">
        <is>
          <t>Z3</t>
        </is>
      </c>
      <c r="D716" s="145" t="inlineStr">
        <is>
          <t>WINTER_DEPT!A1:AA31</t>
        </is>
      </c>
      <c r="E716" s="145" t="inlineStr">
        <is>
          <t>Normal</t>
        </is>
      </c>
      <c r="F716" s="145" t="inlineStr">
        <is>
          <t>#F8CBAD</t>
        </is>
      </c>
      <c r="G716" s="145" t="inlineStr">
        <is>
          <t>Aptos</t>
        </is>
      </c>
      <c r="H716" s="145" t="n">
        <v>8</v>
      </c>
      <c r="I716" s="145" t="inlineStr">
        <is>
          <t>Yes</t>
        </is>
      </c>
      <c r="J716" s="145" t="inlineStr">
        <is>
          <t>No</t>
        </is>
      </c>
      <c r="K716" s="145" t="inlineStr">
        <is>
          <t>None</t>
        </is>
      </c>
      <c r="L716" s="145" t="inlineStr">
        <is>
          <t>#000000</t>
        </is>
      </c>
      <c r="M716" s="145" t="inlineStr">
        <is>
          <t>Center</t>
        </is>
      </c>
      <c r="N716" s="145" t="inlineStr">
        <is>
          <t>Center</t>
        </is>
      </c>
      <c r="O716" s="145" t="inlineStr">
        <is>
          <t>Yes</t>
        </is>
      </c>
      <c r="P716" s="145" t="inlineStr">
        <is>
          <t>General</t>
        </is>
      </c>
      <c r="Q716" s="145" t="inlineStr">
        <is>
          <t>General</t>
        </is>
      </c>
      <c r="R716" s="145" t="n"/>
      <c r="S716" s="145" t="n"/>
      <c r="T716" s="145" t="n"/>
      <c r="U716" s="145" t="n"/>
      <c r="V716" s="145" t="n"/>
      <c r="W716" s="145" t="n"/>
      <c r="X716" s="145" t="inlineStr">
        <is>
          <t>Detailed format sample from top 5 used rows</t>
        </is>
      </c>
    </row>
    <row r="717" ht="23.85" customHeight="1" s="79">
      <c r="A717" s="145" t="inlineStr">
        <is>
          <t>WINTER_DEPT</t>
        </is>
      </c>
      <c r="B717" s="145" t="inlineStr">
        <is>
          <t>Top-Row Cell Format</t>
        </is>
      </c>
      <c r="C717" s="145" t="inlineStr">
        <is>
          <t>Z4</t>
        </is>
      </c>
      <c r="D717" s="145" t="inlineStr">
        <is>
          <t>WINTER_DEPT!A1:AA31</t>
        </is>
      </c>
      <c r="E717" s="145" t="inlineStr">
        <is>
          <t>Normal</t>
        </is>
      </c>
      <c r="F717" s="145" t="inlineStr">
        <is>
          <t>#F8CBAD</t>
        </is>
      </c>
      <c r="G717" s="145" t="inlineStr">
        <is>
          <t>Aptos</t>
        </is>
      </c>
      <c r="H717" s="145" t="n">
        <v>8</v>
      </c>
      <c r="I717" s="145" t="inlineStr">
        <is>
          <t>No</t>
        </is>
      </c>
      <c r="J717" s="145" t="inlineStr">
        <is>
          <t>No</t>
        </is>
      </c>
      <c r="K717" s="145" t="inlineStr">
        <is>
          <t>None</t>
        </is>
      </c>
      <c r="L717" s="145" t="inlineStr">
        <is>
          <t>#000000</t>
        </is>
      </c>
      <c r="M717" s="145" t="inlineStr">
        <is>
          <t>Center</t>
        </is>
      </c>
      <c r="N717" s="145" t="inlineStr">
        <is>
          <t>Center</t>
        </is>
      </c>
      <c r="O717" s="145" t="inlineStr">
        <is>
          <t>No</t>
        </is>
      </c>
      <c r="P717" s="145" t="inlineStr">
        <is>
          <t>General</t>
        </is>
      </c>
      <c r="Q717" s="145" t="inlineStr">
        <is>
          <t>General</t>
        </is>
      </c>
      <c r="R717" s="145" t="n"/>
      <c r="S717" s="145" t="n"/>
      <c r="T717" s="145" t="n"/>
      <c r="U717" s="145" t="n"/>
      <c r="V717" s="145" t="n"/>
      <c r="W717" s="145" t="n"/>
      <c r="X717" s="145" t="inlineStr">
        <is>
          <t>Detailed format sample from top 5 used rows</t>
        </is>
      </c>
    </row>
    <row r="718" ht="23.85" customHeight="1" s="79">
      <c r="A718" s="145" t="inlineStr">
        <is>
          <t>WINTER_DEPT</t>
        </is>
      </c>
      <c r="B718" s="145" t="inlineStr">
        <is>
          <t>Top-Row Cell Format</t>
        </is>
      </c>
      <c r="C718" s="145" t="inlineStr">
        <is>
          <t>Z5</t>
        </is>
      </c>
      <c r="D718" s="145" t="inlineStr">
        <is>
          <t>WINTER_DEPT!A1:AA31</t>
        </is>
      </c>
      <c r="E718" s="145" t="inlineStr">
        <is>
          <t>Comma</t>
        </is>
      </c>
      <c r="F718" s="145" t="n"/>
      <c r="G718" s="145" t="inlineStr">
        <is>
          <t>Aptos</t>
        </is>
      </c>
      <c r="H718" s="145" t="n">
        <v>8</v>
      </c>
      <c r="I718" s="145" t="inlineStr">
        <is>
          <t>No</t>
        </is>
      </c>
      <c r="J718" s="145" t="inlineStr">
        <is>
          <t>No</t>
        </is>
      </c>
      <c r="K718" s="145" t="inlineStr">
        <is>
          <t>None</t>
        </is>
      </c>
      <c r="L718" s="145" t="inlineStr">
        <is>
          <t>#000000</t>
        </is>
      </c>
      <c r="M718" s="145" t="inlineStr">
        <is>
          <t>General</t>
        </is>
      </c>
      <c r="N718" s="145" t="inlineStr">
        <is>
          <t>Center</t>
        </is>
      </c>
      <c r="O718" s="145" t="inlineStr">
        <is>
          <t>No</t>
        </is>
      </c>
      <c r="P718" s="145" t="inlineStr">
        <is>
          <t xml:space="preserve">_ * #,##0_ ;_ * -#,##0_ ;_ * "-"??_ ;_ @_ </t>
        </is>
      </c>
      <c r="Q718" s="145" t="inlineStr">
        <is>
          <t>Text</t>
        </is>
      </c>
      <c r="R718" s="145" t="n"/>
      <c r="S718" s="145" t="n"/>
      <c r="T718" s="145" t="n"/>
      <c r="U718" s="145" t="n"/>
      <c r="V718" s="145" t="n"/>
      <c r="W718" s="145" t="n"/>
      <c r="X718" s="145" t="inlineStr">
        <is>
          <t>Detailed format sample from top 5 used rows</t>
        </is>
      </c>
    </row>
    <row r="719" ht="23.85" customHeight="1" s="79">
      <c r="A719" s="145" t="inlineStr">
        <is>
          <t>WINTER_DEPT</t>
        </is>
      </c>
      <c r="B719" s="145" t="inlineStr">
        <is>
          <t>Column Format</t>
        </is>
      </c>
      <c r="C719" s="145" t="inlineStr">
        <is>
          <t>AA:AA</t>
        </is>
      </c>
      <c r="D719" s="145" t="inlineStr">
        <is>
          <t>WINTER_DEPT!A1:AA31</t>
        </is>
      </c>
      <c r="E719" s="145" t="inlineStr">
        <is>
          <t>Mixed</t>
        </is>
      </c>
      <c r="F719" s="145" t="inlineStr">
        <is>
          <t>Mixed</t>
        </is>
      </c>
      <c r="G719" s="145" t="inlineStr">
        <is>
          <t>Aptos</t>
        </is>
      </c>
      <c r="H719" s="145" t="n">
        <v>8</v>
      </c>
      <c r="I719" s="145" t="inlineStr">
        <is>
          <t>Mixed</t>
        </is>
      </c>
      <c r="J719" s="145" t="inlineStr">
        <is>
          <t>No</t>
        </is>
      </c>
      <c r="K719" s="145" t="inlineStr">
        <is>
          <t>None</t>
        </is>
      </c>
      <c r="L719" s="145" t="inlineStr">
        <is>
          <t>#000000</t>
        </is>
      </c>
      <c r="M719" s="145" t="inlineStr">
        <is>
          <t>Mixed</t>
        </is>
      </c>
      <c r="N719" s="145" t="inlineStr">
        <is>
          <t>Center</t>
        </is>
      </c>
      <c r="O719" s="145" t="inlineStr">
        <is>
          <t>Mixed</t>
        </is>
      </c>
      <c r="P719" s="145" t="n"/>
      <c r="Q719" s="145" t="n"/>
      <c r="R719" s="145" t="inlineStr">
        <is>
          <t>EdgeBottom:Continuous/Thin/#000000; EdgeRight:Continuous/Thin/#000000</t>
        </is>
      </c>
      <c r="S719" s="145" t="n">
        <v>66.08955223880599</v>
      </c>
      <c r="T719" s="145" t="n"/>
      <c r="U719" s="145" t="inlineStr">
        <is>
          <t>No</t>
        </is>
      </c>
      <c r="V719" s="145" t="inlineStr">
        <is>
          <t>Visible</t>
        </is>
      </c>
      <c r="W719" s="145" t="n"/>
      <c r="X719" s="145" t="inlineStr">
        <is>
          <t>Mixed styles within used column</t>
        </is>
      </c>
    </row>
    <row r="720" ht="23.85" customHeight="1" s="79">
      <c r="A720" s="145" t="inlineStr">
        <is>
          <t>WINTER_DEPT</t>
        </is>
      </c>
      <c r="B720" s="145" t="inlineStr">
        <is>
          <t>Top-Row Cell Format</t>
        </is>
      </c>
      <c r="C720" s="145" t="inlineStr">
        <is>
          <t>AA1</t>
        </is>
      </c>
      <c r="D720" s="145" t="inlineStr">
        <is>
          <t>WINTER_DEPT!A1:AA31</t>
        </is>
      </c>
      <c r="E720" s="145" t="inlineStr">
        <is>
          <t>Normal</t>
        </is>
      </c>
      <c r="F720" s="145" t="n"/>
      <c r="G720" s="145" t="inlineStr">
        <is>
          <t>Aptos</t>
        </is>
      </c>
      <c r="H720" s="145" t="n">
        <v>8</v>
      </c>
      <c r="I720" s="145" t="inlineStr">
        <is>
          <t>No</t>
        </is>
      </c>
      <c r="J720" s="145" t="inlineStr">
        <is>
          <t>No</t>
        </is>
      </c>
      <c r="K720" s="145" t="inlineStr">
        <is>
          <t>None</t>
        </is>
      </c>
      <c r="L720" s="145" t="inlineStr">
        <is>
          <t>#000000</t>
        </is>
      </c>
      <c r="M720" s="145" t="inlineStr">
        <is>
          <t>General</t>
        </is>
      </c>
      <c r="N720" s="145" t="inlineStr">
        <is>
          <t>Center</t>
        </is>
      </c>
      <c r="O720" s="145" t="inlineStr">
        <is>
          <t>No</t>
        </is>
      </c>
      <c r="P720" s="145" t="inlineStr">
        <is>
          <t>General</t>
        </is>
      </c>
      <c r="Q720" s="145" t="inlineStr">
        <is>
          <t>General</t>
        </is>
      </c>
      <c r="R720" s="145" t="n"/>
      <c r="S720" s="145" t="n"/>
      <c r="T720" s="145" t="n"/>
      <c r="U720" s="145" t="n"/>
      <c r="V720" s="145" t="n"/>
      <c r="W720" s="145" t="n"/>
      <c r="X720" s="145" t="inlineStr">
        <is>
          <t>Detailed format sample from top 5 used rows</t>
        </is>
      </c>
    </row>
    <row r="721" ht="23.85" customHeight="1" s="79">
      <c r="A721" s="145" t="inlineStr">
        <is>
          <t>WINTER_DEPT</t>
        </is>
      </c>
      <c r="B721" s="145" t="inlineStr">
        <is>
          <t>Top-Row Cell Format</t>
        </is>
      </c>
      <c r="C721" s="145" t="inlineStr">
        <is>
          <t>AA2</t>
        </is>
      </c>
      <c r="D721" s="145" t="inlineStr">
        <is>
          <t>WINTER_DEPT!A1:AA31</t>
        </is>
      </c>
      <c r="E721" s="145" t="inlineStr">
        <is>
          <t>Normal</t>
        </is>
      </c>
      <c r="F721" s="145" t="n"/>
      <c r="G721" s="145" t="inlineStr">
        <is>
          <t>Aptos</t>
        </is>
      </c>
      <c r="H721" s="145" t="n">
        <v>8</v>
      </c>
      <c r="I721" s="145" t="inlineStr">
        <is>
          <t>No</t>
        </is>
      </c>
      <c r="J721" s="145" t="inlineStr">
        <is>
          <t>No</t>
        </is>
      </c>
      <c r="K721" s="145" t="inlineStr">
        <is>
          <t>None</t>
        </is>
      </c>
      <c r="L721" s="145" t="inlineStr">
        <is>
          <t>#000000</t>
        </is>
      </c>
      <c r="M721" s="145" t="inlineStr">
        <is>
          <t>General</t>
        </is>
      </c>
      <c r="N721" s="145" t="inlineStr">
        <is>
          <t>Center</t>
        </is>
      </c>
      <c r="O721" s="145" t="inlineStr">
        <is>
          <t>No</t>
        </is>
      </c>
      <c r="P721" s="145" t="inlineStr">
        <is>
          <t>General</t>
        </is>
      </c>
      <c r="Q721" s="145" t="inlineStr">
        <is>
          <t>General</t>
        </is>
      </c>
      <c r="R721" s="145" t="n"/>
      <c r="S721" s="145" t="n"/>
      <c r="T721" s="145" t="n"/>
      <c r="U721" s="145" t="n"/>
      <c r="V721" s="145" t="n"/>
      <c r="W721" s="145" t="n"/>
      <c r="X721" s="145" t="inlineStr">
        <is>
          <t>Detailed format sample from top 5 used rows</t>
        </is>
      </c>
    </row>
    <row r="722" ht="23.85" customHeight="1" s="79">
      <c r="A722" s="145" t="inlineStr">
        <is>
          <t>WINTER_DEPT</t>
        </is>
      </c>
      <c r="B722" s="145" t="inlineStr">
        <is>
          <t>Top-Row Cell Format</t>
        </is>
      </c>
      <c r="C722" s="145" t="inlineStr">
        <is>
          <t>AA3</t>
        </is>
      </c>
      <c r="D722" s="145" t="inlineStr">
        <is>
          <t>WINTER_DEPT!A1:AA31</t>
        </is>
      </c>
      <c r="E722" s="145" t="inlineStr">
        <is>
          <t>Normal</t>
        </is>
      </c>
      <c r="F722" s="145" t="inlineStr">
        <is>
          <t>#F8CBAD</t>
        </is>
      </c>
      <c r="G722" s="145" t="inlineStr">
        <is>
          <t>Aptos</t>
        </is>
      </c>
      <c r="H722" s="145" t="n">
        <v>8</v>
      </c>
      <c r="I722" s="145" t="inlineStr">
        <is>
          <t>Yes</t>
        </is>
      </c>
      <c r="J722" s="145" t="inlineStr">
        <is>
          <t>No</t>
        </is>
      </c>
      <c r="K722" s="145" t="inlineStr">
        <is>
          <t>None</t>
        </is>
      </c>
      <c r="L722" s="145" t="inlineStr">
        <is>
          <t>#000000</t>
        </is>
      </c>
      <c r="M722" s="145" t="inlineStr">
        <is>
          <t>Center</t>
        </is>
      </c>
      <c r="N722" s="145" t="inlineStr">
        <is>
          <t>Center</t>
        </is>
      </c>
      <c r="O722" s="145" t="inlineStr">
        <is>
          <t>Yes</t>
        </is>
      </c>
      <c r="P722" s="145" t="inlineStr">
        <is>
          <t>General</t>
        </is>
      </c>
      <c r="Q722" s="145" t="inlineStr">
        <is>
          <t>General</t>
        </is>
      </c>
      <c r="R722" s="145" t="n"/>
      <c r="S722" s="145" t="n"/>
      <c r="T722" s="145" t="n"/>
      <c r="U722" s="145" t="n"/>
      <c r="V722" s="145" t="n"/>
      <c r="W722" s="145" t="n"/>
      <c r="X722" s="145" t="inlineStr">
        <is>
          <t>Detailed format sample from top 5 used rows</t>
        </is>
      </c>
    </row>
    <row r="723" ht="23.85" customHeight="1" s="79">
      <c r="A723" s="145" t="inlineStr">
        <is>
          <t>WINTER_DEPT</t>
        </is>
      </c>
      <c r="B723" s="145" t="inlineStr">
        <is>
          <t>Top-Row Cell Format</t>
        </is>
      </c>
      <c r="C723" s="145" t="inlineStr">
        <is>
          <t>AA4</t>
        </is>
      </c>
      <c r="D723" s="145" t="inlineStr">
        <is>
          <t>WINTER_DEPT!A1:AA31</t>
        </is>
      </c>
      <c r="E723" s="145" t="inlineStr">
        <is>
          <t>Normal</t>
        </is>
      </c>
      <c r="F723" s="145" t="inlineStr">
        <is>
          <t>#F8CBAD</t>
        </is>
      </c>
      <c r="G723" s="145" t="inlineStr">
        <is>
          <t>Aptos</t>
        </is>
      </c>
      <c r="H723" s="145" t="n">
        <v>8</v>
      </c>
      <c r="I723" s="145" t="inlineStr">
        <is>
          <t>No</t>
        </is>
      </c>
      <c r="J723" s="145" t="inlineStr">
        <is>
          <t>No</t>
        </is>
      </c>
      <c r="K723" s="145" t="inlineStr">
        <is>
          <t>None</t>
        </is>
      </c>
      <c r="L723" s="145" t="inlineStr">
        <is>
          <t>#000000</t>
        </is>
      </c>
      <c r="M723" s="145" t="inlineStr">
        <is>
          <t>Center</t>
        </is>
      </c>
      <c r="N723" s="145" t="inlineStr">
        <is>
          <t>Center</t>
        </is>
      </c>
      <c r="O723" s="145" t="inlineStr">
        <is>
          <t>No</t>
        </is>
      </c>
      <c r="P723" s="145" t="inlineStr">
        <is>
          <t>General</t>
        </is>
      </c>
      <c r="Q723" s="145" t="inlineStr">
        <is>
          <t>General</t>
        </is>
      </c>
      <c r="R723" s="145" t="n"/>
      <c r="S723" s="145" t="n"/>
      <c r="T723" s="145" t="n"/>
      <c r="U723" s="145" t="n"/>
      <c r="V723" s="145" t="n"/>
      <c r="W723" s="145" t="n"/>
      <c r="X723" s="145" t="inlineStr">
        <is>
          <t>Detailed format sample from top 5 used rows</t>
        </is>
      </c>
    </row>
    <row r="724" ht="23.85" customHeight="1" s="79">
      <c r="A724" s="145" t="inlineStr">
        <is>
          <t>WINTER_DEPT</t>
        </is>
      </c>
      <c r="B724" s="145" t="inlineStr">
        <is>
          <t>Top-Row Cell Format</t>
        </is>
      </c>
      <c r="C724" s="145" t="inlineStr">
        <is>
          <t>AA5</t>
        </is>
      </c>
      <c r="D724" s="145" t="inlineStr">
        <is>
          <t>WINTER_DEPT!A1:AA31</t>
        </is>
      </c>
      <c r="E724" s="145" t="inlineStr">
        <is>
          <t>Comma</t>
        </is>
      </c>
      <c r="F724" s="145" t="n"/>
      <c r="G724" s="145" t="inlineStr">
        <is>
          <t>Aptos</t>
        </is>
      </c>
      <c r="H724" s="145" t="n">
        <v>8</v>
      </c>
      <c r="I724" s="145" t="inlineStr">
        <is>
          <t>No</t>
        </is>
      </c>
      <c r="J724" s="145" t="inlineStr">
        <is>
          <t>No</t>
        </is>
      </c>
      <c r="K724" s="145" t="inlineStr">
        <is>
          <t>None</t>
        </is>
      </c>
      <c r="L724" s="145" t="inlineStr">
        <is>
          <t>#000000</t>
        </is>
      </c>
      <c r="M724" s="145" t="inlineStr">
        <is>
          <t>General</t>
        </is>
      </c>
      <c r="N724" s="145" t="inlineStr">
        <is>
          <t>Center</t>
        </is>
      </c>
      <c r="O724" s="145" t="inlineStr">
        <is>
          <t>No</t>
        </is>
      </c>
      <c r="P724" s="145" t="inlineStr">
        <is>
          <t xml:space="preserve">_ * #,##0_ ;_ * -#,##0_ ;_ * "-"??_ ;_ @_ </t>
        </is>
      </c>
      <c r="Q724" s="145" t="inlineStr">
        <is>
          <t>Text</t>
        </is>
      </c>
      <c r="R724" s="145" t="n"/>
      <c r="S724" s="145" t="n"/>
      <c r="T724" s="145" t="n"/>
      <c r="U724" s="145" t="n"/>
      <c r="V724" s="145" t="n"/>
      <c r="W724" s="145" t="n"/>
      <c r="X724" s="145" t="inlineStr">
        <is>
          <t>Detailed format sample from top 5 used rows</t>
        </is>
      </c>
    </row>
    <row r="725" ht="23.85" customHeight="1" s="79">
      <c r="A725" s="145" t="inlineStr">
        <is>
          <t>WINTER_DEPT</t>
        </is>
      </c>
      <c r="B725" s="145" t="inlineStr">
        <is>
          <t>Row Dimensions</t>
        </is>
      </c>
      <c r="C725" s="147" t="n">
        <v>0.04305555555555556</v>
      </c>
      <c r="D725" s="145" t="inlineStr">
        <is>
          <t>WINTER_DEPT!A1:AA31</t>
        </is>
      </c>
      <c r="E725" s="145" t="n"/>
      <c r="F725" s="145" t="n"/>
      <c r="G725" s="145" t="n"/>
      <c r="H725" s="145" t="n"/>
      <c r="I725" s="145" t="n"/>
      <c r="J725" s="145" t="n"/>
      <c r="K725" s="145" t="n"/>
      <c r="L725" s="145" t="n"/>
      <c r="M725" s="145" t="n"/>
      <c r="N725" s="145" t="n"/>
      <c r="O725" s="145" t="n"/>
      <c r="P725" s="145" t="n"/>
      <c r="Q725" s="145" t="n"/>
      <c r="R725" s="145" t="n"/>
      <c r="S725" s="145" t="n"/>
      <c r="T725" s="145" t="n">
        <v>10.75</v>
      </c>
      <c r="U725" s="145" t="inlineStr">
        <is>
          <t>No</t>
        </is>
      </c>
      <c r="V725" s="145" t="inlineStr">
        <is>
          <t>Visible</t>
        </is>
      </c>
      <c r="W725" s="145" t="n"/>
      <c r="X725" s="145" t="inlineStr">
        <is>
          <t>Contiguous rows share height/hidden status</t>
        </is>
      </c>
    </row>
    <row r="726" ht="23.85" customHeight="1" s="79">
      <c r="A726" s="145" t="inlineStr">
        <is>
          <t>WINTER_DEPT</t>
        </is>
      </c>
      <c r="B726" s="145" t="inlineStr">
        <is>
          <t>Row Dimensions</t>
        </is>
      </c>
      <c r="C726" s="147" t="n">
        <v>0.1270833333333333</v>
      </c>
      <c r="D726" s="145" t="inlineStr">
        <is>
          <t>WINTER_DEPT!A1:AA31</t>
        </is>
      </c>
      <c r="E726" s="145" t="n"/>
      <c r="F726" s="145" t="n"/>
      <c r="G726" s="145" t="n"/>
      <c r="H726" s="145" t="n"/>
      <c r="I726" s="145" t="n"/>
      <c r="J726" s="145" t="n"/>
      <c r="K726" s="145" t="n"/>
      <c r="L726" s="145" t="n"/>
      <c r="M726" s="145" t="n"/>
      <c r="N726" s="145" t="n"/>
      <c r="O726" s="145" t="n"/>
      <c r="P726" s="145" t="n"/>
      <c r="Q726" s="145" t="n"/>
      <c r="R726" s="145" t="n"/>
      <c r="S726" s="145" t="n"/>
      <c r="T726" s="145" t="n">
        <v>25</v>
      </c>
      <c r="U726" s="145" t="inlineStr">
        <is>
          <t>No</t>
        </is>
      </c>
      <c r="V726" s="145" t="inlineStr">
        <is>
          <t>Visible</t>
        </is>
      </c>
      <c r="W726" s="145" t="n"/>
      <c r="X726" s="145" t="inlineStr">
        <is>
          <t>Single row</t>
        </is>
      </c>
    </row>
    <row r="727" ht="23.85" customHeight="1" s="79">
      <c r="A727" s="145" t="inlineStr">
        <is>
          <t>WINTER_DEPT</t>
        </is>
      </c>
      <c r="B727" s="145" t="inlineStr">
        <is>
          <t>Row Dimensions</t>
        </is>
      </c>
      <c r="C727" s="147" t="n">
        <v>0.1694444444444445</v>
      </c>
      <c r="D727" s="145" t="inlineStr">
        <is>
          <t>WINTER_DEPT!A1:AA31</t>
        </is>
      </c>
      <c r="E727" s="145" t="n"/>
      <c r="F727" s="145" t="n"/>
      <c r="G727" s="145" t="n"/>
      <c r="H727" s="145" t="n"/>
      <c r="I727" s="145" t="n"/>
      <c r="J727" s="145" t="n"/>
      <c r="K727" s="145" t="n"/>
      <c r="L727" s="145" t="n"/>
      <c r="M727" s="145" t="n"/>
      <c r="N727" s="145" t="n"/>
      <c r="O727" s="145" t="n"/>
      <c r="P727" s="145" t="n"/>
      <c r="Q727" s="145" t="n"/>
      <c r="R727" s="145" t="n"/>
      <c r="S727" s="145" t="n"/>
      <c r="T727" s="145" t="n">
        <v>11.25</v>
      </c>
      <c r="U727" s="145" t="inlineStr">
        <is>
          <t>No</t>
        </is>
      </c>
      <c r="V727" s="145" t="inlineStr">
        <is>
          <t>Visible</t>
        </is>
      </c>
      <c r="W727" s="145" t="n"/>
      <c r="X727" s="145" t="inlineStr">
        <is>
          <t>Single row</t>
        </is>
      </c>
    </row>
    <row r="728" ht="23.85" customHeight="1" s="79">
      <c r="A728" s="145" t="inlineStr">
        <is>
          <t>WINTER_DEPT</t>
        </is>
      </c>
      <c r="B728" s="145" t="inlineStr">
        <is>
          <t>Row Dimensions</t>
        </is>
      </c>
      <c r="C728" s="147" t="n">
        <v>0.2298611111111111</v>
      </c>
      <c r="D728" s="145" t="inlineStr">
        <is>
          <t>WINTER_DEPT!A1:AA31</t>
        </is>
      </c>
      <c r="E728" s="145" t="n"/>
      <c r="F728" s="145" t="n"/>
      <c r="G728" s="145" t="n"/>
      <c r="H728" s="145" t="n"/>
      <c r="I728" s="145" t="n"/>
      <c r="J728" s="145" t="n"/>
      <c r="K728" s="145" t="n"/>
      <c r="L728" s="145" t="n"/>
      <c r="M728" s="145" t="n"/>
      <c r="N728" s="145" t="n"/>
      <c r="O728" s="145" t="n"/>
      <c r="P728" s="145" t="n"/>
      <c r="Q728" s="145" t="n"/>
      <c r="R728" s="145" t="n"/>
      <c r="S728" s="145" t="n"/>
      <c r="T728" s="145" t="n">
        <v>10.75</v>
      </c>
      <c r="U728" s="145" t="inlineStr">
        <is>
          <t>No</t>
        </is>
      </c>
      <c r="V728" s="145" t="inlineStr">
        <is>
          <t>Visible</t>
        </is>
      </c>
      <c r="W728" s="145" t="n"/>
      <c r="X728" s="145" t="inlineStr">
        <is>
          <t>Contiguous rows share height/hidden status</t>
        </is>
      </c>
    </row>
    <row r="729" ht="23.85" customHeight="1" s="79">
      <c r="A729" s="145" t="inlineStr">
        <is>
          <t>WINTER_ART</t>
        </is>
      </c>
      <c r="B729" s="145" t="inlineStr">
        <is>
          <t>Sheet Summary</t>
        </is>
      </c>
      <c r="C729" s="145" t="inlineStr">
        <is>
          <t>WINTER_ART</t>
        </is>
      </c>
      <c r="D729" s="145" t="inlineStr">
        <is>
          <t>WINTER_ART!A1:AB82</t>
        </is>
      </c>
      <c r="E729" s="145" t="n"/>
      <c r="F729" s="145" t="n"/>
      <c r="G729" s="145" t="n"/>
      <c r="H729" s="145" t="n"/>
      <c r="I729" s="145" t="n"/>
      <c r="J729" s="145" t="n"/>
      <c r="K729" s="145" t="n"/>
      <c r="L729" s="145" t="n"/>
      <c r="M729" s="145" t="n"/>
      <c r="N729" s="145" t="n"/>
      <c r="O729" s="145" t="n"/>
      <c r="P729" s="145" t="n"/>
      <c r="Q729" s="145" t="n"/>
      <c r="R729" s="145" t="n"/>
      <c r="S729" s="145" t="n"/>
      <c r="T729" s="145" t="n"/>
      <c r="U729" s="145" t="inlineStr">
        <is>
          <t>No</t>
        </is>
      </c>
      <c r="V729" s="145" t="inlineStr">
        <is>
          <t>Visible</t>
        </is>
      </c>
      <c r="W729" s="145" t="inlineStr">
        <is>
          <t>No worksheet AutoFilter</t>
        </is>
      </c>
      <c r="X729" s="145" t="inlineStr">
        <is>
          <t>Used rows: 82; used columns: 28</t>
        </is>
      </c>
    </row>
    <row r="730" ht="57.45" customHeight="1" s="79">
      <c r="A730" s="145" t="inlineStr">
        <is>
          <t>WINTER_ART</t>
        </is>
      </c>
      <c r="B730" s="145" t="inlineStr">
        <is>
          <t>Column Format</t>
        </is>
      </c>
      <c r="C730" s="145" t="inlineStr">
        <is>
          <t>A:A</t>
        </is>
      </c>
      <c r="D730" s="145" t="inlineStr">
        <is>
          <t>WINTER_ART!A1:AB82</t>
        </is>
      </c>
      <c r="E730" s="145" t="inlineStr">
        <is>
          <t>Mixed</t>
        </is>
      </c>
      <c r="F730" s="145" t="inlineStr">
        <is>
          <t>Mixed</t>
        </is>
      </c>
      <c r="G730" s="145" t="inlineStr">
        <is>
          <t>Aptos</t>
        </is>
      </c>
      <c r="H730" s="145" t="n">
        <v>8</v>
      </c>
      <c r="I730" s="145" t="inlineStr">
        <is>
          <t>Mixed</t>
        </is>
      </c>
      <c r="J730" s="145" t="inlineStr">
        <is>
          <t>No</t>
        </is>
      </c>
      <c r="K730" s="145" t="inlineStr">
        <is>
          <t>None</t>
        </is>
      </c>
      <c r="L730" s="145" t="inlineStr">
        <is>
          <t>#000000</t>
        </is>
      </c>
      <c r="M730" s="145" t="inlineStr">
        <is>
          <t>Mixed</t>
        </is>
      </c>
      <c r="N730" s="145" t="inlineStr">
        <is>
          <t>Center</t>
        </is>
      </c>
      <c r="O730" s="145" t="inlineStr">
        <is>
          <t>Mixed</t>
        </is>
      </c>
      <c r="P730" s="145" t="n"/>
      <c r="Q730" s="145" t="n"/>
      <c r="R730" s="145" t="inlineStr">
        <is>
          <t>EdgeTop:Continuous/Thin/#000000; EdgeBottom:Continuous/Thin/#000000; EdgeLeft:Continuous/Thin/#000000; EdgeRight:Continuous/Thin/#000000; InsideHorizontal:Continuous/Thin/#000000</t>
        </is>
      </c>
      <c r="S730" s="145" t="n">
        <v>0</v>
      </c>
      <c r="T730" s="145" t="n"/>
      <c r="U730" s="145" t="inlineStr">
        <is>
          <t>Yes</t>
        </is>
      </c>
      <c r="V730" s="145" t="inlineStr">
        <is>
          <t>Hidden column (possible outline/group)</t>
        </is>
      </c>
      <c r="W730" s="145" t="n"/>
      <c r="X730" s="145" t="inlineStr">
        <is>
          <t>Mixed styles within used column</t>
        </is>
      </c>
    </row>
    <row r="731" ht="23.85" customHeight="1" s="79">
      <c r="A731" s="145" t="inlineStr">
        <is>
          <t>WINTER_ART</t>
        </is>
      </c>
      <c r="B731" s="145" t="inlineStr">
        <is>
          <t>Top-Row Cell Format</t>
        </is>
      </c>
      <c r="C731" s="145" t="inlineStr">
        <is>
          <t>A1</t>
        </is>
      </c>
      <c r="D731" s="145" t="inlineStr">
        <is>
          <t>WINTER_ART!A1:AB82</t>
        </is>
      </c>
      <c r="E731" s="145" t="inlineStr">
        <is>
          <t>Normal</t>
        </is>
      </c>
      <c r="F731" s="145" t="inlineStr">
        <is>
          <t>#C9C9C9</t>
        </is>
      </c>
      <c r="G731" s="145" t="inlineStr">
        <is>
          <t>Aptos</t>
        </is>
      </c>
      <c r="H731" s="145" t="n">
        <v>8</v>
      </c>
      <c r="I731" s="145" t="inlineStr">
        <is>
          <t>Yes</t>
        </is>
      </c>
      <c r="J731" s="145" t="inlineStr">
        <is>
          <t>No</t>
        </is>
      </c>
      <c r="K731" s="145" t="inlineStr">
        <is>
          <t>None</t>
        </is>
      </c>
      <c r="L731" s="145" t="inlineStr">
        <is>
          <t>#000000</t>
        </is>
      </c>
      <c r="M731" s="145" t="inlineStr">
        <is>
          <t>Center</t>
        </is>
      </c>
      <c r="N731" s="145" t="inlineStr">
        <is>
          <t>Center</t>
        </is>
      </c>
      <c r="O731" s="145" t="inlineStr">
        <is>
          <t>No</t>
        </is>
      </c>
      <c r="P731" s="145" t="inlineStr">
        <is>
          <t>General</t>
        </is>
      </c>
      <c r="Q731" s="145" t="inlineStr">
        <is>
          <t>General</t>
        </is>
      </c>
      <c r="R731" s="145" t="n"/>
      <c r="S731" s="145" t="n"/>
      <c r="T731" s="145" t="n"/>
      <c r="U731" s="145" t="n"/>
      <c r="V731" s="145" t="n"/>
      <c r="W731" s="145" t="n"/>
      <c r="X731" s="145" t="inlineStr">
        <is>
          <t>Detailed format sample from top 5 used rows</t>
        </is>
      </c>
    </row>
    <row r="732" ht="23.85" customHeight="1" s="79">
      <c r="A732" s="145" t="inlineStr">
        <is>
          <t>WINTER_ART</t>
        </is>
      </c>
      <c r="B732" s="145" t="inlineStr">
        <is>
          <t>Top-Row Cell Format</t>
        </is>
      </c>
      <c r="C732" s="145" t="inlineStr">
        <is>
          <t>A2</t>
        </is>
      </c>
      <c r="D732" s="145" t="inlineStr">
        <is>
          <t>WINTER_ART!A1:AB82</t>
        </is>
      </c>
      <c r="E732" s="145" t="inlineStr">
        <is>
          <t>Comma</t>
        </is>
      </c>
      <c r="F732" s="145" t="inlineStr">
        <is>
          <t>#B4C6E7</t>
        </is>
      </c>
      <c r="G732" s="145" t="inlineStr">
        <is>
          <t>Aptos</t>
        </is>
      </c>
      <c r="H732" s="145" t="n">
        <v>8</v>
      </c>
      <c r="I732" s="145" t="inlineStr">
        <is>
          <t>Yes</t>
        </is>
      </c>
      <c r="J732" s="145" t="inlineStr">
        <is>
          <t>No</t>
        </is>
      </c>
      <c r="K732" s="145" t="inlineStr">
        <is>
          <t>None</t>
        </is>
      </c>
      <c r="L732" s="145" t="inlineStr">
        <is>
          <t>#000000</t>
        </is>
      </c>
      <c r="M732" s="145" t="inlineStr">
        <is>
          <t>Center</t>
        </is>
      </c>
      <c r="N732" s="145" t="inlineStr">
        <is>
          <t>Center</t>
        </is>
      </c>
      <c r="O732" s="145" t="inlineStr">
        <is>
          <t>No</t>
        </is>
      </c>
      <c r="P732" s="145" t="inlineStr">
        <is>
          <t xml:space="preserve">_ * #,##0_ ;_ * -#,##0_ ;_ * "-"??_ ;_ @_ </t>
        </is>
      </c>
      <c r="Q732" s="145" t="inlineStr">
        <is>
          <t>Text</t>
        </is>
      </c>
      <c r="R732" s="145" t="n"/>
      <c r="S732" s="145" t="n"/>
      <c r="T732" s="145" t="n"/>
      <c r="U732" s="145" t="n"/>
      <c r="V732" s="145" t="n"/>
      <c r="W732" s="145" t="n"/>
      <c r="X732" s="145" t="inlineStr">
        <is>
          <t>Detailed format sample from top 5 used rows</t>
        </is>
      </c>
    </row>
    <row r="733" ht="23.85" customHeight="1" s="79">
      <c r="A733" s="145" t="inlineStr">
        <is>
          <t>WINTER_ART</t>
        </is>
      </c>
      <c r="B733" s="145" t="inlineStr">
        <is>
          <t>Top-Row Cell Format</t>
        </is>
      </c>
      <c r="C733" s="145" t="inlineStr">
        <is>
          <t>A3</t>
        </is>
      </c>
      <c r="D733" s="145" t="inlineStr">
        <is>
          <t>WINTER_ART!A1:AB82</t>
        </is>
      </c>
      <c r="E733" s="145" t="inlineStr">
        <is>
          <t>Normal</t>
        </is>
      </c>
      <c r="F733" s="145" t="inlineStr">
        <is>
          <t>#FFD966</t>
        </is>
      </c>
      <c r="G733" s="145" t="inlineStr">
        <is>
          <t>Aptos</t>
        </is>
      </c>
      <c r="H733" s="145" t="n">
        <v>8</v>
      </c>
      <c r="I733" s="145" t="inlineStr">
        <is>
          <t>Yes</t>
        </is>
      </c>
      <c r="J733" s="145" t="inlineStr">
        <is>
          <t>No</t>
        </is>
      </c>
      <c r="K733" s="145" t="inlineStr">
        <is>
          <t>None</t>
        </is>
      </c>
      <c r="L733" s="145" t="inlineStr">
        <is>
          <t>#000000</t>
        </is>
      </c>
      <c r="M733" s="145" t="inlineStr">
        <is>
          <t>Center</t>
        </is>
      </c>
      <c r="N733" s="145" t="inlineStr">
        <is>
          <t>Center</t>
        </is>
      </c>
      <c r="O733" s="145" t="inlineStr">
        <is>
          <t>Yes</t>
        </is>
      </c>
      <c r="P733" s="145" t="inlineStr">
        <is>
          <t>General</t>
        </is>
      </c>
      <c r="Q733" s="145" t="inlineStr">
        <is>
          <t>General</t>
        </is>
      </c>
      <c r="R733" s="145" t="n"/>
      <c r="S733" s="145" t="n"/>
      <c r="T733" s="145" t="n"/>
      <c r="U733" s="145" t="n"/>
      <c r="V733" s="145" t="n"/>
      <c r="W733" s="145" t="n"/>
      <c r="X733" s="145" t="inlineStr">
        <is>
          <t>Detailed format sample from top 5 used rows</t>
        </is>
      </c>
    </row>
    <row r="734" ht="23.85" customHeight="1" s="79">
      <c r="A734" s="145" t="inlineStr">
        <is>
          <t>WINTER_ART</t>
        </is>
      </c>
      <c r="B734" s="145" t="inlineStr">
        <is>
          <t>Top-Row Cell Format</t>
        </is>
      </c>
      <c r="C734" s="145" t="inlineStr">
        <is>
          <t>A4</t>
        </is>
      </c>
      <c r="D734" s="145" t="inlineStr">
        <is>
          <t>WINTER_ART!A1:AB82</t>
        </is>
      </c>
      <c r="E734" s="145" t="inlineStr">
        <is>
          <t>Normal</t>
        </is>
      </c>
      <c r="F734" s="145" t="inlineStr">
        <is>
          <t>#FFD966</t>
        </is>
      </c>
      <c r="G734" s="145" t="inlineStr">
        <is>
          <t>Aptos</t>
        </is>
      </c>
      <c r="H734" s="145" t="n">
        <v>8</v>
      </c>
      <c r="I734" s="145" t="inlineStr">
        <is>
          <t>No</t>
        </is>
      </c>
      <c r="J734" s="145" t="inlineStr">
        <is>
          <t>No</t>
        </is>
      </c>
      <c r="K734" s="145" t="inlineStr">
        <is>
          <t>None</t>
        </is>
      </c>
      <c r="L734" s="145" t="inlineStr">
        <is>
          <t>#000000</t>
        </is>
      </c>
      <c r="M734" s="145" t="inlineStr">
        <is>
          <t>Center</t>
        </is>
      </c>
      <c r="N734" s="145" t="inlineStr">
        <is>
          <t>Center</t>
        </is>
      </c>
      <c r="O734" s="145" t="inlineStr">
        <is>
          <t>No</t>
        </is>
      </c>
      <c r="P734" s="145" t="inlineStr">
        <is>
          <t>General</t>
        </is>
      </c>
      <c r="Q734" s="145" t="inlineStr">
        <is>
          <t>General</t>
        </is>
      </c>
      <c r="R734" s="145" t="n"/>
      <c r="S734" s="145" t="n"/>
      <c r="T734" s="145" t="n"/>
      <c r="U734" s="145" t="n"/>
      <c r="V734" s="145" t="n"/>
      <c r="W734" s="145" t="n"/>
      <c r="X734" s="145" t="inlineStr">
        <is>
          <t>Detailed format sample from top 5 used rows</t>
        </is>
      </c>
    </row>
    <row r="735" ht="23.85" customHeight="1" s="79">
      <c r="A735" s="145" t="inlineStr">
        <is>
          <t>WINTER_ART</t>
        </is>
      </c>
      <c r="B735" s="145" t="inlineStr">
        <is>
          <t>Top-Row Cell Format</t>
        </is>
      </c>
      <c r="C735" s="145" t="inlineStr">
        <is>
          <t>A5</t>
        </is>
      </c>
      <c r="D735" s="145" t="inlineStr">
        <is>
          <t>WINTER_ART!A1:AB82</t>
        </is>
      </c>
      <c r="E735" s="145" t="inlineStr">
        <is>
          <t>Comma</t>
        </is>
      </c>
      <c r="F735" s="145" t="n"/>
      <c r="G735" s="145" t="inlineStr">
        <is>
          <t>Aptos</t>
        </is>
      </c>
      <c r="H735" s="145" t="n">
        <v>8</v>
      </c>
      <c r="I735" s="145" t="inlineStr">
        <is>
          <t>No</t>
        </is>
      </c>
      <c r="J735" s="145" t="inlineStr">
        <is>
          <t>No</t>
        </is>
      </c>
      <c r="K735" s="145" t="inlineStr">
        <is>
          <t>None</t>
        </is>
      </c>
      <c r="L735" s="145" t="inlineStr">
        <is>
          <t>#000000</t>
        </is>
      </c>
      <c r="M735" s="145" t="inlineStr">
        <is>
          <t>General</t>
        </is>
      </c>
      <c r="N735" s="145" t="inlineStr">
        <is>
          <t>Center</t>
        </is>
      </c>
      <c r="O735" s="145" t="inlineStr">
        <is>
          <t>No</t>
        </is>
      </c>
      <c r="P735" s="145" t="inlineStr">
        <is>
          <t xml:space="preserve">_ * #,##0_ ;_ * -#,##0_ ;_ * "-"??_ ;_ @_ </t>
        </is>
      </c>
      <c r="Q735" s="145" t="inlineStr">
        <is>
          <t>Text</t>
        </is>
      </c>
      <c r="R735" s="145" t="n"/>
      <c r="S735" s="145" t="n"/>
      <c r="T735" s="145" t="n"/>
      <c r="U735" s="145" t="n"/>
      <c r="V735" s="145" t="n"/>
      <c r="W735" s="145" t="n"/>
      <c r="X735" s="145" t="inlineStr">
        <is>
          <t>Detailed format sample from top 5 used rows</t>
        </is>
      </c>
    </row>
    <row r="736" ht="57.45" customHeight="1" s="79">
      <c r="A736" s="145" t="inlineStr">
        <is>
          <t>WINTER_ART</t>
        </is>
      </c>
      <c r="B736" s="145" t="inlineStr">
        <is>
          <t>Column Format</t>
        </is>
      </c>
      <c r="C736" s="145" t="inlineStr">
        <is>
          <t>B:B</t>
        </is>
      </c>
      <c r="D736" s="145" t="inlineStr">
        <is>
          <t>WINTER_ART!A1:AB82</t>
        </is>
      </c>
      <c r="E736" s="145" t="inlineStr">
        <is>
          <t>Mixed</t>
        </is>
      </c>
      <c r="F736" s="145" t="inlineStr">
        <is>
          <t>Mixed</t>
        </is>
      </c>
      <c r="G736" s="145" t="inlineStr">
        <is>
          <t>Aptos</t>
        </is>
      </c>
      <c r="H736" s="145" t="n">
        <v>8</v>
      </c>
      <c r="I736" s="145" t="inlineStr">
        <is>
          <t>Mixed</t>
        </is>
      </c>
      <c r="J736" s="145" t="inlineStr">
        <is>
          <t>No</t>
        </is>
      </c>
      <c r="K736" s="145" t="inlineStr">
        <is>
          <t>None</t>
        </is>
      </c>
      <c r="L736" s="145" t="inlineStr">
        <is>
          <t>#000000</t>
        </is>
      </c>
      <c r="M736" s="145" t="inlineStr">
        <is>
          <t>Mixed</t>
        </is>
      </c>
      <c r="N736" s="145" t="inlineStr">
        <is>
          <t>Center</t>
        </is>
      </c>
      <c r="O736" s="145" t="inlineStr">
        <is>
          <t>Mixed</t>
        </is>
      </c>
      <c r="P736" s="145" t="n"/>
      <c r="Q736" s="145" t="n"/>
      <c r="R736" s="145" t="inlineStr">
        <is>
          <t>EdgeTop:Continuous/Thin/#000000; EdgeBottom:Continuous/Thin/#000000; EdgeLeft:Continuous/Thin/#000000; EdgeRight:Continuous/Thin/#000000; InsideHorizontal:Continuous/Thin/#000000</t>
        </is>
      </c>
      <c r="S736" s="145" t="n">
        <v>0</v>
      </c>
      <c r="T736" s="145" t="n"/>
      <c r="U736" s="145" t="inlineStr">
        <is>
          <t>Yes</t>
        </is>
      </c>
      <c r="V736" s="145" t="inlineStr">
        <is>
          <t>Hidden column (possible outline/group)</t>
        </is>
      </c>
      <c r="W736" s="145" t="n"/>
      <c r="X736" s="145" t="inlineStr">
        <is>
          <t>Mixed styles within used column</t>
        </is>
      </c>
    </row>
    <row r="737" ht="23.85" customHeight="1" s="79">
      <c r="A737" s="145" t="inlineStr">
        <is>
          <t>WINTER_ART</t>
        </is>
      </c>
      <c r="B737" s="145" t="inlineStr">
        <is>
          <t>Top-Row Cell Format</t>
        </is>
      </c>
      <c r="C737" s="145" t="inlineStr">
        <is>
          <t>B1</t>
        </is>
      </c>
      <c r="D737" s="145" t="inlineStr">
        <is>
          <t>WINTER_ART!A1:AB82</t>
        </is>
      </c>
      <c r="E737" s="145" t="inlineStr">
        <is>
          <t>Normal</t>
        </is>
      </c>
      <c r="F737" s="145" t="inlineStr">
        <is>
          <t>#C9C9C9</t>
        </is>
      </c>
      <c r="G737" s="145" t="inlineStr">
        <is>
          <t>Aptos</t>
        </is>
      </c>
      <c r="H737" s="145" t="n">
        <v>8</v>
      </c>
      <c r="I737" s="145" t="inlineStr">
        <is>
          <t>Yes</t>
        </is>
      </c>
      <c r="J737" s="145" t="inlineStr">
        <is>
          <t>No</t>
        </is>
      </c>
      <c r="K737" s="145" t="inlineStr">
        <is>
          <t>None</t>
        </is>
      </c>
      <c r="L737" s="145" t="inlineStr">
        <is>
          <t>#000000</t>
        </is>
      </c>
      <c r="M737" s="145" t="inlineStr">
        <is>
          <t>Center</t>
        </is>
      </c>
      <c r="N737" s="145" t="inlineStr">
        <is>
          <t>Center</t>
        </is>
      </c>
      <c r="O737" s="145" t="inlineStr">
        <is>
          <t>No</t>
        </is>
      </c>
      <c r="P737" s="145" t="inlineStr">
        <is>
          <t>General</t>
        </is>
      </c>
      <c r="Q737" s="145" t="inlineStr">
        <is>
          <t>General</t>
        </is>
      </c>
      <c r="R737" s="145" t="n"/>
      <c r="S737" s="145" t="n"/>
      <c r="T737" s="145" t="n"/>
      <c r="U737" s="145" t="n"/>
      <c r="V737" s="145" t="n"/>
      <c r="W737" s="145" t="n"/>
      <c r="X737" s="145" t="inlineStr">
        <is>
          <t>Detailed format sample from top 5 used rows</t>
        </is>
      </c>
    </row>
    <row r="738" ht="23.85" customHeight="1" s="79">
      <c r="A738" s="145" t="inlineStr">
        <is>
          <t>WINTER_ART</t>
        </is>
      </c>
      <c r="B738" s="145" t="inlineStr">
        <is>
          <t>Top-Row Cell Format</t>
        </is>
      </c>
      <c r="C738" s="145" t="inlineStr">
        <is>
          <t>B2</t>
        </is>
      </c>
      <c r="D738" s="145" t="inlineStr">
        <is>
          <t>WINTER_ART!A1:AB82</t>
        </is>
      </c>
      <c r="E738" s="145" t="inlineStr">
        <is>
          <t>Comma</t>
        </is>
      </c>
      <c r="F738" s="145" t="inlineStr">
        <is>
          <t>#B4C6E7</t>
        </is>
      </c>
      <c r="G738" s="145" t="inlineStr">
        <is>
          <t>Aptos</t>
        </is>
      </c>
      <c r="H738" s="145" t="n">
        <v>8</v>
      </c>
      <c r="I738" s="145" t="inlineStr">
        <is>
          <t>Yes</t>
        </is>
      </c>
      <c r="J738" s="145" t="inlineStr">
        <is>
          <t>No</t>
        </is>
      </c>
      <c r="K738" s="145" t="inlineStr">
        <is>
          <t>None</t>
        </is>
      </c>
      <c r="L738" s="145" t="inlineStr">
        <is>
          <t>#000000</t>
        </is>
      </c>
      <c r="M738" s="145" t="inlineStr">
        <is>
          <t>Center</t>
        </is>
      </c>
      <c r="N738" s="145" t="inlineStr">
        <is>
          <t>Center</t>
        </is>
      </c>
      <c r="O738" s="145" t="inlineStr">
        <is>
          <t>No</t>
        </is>
      </c>
      <c r="P738" s="145" t="inlineStr">
        <is>
          <t xml:space="preserve">_ * #,##0_ ;_ * -#,##0_ ;_ * "-"??_ ;_ @_ </t>
        </is>
      </c>
      <c r="Q738" s="145" t="inlineStr">
        <is>
          <t>Text</t>
        </is>
      </c>
      <c r="R738" s="145" t="n"/>
      <c r="S738" s="145" t="n"/>
      <c r="T738" s="145" t="n"/>
      <c r="U738" s="145" t="n"/>
      <c r="V738" s="145" t="n"/>
      <c r="W738" s="145" t="n"/>
      <c r="X738" s="145" t="inlineStr">
        <is>
          <t>Detailed format sample from top 5 used rows</t>
        </is>
      </c>
    </row>
    <row r="739" ht="23.85" customHeight="1" s="79">
      <c r="A739" s="145" t="inlineStr">
        <is>
          <t>WINTER_ART</t>
        </is>
      </c>
      <c r="B739" s="145" t="inlineStr">
        <is>
          <t>Top-Row Cell Format</t>
        </is>
      </c>
      <c r="C739" s="145" t="inlineStr">
        <is>
          <t>B3</t>
        </is>
      </c>
      <c r="D739" s="145" t="inlineStr">
        <is>
          <t>WINTER_ART!A1:AB82</t>
        </is>
      </c>
      <c r="E739" s="145" t="inlineStr">
        <is>
          <t>Normal</t>
        </is>
      </c>
      <c r="F739" s="145" t="inlineStr">
        <is>
          <t>#FFD966</t>
        </is>
      </c>
      <c r="G739" s="145" t="inlineStr">
        <is>
          <t>Aptos</t>
        </is>
      </c>
      <c r="H739" s="145" t="n">
        <v>8</v>
      </c>
      <c r="I739" s="145" t="inlineStr">
        <is>
          <t>Yes</t>
        </is>
      </c>
      <c r="J739" s="145" t="inlineStr">
        <is>
          <t>No</t>
        </is>
      </c>
      <c r="K739" s="145" t="inlineStr">
        <is>
          <t>None</t>
        </is>
      </c>
      <c r="L739" s="145" t="inlineStr">
        <is>
          <t>#000000</t>
        </is>
      </c>
      <c r="M739" s="145" t="inlineStr">
        <is>
          <t>Center</t>
        </is>
      </c>
      <c r="N739" s="145" t="inlineStr">
        <is>
          <t>Center</t>
        </is>
      </c>
      <c r="O739" s="145" t="inlineStr">
        <is>
          <t>Yes</t>
        </is>
      </c>
      <c r="P739" s="145" t="inlineStr">
        <is>
          <t>General</t>
        </is>
      </c>
      <c r="Q739" s="145" t="inlineStr">
        <is>
          <t>General</t>
        </is>
      </c>
      <c r="R739" s="145" t="n"/>
      <c r="S739" s="145" t="n"/>
      <c r="T739" s="145" t="n"/>
      <c r="U739" s="145" t="n"/>
      <c r="V739" s="145" t="n"/>
      <c r="W739" s="145" t="n"/>
      <c r="X739" s="145" t="inlineStr">
        <is>
          <t>Detailed format sample from top 5 used rows</t>
        </is>
      </c>
    </row>
    <row r="740" ht="23.85" customHeight="1" s="79">
      <c r="A740" s="145" t="inlineStr">
        <is>
          <t>WINTER_ART</t>
        </is>
      </c>
      <c r="B740" s="145" t="inlineStr">
        <is>
          <t>Top-Row Cell Format</t>
        </is>
      </c>
      <c r="C740" s="145" t="inlineStr">
        <is>
          <t>B4</t>
        </is>
      </c>
      <c r="D740" s="145" t="inlineStr">
        <is>
          <t>WINTER_ART!A1:AB82</t>
        </is>
      </c>
      <c r="E740" s="145" t="inlineStr">
        <is>
          <t>Normal</t>
        </is>
      </c>
      <c r="F740" s="145" t="inlineStr">
        <is>
          <t>#FFD966</t>
        </is>
      </c>
      <c r="G740" s="145" t="inlineStr">
        <is>
          <t>Aptos</t>
        </is>
      </c>
      <c r="H740" s="145" t="n">
        <v>8</v>
      </c>
      <c r="I740" s="145" t="inlineStr">
        <is>
          <t>No</t>
        </is>
      </c>
      <c r="J740" s="145" t="inlineStr">
        <is>
          <t>No</t>
        </is>
      </c>
      <c r="K740" s="145" t="inlineStr">
        <is>
          <t>None</t>
        </is>
      </c>
      <c r="L740" s="145" t="inlineStr">
        <is>
          <t>#000000</t>
        </is>
      </c>
      <c r="M740" s="145" t="inlineStr">
        <is>
          <t>Center</t>
        </is>
      </c>
      <c r="N740" s="145" t="inlineStr">
        <is>
          <t>Center</t>
        </is>
      </c>
      <c r="O740" s="145" t="inlineStr">
        <is>
          <t>No</t>
        </is>
      </c>
      <c r="P740" s="145" t="inlineStr">
        <is>
          <t>General</t>
        </is>
      </c>
      <c r="Q740" s="145" t="inlineStr">
        <is>
          <t>General</t>
        </is>
      </c>
      <c r="R740" s="145" t="n"/>
      <c r="S740" s="145" t="n"/>
      <c r="T740" s="145" t="n"/>
      <c r="U740" s="145" t="n"/>
      <c r="V740" s="145" t="n"/>
      <c r="W740" s="145" t="n"/>
      <c r="X740" s="145" t="inlineStr">
        <is>
          <t>Detailed format sample from top 5 used rows</t>
        </is>
      </c>
    </row>
    <row r="741" ht="23.85" customHeight="1" s="79">
      <c r="A741" s="145" t="inlineStr">
        <is>
          <t>WINTER_ART</t>
        </is>
      </c>
      <c r="B741" s="145" t="inlineStr">
        <is>
          <t>Top-Row Cell Format</t>
        </is>
      </c>
      <c r="C741" s="145" t="inlineStr">
        <is>
          <t>B5</t>
        </is>
      </c>
      <c r="D741" s="145" t="inlineStr">
        <is>
          <t>WINTER_ART!A1:AB82</t>
        </is>
      </c>
      <c r="E741" s="145" t="inlineStr">
        <is>
          <t>Comma</t>
        </is>
      </c>
      <c r="F741" s="145" t="n"/>
      <c r="G741" s="145" t="inlineStr">
        <is>
          <t>Aptos</t>
        </is>
      </c>
      <c r="H741" s="145" t="n">
        <v>8</v>
      </c>
      <c r="I741" s="145" t="inlineStr">
        <is>
          <t>No</t>
        </is>
      </c>
      <c r="J741" s="145" t="inlineStr">
        <is>
          <t>No</t>
        </is>
      </c>
      <c r="K741" s="145" t="inlineStr">
        <is>
          <t>None</t>
        </is>
      </c>
      <c r="L741" s="145" t="inlineStr">
        <is>
          <t>#000000</t>
        </is>
      </c>
      <c r="M741" s="145" t="inlineStr">
        <is>
          <t>General</t>
        </is>
      </c>
      <c r="N741" s="145" t="inlineStr">
        <is>
          <t>Center</t>
        </is>
      </c>
      <c r="O741" s="145" t="inlineStr">
        <is>
          <t>No</t>
        </is>
      </c>
      <c r="P741" s="145" t="inlineStr">
        <is>
          <t xml:space="preserve">_ * #,##0_ ;_ * -#,##0_ ;_ * "-"??_ ;_ @_ </t>
        </is>
      </c>
      <c r="Q741" s="145" t="inlineStr">
        <is>
          <t>Text</t>
        </is>
      </c>
      <c r="R741" s="145" t="n"/>
      <c r="S741" s="145" t="n"/>
      <c r="T741" s="145" t="n"/>
      <c r="U741" s="145" t="n"/>
      <c r="V741" s="145" t="n"/>
      <c r="W741" s="145" t="n"/>
      <c r="X741" s="145" t="inlineStr">
        <is>
          <t>Detailed format sample from top 5 used rows</t>
        </is>
      </c>
    </row>
    <row r="742" ht="57.45" customHeight="1" s="79">
      <c r="A742" s="145" t="inlineStr">
        <is>
          <t>WINTER_ART</t>
        </is>
      </c>
      <c r="B742" s="145" t="inlineStr">
        <is>
          <t>Column Format</t>
        </is>
      </c>
      <c r="C742" s="145" t="inlineStr">
        <is>
          <t>C:C</t>
        </is>
      </c>
      <c r="D742" s="145" t="inlineStr">
        <is>
          <t>WINTER_ART!A1:AB82</t>
        </is>
      </c>
      <c r="E742" s="145" t="inlineStr">
        <is>
          <t>Mixed</t>
        </is>
      </c>
      <c r="F742" s="145" t="inlineStr">
        <is>
          <t>Mixed</t>
        </is>
      </c>
      <c r="G742" s="145" t="inlineStr">
        <is>
          <t>Aptos</t>
        </is>
      </c>
      <c r="H742" s="145" t="n">
        <v>8</v>
      </c>
      <c r="I742" s="145" t="inlineStr">
        <is>
          <t>Mixed</t>
        </is>
      </c>
      <c r="J742" s="145" t="inlineStr">
        <is>
          <t>No</t>
        </is>
      </c>
      <c r="K742" s="145" t="inlineStr">
        <is>
          <t>None</t>
        </is>
      </c>
      <c r="L742" s="145" t="inlineStr">
        <is>
          <t>#000000</t>
        </is>
      </c>
      <c r="M742" s="145" t="inlineStr">
        <is>
          <t>Mixed</t>
        </is>
      </c>
      <c r="N742" s="145" t="inlineStr">
        <is>
          <t>Center</t>
        </is>
      </c>
      <c r="O742" s="145" t="inlineStr">
        <is>
          <t>Mixed</t>
        </is>
      </c>
      <c r="P742" s="145" t="n"/>
      <c r="Q742" s="145" t="n"/>
      <c r="R742" s="145" t="inlineStr">
        <is>
          <t>EdgeTop:Continuous/Thin/#000000; EdgeBottom:Continuous/Thin/#000000; EdgeLeft:Continuous/Thin/#000000; EdgeRight:Continuous/Thin/#000000; InsideHorizontal:Continuous/Thin/#000000</t>
        </is>
      </c>
      <c r="S742" s="145" t="n">
        <v>0</v>
      </c>
      <c r="T742" s="145" t="n"/>
      <c r="U742" s="145" t="inlineStr">
        <is>
          <t>Yes</t>
        </is>
      </c>
      <c r="V742" s="145" t="inlineStr">
        <is>
          <t>Hidden column (possible outline/group)</t>
        </is>
      </c>
      <c r="W742" s="145" t="n"/>
      <c r="X742" s="145" t="inlineStr">
        <is>
          <t>Mixed styles within used column</t>
        </is>
      </c>
    </row>
    <row r="743" ht="23.85" customHeight="1" s="79">
      <c r="A743" s="145" t="inlineStr">
        <is>
          <t>WINTER_ART</t>
        </is>
      </c>
      <c r="B743" s="145" t="inlineStr">
        <is>
          <t>Top-Row Cell Format</t>
        </is>
      </c>
      <c r="C743" s="145" t="inlineStr">
        <is>
          <t>C1</t>
        </is>
      </c>
      <c r="D743" s="145" t="inlineStr">
        <is>
          <t>WINTER_ART!A1:AB82</t>
        </is>
      </c>
      <c r="E743" s="145" t="inlineStr">
        <is>
          <t>Normal</t>
        </is>
      </c>
      <c r="F743" s="145" t="inlineStr">
        <is>
          <t>#C9C9C9</t>
        </is>
      </c>
      <c r="G743" s="145" t="inlineStr">
        <is>
          <t>Aptos</t>
        </is>
      </c>
      <c r="H743" s="145" t="n">
        <v>8</v>
      </c>
      <c r="I743" s="145" t="inlineStr">
        <is>
          <t>Yes</t>
        </is>
      </c>
      <c r="J743" s="145" t="inlineStr">
        <is>
          <t>No</t>
        </is>
      </c>
      <c r="K743" s="145" t="inlineStr">
        <is>
          <t>None</t>
        </is>
      </c>
      <c r="L743" s="145" t="inlineStr">
        <is>
          <t>#000000</t>
        </is>
      </c>
      <c r="M743" s="145" t="inlineStr">
        <is>
          <t>Center</t>
        </is>
      </c>
      <c r="N743" s="145" t="inlineStr">
        <is>
          <t>Center</t>
        </is>
      </c>
      <c r="O743" s="145" t="inlineStr">
        <is>
          <t>No</t>
        </is>
      </c>
      <c r="P743" s="145" t="inlineStr">
        <is>
          <t>General</t>
        </is>
      </c>
      <c r="Q743" s="145" t="inlineStr">
        <is>
          <t>General</t>
        </is>
      </c>
      <c r="R743" s="145" t="n"/>
      <c r="S743" s="145" t="n"/>
      <c r="T743" s="145" t="n"/>
      <c r="U743" s="145" t="n"/>
      <c r="V743" s="145" t="n"/>
      <c r="W743" s="145" t="n"/>
      <c r="X743" s="145" t="inlineStr">
        <is>
          <t>Detailed format sample from top 5 used rows</t>
        </is>
      </c>
    </row>
    <row r="744" ht="23.85" customHeight="1" s="79">
      <c r="A744" s="145" t="inlineStr">
        <is>
          <t>WINTER_ART</t>
        </is>
      </c>
      <c r="B744" s="145" t="inlineStr">
        <is>
          <t>Top-Row Cell Format</t>
        </is>
      </c>
      <c r="C744" s="145" t="inlineStr">
        <is>
          <t>C2</t>
        </is>
      </c>
      <c r="D744" s="145" t="inlineStr">
        <is>
          <t>WINTER_ART!A1:AB82</t>
        </is>
      </c>
      <c r="E744" s="145" t="inlineStr">
        <is>
          <t>Comma</t>
        </is>
      </c>
      <c r="F744" s="145" t="inlineStr">
        <is>
          <t>#B4C6E7</t>
        </is>
      </c>
      <c r="G744" s="145" t="inlineStr">
        <is>
          <t>Aptos</t>
        </is>
      </c>
      <c r="H744" s="145" t="n">
        <v>8</v>
      </c>
      <c r="I744" s="145" t="inlineStr">
        <is>
          <t>Yes</t>
        </is>
      </c>
      <c r="J744" s="145" t="inlineStr">
        <is>
          <t>No</t>
        </is>
      </c>
      <c r="K744" s="145" t="inlineStr">
        <is>
          <t>None</t>
        </is>
      </c>
      <c r="L744" s="145" t="inlineStr">
        <is>
          <t>#000000</t>
        </is>
      </c>
      <c r="M744" s="145" t="inlineStr">
        <is>
          <t>Center</t>
        </is>
      </c>
      <c r="N744" s="145" t="inlineStr">
        <is>
          <t>Center</t>
        </is>
      </c>
      <c r="O744" s="145" t="inlineStr">
        <is>
          <t>No</t>
        </is>
      </c>
      <c r="P744" s="145" t="inlineStr">
        <is>
          <t xml:space="preserve">_ * #,##0_ ;_ * -#,##0_ ;_ * "-"??_ ;_ @_ </t>
        </is>
      </c>
      <c r="Q744" s="145" t="inlineStr">
        <is>
          <t>Text</t>
        </is>
      </c>
      <c r="R744" s="145" t="n"/>
      <c r="S744" s="145" t="n"/>
      <c r="T744" s="145" t="n"/>
      <c r="U744" s="145" t="n"/>
      <c r="V744" s="145" t="n"/>
      <c r="W744" s="145" t="n"/>
      <c r="X744" s="145" t="inlineStr">
        <is>
          <t>Detailed format sample from top 5 used rows</t>
        </is>
      </c>
    </row>
    <row r="745" ht="23.85" customHeight="1" s="79">
      <c r="A745" s="145" t="inlineStr">
        <is>
          <t>WINTER_ART</t>
        </is>
      </c>
      <c r="B745" s="145" t="inlineStr">
        <is>
          <t>Top-Row Cell Format</t>
        </is>
      </c>
      <c r="C745" s="145" t="inlineStr">
        <is>
          <t>C3</t>
        </is>
      </c>
      <c r="D745" s="145" t="inlineStr">
        <is>
          <t>WINTER_ART!A1:AB82</t>
        </is>
      </c>
      <c r="E745" s="145" t="inlineStr">
        <is>
          <t>Normal</t>
        </is>
      </c>
      <c r="F745" s="145" t="inlineStr">
        <is>
          <t>#FFD966</t>
        </is>
      </c>
      <c r="G745" s="145" t="inlineStr">
        <is>
          <t>Aptos</t>
        </is>
      </c>
      <c r="H745" s="145" t="n">
        <v>8</v>
      </c>
      <c r="I745" s="145" t="inlineStr">
        <is>
          <t>Yes</t>
        </is>
      </c>
      <c r="J745" s="145" t="inlineStr">
        <is>
          <t>No</t>
        </is>
      </c>
      <c r="K745" s="145" t="inlineStr">
        <is>
          <t>None</t>
        </is>
      </c>
      <c r="L745" s="145" t="inlineStr">
        <is>
          <t>#000000</t>
        </is>
      </c>
      <c r="M745" s="145" t="inlineStr">
        <is>
          <t>Center</t>
        </is>
      </c>
      <c r="N745" s="145" t="inlineStr">
        <is>
          <t>Center</t>
        </is>
      </c>
      <c r="O745" s="145" t="inlineStr">
        <is>
          <t>Yes</t>
        </is>
      </c>
      <c r="P745" s="145" t="inlineStr">
        <is>
          <t>General</t>
        </is>
      </c>
      <c r="Q745" s="145" t="inlineStr">
        <is>
          <t>General</t>
        </is>
      </c>
      <c r="R745" s="145" t="n"/>
      <c r="S745" s="145" t="n"/>
      <c r="T745" s="145" t="n"/>
      <c r="U745" s="145" t="n"/>
      <c r="V745" s="145" t="n"/>
      <c r="W745" s="145" t="n"/>
      <c r="X745" s="145" t="inlineStr">
        <is>
          <t>Detailed format sample from top 5 used rows</t>
        </is>
      </c>
    </row>
    <row r="746" ht="23.85" customHeight="1" s="79">
      <c r="A746" s="145" t="inlineStr">
        <is>
          <t>WINTER_ART</t>
        </is>
      </c>
      <c r="B746" s="145" t="inlineStr">
        <is>
          <t>Top-Row Cell Format</t>
        </is>
      </c>
      <c r="C746" s="145" t="inlineStr">
        <is>
          <t>C4</t>
        </is>
      </c>
      <c r="D746" s="145" t="inlineStr">
        <is>
          <t>WINTER_ART!A1:AB82</t>
        </is>
      </c>
      <c r="E746" s="145" t="inlineStr">
        <is>
          <t>Normal</t>
        </is>
      </c>
      <c r="F746" s="145" t="inlineStr">
        <is>
          <t>#FFD966</t>
        </is>
      </c>
      <c r="G746" s="145" t="inlineStr">
        <is>
          <t>Aptos</t>
        </is>
      </c>
      <c r="H746" s="145" t="n">
        <v>8</v>
      </c>
      <c r="I746" s="145" t="inlineStr">
        <is>
          <t>No</t>
        </is>
      </c>
      <c r="J746" s="145" t="inlineStr">
        <is>
          <t>No</t>
        </is>
      </c>
      <c r="K746" s="145" t="inlineStr">
        <is>
          <t>None</t>
        </is>
      </c>
      <c r="L746" s="145" t="inlineStr">
        <is>
          <t>#000000</t>
        </is>
      </c>
      <c r="M746" s="145" t="inlineStr">
        <is>
          <t>Center</t>
        </is>
      </c>
      <c r="N746" s="145" t="inlineStr">
        <is>
          <t>Center</t>
        </is>
      </c>
      <c r="O746" s="145" t="inlineStr">
        <is>
          <t>No</t>
        </is>
      </c>
      <c r="P746" s="145" t="inlineStr">
        <is>
          <t>General</t>
        </is>
      </c>
      <c r="Q746" s="145" t="inlineStr">
        <is>
          <t>General</t>
        </is>
      </c>
      <c r="R746" s="145" t="n"/>
      <c r="S746" s="145" t="n"/>
      <c r="T746" s="145" t="n"/>
      <c r="U746" s="145" t="n"/>
      <c r="V746" s="145" t="n"/>
      <c r="W746" s="145" t="n"/>
      <c r="X746" s="145" t="inlineStr">
        <is>
          <t>Detailed format sample from top 5 used rows</t>
        </is>
      </c>
    </row>
    <row r="747" ht="23.85" customHeight="1" s="79">
      <c r="A747" s="145" t="inlineStr">
        <is>
          <t>WINTER_ART</t>
        </is>
      </c>
      <c r="B747" s="145" t="inlineStr">
        <is>
          <t>Top-Row Cell Format</t>
        </is>
      </c>
      <c r="C747" s="145" t="inlineStr">
        <is>
          <t>C5</t>
        </is>
      </c>
      <c r="D747" s="145" t="inlineStr">
        <is>
          <t>WINTER_ART!A1:AB82</t>
        </is>
      </c>
      <c r="E747" s="145" t="inlineStr">
        <is>
          <t>Comma</t>
        </is>
      </c>
      <c r="F747" s="145" t="n"/>
      <c r="G747" s="145" t="inlineStr">
        <is>
          <t>Aptos</t>
        </is>
      </c>
      <c r="H747" s="145" t="n">
        <v>8</v>
      </c>
      <c r="I747" s="145" t="inlineStr">
        <is>
          <t>No</t>
        </is>
      </c>
      <c r="J747" s="145" t="inlineStr">
        <is>
          <t>No</t>
        </is>
      </c>
      <c r="K747" s="145" t="inlineStr">
        <is>
          <t>None</t>
        </is>
      </c>
      <c r="L747" s="145" t="inlineStr">
        <is>
          <t>#000000</t>
        </is>
      </c>
      <c r="M747" s="145" t="inlineStr">
        <is>
          <t>General</t>
        </is>
      </c>
      <c r="N747" s="145" t="inlineStr">
        <is>
          <t>Center</t>
        </is>
      </c>
      <c r="O747" s="145" t="inlineStr">
        <is>
          <t>No</t>
        </is>
      </c>
      <c r="P747" s="145" t="inlineStr">
        <is>
          <t xml:space="preserve">_ * #,##0_ ;_ * -#,##0_ ;_ * "-"??_ ;_ @_ </t>
        </is>
      </c>
      <c r="Q747" s="145" t="inlineStr">
        <is>
          <t>Text</t>
        </is>
      </c>
      <c r="R747" s="145" t="n"/>
      <c r="S747" s="145" t="n"/>
      <c r="T747" s="145" t="n"/>
      <c r="U747" s="145" t="n"/>
      <c r="V747" s="145" t="n"/>
      <c r="W747" s="145" t="n"/>
      <c r="X747" s="145" t="inlineStr">
        <is>
          <t>Detailed format sample from top 5 used rows</t>
        </is>
      </c>
    </row>
    <row r="748" ht="57.45" customHeight="1" s="79">
      <c r="A748" s="145" t="inlineStr">
        <is>
          <t>WINTER_ART</t>
        </is>
      </c>
      <c r="B748" s="145" t="inlineStr">
        <is>
          <t>Column Format</t>
        </is>
      </c>
      <c r="C748" s="145" t="inlineStr">
        <is>
          <t>D:D</t>
        </is>
      </c>
      <c r="D748" s="145" t="inlineStr">
        <is>
          <t>WINTER_ART!A1:AB82</t>
        </is>
      </c>
      <c r="E748" s="145" t="inlineStr">
        <is>
          <t>Mixed</t>
        </is>
      </c>
      <c r="F748" s="145" t="inlineStr">
        <is>
          <t>Mixed</t>
        </is>
      </c>
      <c r="G748" s="145" t="inlineStr">
        <is>
          <t>Aptos</t>
        </is>
      </c>
      <c r="H748" s="145" t="n">
        <v>8</v>
      </c>
      <c r="I748" s="145" t="inlineStr">
        <is>
          <t>Mixed</t>
        </is>
      </c>
      <c r="J748" s="145" t="inlineStr">
        <is>
          <t>No</t>
        </is>
      </c>
      <c r="K748" s="145" t="inlineStr">
        <is>
          <t>None</t>
        </is>
      </c>
      <c r="L748" s="145" t="inlineStr">
        <is>
          <t>#000000</t>
        </is>
      </c>
      <c r="M748" s="145" t="inlineStr">
        <is>
          <t>Mixed</t>
        </is>
      </c>
      <c r="N748" s="145" t="inlineStr">
        <is>
          <t>Center</t>
        </is>
      </c>
      <c r="O748" s="145" t="inlineStr">
        <is>
          <t>Mixed</t>
        </is>
      </c>
      <c r="P748" s="145" t="n"/>
      <c r="Q748" s="145" t="n"/>
      <c r="R748" s="145" t="inlineStr">
        <is>
          <t>EdgeTop:Continuous/Thin/#000000; EdgeBottom:Continuous/Thin/#000000; EdgeLeft:Continuous/Thin/#000000; EdgeRight:Continuous/Thin/#000000; InsideHorizontal:Continuous/Thin/#000000</t>
        </is>
      </c>
      <c r="S748" s="145" t="n">
        <v>0</v>
      </c>
      <c r="T748" s="145" t="n"/>
      <c r="U748" s="145" t="inlineStr">
        <is>
          <t>Yes</t>
        </is>
      </c>
      <c r="V748" s="145" t="inlineStr">
        <is>
          <t>Hidden column (possible outline/group)</t>
        </is>
      </c>
      <c r="W748" s="145" t="n"/>
      <c r="X748" s="145" t="inlineStr">
        <is>
          <t>Mixed styles within used column</t>
        </is>
      </c>
    </row>
    <row r="749" ht="23.85" customHeight="1" s="79">
      <c r="A749" s="145" t="inlineStr">
        <is>
          <t>WINTER_ART</t>
        </is>
      </c>
      <c r="B749" s="145" t="inlineStr">
        <is>
          <t>Top-Row Cell Format</t>
        </is>
      </c>
      <c r="C749" s="145" t="inlineStr">
        <is>
          <t>D1</t>
        </is>
      </c>
      <c r="D749" s="145" t="inlineStr">
        <is>
          <t>WINTER_ART!A1:AB82</t>
        </is>
      </c>
      <c r="E749" s="145" t="inlineStr">
        <is>
          <t>Normal</t>
        </is>
      </c>
      <c r="F749" s="145" t="inlineStr">
        <is>
          <t>#C9C9C9</t>
        </is>
      </c>
      <c r="G749" s="145" t="inlineStr">
        <is>
          <t>Aptos</t>
        </is>
      </c>
      <c r="H749" s="145" t="n">
        <v>8</v>
      </c>
      <c r="I749" s="145" t="inlineStr">
        <is>
          <t>Yes</t>
        </is>
      </c>
      <c r="J749" s="145" t="inlineStr">
        <is>
          <t>No</t>
        </is>
      </c>
      <c r="K749" s="145" t="inlineStr">
        <is>
          <t>None</t>
        </is>
      </c>
      <c r="L749" s="145" t="inlineStr">
        <is>
          <t>#000000</t>
        </is>
      </c>
      <c r="M749" s="145" t="inlineStr">
        <is>
          <t>Center</t>
        </is>
      </c>
      <c r="N749" s="145" t="inlineStr">
        <is>
          <t>Center</t>
        </is>
      </c>
      <c r="O749" s="145" t="inlineStr">
        <is>
          <t>No</t>
        </is>
      </c>
      <c r="P749" s="145" t="inlineStr">
        <is>
          <t>General</t>
        </is>
      </c>
      <c r="Q749" s="145" t="inlineStr">
        <is>
          <t>General</t>
        </is>
      </c>
      <c r="R749" s="145" t="n"/>
      <c r="S749" s="145" t="n"/>
      <c r="T749" s="145" t="n"/>
      <c r="U749" s="145" t="n"/>
      <c r="V749" s="145" t="n"/>
      <c r="W749" s="145" t="n"/>
      <c r="X749" s="145" t="inlineStr">
        <is>
          <t>Detailed format sample from top 5 used rows</t>
        </is>
      </c>
    </row>
    <row r="750" ht="23.85" customHeight="1" s="79">
      <c r="A750" s="145" t="inlineStr">
        <is>
          <t>WINTER_ART</t>
        </is>
      </c>
      <c r="B750" s="145" t="inlineStr">
        <is>
          <t>Top-Row Cell Format</t>
        </is>
      </c>
      <c r="C750" s="145" t="inlineStr">
        <is>
          <t>D2</t>
        </is>
      </c>
      <c r="D750" s="145" t="inlineStr">
        <is>
          <t>WINTER_ART!A1:AB82</t>
        </is>
      </c>
      <c r="E750" s="145" t="inlineStr">
        <is>
          <t>Comma</t>
        </is>
      </c>
      <c r="F750" s="145" t="inlineStr">
        <is>
          <t>#B4C6E7</t>
        </is>
      </c>
      <c r="G750" s="145" t="inlineStr">
        <is>
          <t>Aptos</t>
        </is>
      </c>
      <c r="H750" s="145" t="n">
        <v>8</v>
      </c>
      <c r="I750" s="145" t="inlineStr">
        <is>
          <t>Yes</t>
        </is>
      </c>
      <c r="J750" s="145" t="inlineStr">
        <is>
          <t>No</t>
        </is>
      </c>
      <c r="K750" s="145" t="inlineStr">
        <is>
          <t>None</t>
        </is>
      </c>
      <c r="L750" s="145" t="inlineStr">
        <is>
          <t>#000000</t>
        </is>
      </c>
      <c r="M750" s="145" t="inlineStr">
        <is>
          <t>Center</t>
        </is>
      </c>
      <c r="N750" s="145" t="inlineStr">
        <is>
          <t>Center</t>
        </is>
      </c>
      <c r="O750" s="145" t="inlineStr">
        <is>
          <t>No</t>
        </is>
      </c>
      <c r="P750" s="145" t="inlineStr">
        <is>
          <t xml:space="preserve">_ * #,##0_ ;_ * -#,##0_ ;_ * "-"??_ ;_ @_ </t>
        </is>
      </c>
      <c r="Q750" s="145" t="inlineStr">
        <is>
          <t>Text</t>
        </is>
      </c>
      <c r="R750" s="145" t="n"/>
      <c r="S750" s="145" t="n"/>
      <c r="T750" s="145" t="n"/>
      <c r="U750" s="145" t="n"/>
      <c r="V750" s="145" t="n"/>
      <c r="W750" s="145" t="n"/>
      <c r="X750" s="145" t="inlineStr">
        <is>
          <t>Detailed format sample from top 5 used rows</t>
        </is>
      </c>
    </row>
    <row r="751" ht="23.85" customHeight="1" s="79">
      <c r="A751" s="145" t="inlineStr">
        <is>
          <t>WINTER_ART</t>
        </is>
      </c>
      <c r="B751" s="145" t="inlineStr">
        <is>
          <t>Top-Row Cell Format</t>
        </is>
      </c>
      <c r="C751" s="145" t="inlineStr">
        <is>
          <t>D3</t>
        </is>
      </c>
      <c r="D751" s="145" t="inlineStr">
        <is>
          <t>WINTER_ART!A1:AB82</t>
        </is>
      </c>
      <c r="E751" s="145" t="inlineStr">
        <is>
          <t>Normal</t>
        </is>
      </c>
      <c r="F751" s="145" t="inlineStr">
        <is>
          <t>#FFD966</t>
        </is>
      </c>
      <c r="G751" s="145" t="inlineStr">
        <is>
          <t>Aptos</t>
        </is>
      </c>
      <c r="H751" s="145" t="n">
        <v>8</v>
      </c>
      <c r="I751" s="145" t="inlineStr">
        <is>
          <t>Yes</t>
        </is>
      </c>
      <c r="J751" s="145" t="inlineStr">
        <is>
          <t>No</t>
        </is>
      </c>
      <c r="K751" s="145" t="inlineStr">
        <is>
          <t>None</t>
        </is>
      </c>
      <c r="L751" s="145" t="inlineStr">
        <is>
          <t>#000000</t>
        </is>
      </c>
      <c r="M751" s="145" t="inlineStr">
        <is>
          <t>Center</t>
        </is>
      </c>
      <c r="N751" s="145" t="inlineStr">
        <is>
          <t>Center</t>
        </is>
      </c>
      <c r="O751" s="145" t="inlineStr">
        <is>
          <t>Yes</t>
        </is>
      </c>
      <c r="P751" s="145" t="inlineStr">
        <is>
          <t>General</t>
        </is>
      </c>
      <c r="Q751" s="145" t="inlineStr">
        <is>
          <t>General</t>
        </is>
      </c>
      <c r="R751" s="145" t="n"/>
      <c r="S751" s="145" t="n"/>
      <c r="T751" s="145" t="n"/>
      <c r="U751" s="145" t="n"/>
      <c r="V751" s="145" t="n"/>
      <c r="W751" s="145" t="n"/>
      <c r="X751" s="145" t="inlineStr">
        <is>
          <t>Detailed format sample from top 5 used rows</t>
        </is>
      </c>
    </row>
    <row r="752" ht="23.85" customHeight="1" s="79">
      <c r="A752" s="145" t="inlineStr">
        <is>
          <t>WINTER_ART</t>
        </is>
      </c>
      <c r="B752" s="145" t="inlineStr">
        <is>
          <t>Top-Row Cell Format</t>
        </is>
      </c>
      <c r="C752" s="145" t="inlineStr">
        <is>
          <t>D4</t>
        </is>
      </c>
      <c r="D752" s="145" t="inlineStr">
        <is>
          <t>WINTER_ART!A1:AB82</t>
        </is>
      </c>
      <c r="E752" s="145" t="inlineStr">
        <is>
          <t>Normal</t>
        </is>
      </c>
      <c r="F752" s="145" t="inlineStr">
        <is>
          <t>#FFD966</t>
        </is>
      </c>
      <c r="G752" s="145" t="inlineStr">
        <is>
          <t>Aptos</t>
        </is>
      </c>
      <c r="H752" s="145" t="n">
        <v>8</v>
      </c>
      <c r="I752" s="145" t="inlineStr">
        <is>
          <t>No</t>
        </is>
      </c>
      <c r="J752" s="145" t="inlineStr">
        <is>
          <t>No</t>
        </is>
      </c>
      <c r="K752" s="145" t="inlineStr">
        <is>
          <t>None</t>
        </is>
      </c>
      <c r="L752" s="145" t="inlineStr">
        <is>
          <t>#000000</t>
        </is>
      </c>
      <c r="M752" s="145" t="inlineStr">
        <is>
          <t>Center</t>
        </is>
      </c>
      <c r="N752" s="145" t="inlineStr">
        <is>
          <t>Center</t>
        </is>
      </c>
      <c r="O752" s="145" t="inlineStr">
        <is>
          <t>No</t>
        </is>
      </c>
      <c r="P752" s="145" t="inlineStr">
        <is>
          <t>General</t>
        </is>
      </c>
      <c r="Q752" s="145" t="inlineStr">
        <is>
          <t>General</t>
        </is>
      </c>
      <c r="R752" s="145" t="n"/>
      <c r="S752" s="145" t="n"/>
      <c r="T752" s="145" t="n"/>
      <c r="U752" s="145" t="n"/>
      <c r="V752" s="145" t="n"/>
      <c r="W752" s="145" t="n"/>
      <c r="X752" s="145" t="inlineStr">
        <is>
          <t>Detailed format sample from top 5 used rows</t>
        </is>
      </c>
    </row>
    <row r="753" ht="23.85" customHeight="1" s="79">
      <c r="A753" s="145" t="inlineStr">
        <is>
          <t>WINTER_ART</t>
        </is>
      </c>
      <c r="B753" s="145" t="inlineStr">
        <is>
          <t>Top-Row Cell Format</t>
        </is>
      </c>
      <c r="C753" s="145" t="inlineStr">
        <is>
          <t>D5</t>
        </is>
      </c>
      <c r="D753" s="145" t="inlineStr">
        <is>
          <t>WINTER_ART!A1:AB82</t>
        </is>
      </c>
      <c r="E753" s="145" t="inlineStr">
        <is>
          <t>Comma</t>
        </is>
      </c>
      <c r="F753" s="145" t="n"/>
      <c r="G753" s="145" t="inlineStr">
        <is>
          <t>Aptos</t>
        </is>
      </c>
      <c r="H753" s="145" t="n">
        <v>8</v>
      </c>
      <c r="I753" s="145" t="inlineStr">
        <is>
          <t>No</t>
        </is>
      </c>
      <c r="J753" s="145" t="inlineStr">
        <is>
          <t>No</t>
        </is>
      </c>
      <c r="K753" s="145" t="inlineStr">
        <is>
          <t>None</t>
        </is>
      </c>
      <c r="L753" s="145" t="inlineStr">
        <is>
          <t>#000000</t>
        </is>
      </c>
      <c r="M753" s="145" t="inlineStr">
        <is>
          <t>General</t>
        </is>
      </c>
      <c r="N753" s="145" t="inlineStr">
        <is>
          <t>Center</t>
        </is>
      </c>
      <c r="O753" s="145" t="inlineStr">
        <is>
          <t>No</t>
        </is>
      </c>
      <c r="P753" s="145" t="inlineStr">
        <is>
          <t xml:space="preserve">_ * #,##0_ ;_ * -#,##0_ ;_ * "-"??_ ;_ @_ </t>
        </is>
      </c>
      <c r="Q753" s="145" t="inlineStr">
        <is>
          <t>Text</t>
        </is>
      </c>
      <c r="R753" s="145" t="n"/>
      <c r="S753" s="145" t="n"/>
      <c r="T753" s="145" t="n"/>
      <c r="U753" s="145" t="n"/>
      <c r="V753" s="145" t="n"/>
      <c r="W753" s="145" t="n"/>
      <c r="X753" s="145" t="inlineStr">
        <is>
          <t>Detailed format sample from top 5 used rows</t>
        </is>
      </c>
    </row>
    <row r="754" ht="57.45" customHeight="1" s="79">
      <c r="A754" s="145" t="inlineStr">
        <is>
          <t>WINTER_ART</t>
        </is>
      </c>
      <c r="B754" s="145" t="inlineStr">
        <is>
          <t>Column Format</t>
        </is>
      </c>
      <c r="C754" s="145" t="inlineStr">
        <is>
          <t>E:E</t>
        </is>
      </c>
      <c r="D754" s="145" t="inlineStr">
        <is>
          <t>WINTER_ART!A1:AB82</t>
        </is>
      </c>
      <c r="E754" s="145" t="inlineStr">
        <is>
          <t>Mixed</t>
        </is>
      </c>
      <c r="F754" s="145" t="inlineStr">
        <is>
          <t>Mixed</t>
        </is>
      </c>
      <c r="G754" s="145" t="inlineStr">
        <is>
          <t>Aptos</t>
        </is>
      </c>
      <c r="H754" s="145" t="n">
        <v>8</v>
      </c>
      <c r="I754" s="145" t="inlineStr">
        <is>
          <t>Mixed</t>
        </is>
      </c>
      <c r="J754" s="145" t="inlineStr">
        <is>
          <t>No</t>
        </is>
      </c>
      <c r="K754" s="145" t="inlineStr">
        <is>
          <t>None</t>
        </is>
      </c>
      <c r="L754" s="145" t="inlineStr">
        <is>
          <t>#000000</t>
        </is>
      </c>
      <c r="M754" s="145" t="inlineStr">
        <is>
          <t>Mixed</t>
        </is>
      </c>
      <c r="N754" s="145" t="inlineStr">
        <is>
          <t>Center</t>
        </is>
      </c>
      <c r="O754" s="145" t="inlineStr">
        <is>
          <t>Mixed</t>
        </is>
      </c>
      <c r="P754" s="145" t="n"/>
      <c r="Q754" s="145" t="n"/>
      <c r="R754" s="145" t="inlineStr">
        <is>
          <t>EdgeTop:Continuous/Thin/#000000; EdgeBottom:Continuous/Thin/#000000; EdgeLeft:Continuous/Thin/#000000; EdgeRight:Continuous/Thin/#000000; InsideHorizontal:Continuous/Thin/#000000</t>
        </is>
      </c>
      <c r="S754" s="145" t="n">
        <v>0</v>
      </c>
      <c r="T754" s="145" t="n"/>
      <c r="U754" s="145" t="inlineStr">
        <is>
          <t>Yes</t>
        </is>
      </c>
      <c r="V754" s="145" t="inlineStr">
        <is>
          <t>Hidden column (possible outline/group)</t>
        </is>
      </c>
      <c r="W754" s="145" t="n"/>
      <c r="X754" s="145" t="inlineStr">
        <is>
          <t>Mixed styles within used column</t>
        </is>
      </c>
    </row>
    <row r="755" ht="23.85" customHeight="1" s="79">
      <c r="A755" s="145" t="inlineStr">
        <is>
          <t>WINTER_ART</t>
        </is>
      </c>
      <c r="B755" s="145" t="inlineStr">
        <is>
          <t>Top-Row Cell Format</t>
        </is>
      </c>
      <c r="C755" s="145" t="inlineStr">
        <is>
          <t>E1</t>
        </is>
      </c>
      <c r="D755" s="145" t="inlineStr">
        <is>
          <t>WINTER_ART!A1:AB82</t>
        </is>
      </c>
      <c r="E755" s="145" t="inlineStr">
        <is>
          <t>Normal</t>
        </is>
      </c>
      <c r="F755" s="145" t="inlineStr">
        <is>
          <t>#C9C9C9</t>
        </is>
      </c>
      <c r="G755" s="145" t="inlineStr">
        <is>
          <t>Aptos</t>
        </is>
      </c>
      <c r="H755" s="145" t="n">
        <v>8</v>
      </c>
      <c r="I755" s="145" t="inlineStr">
        <is>
          <t>Yes</t>
        </is>
      </c>
      <c r="J755" s="145" t="inlineStr">
        <is>
          <t>No</t>
        </is>
      </c>
      <c r="K755" s="145" t="inlineStr">
        <is>
          <t>None</t>
        </is>
      </c>
      <c r="L755" s="145" t="inlineStr">
        <is>
          <t>#000000</t>
        </is>
      </c>
      <c r="M755" s="145" t="inlineStr">
        <is>
          <t>Center</t>
        </is>
      </c>
      <c r="N755" s="145" t="inlineStr">
        <is>
          <t>Center</t>
        </is>
      </c>
      <c r="O755" s="145" t="inlineStr">
        <is>
          <t>No</t>
        </is>
      </c>
      <c r="P755" s="145" t="inlineStr">
        <is>
          <t>General</t>
        </is>
      </c>
      <c r="Q755" s="145" t="inlineStr">
        <is>
          <t>General</t>
        </is>
      </c>
      <c r="R755" s="145" t="n"/>
      <c r="S755" s="145" t="n"/>
      <c r="T755" s="145" t="n"/>
      <c r="U755" s="145" t="n"/>
      <c r="V755" s="145" t="n"/>
      <c r="W755" s="145" t="n"/>
      <c r="X755" s="145" t="inlineStr">
        <is>
          <t>Detailed format sample from top 5 used rows</t>
        </is>
      </c>
    </row>
    <row r="756" ht="23.85" customHeight="1" s="79">
      <c r="A756" s="145" t="inlineStr">
        <is>
          <t>WINTER_ART</t>
        </is>
      </c>
      <c r="B756" s="145" t="inlineStr">
        <is>
          <t>Top-Row Cell Format</t>
        </is>
      </c>
      <c r="C756" s="145" t="inlineStr">
        <is>
          <t>E2</t>
        </is>
      </c>
      <c r="D756" s="145" t="inlineStr">
        <is>
          <t>WINTER_ART!A1:AB82</t>
        </is>
      </c>
      <c r="E756" s="145" t="inlineStr">
        <is>
          <t>Comma</t>
        </is>
      </c>
      <c r="F756" s="145" t="inlineStr">
        <is>
          <t>#B4C6E7</t>
        </is>
      </c>
      <c r="G756" s="145" t="inlineStr">
        <is>
          <t>Aptos</t>
        </is>
      </c>
      <c r="H756" s="145" t="n">
        <v>8</v>
      </c>
      <c r="I756" s="145" t="inlineStr">
        <is>
          <t>Yes</t>
        </is>
      </c>
      <c r="J756" s="145" t="inlineStr">
        <is>
          <t>No</t>
        </is>
      </c>
      <c r="K756" s="145" t="inlineStr">
        <is>
          <t>None</t>
        </is>
      </c>
      <c r="L756" s="145" t="inlineStr">
        <is>
          <t>#000000</t>
        </is>
      </c>
      <c r="M756" s="145" t="inlineStr">
        <is>
          <t>Center</t>
        </is>
      </c>
      <c r="N756" s="145" t="inlineStr">
        <is>
          <t>Center</t>
        </is>
      </c>
      <c r="O756" s="145" t="inlineStr">
        <is>
          <t>No</t>
        </is>
      </c>
      <c r="P756" s="145" t="inlineStr">
        <is>
          <t xml:space="preserve">_ * #,##0_ ;_ * -#,##0_ ;_ * "-"??_ ;_ @_ </t>
        </is>
      </c>
      <c r="Q756" s="145" t="inlineStr">
        <is>
          <t>Text</t>
        </is>
      </c>
      <c r="R756" s="145" t="n"/>
      <c r="S756" s="145" t="n"/>
      <c r="T756" s="145" t="n"/>
      <c r="U756" s="145" t="n"/>
      <c r="V756" s="145" t="n"/>
      <c r="W756" s="145" t="n"/>
      <c r="X756" s="145" t="inlineStr">
        <is>
          <t>Detailed format sample from top 5 used rows</t>
        </is>
      </c>
    </row>
    <row r="757" ht="23.85" customHeight="1" s="79">
      <c r="A757" s="145" t="inlineStr">
        <is>
          <t>WINTER_ART</t>
        </is>
      </c>
      <c r="B757" s="145" t="inlineStr">
        <is>
          <t>Top-Row Cell Format</t>
        </is>
      </c>
      <c r="C757" s="145" t="inlineStr">
        <is>
          <t>E3</t>
        </is>
      </c>
      <c r="D757" s="145" t="inlineStr">
        <is>
          <t>WINTER_ART!A1:AB82</t>
        </is>
      </c>
      <c r="E757" s="145" t="inlineStr">
        <is>
          <t>Normal</t>
        </is>
      </c>
      <c r="F757" s="145" t="inlineStr">
        <is>
          <t>#FFD966</t>
        </is>
      </c>
      <c r="G757" s="145" t="inlineStr">
        <is>
          <t>Aptos</t>
        </is>
      </c>
      <c r="H757" s="145" t="n">
        <v>8</v>
      </c>
      <c r="I757" s="145" t="inlineStr">
        <is>
          <t>Yes</t>
        </is>
      </c>
      <c r="J757" s="145" t="inlineStr">
        <is>
          <t>No</t>
        </is>
      </c>
      <c r="K757" s="145" t="inlineStr">
        <is>
          <t>None</t>
        </is>
      </c>
      <c r="L757" s="145" t="inlineStr">
        <is>
          <t>#000000</t>
        </is>
      </c>
      <c r="M757" s="145" t="inlineStr">
        <is>
          <t>Center</t>
        </is>
      </c>
      <c r="N757" s="145" t="inlineStr">
        <is>
          <t>Center</t>
        </is>
      </c>
      <c r="O757" s="145" t="inlineStr">
        <is>
          <t>Yes</t>
        </is>
      </c>
      <c r="P757" s="145" t="inlineStr">
        <is>
          <t>General</t>
        </is>
      </c>
      <c r="Q757" s="145" t="inlineStr">
        <is>
          <t>General</t>
        </is>
      </c>
      <c r="R757" s="145" t="n"/>
      <c r="S757" s="145" t="n"/>
      <c r="T757" s="145" t="n"/>
      <c r="U757" s="145" t="n"/>
      <c r="V757" s="145" t="n"/>
      <c r="W757" s="145" t="n"/>
      <c r="X757" s="145" t="inlineStr">
        <is>
          <t>Detailed format sample from top 5 used rows</t>
        </is>
      </c>
    </row>
    <row r="758" ht="23.85" customHeight="1" s="79">
      <c r="A758" s="145" t="inlineStr">
        <is>
          <t>WINTER_ART</t>
        </is>
      </c>
      <c r="B758" s="145" t="inlineStr">
        <is>
          <t>Top-Row Cell Format</t>
        </is>
      </c>
      <c r="C758" s="145" t="inlineStr">
        <is>
          <t>E4</t>
        </is>
      </c>
      <c r="D758" s="145" t="inlineStr">
        <is>
          <t>WINTER_ART!A1:AB82</t>
        </is>
      </c>
      <c r="E758" s="145" t="inlineStr">
        <is>
          <t>Normal</t>
        </is>
      </c>
      <c r="F758" s="145" t="inlineStr">
        <is>
          <t>#FFD966</t>
        </is>
      </c>
      <c r="G758" s="145" t="inlineStr">
        <is>
          <t>Aptos</t>
        </is>
      </c>
      <c r="H758" s="145" t="n">
        <v>8</v>
      </c>
      <c r="I758" s="145" t="inlineStr">
        <is>
          <t>No</t>
        </is>
      </c>
      <c r="J758" s="145" t="inlineStr">
        <is>
          <t>No</t>
        </is>
      </c>
      <c r="K758" s="145" t="inlineStr">
        <is>
          <t>None</t>
        </is>
      </c>
      <c r="L758" s="145" t="inlineStr">
        <is>
          <t>#000000</t>
        </is>
      </c>
      <c r="M758" s="145" t="inlineStr">
        <is>
          <t>Center</t>
        </is>
      </c>
      <c r="N758" s="145" t="inlineStr">
        <is>
          <t>Center</t>
        </is>
      </c>
      <c r="O758" s="145" t="inlineStr">
        <is>
          <t>No</t>
        </is>
      </c>
      <c r="P758" s="145" t="inlineStr">
        <is>
          <t>General</t>
        </is>
      </c>
      <c r="Q758" s="145" t="inlineStr">
        <is>
          <t>General</t>
        </is>
      </c>
      <c r="R758" s="145" t="n"/>
      <c r="S758" s="145" t="n"/>
      <c r="T758" s="145" t="n"/>
      <c r="U758" s="145" t="n"/>
      <c r="V758" s="145" t="n"/>
      <c r="W758" s="145" t="n"/>
      <c r="X758" s="145" t="inlineStr">
        <is>
          <t>Detailed format sample from top 5 used rows</t>
        </is>
      </c>
    </row>
    <row r="759" ht="23.85" customHeight="1" s="79">
      <c r="A759" s="145" t="inlineStr">
        <is>
          <t>WINTER_ART</t>
        </is>
      </c>
      <c r="B759" s="145" t="inlineStr">
        <is>
          <t>Top-Row Cell Format</t>
        </is>
      </c>
      <c r="C759" s="145" t="inlineStr">
        <is>
          <t>E5</t>
        </is>
      </c>
      <c r="D759" s="145" t="inlineStr">
        <is>
          <t>WINTER_ART!A1:AB82</t>
        </is>
      </c>
      <c r="E759" s="145" t="inlineStr">
        <is>
          <t>Comma</t>
        </is>
      </c>
      <c r="F759" s="145" t="n"/>
      <c r="G759" s="145" t="inlineStr">
        <is>
          <t>Aptos</t>
        </is>
      </c>
      <c r="H759" s="145" t="n">
        <v>8</v>
      </c>
      <c r="I759" s="145" t="inlineStr">
        <is>
          <t>No</t>
        </is>
      </c>
      <c r="J759" s="145" t="inlineStr">
        <is>
          <t>No</t>
        </is>
      </c>
      <c r="K759" s="145" t="inlineStr">
        <is>
          <t>None</t>
        </is>
      </c>
      <c r="L759" s="145" t="inlineStr">
        <is>
          <t>#000000</t>
        </is>
      </c>
      <c r="M759" s="145" t="inlineStr">
        <is>
          <t>General</t>
        </is>
      </c>
      <c r="N759" s="145" t="inlineStr">
        <is>
          <t>Center</t>
        </is>
      </c>
      <c r="O759" s="145" t="inlineStr">
        <is>
          <t>No</t>
        </is>
      </c>
      <c r="P759" s="145" t="inlineStr">
        <is>
          <t xml:space="preserve">_ * #,##0_ ;_ * -#,##0_ ;_ * "-"??_ ;_ @_ </t>
        </is>
      </c>
      <c r="Q759" s="145" t="inlineStr">
        <is>
          <t>Text</t>
        </is>
      </c>
      <c r="R759" s="145" t="n"/>
      <c r="S759" s="145" t="n"/>
      <c r="T759" s="145" t="n"/>
      <c r="U759" s="145" t="n"/>
      <c r="V759" s="145" t="n"/>
      <c r="W759" s="145" t="n"/>
      <c r="X759" s="145" t="inlineStr">
        <is>
          <t>Detailed format sample from top 5 used rows</t>
        </is>
      </c>
    </row>
    <row r="760" ht="35.05" customHeight="1" s="79">
      <c r="A760" s="145" t="inlineStr">
        <is>
          <t>WINTER_ART</t>
        </is>
      </c>
      <c r="B760" s="145" t="inlineStr">
        <is>
          <t>Column Format</t>
        </is>
      </c>
      <c r="C760" s="145" t="inlineStr">
        <is>
          <t>F:F</t>
        </is>
      </c>
      <c r="D760" s="145" t="inlineStr">
        <is>
          <t>WINTER_ART!A1:AB82</t>
        </is>
      </c>
      <c r="E760" s="145" t="inlineStr">
        <is>
          <t>Normal</t>
        </is>
      </c>
      <c r="F760" s="145" t="inlineStr">
        <is>
          <t>Mixed</t>
        </is>
      </c>
      <c r="G760" s="145" t="inlineStr">
        <is>
          <t>Aptos</t>
        </is>
      </c>
      <c r="H760" s="145" t="n">
        <v>8</v>
      </c>
      <c r="I760" s="145" t="inlineStr">
        <is>
          <t>Mixed</t>
        </is>
      </c>
      <c r="J760" s="145" t="inlineStr">
        <is>
          <t>No</t>
        </is>
      </c>
      <c r="K760" s="145" t="inlineStr">
        <is>
          <t>None</t>
        </is>
      </c>
      <c r="L760" s="145" t="inlineStr">
        <is>
          <t>#000000</t>
        </is>
      </c>
      <c r="M760" s="145" t="inlineStr">
        <is>
          <t>General</t>
        </is>
      </c>
      <c r="N760" s="145" t="inlineStr">
        <is>
          <t>Center</t>
        </is>
      </c>
      <c r="O760" s="145" t="inlineStr">
        <is>
          <t>No</t>
        </is>
      </c>
      <c r="P760" s="145" t="n"/>
      <c r="Q760" s="145" t="n"/>
      <c r="R760" s="145" t="inlineStr">
        <is>
          <t>EdgeBottom:Continuous/Thin/#000000; EdgeLeft:Continuous/Thin/#000000; EdgeRight:Continuous/Thin/#000000</t>
        </is>
      </c>
      <c r="S760" s="145" t="n">
        <v>61.7910447761194</v>
      </c>
      <c r="T760" s="145" t="n"/>
      <c r="U760" s="145" t="inlineStr">
        <is>
          <t>No</t>
        </is>
      </c>
      <c r="V760" s="145" t="inlineStr">
        <is>
          <t>Visible</t>
        </is>
      </c>
      <c r="W760" s="145" t="n"/>
      <c r="X760" s="145" t="inlineStr">
        <is>
          <t>Mixed styles within used column</t>
        </is>
      </c>
    </row>
    <row r="761" ht="23.85" customHeight="1" s="79">
      <c r="A761" s="145" t="inlineStr">
        <is>
          <t>WINTER_ART</t>
        </is>
      </c>
      <c r="B761" s="145" t="inlineStr">
        <is>
          <t>Top-Row Cell Format</t>
        </is>
      </c>
      <c r="C761" s="145" t="inlineStr">
        <is>
          <t>F1</t>
        </is>
      </c>
      <c r="D761" s="145" t="inlineStr">
        <is>
          <t>WINTER_ART!A1:AB82</t>
        </is>
      </c>
      <c r="E761" s="145" t="inlineStr">
        <is>
          <t>Normal</t>
        </is>
      </c>
      <c r="F761" s="145" t="n"/>
      <c r="G761" s="145" t="inlineStr">
        <is>
          <t>Aptos</t>
        </is>
      </c>
      <c r="H761" s="145" t="n">
        <v>8</v>
      </c>
      <c r="I761" s="145" t="inlineStr">
        <is>
          <t>No</t>
        </is>
      </c>
      <c r="J761" s="145" t="inlineStr">
        <is>
          <t>No</t>
        </is>
      </c>
      <c r="K761" s="145" t="inlineStr">
        <is>
          <t>None</t>
        </is>
      </c>
      <c r="L761" s="145" t="inlineStr">
        <is>
          <t>#000000</t>
        </is>
      </c>
      <c r="M761" s="145" t="inlineStr">
        <is>
          <t>General</t>
        </is>
      </c>
      <c r="N761" s="145" t="inlineStr">
        <is>
          <t>Center</t>
        </is>
      </c>
      <c r="O761" s="145" t="inlineStr">
        <is>
          <t>No</t>
        </is>
      </c>
      <c r="P761" s="145" t="inlineStr">
        <is>
          <t>General</t>
        </is>
      </c>
      <c r="Q761" s="145" t="inlineStr">
        <is>
          <t>General</t>
        </is>
      </c>
      <c r="R761" s="145" t="n"/>
      <c r="S761" s="145" t="n"/>
      <c r="T761" s="145" t="n"/>
      <c r="U761" s="145" t="n"/>
      <c r="V761" s="145" t="n"/>
      <c r="W761" s="145" t="n"/>
      <c r="X761" s="145" t="inlineStr">
        <is>
          <t>Detailed format sample from top 5 used rows</t>
        </is>
      </c>
    </row>
    <row r="762" ht="23.85" customHeight="1" s="79">
      <c r="A762" s="145" t="inlineStr">
        <is>
          <t>WINTER_ART</t>
        </is>
      </c>
      <c r="B762" s="145" t="inlineStr">
        <is>
          <t>Top-Row Cell Format</t>
        </is>
      </c>
      <c r="C762" s="145" t="inlineStr">
        <is>
          <t>F2</t>
        </is>
      </c>
      <c r="D762" s="145" t="inlineStr">
        <is>
          <t>WINTER_ART!A1:AB82</t>
        </is>
      </c>
      <c r="E762" s="145" t="inlineStr">
        <is>
          <t>Normal</t>
        </is>
      </c>
      <c r="F762" s="145" t="n"/>
      <c r="G762" s="145" t="inlineStr">
        <is>
          <t>Aptos</t>
        </is>
      </c>
      <c r="H762" s="145" t="n">
        <v>8</v>
      </c>
      <c r="I762" s="145" t="inlineStr">
        <is>
          <t>No</t>
        </is>
      </c>
      <c r="J762" s="145" t="inlineStr">
        <is>
          <t>No</t>
        </is>
      </c>
      <c r="K762" s="145" t="inlineStr">
        <is>
          <t>None</t>
        </is>
      </c>
      <c r="L762" s="145" t="inlineStr">
        <is>
          <t>#000000</t>
        </is>
      </c>
      <c r="M762" s="145" t="inlineStr">
        <is>
          <t>General</t>
        </is>
      </c>
      <c r="N762" s="145" t="inlineStr">
        <is>
          <t>Center</t>
        </is>
      </c>
      <c r="O762" s="145" t="inlineStr">
        <is>
          <t>No</t>
        </is>
      </c>
      <c r="P762" s="145" t="inlineStr">
        <is>
          <t>General</t>
        </is>
      </c>
      <c r="Q762" s="145" t="inlineStr">
        <is>
          <t>General</t>
        </is>
      </c>
      <c r="R762" s="145" t="n"/>
      <c r="S762" s="145" t="n"/>
      <c r="T762" s="145" t="n"/>
      <c r="U762" s="145" t="n"/>
      <c r="V762" s="145" t="n"/>
      <c r="W762" s="145" t="n"/>
      <c r="X762" s="145" t="inlineStr">
        <is>
          <t>Detailed format sample from top 5 used rows</t>
        </is>
      </c>
    </row>
    <row r="763" ht="23.85" customHeight="1" s="79">
      <c r="A763" s="145" t="inlineStr">
        <is>
          <t>WINTER_ART</t>
        </is>
      </c>
      <c r="B763" s="145" t="inlineStr">
        <is>
          <t>Top-Row Cell Format</t>
        </is>
      </c>
      <c r="C763" s="145" t="inlineStr">
        <is>
          <t>F3</t>
        </is>
      </c>
      <c r="D763" s="145" t="inlineStr">
        <is>
          <t>WINTER_ART!A1:AB82</t>
        </is>
      </c>
      <c r="E763" s="145" t="inlineStr">
        <is>
          <t>Normal</t>
        </is>
      </c>
      <c r="F763" s="145" t="inlineStr">
        <is>
          <t>#F8CBAD</t>
        </is>
      </c>
      <c r="G763" s="145" t="inlineStr">
        <is>
          <t>Aptos</t>
        </is>
      </c>
      <c r="H763" s="145" t="n">
        <v>8</v>
      </c>
      <c r="I763" s="145" t="inlineStr">
        <is>
          <t>Yes</t>
        </is>
      </c>
      <c r="J763" s="145" t="inlineStr">
        <is>
          <t>No</t>
        </is>
      </c>
      <c r="K763" s="145" t="inlineStr">
        <is>
          <t>None</t>
        </is>
      </c>
      <c r="L763" s="145" t="inlineStr">
        <is>
          <t>#000000</t>
        </is>
      </c>
      <c r="M763" s="145" t="inlineStr">
        <is>
          <t>General</t>
        </is>
      </c>
      <c r="N763" s="145" t="inlineStr">
        <is>
          <t>Center</t>
        </is>
      </c>
      <c r="O763" s="145" t="inlineStr">
        <is>
          <t>No</t>
        </is>
      </c>
      <c r="P763" s="145" t="inlineStr">
        <is>
          <t>General</t>
        </is>
      </c>
      <c r="Q763" s="145" t="inlineStr">
        <is>
          <t>General</t>
        </is>
      </c>
      <c r="R763" s="145" t="n"/>
      <c r="S763" s="145" t="n"/>
      <c r="T763" s="145" t="n"/>
      <c r="U763" s="145" t="n"/>
      <c r="V763" s="145" t="n"/>
      <c r="W763" s="145" t="n"/>
      <c r="X763" s="145" t="inlineStr">
        <is>
          <t>Detailed format sample from top 5 used rows</t>
        </is>
      </c>
    </row>
    <row r="764" ht="23.85" customHeight="1" s="79">
      <c r="A764" s="145" t="inlineStr">
        <is>
          <t>WINTER_ART</t>
        </is>
      </c>
      <c r="B764" s="145" t="inlineStr">
        <is>
          <t>Top-Row Cell Format</t>
        </is>
      </c>
      <c r="C764" s="145" t="inlineStr">
        <is>
          <t>F4</t>
        </is>
      </c>
      <c r="D764" s="145" t="inlineStr">
        <is>
          <t>WINTER_ART!A1:AB82</t>
        </is>
      </c>
      <c r="E764" s="145" t="inlineStr">
        <is>
          <t>Normal</t>
        </is>
      </c>
      <c r="F764" s="145" t="inlineStr">
        <is>
          <t>#F8CBAD</t>
        </is>
      </c>
      <c r="G764" s="145" t="inlineStr">
        <is>
          <t>Aptos</t>
        </is>
      </c>
      <c r="H764" s="145" t="n">
        <v>8</v>
      </c>
      <c r="I764" s="145" t="inlineStr">
        <is>
          <t>No</t>
        </is>
      </c>
      <c r="J764" s="145" t="inlineStr">
        <is>
          <t>No</t>
        </is>
      </c>
      <c r="K764" s="145" t="inlineStr">
        <is>
          <t>None</t>
        </is>
      </c>
      <c r="L764" s="145" t="inlineStr">
        <is>
          <t>#000000</t>
        </is>
      </c>
      <c r="M764" s="145" t="inlineStr">
        <is>
          <t>General</t>
        </is>
      </c>
      <c r="N764" s="145" t="inlineStr">
        <is>
          <t>Center</t>
        </is>
      </c>
      <c r="O764" s="145" t="inlineStr">
        <is>
          <t>No</t>
        </is>
      </c>
      <c r="P764" s="145" t="inlineStr">
        <is>
          <t>General</t>
        </is>
      </c>
      <c r="Q764" s="145" t="inlineStr">
        <is>
          <t>General</t>
        </is>
      </c>
      <c r="R764" s="145" t="n"/>
      <c r="S764" s="145" t="n"/>
      <c r="T764" s="145" t="n"/>
      <c r="U764" s="145" t="n"/>
      <c r="V764" s="145" t="n"/>
      <c r="W764" s="145" t="n"/>
      <c r="X764" s="145" t="inlineStr">
        <is>
          <t>Detailed format sample from top 5 used rows</t>
        </is>
      </c>
    </row>
    <row r="765" ht="23.85" customHeight="1" s="79">
      <c r="A765" s="145" t="inlineStr">
        <is>
          <t>WINTER_ART</t>
        </is>
      </c>
      <c r="B765" s="145" t="inlineStr">
        <is>
          <t>Top-Row Cell Format</t>
        </is>
      </c>
      <c r="C765" s="145" t="inlineStr">
        <is>
          <t>F5</t>
        </is>
      </c>
      <c r="D765" s="145" t="inlineStr">
        <is>
          <t>WINTER_ART!A1:AB82</t>
        </is>
      </c>
      <c r="E765" s="145" t="inlineStr">
        <is>
          <t>Normal</t>
        </is>
      </c>
      <c r="F765" s="145" t="n"/>
      <c r="G765" s="145" t="inlineStr">
        <is>
          <t>Aptos</t>
        </is>
      </c>
      <c r="H765" s="145" t="n">
        <v>8</v>
      </c>
      <c r="I765" s="145" t="inlineStr">
        <is>
          <t>No</t>
        </is>
      </c>
      <c r="J765" s="145" t="inlineStr">
        <is>
          <t>No</t>
        </is>
      </c>
      <c r="K765" s="145" t="inlineStr">
        <is>
          <t>None</t>
        </is>
      </c>
      <c r="L765" s="145" t="inlineStr">
        <is>
          <t>#000000</t>
        </is>
      </c>
      <c r="M765" s="145" t="inlineStr">
        <is>
          <t>General</t>
        </is>
      </c>
      <c r="N765" s="145" t="inlineStr">
        <is>
          <t>Center</t>
        </is>
      </c>
      <c r="O765" s="145" t="inlineStr">
        <is>
          <t>No</t>
        </is>
      </c>
      <c r="P765" s="145" t="inlineStr">
        <is>
          <t>General</t>
        </is>
      </c>
      <c r="Q765" s="145" t="inlineStr">
        <is>
          <t>General</t>
        </is>
      </c>
      <c r="R765" s="145" t="n"/>
      <c r="S765" s="145" t="n"/>
      <c r="T765" s="145" t="n"/>
      <c r="U765" s="145" t="n"/>
      <c r="V765" s="145" t="n"/>
      <c r="W765" s="145" t="n"/>
      <c r="X765" s="145" t="inlineStr">
        <is>
          <t>Detailed format sample from top 5 used rows</t>
        </is>
      </c>
    </row>
    <row r="766" ht="23.85" customHeight="1" s="79">
      <c r="A766" s="145" t="inlineStr">
        <is>
          <t>WINTER_ART</t>
        </is>
      </c>
      <c r="B766" s="145" t="inlineStr">
        <is>
          <t>Column Format</t>
        </is>
      </c>
      <c r="C766" s="145" t="inlineStr">
        <is>
          <t>G:G</t>
        </is>
      </c>
      <c r="D766" s="145" t="inlineStr">
        <is>
          <t>WINTER_ART!A1:AB82</t>
        </is>
      </c>
      <c r="E766" s="145" t="inlineStr">
        <is>
          <t>Normal</t>
        </is>
      </c>
      <c r="F766" s="145" t="inlineStr">
        <is>
          <t>Mixed</t>
        </is>
      </c>
      <c r="G766" s="145" t="inlineStr">
        <is>
          <t>Aptos</t>
        </is>
      </c>
      <c r="H766" s="145" t="n">
        <v>8</v>
      </c>
      <c r="I766" s="145" t="inlineStr">
        <is>
          <t>Mixed</t>
        </is>
      </c>
      <c r="J766" s="145" t="inlineStr">
        <is>
          <t>No</t>
        </is>
      </c>
      <c r="K766" s="145" t="inlineStr">
        <is>
          <t>None</t>
        </is>
      </c>
      <c r="L766" s="145" t="inlineStr">
        <is>
          <t>#000000</t>
        </is>
      </c>
      <c r="M766" s="145" t="inlineStr">
        <is>
          <t>General</t>
        </is>
      </c>
      <c r="N766" s="145" t="inlineStr">
        <is>
          <t>Center</t>
        </is>
      </c>
      <c r="O766" s="145" t="inlineStr">
        <is>
          <t>No</t>
        </is>
      </c>
      <c r="P766" s="145" t="n"/>
      <c r="Q766" s="145" t="n"/>
      <c r="R766" s="145" t="inlineStr">
        <is>
          <t>EdgeBottom:Continuous/Thin/#000000</t>
        </is>
      </c>
      <c r="S766" s="145" t="n">
        <v>49.9701492537313</v>
      </c>
      <c r="T766" s="145" t="n"/>
      <c r="U766" s="145" t="inlineStr">
        <is>
          <t>No</t>
        </is>
      </c>
      <c r="V766" s="145" t="inlineStr">
        <is>
          <t>Visible</t>
        </is>
      </c>
      <c r="W766" s="145" t="n"/>
      <c r="X766" s="145" t="inlineStr">
        <is>
          <t>Mixed styles within used column</t>
        </is>
      </c>
    </row>
    <row r="767" ht="23.85" customHeight="1" s="79">
      <c r="A767" s="145" t="inlineStr">
        <is>
          <t>WINTER_ART</t>
        </is>
      </c>
      <c r="B767" s="145" t="inlineStr">
        <is>
          <t>Top-Row Cell Format</t>
        </is>
      </c>
      <c r="C767" s="145" t="inlineStr">
        <is>
          <t>G1</t>
        </is>
      </c>
      <c r="D767" s="145" t="inlineStr">
        <is>
          <t>WINTER_ART!A1:AB82</t>
        </is>
      </c>
      <c r="E767" s="145" t="inlineStr">
        <is>
          <t>Normal</t>
        </is>
      </c>
      <c r="F767" s="145" t="n"/>
      <c r="G767" s="145" t="inlineStr">
        <is>
          <t>Aptos</t>
        </is>
      </c>
      <c r="H767" s="145" t="n">
        <v>8</v>
      </c>
      <c r="I767" s="145" t="inlineStr">
        <is>
          <t>No</t>
        </is>
      </c>
      <c r="J767" s="145" t="inlineStr">
        <is>
          <t>No</t>
        </is>
      </c>
      <c r="K767" s="145" t="inlineStr">
        <is>
          <t>None</t>
        </is>
      </c>
      <c r="L767" s="145" t="inlineStr">
        <is>
          <t>#000000</t>
        </is>
      </c>
      <c r="M767" s="145" t="inlineStr">
        <is>
          <t>General</t>
        </is>
      </c>
      <c r="N767" s="145" t="inlineStr">
        <is>
          <t>Center</t>
        </is>
      </c>
      <c r="O767" s="145" t="inlineStr">
        <is>
          <t>No</t>
        </is>
      </c>
      <c r="P767" s="145" t="inlineStr">
        <is>
          <t>General</t>
        </is>
      </c>
      <c r="Q767" s="145" t="inlineStr">
        <is>
          <t>General</t>
        </is>
      </c>
      <c r="R767" s="145" t="n"/>
      <c r="S767" s="145" t="n"/>
      <c r="T767" s="145" t="n"/>
      <c r="U767" s="145" t="n"/>
      <c r="V767" s="145" t="n"/>
      <c r="W767" s="145" t="n"/>
      <c r="X767" s="145" t="inlineStr">
        <is>
          <t>Detailed format sample from top 5 used rows</t>
        </is>
      </c>
    </row>
    <row r="768" ht="23.85" customHeight="1" s="79">
      <c r="A768" s="145" t="inlineStr">
        <is>
          <t>WINTER_ART</t>
        </is>
      </c>
      <c r="B768" s="145" t="inlineStr">
        <is>
          <t>Top-Row Cell Format</t>
        </is>
      </c>
      <c r="C768" s="145" t="inlineStr">
        <is>
          <t>G2</t>
        </is>
      </c>
      <c r="D768" s="145" t="inlineStr">
        <is>
          <t>WINTER_ART!A1:AB82</t>
        </is>
      </c>
      <c r="E768" s="145" t="inlineStr">
        <is>
          <t>Normal</t>
        </is>
      </c>
      <c r="F768" s="145" t="n"/>
      <c r="G768" s="145" t="inlineStr">
        <is>
          <t>Aptos</t>
        </is>
      </c>
      <c r="H768" s="145" t="n">
        <v>8</v>
      </c>
      <c r="I768" s="145" t="inlineStr">
        <is>
          <t>No</t>
        </is>
      </c>
      <c r="J768" s="145" t="inlineStr">
        <is>
          <t>No</t>
        </is>
      </c>
      <c r="K768" s="145" t="inlineStr">
        <is>
          <t>None</t>
        </is>
      </c>
      <c r="L768" s="145" t="inlineStr">
        <is>
          <t>#000000</t>
        </is>
      </c>
      <c r="M768" s="145" t="inlineStr">
        <is>
          <t>General</t>
        </is>
      </c>
      <c r="N768" s="145" t="inlineStr">
        <is>
          <t>Center</t>
        </is>
      </c>
      <c r="O768" s="145" t="inlineStr">
        <is>
          <t>No</t>
        </is>
      </c>
      <c r="P768" s="145" t="inlineStr">
        <is>
          <t>General</t>
        </is>
      </c>
      <c r="Q768" s="145" t="inlineStr">
        <is>
          <t>General</t>
        </is>
      </c>
      <c r="R768" s="145" t="n"/>
      <c r="S768" s="145" t="n"/>
      <c r="T768" s="145" t="n"/>
      <c r="U768" s="145" t="n"/>
      <c r="V768" s="145" t="n"/>
      <c r="W768" s="145" t="n"/>
      <c r="X768" s="145" t="inlineStr">
        <is>
          <t>Detailed format sample from top 5 used rows</t>
        </is>
      </c>
    </row>
    <row r="769" ht="23.85" customHeight="1" s="79">
      <c r="A769" s="145" t="inlineStr">
        <is>
          <t>WINTER_ART</t>
        </is>
      </c>
      <c r="B769" s="145" t="inlineStr">
        <is>
          <t>Top-Row Cell Format</t>
        </is>
      </c>
      <c r="C769" s="145" t="inlineStr">
        <is>
          <t>G3</t>
        </is>
      </c>
      <c r="D769" s="145" t="inlineStr">
        <is>
          <t>WINTER_ART!A1:AB82</t>
        </is>
      </c>
      <c r="E769" s="145" t="inlineStr">
        <is>
          <t>Normal</t>
        </is>
      </c>
      <c r="F769" s="145" t="inlineStr">
        <is>
          <t>#F8CBAD</t>
        </is>
      </c>
      <c r="G769" s="145" t="inlineStr">
        <is>
          <t>Aptos</t>
        </is>
      </c>
      <c r="H769" s="145" t="n">
        <v>8</v>
      </c>
      <c r="I769" s="145" t="inlineStr">
        <is>
          <t>Yes</t>
        </is>
      </c>
      <c r="J769" s="145" t="inlineStr">
        <is>
          <t>No</t>
        </is>
      </c>
      <c r="K769" s="145" t="inlineStr">
        <is>
          <t>None</t>
        </is>
      </c>
      <c r="L769" s="145" t="inlineStr">
        <is>
          <t>#000000</t>
        </is>
      </c>
      <c r="M769" s="145" t="inlineStr">
        <is>
          <t>General</t>
        </is>
      </c>
      <c r="N769" s="145" t="inlineStr">
        <is>
          <t>Center</t>
        </is>
      </c>
      <c r="O769" s="145" t="inlineStr">
        <is>
          <t>No</t>
        </is>
      </c>
      <c r="P769" s="145" t="inlineStr">
        <is>
          <t>General</t>
        </is>
      </c>
      <c r="Q769" s="145" t="inlineStr">
        <is>
          <t>General</t>
        </is>
      </c>
      <c r="R769" s="145" t="n"/>
      <c r="S769" s="145" t="n"/>
      <c r="T769" s="145" t="n"/>
      <c r="U769" s="145" t="n"/>
      <c r="V769" s="145" t="n"/>
      <c r="W769" s="145" t="n"/>
      <c r="X769" s="145" t="inlineStr">
        <is>
          <t>Detailed format sample from top 5 used rows</t>
        </is>
      </c>
    </row>
    <row r="770" ht="23.85" customHeight="1" s="79">
      <c r="A770" s="145" t="inlineStr">
        <is>
          <t>WINTER_ART</t>
        </is>
      </c>
      <c r="B770" s="145" t="inlineStr">
        <is>
          <t>Top-Row Cell Format</t>
        </is>
      </c>
      <c r="C770" s="145" t="inlineStr">
        <is>
          <t>G4</t>
        </is>
      </c>
      <c r="D770" s="145" t="inlineStr">
        <is>
          <t>WINTER_ART!A1:AB82</t>
        </is>
      </c>
      <c r="E770" s="145" t="inlineStr">
        <is>
          <t>Normal</t>
        </is>
      </c>
      <c r="F770" s="145" t="inlineStr">
        <is>
          <t>#F8CBAD</t>
        </is>
      </c>
      <c r="G770" s="145" t="inlineStr">
        <is>
          <t>Aptos</t>
        </is>
      </c>
      <c r="H770" s="145" t="n">
        <v>8</v>
      </c>
      <c r="I770" s="145" t="inlineStr">
        <is>
          <t>No</t>
        </is>
      </c>
      <c r="J770" s="145" t="inlineStr">
        <is>
          <t>No</t>
        </is>
      </c>
      <c r="K770" s="145" t="inlineStr">
        <is>
          <t>None</t>
        </is>
      </c>
      <c r="L770" s="145" t="inlineStr">
        <is>
          <t>#000000</t>
        </is>
      </c>
      <c r="M770" s="145" t="inlineStr">
        <is>
          <t>General</t>
        </is>
      </c>
      <c r="N770" s="145" t="inlineStr">
        <is>
          <t>Center</t>
        </is>
      </c>
      <c r="O770" s="145" t="inlineStr">
        <is>
          <t>No</t>
        </is>
      </c>
      <c r="P770" s="145" t="inlineStr">
        <is>
          <t>General</t>
        </is>
      </c>
      <c r="Q770" s="145" t="inlineStr">
        <is>
          <t>General</t>
        </is>
      </c>
      <c r="R770" s="145" t="n"/>
      <c r="S770" s="145" t="n"/>
      <c r="T770" s="145" t="n"/>
      <c r="U770" s="145" t="n"/>
      <c r="V770" s="145" t="n"/>
      <c r="W770" s="145" t="n"/>
      <c r="X770" s="145" t="inlineStr">
        <is>
          <t>Detailed format sample from top 5 used rows</t>
        </is>
      </c>
    </row>
    <row r="771" ht="23.85" customHeight="1" s="79">
      <c r="A771" s="145" t="inlineStr">
        <is>
          <t>WINTER_ART</t>
        </is>
      </c>
      <c r="B771" s="145" t="inlineStr">
        <is>
          <t>Top-Row Cell Format</t>
        </is>
      </c>
      <c r="C771" s="145" t="inlineStr">
        <is>
          <t>G5</t>
        </is>
      </c>
      <c r="D771" s="145" t="inlineStr">
        <is>
          <t>WINTER_ART!A1:AB82</t>
        </is>
      </c>
      <c r="E771" s="145" t="inlineStr">
        <is>
          <t>Normal</t>
        </is>
      </c>
      <c r="F771" s="145" t="n"/>
      <c r="G771" s="145" t="inlineStr">
        <is>
          <t>Aptos</t>
        </is>
      </c>
      <c r="H771" s="145" t="n">
        <v>8</v>
      </c>
      <c r="I771" s="145" t="inlineStr">
        <is>
          <t>No</t>
        </is>
      </c>
      <c r="J771" s="145" t="inlineStr">
        <is>
          <t>No</t>
        </is>
      </c>
      <c r="K771" s="145" t="inlineStr">
        <is>
          <t>None</t>
        </is>
      </c>
      <c r="L771" s="145" t="inlineStr">
        <is>
          <t>#000000</t>
        </is>
      </c>
      <c r="M771" s="145" t="inlineStr">
        <is>
          <t>General</t>
        </is>
      </c>
      <c r="N771" s="145" t="inlineStr">
        <is>
          <t>Center</t>
        </is>
      </c>
      <c r="O771" s="145" t="inlineStr">
        <is>
          <t>No</t>
        </is>
      </c>
      <c r="P771" s="145" t="inlineStr">
        <is>
          <t>General</t>
        </is>
      </c>
      <c r="Q771" s="145" t="inlineStr">
        <is>
          <t>General</t>
        </is>
      </c>
      <c r="R771" s="145" t="n"/>
      <c r="S771" s="145" t="n"/>
      <c r="T771" s="145" t="n"/>
      <c r="U771" s="145" t="n"/>
      <c r="V771" s="145" t="n"/>
      <c r="W771" s="145" t="n"/>
      <c r="X771" s="145" t="inlineStr">
        <is>
          <t>Detailed format sample from top 5 used rows</t>
        </is>
      </c>
    </row>
    <row r="772" ht="23.85" customHeight="1" s="79">
      <c r="A772" s="145" t="inlineStr">
        <is>
          <t>WINTER_ART</t>
        </is>
      </c>
      <c r="B772" s="145" t="inlineStr">
        <is>
          <t>Column Format</t>
        </is>
      </c>
      <c r="C772" s="145" t="inlineStr">
        <is>
          <t>H:H</t>
        </is>
      </c>
      <c r="D772" s="145" t="inlineStr">
        <is>
          <t>WINTER_ART!A1:AB82</t>
        </is>
      </c>
      <c r="E772" s="145" t="inlineStr">
        <is>
          <t>Normal</t>
        </is>
      </c>
      <c r="F772" s="145" t="inlineStr">
        <is>
          <t>Mixed</t>
        </is>
      </c>
      <c r="G772" s="145" t="inlineStr">
        <is>
          <t>Aptos</t>
        </is>
      </c>
      <c r="H772" s="145" t="n">
        <v>8</v>
      </c>
      <c r="I772" s="145" t="inlineStr">
        <is>
          <t>Mixed</t>
        </is>
      </c>
      <c r="J772" s="145" t="inlineStr">
        <is>
          <t>No</t>
        </is>
      </c>
      <c r="K772" s="145" t="inlineStr">
        <is>
          <t>None</t>
        </is>
      </c>
      <c r="L772" s="145" t="inlineStr">
        <is>
          <t>#000000</t>
        </is>
      </c>
      <c r="M772" s="145" t="inlineStr">
        <is>
          <t>General</t>
        </is>
      </c>
      <c r="N772" s="145" t="inlineStr">
        <is>
          <t>Center</t>
        </is>
      </c>
      <c r="O772" s="145" t="inlineStr">
        <is>
          <t>No</t>
        </is>
      </c>
      <c r="P772" s="145" t="n"/>
      <c r="Q772" s="145" t="n"/>
      <c r="R772" s="145" t="inlineStr">
        <is>
          <t>EdgeBottom:Continuous/Thin/#000000</t>
        </is>
      </c>
      <c r="S772" s="145" t="n">
        <v>52.6567164179104</v>
      </c>
      <c r="T772" s="145" t="n"/>
      <c r="U772" s="145" t="inlineStr">
        <is>
          <t>No</t>
        </is>
      </c>
      <c r="V772" s="145" t="inlineStr">
        <is>
          <t>Visible</t>
        </is>
      </c>
      <c r="W772" s="145" t="n"/>
      <c r="X772" s="145" t="inlineStr">
        <is>
          <t>Mixed styles within used column</t>
        </is>
      </c>
    </row>
    <row r="773" ht="23.85" customHeight="1" s="79">
      <c r="A773" s="145" t="inlineStr">
        <is>
          <t>WINTER_ART</t>
        </is>
      </c>
      <c r="B773" s="145" t="inlineStr">
        <is>
          <t>Top-Row Cell Format</t>
        </is>
      </c>
      <c r="C773" s="145" t="inlineStr">
        <is>
          <t>H1</t>
        </is>
      </c>
      <c r="D773" s="145" t="inlineStr">
        <is>
          <t>WINTER_ART!A1:AB82</t>
        </is>
      </c>
      <c r="E773" s="145" t="inlineStr">
        <is>
          <t>Normal</t>
        </is>
      </c>
      <c r="F773" s="145" t="n"/>
      <c r="G773" s="145" t="inlineStr">
        <is>
          <t>Aptos</t>
        </is>
      </c>
      <c r="H773" s="145" t="n">
        <v>8</v>
      </c>
      <c r="I773" s="145" t="inlineStr">
        <is>
          <t>No</t>
        </is>
      </c>
      <c r="J773" s="145" t="inlineStr">
        <is>
          <t>No</t>
        </is>
      </c>
      <c r="K773" s="145" t="inlineStr">
        <is>
          <t>None</t>
        </is>
      </c>
      <c r="L773" s="145" t="inlineStr">
        <is>
          <t>#000000</t>
        </is>
      </c>
      <c r="M773" s="145" t="inlineStr">
        <is>
          <t>General</t>
        </is>
      </c>
      <c r="N773" s="145" t="inlineStr">
        <is>
          <t>Center</t>
        </is>
      </c>
      <c r="O773" s="145" t="inlineStr">
        <is>
          <t>No</t>
        </is>
      </c>
      <c r="P773" s="145" t="inlineStr">
        <is>
          <t>General</t>
        </is>
      </c>
      <c r="Q773" s="145" t="inlineStr">
        <is>
          <t>General</t>
        </is>
      </c>
      <c r="R773" s="145" t="n"/>
      <c r="S773" s="145" t="n"/>
      <c r="T773" s="145" t="n"/>
      <c r="U773" s="145" t="n"/>
      <c r="V773" s="145" t="n"/>
      <c r="W773" s="145" t="n"/>
      <c r="X773" s="145" t="inlineStr">
        <is>
          <t>Detailed format sample from top 5 used rows</t>
        </is>
      </c>
    </row>
    <row r="774" ht="23.85" customHeight="1" s="79">
      <c r="A774" s="145" t="inlineStr">
        <is>
          <t>WINTER_ART</t>
        </is>
      </c>
      <c r="B774" s="145" t="inlineStr">
        <is>
          <t>Top-Row Cell Format</t>
        </is>
      </c>
      <c r="C774" s="145" t="inlineStr">
        <is>
          <t>H2</t>
        </is>
      </c>
      <c r="D774" s="145" t="inlineStr">
        <is>
          <t>WINTER_ART!A1:AB82</t>
        </is>
      </c>
      <c r="E774" s="145" t="inlineStr">
        <is>
          <t>Normal</t>
        </is>
      </c>
      <c r="F774" s="145" t="n"/>
      <c r="G774" s="145" t="inlineStr">
        <is>
          <t>Aptos</t>
        </is>
      </c>
      <c r="H774" s="145" t="n">
        <v>8</v>
      </c>
      <c r="I774" s="145" t="inlineStr">
        <is>
          <t>No</t>
        </is>
      </c>
      <c r="J774" s="145" t="inlineStr">
        <is>
          <t>No</t>
        </is>
      </c>
      <c r="K774" s="145" t="inlineStr">
        <is>
          <t>None</t>
        </is>
      </c>
      <c r="L774" s="145" t="inlineStr">
        <is>
          <t>#000000</t>
        </is>
      </c>
      <c r="M774" s="145" t="inlineStr">
        <is>
          <t>General</t>
        </is>
      </c>
      <c r="N774" s="145" t="inlineStr">
        <is>
          <t>Center</t>
        </is>
      </c>
      <c r="O774" s="145" t="inlineStr">
        <is>
          <t>No</t>
        </is>
      </c>
      <c r="P774" s="145" t="inlineStr">
        <is>
          <t>General</t>
        </is>
      </c>
      <c r="Q774" s="145" t="inlineStr">
        <is>
          <t>General</t>
        </is>
      </c>
      <c r="R774" s="145" t="n"/>
      <c r="S774" s="145" t="n"/>
      <c r="T774" s="145" t="n"/>
      <c r="U774" s="145" t="n"/>
      <c r="V774" s="145" t="n"/>
      <c r="W774" s="145" t="n"/>
      <c r="X774" s="145" t="inlineStr">
        <is>
          <t>Detailed format sample from top 5 used rows</t>
        </is>
      </c>
    </row>
    <row r="775" ht="23.85" customHeight="1" s="79">
      <c r="A775" s="145" t="inlineStr">
        <is>
          <t>WINTER_ART</t>
        </is>
      </c>
      <c r="B775" s="145" t="inlineStr">
        <is>
          <t>Top-Row Cell Format</t>
        </is>
      </c>
      <c r="C775" s="145" t="inlineStr">
        <is>
          <t>H3</t>
        </is>
      </c>
      <c r="D775" s="145" t="inlineStr">
        <is>
          <t>WINTER_ART!A1:AB82</t>
        </is>
      </c>
      <c r="E775" s="145" t="inlineStr">
        <is>
          <t>Normal</t>
        </is>
      </c>
      <c r="F775" s="145" t="inlineStr">
        <is>
          <t>#F8CBAD</t>
        </is>
      </c>
      <c r="G775" s="145" t="inlineStr">
        <is>
          <t>Aptos</t>
        </is>
      </c>
      <c r="H775" s="145" t="n">
        <v>8</v>
      </c>
      <c r="I775" s="145" t="inlineStr">
        <is>
          <t>Yes</t>
        </is>
      </c>
      <c r="J775" s="145" t="inlineStr">
        <is>
          <t>No</t>
        </is>
      </c>
      <c r="K775" s="145" t="inlineStr">
        <is>
          <t>None</t>
        </is>
      </c>
      <c r="L775" s="145" t="inlineStr">
        <is>
          <t>#000000</t>
        </is>
      </c>
      <c r="M775" s="145" t="inlineStr">
        <is>
          <t>General</t>
        </is>
      </c>
      <c r="N775" s="145" t="inlineStr">
        <is>
          <t>Center</t>
        </is>
      </c>
      <c r="O775" s="145" t="inlineStr">
        <is>
          <t>No</t>
        </is>
      </c>
      <c r="P775" s="145" t="inlineStr">
        <is>
          <t>General</t>
        </is>
      </c>
      <c r="Q775" s="145" t="inlineStr">
        <is>
          <t>General</t>
        </is>
      </c>
      <c r="R775" s="145" t="n"/>
      <c r="S775" s="145" t="n"/>
      <c r="T775" s="145" t="n"/>
      <c r="U775" s="145" t="n"/>
      <c r="V775" s="145" t="n"/>
      <c r="W775" s="145" t="n"/>
      <c r="X775" s="145" t="inlineStr">
        <is>
          <t>Detailed format sample from top 5 used rows</t>
        </is>
      </c>
    </row>
    <row r="776" ht="23.85" customHeight="1" s="79">
      <c r="A776" s="145" t="inlineStr">
        <is>
          <t>WINTER_ART</t>
        </is>
      </c>
      <c r="B776" s="145" t="inlineStr">
        <is>
          <t>Top-Row Cell Format</t>
        </is>
      </c>
      <c r="C776" s="145" t="inlineStr">
        <is>
          <t>H4</t>
        </is>
      </c>
      <c r="D776" s="145" t="inlineStr">
        <is>
          <t>WINTER_ART!A1:AB82</t>
        </is>
      </c>
      <c r="E776" s="145" t="inlineStr">
        <is>
          <t>Normal</t>
        </is>
      </c>
      <c r="F776" s="145" t="inlineStr">
        <is>
          <t>#F8CBAD</t>
        </is>
      </c>
      <c r="G776" s="145" t="inlineStr">
        <is>
          <t>Aptos</t>
        </is>
      </c>
      <c r="H776" s="145" t="n">
        <v>8</v>
      </c>
      <c r="I776" s="145" t="inlineStr">
        <is>
          <t>No</t>
        </is>
      </c>
      <c r="J776" s="145" t="inlineStr">
        <is>
          <t>No</t>
        </is>
      </c>
      <c r="K776" s="145" t="inlineStr">
        <is>
          <t>None</t>
        </is>
      </c>
      <c r="L776" s="145" t="inlineStr">
        <is>
          <t>#000000</t>
        </is>
      </c>
      <c r="M776" s="145" t="inlineStr">
        <is>
          <t>General</t>
        </is>
      </c>
      <c r="N776" s="145" t="inlineStr">
        <is>
          <t>Center</t>
        </is>
      </c>
      <c r="O776" s="145" t="inlineStr">
        <is>
          <t>No</t>
        </is>
      </c>
      <c r="P776" s="145" t="inlineStr">
        <is>
          <t>General</t>
        </is>
      </c>
      <c r="Q776" s="145" t="inlineStr">
        <is>
          <t>General</t>
        </is>
      </c>
      <c r="R776" s="145" t="n"/>
      <c r="S776" s="145" t="n"/>
      <c r="T776" s="145" t="n"/>
      <c r="U776" s="145" t="n"/>
      <c r="V776" s="145" t="n"/>
      <c r="W776" s="145" t="n"/>
      <c r="X776" s="145" t="inlineStr">
        <is>
          <t>Detailed format sample from top 5 used rows</t>
        </is>
      </c>
    </row>
    <row r="777" ht="23.85" customHeight="1" s="79">
      <c r="A777" s="145" t="inlineStr">
        <is>
          <t>WINTER_ART</t>
        </is>
      </c>
      <c r="B777" s="145" t="inlineStr">
        <is>
          <t>Top-Row Cell Format</t>
        </is>
      </c>
      <c r="C777" s="145" t="inlineStr">
        <is>
          <t>H5</t>
        </is>
      </c>
      <c r="D777" s="145" t="inlineStr">
        <is>
          <t>WINTER_ART!A1:AB82</t>
        </is>
      </c>
      <c r="E777" s="145" t="inlineStr">
        <is>
          <t>Normal</t>
        </is>
      </c>
      <c r="F777" s="145" t="n"/>
      <c r="G777" s="145" t="inlineStr">
        <is>
          <t>Aptos</t>
        </is>
      </c>
      <c r="H777" s="145" t="n">
        <v>8</v>
      </c>
      <c r="I777" s="145" t="inlineStr">
        <is>
          <t>No</t>
        </is>
      </c>
      <c r="J777" s="145" t="inlineStr">
        <is>
          <t>No</t>
        </is>
      </c>
      <c r="K777" s="145" t="inlineStr">
        <is>
          <t>None</t>
        </is>
      </c>
      <c r="L777" s="145" t="inlineStr">
        <is>
          <t>#000000</t>
        </is>
      </c>
      <c r="M777" s="145" t="inlineStr">
        <is>
          <t>General</t>
        </is>
      </c>
      <c r="N777" s="145" t="inlineStr">
        <is>
          <t>Center</t>
        </is>
      </c>
      <c r="O777" s="145" t="inlineStr">
        <is>
          <t>No</t>
        </is>
      </c>
      <c r="P777" s="145" t="inlineStr">
        <is>
          <t>General</t>
        </is>
      </c>
      <c r="Q777" s="145" t="inlineStr">
        <is>
          <t>General</t>
        </is>
      </c>
      <c r="R777" s="145" t="n"/>
      <c r="S777" s="145" t="n"/>
      <c r="T777" s="145" t="n"/>
      <c r="U777" s="145" t="n"/>
      <c r="V777" s="145" t="n"/>
      <c r="W777" s="145" t="n"/>
      <c r="X777" s="145" t="inlineStr">
        <is>
          <t>Detailed format sample from top 5 used rows</t>
        </is>
      </c>
    </row>
    <row r="778" ht="23.85" customHeight="1" s="79">
      <c r="A778" s="145" t="inlineStr">
        <is>
          <t>WINTER_ART</t>
        </is>
      </c>
      <c r="B778" s="145" t="inlineStr">
        <is>
          <t>Column Format</t>
        </is>
      </c>
      <c r="C778" s="145" t="inlineStr">
        <is>
          <t>I:I</t>
        </is>
      </c>
      <c r="D778" s="145" t="inlineStr">
        <is>
          <t>WINTER_ART!A1:AB82</t>
        </is>
      </c>
      <c r="E778" s="145" t="inlineStr">
        <is>
          <t>Normal</t>
        </is>
      </c>
      <c r="F778" s="145" t="inlineStr">
        <is>
          <t>Mixed</t>
        </is>
      </c>
      <c r="G778" s="145" t="inlineStr">
        <is>
          <t>Aptos</t>
        </is>
      </c>
      <c r="H778" s="145" t="n">
        <v>8</v>
      </c>
      <c r="I778" s="145" t="inlineStr">
        <is>
          <t>Mixed</t>
        </is>
      </c>
      <c r="J778" s="145" t="inlineStr">
        <is>
          <t>No</t>
        </is>
      </c>
      <c r="K778" s="145" t="inlineStr">
        <is>
          <t>None</t>
        </is>
      </c>
      <c r="L778" s="145" t="inlineStr">
        <is>
          <t>#000000</t>
        </is>
      </c>
      <c r="M778" s="145" t="inlineStr">
        <is>
          <t>General</t>
        </is>
      </c>
      <c r="N778" s="145" t="inlineStr">
        <is>
          <t>Center</t>
        </is>
      </c>
      <c r="O778" s="145" t="inlineStr">
        <is>
          <t>No</t>
        </is>
      </c>
      <c r="P778" s="145" t="n"/>
      <c r="Q778" s="145" t="n"/>
      <c r="R778" s="145" t="inlineStr">
        <is>
          <t>EdgeBottom:Continuous/Thin/#000000</t>
        </is>
      </c>
      <c r="S778" s="145" t="n">
        <v>61.7910447761194</v>
      </c>
      <c r="T778" s="145" t="n"/>
      <c r="U778" s="145" t="inlineStr">
        <is>
          <t>No</t>
        </is>
      </c>
      <c r="V778" s="145" t="inlineStr">
        <is>
          <t>Visible</t>
        </is>
      </c>
      <c r="W778" s="145" t="n"/>
      <c r="X778" s="145" t="inlineStr">
        <is>
          <t>Mixed styles within used column</t>
        </is>
      </c>
    </row>
    <row r="779" ht="23.85" customHeight="1" s="79">
      <c r="A779" s="145" t="inlineStr">
        <is>
          <t>WINTER_ART</t>
        </is>
      </c>
      <c r="B779" s="145" t="inlineStr">
        <is>
          <t>Top-Row Cell Format</t>
        </is>
      </c>
      <c r="C779" s="145" t="inlineStr">
        <is>
          <t>I1</t>
        </is>
      </c>
      <c r="D779" s="145" t="inlineStr">
        <is>
          <t>WINTER_ART!A1:AB82</t>
        </is>
      </c>
      <c r="E779" s="145" t="inlineStr">
        <is>
          <t>Normal</t>
        </is>
      </c>
      <c r="F779" s="145" t="n"/>
      <c r="G779" s="145" t="inlineStr">
        <is>
          <t>Aptos</t>
        </is>
      </c>
      <c r="H779" s="145" t="n">
        <v>8</v>
      </c>
      <c r="I779" s="145" t="inlineStr">
        <is>
          <t>No</t>
        </is>
      </c>
      <c r="J779" s="145" t="inlineStr">
        <is>
          <t>No</t>
        </is>
      </c>
      <c r="K779" s="145" t="inlineStr">
        <is>
          <t>None</t>
        </is>
      </c>
      <c r="L779" s="145" t="inlineStr">
        <is>
          <t>#000000</t>
        </is>
      </c>
      <c r="M779" s="145" t="inlineStr">
        <is>
          <t>General</t>
        </is>
      </c>
      <c r="N779" s="145" t="inlineStr">
        <is>
          <t>Center</t>
        </is>
      </c>
      <c r="O779" s="145" t="inlineStr">
        <is>
          <t>No</t>
        </is>
      </c>
      <c r="P779" s="145" t="inlineStr">
        <is>
          <t>General</t>
        </is>
      </c>
      <c r="Q779" s="145" t="inlineStr">
        <is>
          <t>General</t>
        </is>
      </c>
      <c r="R779" s="145" t="n"/>
      <c r="S779" s="145" t="n"/>
      <c r="T779" s="145" t="n"/>
      <c r="U779" s="145" t="n"/>
      <c r="V779" s="145" t="n"/>
      <c r="W779" s="145" t="n"/>
      <c r="X779" s="145" t="inlineStr">
        <is>
          <t>Detailed format sample from top 5 used rows</t>
        </is>
      </c>
    </row>
    <row r="780" ht="23.85" customHeight="1" s="79">
      <c r="A780" s="145" t="inlineStr">
        <is>
          <t>WINTER_ART</t>
        </is>
      </c>
      <c r="B780" s="145" t="inlineStr">
        <is>
          <t>Top-Row Cell Format</t>
        </is>
      </c>
      <c r="C780" s="145" t="inlineStr">
        <is>
          <t>I2</t>
        </is>
      </c>
      <c r="D780" s="145" t="inlineStr">
        <is>
          <t>WINTER_ART!A1:AB82</t>
        </is>
      </c>
      <c r="E780" s="145" t="inlineStr">
        <is>
          <t>Normal</t>
        </is>
      </c>
      <c r="F780" s="145" t="n"/>
      <c r="G780" s="145" t="inlineStr">
        <is>
          <t>Aptos</t>
        </is>
      </c>
      <c r="H780" s="145" t="n">
        <v>8</v>
      </c>
      <c r="I780" s="145" t="inlineStr">
        <is>
          <t>No</t>
        </is>
      </c>
      <c r="J780" s="145" t="inlineStr">
        <is>
          <t>No</t>
        </is>
      </c>
      <c r="K780" s="145" t="inlineStr">
        <is>
          <t>None</t>
        </is>
      </c>
      <c r="L780" s="145" t="inlineStr">
        <is>
          <t>#000000</t>
        </is>
      </c>
      <c r="M780" s="145" t="inlineStr">
        <is>
          <t>General</t>
        </is>
      </c>
      <c r="N780" s="145" t="inlineStr">
        <is>
          <t>Center</t>
        </is>
      </c>
      <c r="O780" s="145" t="inlineStr">
        <is>
          <t>No</t>
        </is>
      </c>
      <c r="P780" s="145" t="inlineStr">
        <is>
          <t>General</t>
        </is>
      </c>
      <c r="Q780" s="145" t="inlineStr">
        <is>
          <t>General</t>
        </is>
      </c>
      <c r="R780" s="145" t="n"/>
      <c r="S780" s="145" t="n"/>
      <c r="T780" s="145" t="n"/>
      <c r="U780" s="145" t="n"/>
      <c r="V780" s="145" t="n"/>
      <c r="W780" s="145" t="n"/>
      <c r="X780" s="145" t="inlineStr">
        <is>
          <t>Detailed format sample from top 5 used rows</t>
        </is>
      </c>
    </row>
    <row r="781" ht="23.85" customHeight="1" s="79">
      <c r="A781" s="145" t="inlineStr">
        <is>
          <t>WINTER_ART</t>
        </is>
      </c>
      <c r="B781" s="145" t="inlineStr">
        <is>
          <t>Top-Row Cell Format</t>
        </is>
      </c>
      <c r="C781" s="145" t="inlineStr">
        <is>
          <t>I3</t>
        </is>
      </c>
      <c r="D781" s="145" t="inlineStr">
        <is>
          <t>WINTER_ART!A1:AB82</t>
        </is>
      </c>
      <c r="E781" s="145" t="inlineStr">
        <is>
          <t>Normal</t>
        </is>
      </c>
      <c r="F781" s="145" t="inlineStr">
        <is>
          <t>#F8CBAD</t>
        </is>
      </c>
      <c r="G781" s="145" t="inlineStr">
        <is>
          <t>Aptos</t>
        </is>
      </c>
      <c r="H781" s="145" t="n">
        <v>8</v>
      </c>
      <c r="I781" s="145" t="inlineStr">
        <is>
          <t>Yes</t>
        </is>
      </c>
      <c r="J781" s="145" t="inlineStr">
        <is>
          <t>No</t>
        </is>
      </c>
      <c r="K781" s="145" t="inlineStr">
        <is>
          <t>None</t>
        </is>
      </c>
      <c r="L781" s="145" t="inlineStr">
        <is>
          <t>#000000</t>
        </is>
      </c>
      <c r="M781" s="145" t="inlineStr">
        <is>
          <t>General</t>
        </is>
      </c>
      <c r="N781" s="145" t="inlineStr">
        <is>
          <t>Center</t>
        </is>
      </c>
      <c r="O781" s="145" t="inlineStr">
        <is>
          <t>No</t>
        </is>
      </c>
      <c r="P781" s="145" t="inlineStr">
        <is>
          <t>General</t>
        </is>
      </c>
      <c r="Q781" s="145" t="inlineStr">
        <is>
          <t>General</t>
        </is>
      </c>
      <c r="R781" s="145" t="n"/>
      <c r="S781" s="145" t="n"/>
      <c r="T781" s="145" t="n"/>
      <c r="U781" s="145" t="n"/>
      <c r="V781" s="145" t="n"/>
      <c r="W781" s="145" t="n"/>
      <c r="X781" s="145" t="inlineStr">
        <is>
          <t>Detailed format sample from top 5 used rows</t>
        </is>
      </c>
    </row>
    <row r="782" ht="23.85" customHeight="1" s="79">
      <c r="A782" s="145" t="inlineStr">
        <is>
          <t>WINTER_ART</t>
        </is>
      </c>
      <c r="B782" s="145" t="inlineStr">
        <is>
          <t>Top-Row Cell Format</t>
        </is>
      </c>
      <c r="C782" s="145" t="inlineStr">
        <is>
          <t>I4</t>
        </is>
      </c>
      <c r="D782" s="145" t="inlineStr">
        <is>
          <t>WINTER_ART!A1:AB82</t>
        </is>
      </c>
      <c r="E782" s="145" t="inlineStr">
        <is>
          <t>Normal</t>
        </is>
      </c>
      <c r="F782" s="145" t="inlineStr">
        <is>
          <t>#F8CBAD</t>
        </is>
      </c>
      <c r="G782" s="145" t="inlineStr">
        <is>
          <t>Aptos</t>
        </is>
      </c>
      <c r="H782" s="145" t="n">
        <v>8</v>
      </c>
      <c r="I782" s="145" t="inlineStr">
        <is>
          <t>No</t>
        </is>
      </c>
      <c r="J782" s="145" t="inlineStr">
        <is>
          <t>No</t>
        </is>
      </c>
      <c r="K782" s="145" t="inlineStr">
        <is>
          <t>None</t>
        </is>
      </c>
      <c r="L782" s="145" t="inlineStr">
        <is>
          <t>#000000</t>
        </is>
      </c>
      <c r="M782" s="145" t="inlineStr">
        <is>
          <t>General</t>
        </is>
      </c>
      <c r="N782" s="145" t="inlineStr">
        <is>
          <t>Center</t>
        </is>
      </c>
      <c r="O782" s="145" t="inlineStr">
        <is>
          <t>No</t>
        </is>
      </c>
      <c r="P782" s="145" t="inlineStr">
        <is>
          <t>General</t>
        </is>
      </c>
      <c r="Q782" s="145" t="inlineStr">
        <is>
          <t>General</t>
        </is>
      </c>
      <c r="R782" s="145" t="n"/>
      <c r="S782" s="145" t="n"/>
      <c r="T782" s="145" t="n"/>
      <c r="U782" s="145" t="n"/>
      <c r="V782" s="145" t="n"/>
      <c r="W782" s="145" t="n"/>
      <c r="X782" s="145" t="inlineStr">
        <is>
          <t>Detailed format sample from top 5 used rows</t>
        </is>
      </c>
    </row>
    <row r="783" ht="23.85" customHeight="1" s="79">
      <c r="A783" s="145" t="inlineStr">
        <is>
          <t>WINTER_ART</t>
        </is>
      </c>
      <c r="B783" s="145" t="inlineStr">
        <is>
          <t>Top-Row Cell Format</t>
        </is>
      </c>
      <c r="C783" s="145" t="inlineStr">
        <is>
          <t>I5</t>
        </is>
      </c>
      <c r="D783" s="145" t="inlineStr">
        <is>
          <t>WINTER_ART!A1:AB82</t>
        </is>
      </c>
      <c r="E783" s="145" t="inlineStr">
        <is>
          <t>Normal</t>
        </is>
      </c>
      <c r="F783" s="145" t="n"/>
      <c r="G783" s="145" t="inlineStr">
        <is>
          <t>Aptos</t>
        </is>
      </c>
      <c r="H783" s="145" t="n">
        <v>8</v>
      </c>
      <c r="I783" s="145" t="inlineStr">
        <is>
          <t>No</t>
        </is>
      </c>
      <c r="J783" s="145" t="inlineStr">
        <is>
          <t>No</t>
        </is>
      </c>
      <c r="K783" s="145" t="inlineStr">
        <is>
          <t>None</t>
        </is>
      </c>
      <c r="L783" s="145" t="inlineStr">
        <is>
          <t>#000000</t>
        </is>
      </c>
      <c r="M783" s="145" t="inlineStr">
        <is>
          <t>General</t>
        </is>
      </c>
      <c r="N783" s="145" t="inlineStr">
        <is>
          <t>Center</t>
        </is>
      </c>
      <c r="O783" s="145" t="inlineStr">
        <is>
          <t>No</t>
        </is>
      </c>
      <c r="P783" s="145" t="inlineStr">
        <is>
          <t>General</t>
        </is>
      </c>
      <c r="Q783" s="145" t="inlineStr">
        <is>
          <t>General</t>
        </is>
      </c>
      <c r="R783" s="145" t="n"/>
      <c r="S783" s="145" t="n"/>
      <c r="T783" s="145" t="n"/>
      <c r="U783" s="145" t="n"/>
      <c r="V783" s="145" t="n"/>
      <c r="W783" s="145" t="n"/>
      <c r="X783" s="145" t="inlineStr">
        <is>
          <t>Detailed format sample from top 5 used rows</t>
        </is>
      </c>
    </row>
    <row r="784" ht="23.85" customHeight="1" s="79">
      <c r="A784" s="145" t="inlineStr">
        <is>
          <t>WINTER_ART</t>
        </is>
      </c>
      <c r="B784" s="145" t="inlineStr">
        <is>
          <t>Column Format</t>
        </is>
      </c>
      <c r="C784" s="145" t="inlineStr">
        <is>
          <t>J:J</t>
        </is>
      </c>
      <c r="D784" s="145" t="inlineStr">
        <is>
          <t>WINTER_ART!A1:AB82</t>
        </is>
      </c>
      <c r="E784" s="145" t="inlineStr">
        <is>
          <t>Normal</t>
        </is>
      </c>
      <c r="F784" s="145" t="inlineStr">
        <is>
          <t>Mixed</t>
        </is>
      </c>
      <c r="G784" s="145" t="inlineStr">
        <is>
          <t>Aptos</t>
        </is>
      </c>
      <c r="H784" s="145" t="n">
        <v>8</v>
      </c>
      <c r="I784" s="145" t="inlineStr">
        <is>
          <t>Mixed</t>
        </is>
      </c>
      <c r="J784" s="145" t="inlineStr">
        <is>
          <t>No</t>
        </is>
      </c>
      <c r="K784" s="145" t="inlineStr">
        <is>
          <t>None</t>
        </is>
      </c>
      <c r="L784" s="145" t="inlineStr">
        <is>
          <t>#000000</t>
        </is>
      </c>
      <c r="M784" s="145" t="inlineStr">
        <is>
          <t>General</t>
        </is>
      </c>
      <c r="N784" s="145" t="inlineStr">
        <is>
          <t>Center</t>
        </is>
      </c>
      <c r="O784" s="145" t="inlineStr">
        <is>
          <t>No</t>
        </is>
      </c>
      <c r="P784" s="145" t="n"/>
      <c r="Q784" s="145" t="n"/>
      <c r="R784" s="145" t="inlineStr">
        <is>
          <t>EdgeBottom:Continuous/Thin/#000000</t>
        </is>
      </c>
      <c r="S784" s="145" t="n">
        <v>75.7611940298507</v>
      </c>
      <c r="T784" s="145" t="n"/>
      <c r="U784" s="145" t="inlineStr">
        <is>
          <t>No</t>
        </is>
      </c>
      <c r="V784" s="145" t="inlineStr">
        <is>
          <t>Visible</t>
        </is>
      </c>
      <c r="W784" s="145" t="n"/>
      <c r="X784" s="145" t="inlineStr">
        <is>
          <t>Mixed styles within used column</t>
        </is>
      </c>
    </row>
    <row r="785" ht="23.85" customHeight="1" s="79">
      <c r="A785" s="145" t="inlineStr">
        <is>
          <t>WINTER_ART</t>
        </is>
      </c>
      <c r="B785" s="145" t="inlineStr">
        <is>
          <t>Top-Row Cell Format</t>
        </is>
      </c>
      <c r="C785" s="145" t="inlineStr">
        <is>
          <t>J1</t>
        </is>
      </c>
      <c r="D785" s="145" t="inlineStr">
        <is>
          <t>WINTER_ART!A1:AB82</t>
        </is>
      </c>
      <c r="E785" s="145" t="inlineStr">
        <is>
          <t>Normal</t>
        </is>
      </c>
      <c r="F785" s="145" t="n"/>
      <c r="G785" s="145" t="inlineStr">
        <is>
          <t>Aptos</t>
        </is>
      </c>
      <c r="H785" s="145" t="n">
        <v>8</v>
      </c>
      <c r="I785" s="145" t="inlineStr">
        <is>
          <t>No</t>
        </is>
      </c>
      <c r="J785" s="145" t="inlineStr">
        <is>
          <t>No</t>
        </is>
      </c>
      <c r="K785" s="145" t="inlineStr">
        <is>
          <t>None</t>
        </is>
      </c>
      <c r="L785" s="145" t="inlineStr">
        <is>
          <t>#000000</t>
        </is>
      </c>
      <c r="M785" s="145" t="inlineStr">
        <is>
          <t>General</t>
        </is>
      </c>
      <c r="N785" s="145" t="inlineStr">
        <is>
          <t>Center</t>
        </is>
      </c>
      <c r="O785" s="145" t="inlineStr">
        <is>
          <t>No</t>
        </is>
      </c>
      <c r="P785" s="145" t="inlineStr">
        <is>
          <t>General</t>
        </is>
      </c>
      <c r="Q785" s="145" t="inlineStr">
        <is>
          <t>General</t>
        </is>
      </c>
      <c r="R785" s="145" t="n"/>
      <c r="S785" s="145" t="n"/>
      <c r="T785" s="145" t="n"/>
      <c r="U785" s="145" t="n"/>
      <c r="V785" s="145" t="n"/>
      <c r="W785" s="145" t="n"/>
      <c r="X785" s="145" t="inlineStr">
        <is>
          <t>Detailed format sample from top 5 used rows</t>
        </is>
      </c>
    </row>
    <row r="786" ht="23.85" customHeight="1" s="79">
      <c r="A786" s="145" t="inlineStr">
        <is>
          <t>WINTER_ART</t>
        </is>
      </c>
      <c r="B786" s="145" t="inlineStr">
        <is>
          <t>Top-Row Cell Format</t>
        </is>
      </c>
      <c r="C786" s="145" t="inlineStr">
        <is>
          <t>J2</t>
        </is>
      </c>
      <c r="D786" s="145" t="inlineStr">
        <is>
          <t>WINTER_ART!A1:AB82</t>
        </is>
      </c>
      <c r="E786" s="145" t="inlineStr">
        <is>
          <t>Normal</t>
        </is>
      </c>
      <c r="F786" s="145" t="n"/>
      <c r="G786" s="145" t="inlineStr">
        <is>
          <t>Aptos</t>
        </is>
      </c>
      <c r="H786" s="145" t="n">
        <v>8</v>
      </c>
      <c r="I786" s="145" t="inlineStr">
        <is>
          <t>No</t>
        </is>
      </c>
      <c r="J786" s="145" t="inlineStr">
        <is>
          <t>No</t>
        </is>
      </c>
      <c r="K786" s="145" t="inlineStr">
        <is>
          <t>None</t>
        </is>
      </c>
      <c r="L786" s="145" t="inlineStr">
        <is>
          <t>#000000</t>
        </is>
      </c>
      <c r="M786" s="145" t="inlineStr">
        <is>
          <t>General</t>
        </is>
      </c>
      <c r="N786" s="145" t="inlineStr">
        <is>
          <t>Center</t>
        </is>
      </c>
      <c r="O786" s="145" t="inlineStr">
        <is>
          <t>No</t>
        </is>
      </c>
      <c r="P786" s="145" t="inlineStr">
        <is>
          <t>General</t>
        </is>
      </c>
      <c r="Q786" s="145" t="inlineStr">
        <is>
          <t>General</t>
        </is>
      </c>
      <c r="R786" s="145" t="n"/>
      <c r="S786" s="145" t="n"/>
      <c r="T786" s="145" t="n"/>
      <c r="U786" s="145" t="n"/>
      <c r="V786" s="145" t="n"/>
      <c r="W786" s="145" t="n"/>
      <c r="X786" s="145" t="inlineStr">
        <is>
          <t>Detailed format sample from top 5 used rows</t>
        </is>
      </c>
    </row>
    <row r="787" ht="23.85" customHeight="1" s="79">
      <c r="A787" s="145" t="inlineStr">
        <is>
          <t>WINTER_ART</t>
        </is>
      </c>
      <c r="B787" s="145" t="inlineStr">
        <is>
          <t>Top-Row Cell Format</t>
        </is>
      </c>
      <c r="C787" s="145" t="inlineStr">
        <is>
          <t>J3</t>
        </is>
      </c>
      <c r="D787" s="145" t="inlineStr">
        <is>
          <t>WINTER_ART!A1:AB82</t>
        </is>
      </c>
      <c r="E787" s="145" t="inlineStr">
        <is>
          <t>Normal</t>
        </is>
      </c>
      <c r="F787" s="145" t="inlineStr">
        <is>
          <t>#F8CBAD</t>
        </is>
      </c>
      <c r="G787" s="145" t="inlineStr">
        <is>
          <t>Aptos</t>
        </is>
      </c>
      <c r="H787" s="145" t="n">
        <v>8</v>
      </c>
      <c r="I787" s="145" t="inlineStr">
        <is>
          <t>Yes</t>
        </is>
      </c>
      <c r="J787" s="145" t="inlineStr">
        <is>
          <t>No</t>
        </is>
      </c>
      <c r="K787" s="145" t="inlineStr">
        <is>
          <t>None</t>
        </is>
      </c>
      <c r="L787" s="145" t="inlineStr">
        <is>
          <t>#000000</t>
        </is>
      </c>
      <c r="M787" s="145" t="inlineStr">
        <is>
          <t>General</t>
        </is>
      </c>
      <c r="N787" s="145" t="inlineStr">
        <is>
          <t>Center</t>
        </is>
      </c>
      <c r="O787" s="145" t="inlineStr">
        <is>
          <t>No</t>
        </is>
      </c>
      <c r="P787" s="145" t="inlineStr">
        <is>
          <t>General</t>
        </is>
      </c>
      <c r="Q787" s="145" t="inlineStr">
        <is>
          <t>General</t>
        </is>
      </c>
      <c r="R787" s="145" t="n"/>
      <c r="S787" s="145" t="n"/>
      <c r="T787" s="145" t="n"/>
      <c r="U787" s="145" t="n"/>
      <c r="V787" s="145" t="n"/>
      <c r="W787" s="145" t="n"/>
      <c r="X787" s="145" t="inlineStr">
        <is>
          <t>Detailed format sample from top 5 used rows</t>
        </is>
      </c>
    </row>
    <row r="788" ht="23.85" customHeight="1" s="79">
      <c r="A788" s="145" t="inlineStr">
        <is>
          <t>WINTER_ART</t>
        </is>
      </c>
      <c r="B788" s="145" t="inlineStr">
        <is>
          <t>Top-Row Cell Format</t>
        </is>
      </c>
      <c r="C788" s="145" t="inlineStr">
        <is>
          <t>J4</t>
        </is>
      </c>
      <c r="D788" s="145" t="inlineStr">
        <is>
          <t>WINTER_ART!A1:AB82</t>
        </is>
      </c>
      <c r="E788" s="145" t="inlineStr">
        <is>
          <t>Normal</t>
        </is>
      </c>
      <c r="F788" s="145" t="inlineStr">
        <is>
          <t>#F8CBAD</t>
        </is>
      </c>
      <c r="G788" s="145" t="inlineStr">
        <is>
          <t>Aptos</t>
        </is>
      </c>
      <c r="H788" s="145" t="n">
        <v>8</v>
      </c>
      <c r="I788" s="145" t="inlineStr">
        <is>
          <t>No</t>
        </is>
      </c>
      <c r="J788" s="145" t="inlineStr">
        <is>
          <t>No</t>
        </is>
      </c>
      <c r="K788" s="145" t="inlineStr">
        <is>
          <t>None</t>
        </is>
      </c>
      <c r="L788" s="145" t="inlineStr">
        <is>
          <t>#000000</t>
        </is>
      </c>
      <c r="M788" s="145" t="inlineStr">
        <is>
          <t>General</t>
        </is>
      </c>
      <c r="N788" s="145" t="inlineStr">
        <is>
          <t>Center</t>
        </is>
      </c>
      <c r="O788" s="145" t="inlineStr">
        <is>
          <t>No</t>
        </is>
      </c>
      <c r="P788" s="145" t="inlineStr">
        <is>
          <t>General</t>
        </is>
      </c>
      <c r="Q788" s="145" t="inlineStr">
        <is>
          <t>General</t>
        </is>
      </c>
      <c r="R788" s="145" t="n"/>
      <c r="S788" s="145" t="n"/>
      <c r="T788" s="145" t="n"/>
      <c r="U788" s="145" t="n"/>
      <c r="V788" s="145" t="n"/>
      <c r="W788" s="145" t="n"/>
      <c r="X788" s="145" t="inlineStr">
        <is>
          <t>Detailed format sample from top 5 used rows</t>
        </is>
      </c>
    </row>
    <row r="789" ht="23.85" customHeight="1" s="79">
      <c r="A789" s="145" t="inlineStr">
        <is>
          <t>WINTER_ART</t>
        </is>
      </c>
      <c r="B789" s="145" t="inlineStr">
        <is>
          <t>Top-Row Cell Format</t>
        </is>
      </c>
      <c r="C789" s="145" t="inlineStr">
        <is>
          <t>J5</t>
        </is>
      </c>
      <c r="D789" s="145" t="inlineStr">
        <is>
          <t>WINTER_ART!A1:AB82</t>
        </is>
      </c>
      <c r="E789" s="145" t="inlineStr">
        <is>
          <t>Normal</t>
        </is>
      </c>
      <c r="F789" s="145" t="n"/>
      <c r="G789" s="145" t="inlineStr">
        <is>
          <t>Aptos</t>
        </is>
      </c>
      <c r="H789" s="145" t="n">
        <v>8</v>
      </c>
      <c r="I789" s="145" t="inlineStr">
        <is>
          <t>No</t>
        </is>
      </c>
      <c r="J789" s="145" t="inlineStr">
        <is>
          <t>No</t>
        </is>
      </c>
      <c r="K789" s="145" t="inlineStr">
        <is>
          <t>None</t>
        </is>
      </c>
      <c r="L789" s="145" t="inlineStr">
        <is>
          <t>#000000</t>
        </is>
      </c>
      <c r="M789" s="145" t="inlineStr">
        <is>
          <t>General</t>
        </is>
      </c>
      <c r="N789" s="145" t="inlineStr">
        <is>
          <t>Center</t>
        </is>
      </c>
      <c r="O789" s="145" t="inlineStr">
        <is>
          <t>No</t>
        </is>
      </c>
      <c r="P789" s="145" t="inlineStr">
        <is>
          <t>General</t>
        </is>
      </c>
      <c r="Q789" s="145" t="inlineStr">
        <is>
          <t>General</t>
        </is>
      </c>
      <c r="R789" s="145" t="n"/>
      <c r="S789" s="145" t="n"/>
      <c r="T789" s="145" t="n"/>
      <c r="U789" s="145" t="n"/>
      <c r="V789" s="145" t="n"/>
      <c r="W789" s="145" t="n"/>
      <c r="X789" s="145" t="inlineStr">
        <is>
          <t>Detailed format sample from top 5 used rows</t>
        </is>
      </c>
    </row>
    <row r="790" ht="23.85" customHeight="1" s="79">
      <c r="A790" s="145" t="inlineStr">
        <is>
          <t>WINTER_ART</t>
        </is>
      </c>
      <c r="B790" s="145" t="inlineStr">
        <is>
          <t>Column Format</t>
        </is>
      </c>
      <c r="C790" s="145" t="inlineStr">
        <is>
          <t>K:K</t>
        </is>
      </c>
      <c r="D790" s="145" t="inlineStr">
        <is>
          <t>WINTER_ART!A1:AB82</t>
        </is>
      </c>
      <c r="E790" s="145" t="inlineStr">
        <is>
          <t>Normal</t>
        </is>
      </c>
      <c r="F790" s="145" t="inlineStr">
        <is>
          <t>Mixed</t>
        </is>
      </c>
      <c r="G790" s="145" t="inlineStr">
        <is>
          <t>Aptos</t>
        </is>
      </c>
      <c r="H790" s="145" t="n">
        <v>8</v>
      </c>
      <c r="I790" s="145" t="inlineStr">
        <is>
          <t>Mixed</t>
        </is>
      </c>
      <c r="J790" s="145" t="inlineStr">
        <is>
          <t>No</t>
        </is>
      </c>
      <c r="K790" s="145" t="inlineStr">
        <is>
          <t>None</t>
        </is>
      </c>
      <c r="L790" s="145" t="inlineStr">
        <is>
          <t>#000000</t>
        </is>
      </c>
      <c r="M790" s="145" t="inlineStr">
        <is>
          <t>General</t>
        </is>
      </c>
      <c r="N790" s="145" t="inlineStr">
        <is>
          <t>Center</t>
        </is>
      </c>
      <c r="O790" s="145" t="inlineStr">
        <is>
          <t>No</t>
        </is>
      </c>
      <c r="P790" s="145" t="n"/>
      <c r="Q790" s="145" t="n"/>
      <c r="R790" s="145" t="inlineStr">
        <is>
          <t>EdgeBottom:Continuous/Thin/#000000; EdgeRight:Continuous/Thin/#000000</t>
        </is>
      </c>
      <c r="S790" s="145" t="n">
        <v>50.5074626865672</v>
      </c>
      <c r="T790" s="145" t="n"/>
      <c r="U790" s="145" t="inlineStr">
        <is>
          <t>No</t>
        </is>
      </c>
      <c r="V790" s="145" t="inlineStr">
        <is>
          <t>Visible</t>
        </is>
      </c>
      <c r="W790" s="145" t="n"/>
      <c r="X790" s="145" t="inlineStr">
        <is>
          <t>Mixed styles within used column</t>
        </is>
      </c>
    </row>
    <row r="791" ht="23.85" customHeight="1" s="79">
      <c r="A791" s="145" t="inlineStr">
        <is>
          <t>WINTER_ART</t>
        </is>
      </c>
      <c r="B791" s="145" t="inlineStr">
        <is>
          <t>Top-Row Cell Format</t>
        </is>
      </c>
      <c r="C791" s="145" t="inlineStr">
        <is>
          <t>K1</t>
        </is>
      </c>
      <c r="D791" s="145" t="inlineStr">
        <is>
          <t>WINTER_ART!A1:AB82</t>
        </is>
      </c>
      <c r="E791" s="145" t="inlineStr">
        <is>
          <t>Normal</t>
        </is>
      </c>
      <c r="F791" s="145" t="n"/>
      <c r="G791" s="145" t="inlineStr">
        <is>
          <t>Aptos</t>
        </is>
      </c>
      <c r="H791" s="145" t="n">
        <v>8</v>
      </c>
      <c r="I791" s="145" t="inlineStr">
        <is>
          <t>No</t>
        </is>
      </c>
      <c r="J791" s="145" t="inlineStr">
        <is>
          <t>No</t>
        </is>
      </c>
      <c r="K791" s="145" t="inlineStr">
        <is>
          <t>None</t>
        </is>
      </c>
      <c r="L791" s="145" t="inlineStr">
        <is>
          <t>#000000</t>
        </is>
      </c>
      <c r="M791" s="145" t="inlineStr">
        <is>
          <t>General</t>
        </is>
      </c>
      <c r="N791" s="145" t="inlineStr">
        <is>
          <t>Center</t>
        </is>
      </c>
      <c r="O791" s="145" t="inlineStr">
        <is>
          <t>No</t>
        </is>
      </c>
      <c r="P791" s="145" t="inlineStr">
        <is>
          <t>General</t>
        </is>
      </c>
      <c r="Q791" s="145" t="inlineStr">
        <is>
          <t>General</t>
        </is>
      </c>
      <c r="R791" s="145" t="n"/>
      <c r="S791" s="145" t="n"/>
      <c r="T791" s="145" t="n"/>
      <c r="U791" s="145" t="n"/>
      <c r="V791" s="145" t="n"/>
      <c r="W791" s="145" t="n"/>
      <c r="X791" s="145" t="inlineStr">
        <is>
          <t>Detailed format sample from top 5 used rows</t>
        </is>
      </c>
    </row>
    <row r="792" ht="23.85" customHeight="1" s="79">
      <c r="A792" s="145" t="inlineStr">
        <is>
          <t>WINTER_ART</t>
        </is>
      </c>
      <c r="B792" s="145" t="inlineStr">
        <is>
          <t>Top-Row Cell Format</t>
        </is>
      </c>
      <c r="C792" s="145" t="inlineStr">
        <is>
          <t>K2</t>
        </is>
      </c>
      <c r="D792" s="145" t="inlineStr">
        <is>
          <t>WINTER_ART!A1:AB82</t>
        </is>
      </c>
      <c r="E792" s="145" t="inlineStr">
        <is>
          <t>Normal</t>
        </is>
      </c>
      <c r="F792" s="145" t="n"/>
      <c r="G792" s="145" t="inlineStr">
        <is>
          <t>Aptos</t>
        </is>
      </c>
      <c r="H792" s="145" t="n">
        <v>8</v>
      </c>
      <c r="I792" s="145" t="inlineStr">
        <is>
          <t>No</t>
        </is>
      </c>
      <c r="J792" s="145" t="inlineStr">
        <is>
          <t>No</t>
        </is>
      </c>
      <c r="K792" s="145" t="inlineStr">
        <is>
          <t>None</t>
        </is>
      </c>
      <c r="L792" s="145" t="inlineStr">
        <is>
          <t>#000000</t>
        </is>
      </c>
      <c r="M792" s="145" t="inlineStr">
        <is>
          <t>General</t>
        </is>
      </c>
      <c r="N792" s="145" t="inlineStr">
        <is>
          <t>Center</t>
        </is>
      </c>
      <c r="O792" s="145" t="inlineStr">
        <is>
          <t>No</t>
        </is>
      </c>
      <c r="P792" s="145" t="inlineStr">
        <is>
          <t>General</t>
        </is>
      </c>
      <c r="Q792" s="145" t="inlineStr">
        <is>
          <t>General</t>
        </is>
      </c>
      <c r="R792" s="145" t="n"/>
      <c r="S792" s="145" t="n"/>
      <c r="T792" s="145" t="n"/>
      <c r="U792" s="145" t="n"/>
      <c r="V792" s="145" t="n"/>
      <c r="W792" s="145" t="n"/>
      <c r="X792" s="145" t="inlineStr">
        <is>
          <t>Detailed format sample from top 5 used rows</t>
        </is>
      </c>
    </row>
    <row r="793" ht="23.85" customHeight="1" s="79">
      <c r="A793" s="145" t="inlineStr">
        <is>
          <t>WINTER_ART</t>
        </is>
      </c>
      <c r="B793" s="145" t="inlineStr">
        <is>
          <t>Top-Row Cell Format</t>
        </is>
      </c>
      <c r="C793" s="145" t="inlineStr">
        <is>
          <t>K3</t>
        </is>
      </c>
      <c r="D793" s="145" t="inlineStr">
        <is>
          <t>WINTER_ART!A1:AB82</t>
        </is>
      </c>
      <c r="E793" s="145" t="inlineStr">
        <is>
          <t>Normal</t>
        </is>
      </c>
      <c r="F793" s="145" t="inlineStr">
        <is>
          <t>#F8CBAD</t>
        </is>
      </c>
      <c r="G793" s="145" t="inlineStr">
        <is>
          <t>Aptos</t>
        </is>
      </c>
      <c r="H793" s="145" t="n">
        <v>8</v>
      </c>
      <c r="I793" s="145" t="inlineStr">
        <is>
          <t>Yes</t>
        </is>
      </c>
      <c r="J793" s="145" t="inlineStr">
        <is>
          <t>No</t>
        </is>
      </c>
      <c r="K793" s="145" t="inlineStr">
        <is>
          <t>None</t>
        </is>
      </c>
      <c r="L793" s="145" t="inlineStr">
        <is>
          <t>#000000</t>
        </is>
      </c>
      <c r="M793" s="145" t="inlineStr">
        <is>
          <t>General</t>
        </is>
      </c>
      <c r="N793" s="145" t="inlineStr">
        <is>
          <t>Center</t>
        </is>
      </c>
      <c r="O793" s="145" t="inlineStr">
        <is>
          <t>No</t>
        </is>
      </c>
      <c r="P793" s="145" t="inlineStr">
        <is>
          <t>General</t>
        </is>
      </c>
      <c r="Q793" s="145" t="inlineStr">
        <is>
          <t>General</t>
        </is>
      </c>
      <c r="R793" s="145" t="n"/>
      <c r="S793" s="145" t="n"/>
      <c r="T793" s="145" t="n"/>
      <c r="U793" s="145" t="n"/>
      <c r="V793" s="145" t="n"/>
      <c r="W793" s="145" t="n"/>
      <c r="X793" s="145" t="inlineStr">
        <is>
          <t>Detailed format sample from top 5 used rows</t>
        </is>
      </c>
    </row>
    <row r="794" ht="23.85" customHeight="1" s="79">
      <c r="A794" s="145" t="inlineStr">
        <is>
          <t>WINTER_ART</t>
        </is>
      </c>
      <c r="B794" s="145" t="inlineStr">
        <is>
          <t>Top-Row Cell Format</t>
        </is>
      </c>
      <c r="C794" s="145" t="inlineStr">
        <is>
          <t>K4</t>
        </is>
      </c>
      <c r="D794" s="145" t="inlineStr">
        <is>
          <t>WINTER_ART!A1:AB82</t>
        </is>
      </c>
      <c r="E794" s="145" t="inlineStr">
        <is>
          <t>Normal</t>
        </is>
      </c>
      <c r="F794" s="145" t="inlineStr">
        <is>
          <t>#F8CBAD</t>
        </is>
      </c>
      <c r="G794" s="145" t="inlineStr">
        <is>
          <t>Aptos</t>
        </is>
      </c>
      <c r="H794" s="145" t="n">
        <v>8</v>
      </c>
      <c r="I794" s="145" t="inlineStr">
        <is>
          <t>No</t>
        </is>
      </c>
      <c r="J794" s="145" t="inlineStr">
        <is>
          <t>No</t>
        </is>
      </c>
      <c r="K794" s="145" t="inlineStr">
        <is>
          <t>None</t>
        </is>
      </c>
      <c r="L794" s="145" t="inlineStr">
        <is>
          <t>#000000</t>
        </is>
      </c>
      <c r="M794" s="145" t="inlineStr">
        <is>
          <t>General</t>
        </is>
      </c>
      <c r="N794" s="145" t="inlineStr">
        <is>
          <t>Center</t>
        </is>
      </c>
      <c r="O794" s="145" t="inlineStr">
        <is>
          <t>No</t>
        </is>
      </c>
      <c r="P794" s="145" t="inlineStr">
        <is>
          <t>General</t>
        </is>
      </c>
      <c r="Q794" s="145" t="inlineStr">
        <is>
          <t>General</t>
        </is>
      </c>
      <c r="R794" s="145" t="n"/>
      <c r="S794" s="145" t="n"/>
      <c r="T794" s="145" t="n"/>
      <c r="U794" s="145" t="n"/>
      <c r="V794" s="145" t="n"/>
      <c r="W794" s="145" t="n"/>
      <c r="X794" s="145" t="inlineStr">
        <is>
          <t>Detailed format sample from top 5 used rows</t>
        </is>
      </c>
    </row>
    <row r="795" ht="23.85" customHeight="1" s="79">
      <c r="A795" s="145" t="inlineStr">
        <is>
          <t>WINTER_ART</t>
        </is>
      </c>
      <c r="B795" s="145" t="inlineStr">
        <is>
          <t>Top-Row Cell Format</t>
        </is>
      </c>
      <c r="C795" s="145" t="inlineStr">
        <is>
          <t>K5</t>
        </is>
      </c>
      <c r="D795" s="145" t="inlineStr">
        <is>
          <t>WINTER_ART!A1:AB82</t>
        </is>
      </c>
      <c r="E795" s="145" t="inlineStr">
        <is>
          <t>Normal</t>
        </is>
      </c>
      <c r="F795" s="145" t="n"/>
      <c r="G795" s="145" t="inlineStr">
        <is>
          <t>Aptos</t>
        </is>
      </c>
      <c r="H795" s="145" t="n">
        <v>8</v>
      </c>
      <c r="I795" s="145" t="inlineStr">
        <is>
          <t>No</t>
        </is>
      </c>
      <c r="J795" s="145" t="inlineStr">
        <is>
          <t>No</t>
        </is>
      </c>
      <c r="K795" s="145" t="inlineStr">
        <is>
          <t>None</t>
        </is>
      </c>
      <c r="L795" s="145" t="inlineStr">
        <is>
          <t>#000000</t>
        </is>
      </c>
      <c r="M795" s="145" t="inlineStr">
        <is>
          <t>General</t>
        </is>
      </c>
      <c r="N795" s="145" t="inlineStr">
        <is>
          <t>Center</t>
        </is>
      </c>
      <c r="O795" s="145" t="inlineStr">
        <is>
          <t>No</t>
        </is>
      </c>
      <c r="P795" s="145" t="inlineStr">
        <is>
          <t>General</t>
        </is>
      </c>
      <c r="Q795" s="145" t="inlineStr">
        <is>
          <t>General</t>
        </is>
      </c>
      <c r="R795" s="145" t="n"/>
      <c r="S795" s="145" t="n"/>
      <c r="T795" s="145" t="n"/>
      <c r="U795" s="145" t="n"/>
      <c r="V795" s="145" t="n"/>
      <c r="W795" s="145" t="n"/>
      <c r="X795" s="145" t="inlineStr">
        <is>
          <t>Detailed format sample from top 5 used rows</t>
        </is>
      </c>
    </row>
    <row r="796" ht="23.85" customHeight="1" s="79">
      <c r="A796" s="145" t="inlineStr">
        <is>
          <t>WINTER_ART</t>
        </is>
      </c>
      <c r="B796" s="145" t="inlineStr">
        <is>
          <t>Column Format</t>
        </is>
      </c>
      <c r="C796" s="145" t="inlineStr">
        <is>
          <t>L:L</t>
        </is>
      </c>
      <c r="D796" s="145" t="inlineStr">
        <is>
          <t>WINTER_ART!A1:AB82</t>
        </is>
      </c>
      <c r="E796" s="145" t="inlineStr">
        <is>
          <t>Normal</t>
        </is>
      </c>
      <c r="F796" s="145" t="inlineStr">
        <is>
          <t>Mixed</t>
        </is>
      </c>
      <c r="G796" s="145" t="inlineStr">
        <is>
          <t>Aptos</t>
        </is>
      </c>
      <c r="H796" s="145" t="n">
        <v>8</v>
      </c>
      <c r="I796" s="145" t="inlineStr">
        <is>
          <t>Mixed</t>
        </is>
      </c>
      <c r="J796" s="145" t="inlineStr">
        <is>
          <t>No</t>
        </is>
      </c>
      <c r="K796" s="145" t="inlineStr">
        <is>
          <t>None</t>
        </is>
      </c>
      <c r="L796" s="145" t="inlineStr">
        <is>
          <t>#000000</t>
        </is>
      </c>
      <c r="M796" s="145" t="inlineStr">
        <is>
          <t>Mixed</t>
        </is>
      </c>
      <c r="N796" s="145" t="inlineStr">
        <is>
          <t>Center</t>
        </is>
      </c>
      <c r="O796" s="145" t="inlineStr">
        <is>
          <t>Mixed</t>
        </is>
      </c>
      <c r="P796" s="145" t="n"/>
      <c r="Q796" s="145" t="n"/>
      <c r="R796" s="145" t="inlineStr">
        <is>
          <t>EdgeBottom:Continuous/Thin/#000000; EdgeRight:Continuous/Thin/#000000</t>
        </is>
      </c>
      <c r="S796" s="145" t="n">
        <v>33.3134328358209</v>
      </c>
      <c r="T796" s="145" t="n"/>
      <c r="U796" s="145" t="inlineStr">
        <is>
          <t>No</t>
        </is>
      </c>
      <c r="V796" s="145" t="inlineStr">
        <is>
          <t>Visible</t>
        </is>
      </c>
      <c r="W796" s="145" t="n"/>
      <c r="X796" s="145" t="inlineStr">
        <is>
          <t>Mixed styles within used column</t>
        </is>
      </c>
    </row>
    <row r="797" ht="23.85" customHeight="1" s="79">
      <c r="A797" s="145" t="inlineStr">
        <is>
          <t>WINTER_ART</t>
        </is>
      </c>
      <c r="B797" s="145" t="inlineStr">
        <is>
          <t>Top-Row Cell Format</t>
        </is>
      </c>
      <c r="C797" s="145" t="inlineStr">
        <is>
          <t>L1</t>
        </is>
      </c>
      <c r="D797" s="145" t="inlineStr">
        <is>
          <t>WINTER_ART!A1:AB82</t>
        </is>
      </c>
      <c r="E797" s="145" t="inlineStr">
        <is>
          <t>Normal</t>
        </is>
      </c>
      <c r="F797" s="145" t="n"/>
      <c r="G797" s="145" t="inlineStr">
        <is>
          <t>Aptos</t>
        </is>
      </c>
      <c r="H797" s="145" t="n">
        <v>8</v>
      </c>
      <c r="I797" s="145" t="inlineStr">
        <is>
          <t>No</t>
        </is>
      </c>
      <c r="J797" s="145" t="inlineStr">
        <is>
          <t>No</t>
        </is>
      </c>
      <c r="K797" s="145" t="inlineStr">
        <is>
          <t>None</t>
        </is>
      </c>
      <c r="L797" s="145" t="inlineStr">
        <is>
          <t>#000000</t>
        </is>
      </c>
      <c r="M797" s="145" t="inlineStr">
        <is>
          <t>General</t>
        </is>
      </c>
      <c r="N797" s="145" t="inlineStr">
        <is>
          <t>Center</t>
        </is>
      </c>
      <c r="O797" s="145" t="inlineStr">
        <is>
          <t>No</t>
        </is>
      </c>
      <c r="P797" s="145" t="inlineStr">
        <is>
          <t>General</t>
        </is>
      </c>
      <c r="Q797" s="145" t="inlineStr">
        <is>
          <t>General</t>
        </is>
      </c>
      <c r="R797" s="145" t="n"/>
      <c r="S797" s="145" t="n"/>
      <c r="T797" s="145" t="n"/>
      <c r="U797" s="145" t="n"/>
      <c r="V797" s="145" t="n"/>
      <c r="W797" s="145" t="n"/>
      <c r="X797" s="145" t="inlineStr">
        <is>
          <t>Detailed format sample from top 5 used rows</t>
        </is>
      </c>
    </row>
    <row r="798" ht="23.85" customHeight="1" s="79">
      <c r="A798" s="145" t="inlineStr">
        <is>
          <t>WINTER_ART</t>
        </is>
      </c>
      <c r="B798" s="145" t="inlineStr">
        <is>
          <t>Top-Row Cell Format</t>
        </is>
      </c>
      <c r="C798" s="145" t="inlineStr">
        <is>
          <t>L2</t>
        </is>
      </c>
      <c r="D798" s="145" t="inlineStr">
        <is>
          <t>WINTER_ART!A1:AB82</t>
        </is>
      </c>
      <c r="E798" s="145" t="inlineStr">
        <is>
          <t>Normal</t>
        </is>
      </c>
      <c r="F798" s="145" t="n"/>
      <c r="G798" s="145" t="inlineStr">
        <is>
          <t>Aptos</t>
        </is>
      </c>
      <c r="H798" s="145" t="n">
        <v>8</v>
      </c>
      <c r="I798" s="145" t="inlineStr">
        <is>
          <t>No</t>
        </is>
      </c>
      <c r="J798" s="145" t="inlineStr">
        <is>
          <t>No</t>
        </is>
      </c>
      <c r="K798" s="145" t="inlineStr">
        <is>
          <t>None</t>
        </is>
      </c>
      <c r="L798" s="145" t="inlineStr">
        <is>
          <t>#000000</t>
        </is>
      </c>
      <c r="M798" s="145" t="inlineStr">
        <is>
          <t>General</t>
        </is>
      </c>
      <c r="N798" s="145" t="inlineStr">
        <is>
          <t>Center</t>
        </is>
      </c>
      <c r="O798" s="145" t="inlineStr">
        <is>
          <t>No</t>
        </is>
      </c>
      <c r="P798" s="145" t="inlineStr">
        <is>
          <t>General</t>
        </is>
      </c>
      <c r="Q798" s="145" t="inlineStr">
        <is>
          <t>General</t>
        </is>
      </c>
      <c r="R798" s="145" t="n"/>
      <c r="S798" s="145" t="n"/>
      <c r="T798" s="145" t="n"/>
      <c r="U798" s="145" t="n"/>
      <c r="V798" s="145" t="n"/>
      <c r="W798" s="145" t="n"/>
      <c r="X798" s="145" t="inlineStr">
        <is>
          <t>Detailed format sample from top 5 used rows</t>
        </is>
      </c>
    </row>
    <row r="799" ht="23.85" customHeight="1" s="79">
      <c r="A799" s="145" t="inlineStr">
        <is>
          <t>WINTER_ART</t>
        </is>
      </c>
      <c r="B799" s="145" t="inlineStr">
        <is>
          <t>Top-Row Cell Format</t>
        </is>
      </c>
      <c r="C799" s="145" t="inlineStr">
        <is>
          <t>L3</t>
        </is>
      </c>
      <c r="D799" s="145" t="inlineStr">
        <is>
          <t>WINTER_ART!A1:AB82</t>
        </is>
      </c>
      <c r="E799" s="145" t="inlineStr">
        <is>
          <t>Normal</t>
        </is>
      </c>
      <c r="F799" s="145" t="inlineStr">
        <is>
          <t>#F8CBAD</t>
        </is>
      </c>
      <c r="G799" s="145" t="inlineStr">
        <is>
          <t>Aptos</t>
        </is>
      </c>
      <c r="H799" s="145" t="n">
        <v>8</v>
      </c>
      <c r="I799" s="145" t="inlineStr">
        <is>
          <t>Yes</t>
        </is>
      </c>
      <c r="J799" s="145" t="inlineStr">
        <is>
          <t>No</t>
        </is>
      </c>
      <c r="K799" s="145" t="inlineStr">
        <is>
          <t>None</t>
        </is>
      </c>
      <c r="L799" s="145" t="inlineStr">
        <is>
          <t>#000000</t>
        </is>
      </c>
      <c r="M799" s="145" t="inlineStr">
        <is>
          <t>Center</t>
        </is>
      </c>
      <c r="N799" s="145" t="inlineStr">
        <is>
          <t>Center</t>
        </is>
      </c>
      <c r="O799" s="145" t="inlineStr">
        <is>
          <t>Yes</t>
        </is>
      </c>
      <c r="P799" s="145" t="inlineStr">
        <is>
          <t>General</t>
        </is>
      </c>
      <c r="Q799" s="145" t="inlineStr">
        <is>
          <t>General</t>
        </is>
      </c>
      <c r="R799" s="145" t="n"/>
      <c r="S799" s="145" t="n"/>
      <c r="T799" s="145" t="n"/>
      <c r="U799" s="145" t="n"/>
      <c r="V799" s="145" t="n"/>
      <c r="W799" s="145" t="n"/>
      <c r="X799" s="145" t="inlineStr">
        <is>
          <t>Detailed format sample from top 5 used rows</t>
        </is>
      </c>
    </row>
    <row r="800" ht="23.85" customHeight="1" s="79">
      <c r="A800" s="145" t="inlineStr">
        <is>
          <t>WINTER_ART</t>
        </is>
      </c>
      <c r="B800" s="145" t="inlineStr">
        <is>
          <t>Top-Row Cell Format</t>
        </is>
      </c>
      <c r="C800" s="145" t="inlineStr">
        <is>
          <t>L4</t>
        </is>
      </c>
      <c r="D800" s="145" t="inlineStr">
        <is>
          <t>WINTER_ART!A1:AB82</t>
        </is>
      </c>
      <c r="E800" s="145" t="inlineStr">
        <is>
          <t>Normal</t>
        </is>
      </c>
      <c r="F800" s="145" t="inlineStr">
        <is>
          <t>#F8CBAD</t>
        </is>
      </c>
      <c r="G800" s="145" t="inlineStr">
        <is>
          <t>Aptos</t>
        </is>
      </c>
      <c r="H800" s="145" t="n">
        <v>8</v>
      </c>
      <c r="I800" s="145" t="inlineStr">
        <is>
          <t>No</t>
        </is>
      </c>
      <c r="J800" s="145" t="inlineStr">
        <is>
          <t>No</t>
        </is>
      </c>
      <c r="K800" s="145" t="inlineStr">
        <is>
          <t>None</t>
        </is>
      </c>
      <c r="L800" s="145" t="inlineStr">
        <is>
          <t>#000000</t>
        </is>
      </c>
      <c r="M800" s="145" t="inlineStr">
        <is>
          <t>General</t>
        </is>
      </c>
      <c r="N800" s="145" t="inlineStr">
        <is>
          <t>Center</t>
        </is>
      </c>
      <c r="O800" s="145" t="inlineStr">
        <is>
          <t>No</t>
        </is>
      </c>
      <c r="P800" s="145" t="inlineStr">
        <is>
          <t>General</t>
        </is>
      </c>
      <c r="Q800" s="145" t="inlineStr">
        <is>
          <t>General</t>
        </is>
      </c>
      <c r="R800" s="145" t="n"/>
      <c r="S800" s="145" t="n"/>
      <c r="T800" s="145" t="n"/>
      <c r="U800" s="145" t="n"/>
      <c r="V800" s="145" t="n"/>
      <c r="W800" s="145" t="n"/>
      <c r="X800" s="145" t="inlineStr">
        <is>
          <t>Detailed format sample from top 5 used rows</t>
        </is>
      </c>
    </row>
    <row r="801" ht="23.85" customHeight="1" s="79">
      <c r="A801" s="145" t="inlineStr">
        <is>
          <t>WINTER_ART</t>
        </is>
      </c>
      <c r="B801" s="145" t="inlineStr">
        <is>
          <t>Top-Row Cell Format</t>
        </is>
      </c>
      <c r="C801" s="145" t="inlineStr">
        <is>
          <t>L5</t>
        </is>
      </c>
      <c r="D801" s="145" t="inlineStr">
        <is>
          <t>WINTER_ART!A1:AB82</t>
        </is>
      </c>
      <c r="E801" s="145" t="inlineStr">
        <is>
          <t>Normal</t>
        </is>
      </c>
      <c r="F801" s="145" t="inlineStr">
        <is>
          <t>#EDEDED</t>
        </is>
      </c>
      <c r="G801" s="145" t="inlineStr">
        <is>
          <t>Aptos</t>
        </is>
      </c>
      <c r="H801" s="145" t="n">
        <v>8</v>
      </c>
      <c r="I801" s="145" t="inlineStr">
        <is>
          <t>Yes</t>
        </is>
      </c>
      <c r="J801" s="145" t="inlineStr">
        <is>
          <t>No</t>
        </is>
      </c>
      <c r="K801" s="145" t="inlineStr">
        <is>
          <t>None</t>
        </is>
      </c>
      <c r="L801" s="145" t="inlineStr">
        <is>
          <t>#000000</t>
        </is>
      </c>
      <c r="M801" s="145" t="inlineStr">
        <is>
          <t>Center</t>
        </is>
      </c>
      <c r="N801" s="145" t="inlineStr">
        <is>
          <t>Center</t>
        </is>
      </c>
      <c r="O801" s="145" t="inlineStr">
        <is>
          <t>No</t>
        </is>
      </c>
      <c r="P801" s="145" t="inlineStr">
        <is>
          <t>General</t>
        </is>
      </c>
      <c r="Q801" s="145" t="inlineStr">
        <is>
          <t>General</t>
        </is>
      </c>
      <c r="R801" s="145" t="n"/>
      <c r="S801" s="145" t="n"/>
      <c r="T801" s="145" t="n"/>
      <c r="U801" s="145" t="n"/>
      <c r="V801" s="145" t="n"/>
      <c r="W801" s="145" t="n"/>
      <c r="X801" s="145" t="inlineStr">
        <is>
          <t>Detailed format sample from top 5 used rows</t>
        </is>
      </c>
    </row>
    <row r="802" ht="23.85" customHeight="1" s="79">
      <c r="A802" s="145" t="inlineStr">
        <is>
          <t>WINTER_ART</t>
        </is>
      </c>
      <c r="B802" s="145" t="inlineStr">
        <is>
          <t>Column Format</t>
        </is>
      </c>
      <c r="C802" s="145" t="inlineStr">
        <is>
          <t>M:M</t>
        </is>
      </c>
      <c r="D802" s="145" t="inlineStr">
        <is>
          <t>WINTER_ART!A1:AB82</t>
        </is>
      </c>
      <c r="E802" s="145" t="inlineStr">
        <is>
          <t>Mixed</t>
        </is>
      </c>
      <c r="F802" s="145" t="inlineStr">
        <is>
          <t>Mixed</t>
        </is>
      </c>
      <c r="G802" s="145" t="inlineStr">
        <is>
          <t>Aptos</t>
        </is>
      </c>
      <c r="H802" s="145" t="n">
        <v>8</v>
      </c>
      <c r="I802" s="145" t="inlineStr">
        <is>
          <t>Mixed</t>
        </is>
      </c>
      <c r="J802" s="145" t="inlineStr">
        <is>
          <t>No</t>
        </is>
      </c>
      <c r="K802" s="145" t="inlineStr">
        <is>
          <t>None</t>
        </is>
      </c>
      <c r="L802" s="145" t="inlineStr">
        <is>
          <t>#000000</t>
        </is>
      </c>
      <c r="M802" s="145" t="inlineStr">
        <is>
          <t>Mixed</t>
        </is>
      </c>
      <c r="N802" s="145" t="inlineStr">
        <is>
          <t>Center</t>
        </is>
      </c>
      <c r="O802" s="145" t="inlineStr">
        <is>
          <t>Mixed</t>
        </is>
      </c>
      <c r="P802" s="145" t="n"/>
      <c r="Q802" s="145" t="n"/>
      <c r="R802" s="145" t="inlineStr">
        <is>
          <t>EdgeBottom:Continuous/Thin/#000000; EdgeRight:Continuous/Thin/#000000</t>
        </is>
      </c>
      <c r="S802" s="145" t="n">
        <v>44.5970149253731</v>
      </c>
      <c r="T802" s="145" t="n"/>
      <c r="U802" s="145" t="inlineStr">
        <is>
          <t>No</t>
        </is>
      </c>
      <c r="V802" s="145" t="inlineStr">
        <is>
          <t>Visible</t>
        </is>
      </c>
      <c r="W802" s="145" t="n"/>
      <c r="X802" s="145" t="inlineStr">
        <is>
          <t>Mixed styles within used column</t>
        </is>
      </c>
    </row>
    <row r="803" ht="23.85" customHeight="1" s="79">
      <c r="A803" s="145" t="inlineStr">
        <is>
          <t>WINTER_ART</t>
        </is>
      </c>
      <c r="B803" s="145" t="inlineStr">
        <is>
          <t>Top-Row Cell Format</t>
        </is>
      </c>
      <c r="C803" s="145" t="inlineStr">
        <is>
          <t>M1</t>
        </is>
      </c>
      <c r="D803" s="145" t="inlineStr">
        <is>
          <t>WINTER_ART!A1:AB82</t>
        </is>
      </c>
      <c r="E803" s="145" t="inlineStr">
        <is>
          <t>Normal</t>
        </is>
      </c>
      <c r="F803" s="145" t="n"/>
      <c r="G803" s="145" t="inlineStr">
        <is>
          <t>Aptos</t>
        </is>
      </c>
      <c r="H803" s="145" t="n">
        <v>8</v>
      </c>
      <c r="I803" s="145" t="inlineStr">
        <is>
          <t>No</t>
        </is>
      </c>
      <c r="J803" s="145" t="inlineStr">
        <is>
          <t>No</t>
        </is>
      </c>
      <c r="K803" s="145" t="inlineStr">
        <is>
          <t>None</t>
        </is>
      </c>
      <c r="L803" s="145" t="inlineStr">
        <is>
          <t>#000000</t>
        </is>
      </c>
      <c r="M803" s="145" t="inlineStr">
        <is>
          <t>General</t>
        </is>
      </c>
      <c r="N803" s="145" t="inlineStr">
        <is>
          <t>Center</t>
        </is>
      </c>
      <c r="O803" s="145" t="inlineStr">
        <is>
          <t>No</t>
        </is>
      </c>
      <c r="P803" s="145" t="inlineStr">
        <is>
          <t>General</t>
        </is>
      </c>
      <c r="Q803" s="145" t="inlineStr">
        <is>
          <t>General</t>
        </is>
      </c>
      <c r="R803" s="145" t="n"/>
      <c r="S803" s="145" t="n"/>
      <c r="T803" s="145" t="n"/>
      <c r="U803" s="145" t="n"/>
      <c r="V803" s="145" t="n"/>
      <c r="W803" s="145" t="n"/>
      <c r="X803" s="145" t="inlineStr">
        <is>
          <t>Detailed format sample from top 5 used rows</t>
        </is>
      </c>
    </row>
    <row r="804" ht="23.85" customHeight="1" s="79">
      <c r="A804" s="145" t="inlineStr">
        <is>
          <t>WINTER_ART</t>
        </is>
      </c>
      <c r="B804" s="145" t="inlineStr">
        <is>
          <t>Top-Row Cell Format</t>
        </is>
      </c>
      <c r="C804" s="145" t="inlineStr">
        <is>
          <t>M2</t>
        </is>
      </c>
      <c r="D804" s="145" t="inlineStr">
        <is>
          <t>WINTER_ART!A1:AB82</t>
        </is>
      </c>
      <c r="E804" s="145" t="inlineStr">
        <is>
          <t>Comma</t>
        </is>
      </c>
      <c r="F804" s="145" t="inlineStr">
        <is>
          <t>#B4C6E7</t>
        </is>
      </c>
      <c r="G804" s="145" t="inlineStr">
        <is>
          <t>Aptos</t>
        </is>
      </c>
      <c r="H804" s="145" t="n">
        <v>8</v>
      </c>
      <c r="I804" s="145" t="inlineStr">
        <is>
          <t>Yes</t>
        </is>
      </c>
      <c r="J804" s="145" t="inlineStr">
        <is>
          <t>No</t>
        </is>
      </c>
      <c r="K804" s="145" t="inlineStr">
        <is>
          <t>None</t>
        </is>
      </c>
      <c r="L804" s="145" t="inlineStr">
        <is>
          <t>#000000</t>
        </is>
      </c>
      <c r="M804" s="145" t="inlineStr">
        <is>
          <t>Center</t>
        </is>
      </c>
      <c r="N804" s="145" t="inlineStr">
        <is>
          <t>Center</t>
        </is>
      </c>
      <c r="O804" s="145" t="inlineStr">
        <is>
          <t>No</t>
        </is>
      </c>
      <c r="P804" s="145" t="inlineStr">
        <is>
          <t xml:space="preserve">_ * #,##0_ ;_ * -#,##0_ ;_ * "-"??_ ;_ @_ </t>
        </is>
      </c>
      <c r="Q804" s="145" t="inlineStr">
        <is>
          <t>Text</t>
        </is>
      </c>
      <c r="R804" s="145" t="n"/>
      <c r="S804" s="145" t="n"/>
      <c r="T804" s="145" t="n"/>
      <c r="U804" s="145" t="n"/>
      <c r="V804" s="145" t="n"/>
      <c r="W804" s="145" t="n"/>
      <c r="X804" s="145" t="inlineStr">
        <is>
          <t>Detailed format sample from top 5 used rows</t>
        </is>
      </c>
    </row>
    <row r="805" ht="23.85" customHeight="1" s="79">
      <c r="A805" s="145" t="inlineStr">
        <is>
          <t>WINTER_ART</t>
        </is>
      </c>
      <c r="B805" s="145" t="inlineStr">
        <is>
          <t>Top-Row Cell Format</t>
        </is>
      </c>
      <c r="C805" s="145" t="inlineStr">
        <is>
          <t>M3</t>
        </is>
      </c>
      <c r="D805" s="145" t="inlineStr">
        <is>
          <t>WINTER_ART!A1:AB82</t>
        </is>
      </c>
      <c r="E805" s="145" t="inlineStr">
        <is>
          <t>Normal</t>
        </is>
      </c>
      <c r="F805" s="145" t="inlineStr">
        <is>
          <t>#F8CBAD</t>
        </is>
      </c>
      <c r="G805" s="145" t="inlineStr">
        <is>
          <t>Aptos</t>
        </is>
      </c>
      <c r="H805" s="145" t="n">
        <v>8</v>
      </c>
      <c r="I805" s="145" t="inlineStr">
        <is>
          <t>Yes</t>
        </is>
      </c>
      <c r="J805" s="145" t="inlineStr">
        <is>
          <t>No</t>
        </is>
      </c>
      <c r="K805" s="145" t="inlineStr">
        <is>
          <t>None</t>
        </is>
      </c>
      <c r="L805" s="145" t="inlineStr">
        <is>
          <t>#000000</t>
        </is>
      </c>
      <c r="M805" s="145" t="inlineStr">
        <is>
          <t>Center</t>
        </is>
      </c>
      <c r="N805" s="145" t="inlineStr">
        <is>
          <t>Center</t>
        </is>
      </c>
      <c r="O805" s="145" t="inlineStr">
        <is>
          <t>Yes</t>
        </is>
      </c>
      <c r="P805" s="145" t="inlineStr">
        <is>
          <t>General</t>
        </is>
      </c>
      <c r="Q805" s="145" t="inlineStr">
        <is>
          <t>General</t>
        </is>
      </c>
      <c r="R805" s="145" t="n"/>
      <c r="S805" s="145" t="n"/>
      <c r="T805" s="145" t="n"/>
      <c r="U805" s="145" t="n"/>
      <c r="V805" s="145" t="n"/>
      <c r="W805" s="145" t="n"/>
      <c r="X805" s="145" t="inlineStr">
        <is>
          <t>Detailed format sample from top 5 used rows</t>
        </is>
      </c>
    </row>
    <row r="806" ht="23.85" customHeight="1" s="79">
      <c r="A806" s="145" t="inlineStr">
        <is>
          <t>WINTER_ART</t>
        </is>
      </c>
      <c r="B806" s="145" t="inlineStr">
        <is>
          <t>Top-Row Cell Format</t>
        </is>
      </c>
      <c r="C806" s="145" t="inlineStr">
        <is>
          <t>M4</t>
        </is>
      </c>
      <c r="D806" s="145" t="inlineStr">
        <is>
          <t>WINTER_ART!A1:AB82</t>
        </is>
      </c>
      <c r="E806" s="145" t="inlineStr">
        <is>
          <t>Normal</t>
        </is>
      </c>
      <c r="F806" s="145" t="inlineStr">
        <is>
          <t>#F8CBAD</t>
        </is>
      </c>
      <c r="G806" s="145" t="inlineStr">
        <is>
          <t>Aptos</t>
        </is>
      </c>
      <c r="H806" s="145" t="n">
        <v>8</v>
      </c>
      <c r="I806" s="145" t="inlineStr">
        <is>
          <t>No</t>
        </is>
      </c>
      <c r="J806" s="145" t="inlineStr">
        <is>
          <t>No</t>
        </is>
      </c>
      <c r="K806" s="145" t="inlineStr">
        <is>
          <t>None</t>
        </is>
      </c>
      <c r="L806" s="145" t="inlineStr">
        <is>
          <t>#000000</t>
        </is>
      </c>
      <c r="M806" s="145" t="inlineStr">
        <is>
          <t>Center</t>
        </is>
      </c>
      <c r="N806" s="145" t="inlineStr">
        <is>
          <t>Center</t>
        </is>
      </c>
      <c r="O806" s="145" t="inlineStr">
        <is>
          <t>No</t>
        </is>
      </c>
      <c r="P806" s="145" t="inlineStr">
        <is>
          <t>General</t>
        </is>
      </c>
      <c r="Q806" s="145" t="inlineStr">
        <is>
          <t>General</t>
        </is>
      </c>
      <c r="R806" s="145" t="n"/>
      <c r="S806" s="145" t="n"/>
      <c r="T806" s="145" t="n"/>
      <c r="U806" s="145" t="n"/>
      <c r="V806" s="145" t="n"/>
      <c r="W806" s="145" t="n"/>
      <c r="X806" s="145" t="inlineStr">
        <is>
          <t>Detailed format sample from top 5 used rows</t>
        </is>
      </c>
    </row>
    <row r="807" ht="23.85" customHeight="1" s="79">
      <c r="A807" s="145" t="inlineStr">
        <is>
          <t>WINTER_ART</t>
        </is>
      </c>
      <c r="B807" s="145" t="inlineStr">
        <is>
          <t>Top-Row Cell Format</t>
        </is>
      </c>
      <c r="C807" s="145" t="inlineStr">
        <is>
          <t>M5</t>
        </is>
      </c>
      <c r="D807" s="145" t="inlineStr">
        <is>
          <t>WINTER_ART!A1:AB82</t>
        </is>
      </c>
      <c r="E807" s="145" t="inlineStr">
        <is>
          <t>Normal</t>
        </is>
      </c>
      <c r="F807" s="145" t="inlineStr">
        <is>
          <t>#B4C6E7</t>
        </is>
      </c>
      <c r="G807" s="145" t="inlineStr">
        <is>
          <t>Aptos</t>
        </is>
      </c>
      <c r="H807" s="145" t="n">
        <v>8</v>
      </c>
      <c r="I807" s="145" t="inlineStr">
        <is>
          <t>Yes</t>
        </is>
      </c>
      <c r="J807" s="145" t="inlineStr">
        <is>
          <t>No</t>
        </is>
      </c>
      <c r="K807" s="145" t="inlineStr">
        <is>
          <t>None</t>
        </is>
      </c>
      <c r="L807" s="145" t="inlineStr">
        <is>
          <t>#000000</t>
        </is>
      </c>
      <c r="M807" s="145" t="inlineStr">
        <is>
          <t>General</t>
        </is>
      </c>
      <c r="N807" s="145" t="inlineStr">
        <is>
          <t>Center</t>
        </is>
      </c>
      <c r="O807" s="145" t="inlineStr">
        <is>
          <t>No</t>
        </is>
      </c>
      <c r="P807" s="145" t="inlineStr">
        <is>
          <t xml:space="preserve">_ * #,##0_ ;_ * -#,##0_ ;_ * "-"??_ ;_ @_ </t>
        </is>
      </c>
      <c r="Q807" s="145" t="inlineStr">
        <is>
          <t>Text</t>
        </is>
      </c>
      <c r="R807" s="145" t="n"/>
      <c r="S807" s="145" t="n"/>
      <c r="T807" s="145" t="n"/>
      <c r="U807" s="145" t="n"/>
      <c r="V807" s="145" t="n"/>
      <c r="W807" s="145" t="n"/>
      <c r="X807" s="145" t="inlineStr">
        <is>
          <t>Detailed format sample from top 5 used rows</t>
        </is>
      </c>
    </row>
    <row r="808" ht="23.85" customHeight="1" s="79">
      <c r="A808" s="145" t="inlineStr">
        <is>
          <t>WINTER_ART</t>
        </is>
      </c>
      <c r="B808" s="145" t="inlineStr">
        <is>
          <t>Column Format</t>
        </is>
      </c>
      <c r="C808" s="145" t="inlineStr">
        <is>
          <t>N:N</t>
        </is>
      </c>
      <c r="D808" s="145" t="inlineStr">
        <is>
          <t>WINTER_ART!A1:AB82</t>
        </is>
      </c>
      <c r="E808" s="145" t="inlineStr">
        <is>
          <t>Mixed</t>
        </is>
      </c>
      <c r="F808" s="145" t="inlineStr">
        <is>
          <t>Mixed</t>
        </is>
      </c>
      <c r="G808" s="145" t="inlineStr">
        <is>
          <t>Aptos</t>
        </is>
      </c>
      <c r="H808" s="145" t="n">
        <v>8</v>
      </c>
      <c r="I808" s="145" t="inlineStr">
        <is>
          <t>Mixed</t>
        </is>
      </c>
      <c r="J808" s="145" t="inlineStr">
        <is>
          <t>No</t>
        </is>
      </c>
      <c r="K808" s="145" t="inlineStr">
        <is>
          <t>None</t>
        </is>
      </c>
      <c r="L808" s="145" t="inlineStr">
        <is>
          <t>#000000</t>
        </is>
      </c>
      <c r="M808" s="145" t="inlineStr">
        <is>
          <t>Mixed</t>
        </is>
      </c>
      <c r="N808" s="145" t="inlineStr">
        <is>
          <t>Center</t>
        </is>
      </c>
      <c r="O808" s="145" t="inlineStr">
        <is>
          <t>Mixed</t>
        </is>
      </c>
      <c r="P808" s="145" t="n"/>
      <c r="Q808" s="145" t="n"/>
      <c r="R808" s="145" t="inlineStr">
        <is>
          <t>EdgeBottom:Continuous/Thin/#000000; EdgeRight:Continuous/Thin/#000000</t>
        </is>
      </c>
      <c r="S808" s="145" t="n">
        <v>46.7462686567164</v>
      </c>
      <c r="T808" s="145" t="n"/>
      <c r="U808" s="145" t="inlineStr">
        <is>
          <t>No</t>
        </is>
      </c>
      <c r="V808" s="145" t="inlineStr">
        <is>
          <t>Visible</t>
        </is>
      </c>
      <c r="W808" s="145" t="n"/>
      <c r="X808" s="145" t="inlineStr">
        <is>
          <t>Mixed styles within used column</t>
        </is>
      </c>
    </row>
    <row r="809" ht="23.85" customHeight="1" s="79">
      <c r="A809" s="145" t="inlineStr">
        <is>
          <t>WINTER_ART</t>
        </is>
      </c>
      <c r="B809" s="145" t="inlineStr">
        <is>
          <t>Top-Row Cell Format</t>
        </is>
      </c>
      <c r="C809" s="145" t="inlineStr">
        <is>
          <t>N1</t>
        </is>
      </c>
      <c r="D809" s="145" t="inlineStr">
        <is>
          <t>WINTER_ART!A1:AB82</t>
        </is>
      </c>
      <c r="E809" s="145" t="inlineStr">
        <is>
          <t>Normal</t>
        </is>
      </c>
      <c r="F809" s="145" t="n"/>
      <c r="G809" s="145" t="inlineStr">
        <is>
          <t>Aptos</t>
        </is>
      </c>
      <c r="H809" s="145" t="n">
        <v>8</v>
      </c>
      <c r="I809" s="145" t="inlineStr">
        <is>
          <t>No</t>
        </is>
      </c>
      <c r="J809" s="145" t="inlineStr">
        <is>
          <t>No</t>
        </is>
      </c>
      <c r="K809" s="145" t="inlineStr">
        <is>
          <t>None</t>
        </is>
      </c>
      <c r="L809" s="145" t="inlineStr">
        <is>
          <t>#000000</t>
        </is>
      </c>
      <c r="M809" s="145" t="inlineStr">
        <is>
          <t>General</t>
        </is>
      </c>
      <c r="N809" s="145" t="inlineStr">
        <is>
          <t>Center</t>
        </is>
      </c>
      <c r="O809" s="145" t="inlineStr">
        <is>
          <t>No</t>
        </is>
      </c>
      <c r="P809" s="145" t="inlineStr">
        <is>
          <t>General</t>
        </is>
      </c>
      <c r="Q809" s="145" t="inlineStr">
        <is>
          <t>General</t>
        </is>
      </c>
      <c r="R809" s="145" t="n"/>
      <c r="S809" s="145" t="n"/>
      <c r="T809" s="145" t="n"/>
      <c r="U809" s="145" t="n"/>
      <c r="V809" s="145" t="n"/>
      <c r="W809" s="145" t="n"/>
      <c r="X809" s="145" t="inlineStr">
        <is>
          <t>Detailed format sample from top 5 used rows</t>
        </is>
      </c>
    </row>
    <row r="810" ht="23.85" customHeight="1" s="79">
      <c r="A810" s="145" t="inlineStr">
        <is>
          <t>WINTER_ART</t>
        </is>
      </c>
      <c r="B810" s="145" t="inlineStr">
        <is>
          <t>Top-Row Cell Format</t>
        </is>
      </c>
      <c r="C810" s="145" t="inlineStr">
        <is>
          <t>N2</t>
        </is>
      </c>
      <c r="D810" s="145" t="inlineStr">
        <is>
          <t>WINTER_ART!A1:AB82</t>
        </is>
      </c>
      <c r="E810" s="145" t="inlineStr">
        <is>
          <t>Comma</t>
        </is>
      </c>
      <c r="F810" s="145" t="inlineStr">
        <is>
          <t>#B4C6E7</t>
        </is>
      </c>
      <c r="G810" s="145" t="inlineStr">
        <is>
          <t>Aptos</t>
        </is>
      </c>
      <c r="H810" s="145" t="n">
        <v>8</v>
      </c>
      <c r="I810" s="145" t="inlineStr">
        <is>
          <t>Yes</t>
        </is>
      </c>
      <c r="J810" s="145" t="inlineStr">
        <is>
          <t>No</t>
        </is>
      </c>
      <c r="K810" s="145" t="inlineStr">
        <is>
          <t>None</t>
        </is>
      </c>
      <c r="L810" s="145" t="inlineStr">
        <is>
          <t>#000000</t>
        </is>
      </c>
      <c r="M810" s="145" t="inlineStr">
        <is>
          <t>Center</t>
        </is>
      </c>
      <c r="N810" s="145" t="inlineStr">
        <is>
          <t>Center</t>
        </is>
      </c>
      <c r="O810" s="145" t="inlineStr">
        <is>
          <t>No</t>
        </is>
      </c>
      <c r="P810" s="145" t="inlineStr">
        <is>
          <t xml:space="preserve">_ * #,##0_ ;_ * -#,##0_ ;_ * "-"??_ ;_ @_ </t>
        </is>
      </c>
      <c r="Q810" s="145" t="inlineStr">
        <is>
          <t>Text</t>
        </is>
      </c>
      <c r="R810" s="145" t="n"/>
      <c r="S810" s="145" t="n"/>
      <c r="T810" s="145" t="n"/>
      <c r="U810" s="145" t="n"/>
      <c r="V810" s="145" t="n"/>
      <c r="W810" s="145" t="n"/>
      <c r="X810" s="145" t="inlineStr">
        <is>
          <t>Detailed format sample from top 5 used rows</t>
        </is>
      </c>
    </row>
    <row r="811" ht="23.85" customHeight="1" s="79">
      <c r="A811" s="145" t="inlineStr">
        <is>
          <t>WINTER_ART</t>
        </is>
      </c>
      <c r="B811" s="145" t="inlineStr">
        <is>
          <t>Top-Row Cell Format</t>
        </is>
      </c>
      <c r="C811" s="145" t="inlineStr">
        <is>
          <t>N3</t>
        </is>
      </c>
      <c r="D811" s="145" t="inlineStr">
        <is>
          <t>WINTER_ART!A1:AB82</t>
        </is>
      </c>
      <c r="E811" s="145" t="inlineStr">
        <is>
          <t>Normal</t>
        </is>
      </c>
      <c r="F811" s="145" t="inlineStr">
        <is>
          <t>#F8CBAD</t>
        </is>
      </c>
      <c r="G811" s="145" t="inlineStr">
        <is>
          <t>Aptos</t>
        </is>
      </c>
      <c r="H811" s="145" t="n">
        <v>8</v>
      </c>
      <c r="I811" s="145" t="inlineStr">
        <is>
          <t>Yes</t>
        </is>
      </c>
      <c r="J811" s="145" t="inlineStr">
        <is>
          <t>No</t>
        </is>
      </c>
      <c r="K811" s="145" t="inlineStr">
        <is>
          <t>None</t>
        </is>
      </c>
      <c r="L811" s="145" t="inlineStr">
        <is>
          <t>#000000</t>
        </is>
      </c>
      <c r="M811" s="145" t="inlineStr">
        <is>
          <t>Center</t>
        </is>
      </c>
      <c r="N811" s="145" t="inlineStr">
        <is>
          <t>Center</t>
        </is>
      </c>
      <c r="O811" s="145" t="inlineStr">
        <is>
          <t>Yes</t>
        </is>
      </c>
      <c r="P811" s="145" t="inlineStr">
        <is>
          <t>General</t>
        </is>
      </c>
      <c r="Q811" s="145" t="inlineStr">
        <is>
          <t>General</t>
        </is>
      </c>
      <c r="R811" s="145" t="n"/>
      <c r="S811" s="145" t="n"/>
      <c r="T811" s="145" t="n"/>
      <c r="U811" s="145" t="n"/>
      <c r="V811" s="145" t="n"/>
      <c r="W811" s="145" t="n"/>
      <c r="X811" s="145" t="inlineStr">
        <is>
          <t>Detailed format sample from top 5 used rows</t>
        </is>
      </c>
    </row>
    <row r="812" ht="23.85" customHeight="1" s="79">
      <c r="A812" s="145" t="inlineStr">
        <is>
          <t>WINTER_ART</t>
        </is>
      </c>
      <c r="B812" s="145" t="inlineStr">
        <is>
          <t>Top-Row Cell Format</t>
        </is>
      </c>
      <c r="C812" s="145" t="inlineStr">
        <is>
          <t>N4</t>
        </is>
      </c>
      <c r="D812" s="145" t="inlineStr">
        <is>
          <t>WINTER_ART!A1:AB82</t>
        </is>
      </c>
      <c r="E812" s="145" t="inlineStr">
        <is>
          <t>Normal</t>
        </is>
      </c>
      <c r="F812" s="145" t="inlineStr">
        <is>
          <t>#F8CBAD</t>
        </is>
      </c>
      <c r="G812" s="145" t="inlineStr">
        <is>
          <t>Aptos</t>
        </is>
      </c>
      <c r="H812" s="145" t="n">
        <v>8</v>
      </c>
      <c r="I812" s="145" t="inlineStr">
        <is>
          <t>No</t>
        </is>
      </c>
      <c r="J812" s="145" t="inlineStr">
        <is>
          <t>No</t>
        </is>
      </c>
      <c r="K812" s="145" t="inlineStr">
        <is>
          <t>None</t>
        </is>
      </c>
      <c r="L812" s="145" t="inlineStr">
        <is>
          <t>#000000</t>
        </is>
      </c>
      <c r="M812" s="145" t="inlineStr">
        <is>
          <t>Center</t>
        </is>
      </c>
      <c r="N812" s="145" t="inlineStr">
        <is>
          <t>Center</t>
        </is>
      </c>
      <c r="O812" s="145" t="inlineStr">
        <is>
          <t>No</t>
        </is>
      </c>
      <c r="P812" s="145" t="inlineStr">
        <is>
          <t>General</t>
        </is>
      </c>
      <c r="Q812" s="145" t="inlineStr">
        <is>
          <t>General</t>
        </is>
      </c>
      <c r="R812" s="145" t="n"/>
      <c r="S812" s="145" t="n"/>
      <c r="T812" s="145" t="n"/>
      <c r="U812" s="145" t="n"/>
      <c r="V812" s="145" t="n"/>
      <c r="W812" s="145" t="n"/>
      <c r="X812" s="145" t="inlineStr">
        <is>
          <t>Detailed format sample from top 5 used rows</t>
        </is>
      </c>
    </row>
    <row r="813" ht="23.85" customHeight="1" s="79">
      <c r="A813" s="145" t="inlineStr">
        <is>
          <t>WINTER_ART</t>
        </is>
      </c>
      <c r="B813" s="145" t="inlineStr">
        <is>
          <t>Top-Row Cell Format</t>
        </is>
      </c>
      <c r="C813" s="145" t="inlineStr">
        <is>
          <t>N5</t>
        </is>
      </c>
      <c r="D813" s="145" t="inlineStr">
        <is>
          <t>WINTER_ART!A1:AB82</t>
        </is>
      </c>
      <c r="E813" s="145" t="inlineStr">
        <is>
          <t>Normal</t>
        </is>
      </c>
      <c r="F813" s="145" t="inlineStr">
        <is>
          <t>#B4C6E7</t>
        </is>
      </c>
      <c r="G813" s="145" t="inlineStr">
        <is>
          <t>Aptos</t>
        </is>
      </c>
      <c r="H813" s="145" t="n">
        <v>8</v>
      </c>
      <c r="I813" s="145" t="inlineStr">
        <is>
          <t>Yes</t>
        </is>
      </c>
      <c r="J813" s="145" t="inlineStr">
        <is>
          <t>No</t>
        </is>
      </c>
      <c r="K813" s="145" t="inlineStr">
        <is>
          <t>None</t>
        </is>
      </c>
      <c r="L813" s="145" t="inlineStr">
        <is>
          <t>#000000</t>
        </is>
      </c>
      <c r="M813" s="145" t="inlineStr">
        <is>
          <t>General</t>
        </is>
      </c>
      <c r="N813" s="145" t="inlineStr">
        <is>
          <t>Center</t>
        </is>
      </c>
      <c r="O813" s="145" t="inlineStr">
        <is>
          <t>No</t>
        </is>
      </c>
      <c r="P813" s="145" t="inlineStr">
        <is>
          <t xml:space="preserve">_ * #,##0_ ;_ * -#,##0_ ;_ * "-"??_ ;_ @_ </t>
        </is>
      </c>
      <c r="Q813" s="145" t="inlineStr">
        <is>
          <t>Text</t>
        </is>
      </c>
      <c r="R813" s="145" t="n"/>
      <c r="S813" s="145" t="n"/>
      <c r="T813" s="145" t="n"/>
      <c r="U813" s="145" t="n"/>
      <c r="V813" s="145" t="n"/>
      <c r="W813" s="145" t="n"/>
      <c r="X813" s="145" t="inlineStr">
        <is>
          <t>Detailed format sample from top 5 used rows</t>
        </is>
      </c>
    </row>
    <row r="814" ht="23.85" customHeight="1" s="79">
      <c r="A814" s="145" t="inlineStr">
        <is>
          <t>WINTER_ART</t>
        </is>
      </c>
      <c r="B814" s="145" t="inlineStr">
        <is>
          <t>Column Format</t>
        </is>
      </c>
      <c r="C814" s="145" t="inlineStr">
        <is>
          <t>O:O</t>
        </is>
      </c>
      <c r="D814" s="145" t="inlineStr">
        <is>
          <t>WINTER_ART!A1:AB82</t>
        </is>
      </c>
      <c r="E814" s="145" t="inlineStr">
        <is>
          <t>Mixed</t>
        </is>
      </c>
      <c r="F814" s="145" t="inlineStr">
        <is>
          <t>Mixed</t>
        </is>
      </c>
      <c r="G814" s="145" t="inlineStr">
        <is>
          <t>Aptos</t>
        </is>
      </c>
      <c r="H814" s="145" t="n">
        <v>8</v>
      </c>
      <c r="I814" s="145" t="inlineStr">
        <is>
          <t>Mixed</t>
        </is>
      </c>
      <c r="J814" s="145" t="inlineStr">
        <is>
          <t>No</t>
        </is>
      </c>
      <c r="K814" s="145" t="inlineStr">
        <is>
          <t>None</t>
        </is>
      </c>
      <c r="L814" s="145" t="inlineStr">
        <is>
          <t>#000000</t>
        </is>
      </c>
      <c r="M814" s="145" t="inlineStr">
        <is>
          <t>Mixed</t>
        </is>
      </c>
      <c r="N814" s="145" t="inlineStr">
        <is>
          <t>Center</t>
        </is>
      </c>
      <c r="O814" s="145" t="inlineStr">
        <is>
          <t>Mixed</t>
        </is>
      </c>
      <c r="P814" s="145" t="n"/>
      <c r="Q814" s="145" t="n"/>
      <c r="R814" s="145" t="inlineStr">
        <is>
          <t>EdgeBottom:Continuous/Thin/#000000; EdgeRight:Continuous/Thin/#000000</t>
        </is>
      </c>
      <c r="S814" s="145" t="n">
        <v>37.0746268656716</v>
      </c>
      <c r="T814" s="145" t="n"/>
      <c r="U814" s="145" t="inlineStr">
        <is>
          <t>No</t>
        </is>
      </c>
      <c r="V814" s="145" t="inlineStr">
        <is>
          <t>Visible</t>
        </is>
      </c>
      <c r="W814" s="145" t="n"/>
      <c r="X814" s="145" t="inlineStr">
        <is>
          <t>Mixed styles within used column</t>
        </is>
      </c>
    </row>
    <row r="815" ht="23.85" customHeight="1" s="79">
      <c r="A815" s="145" t="inlineStr">
        <is>
          <t>WINTER_ART</t>
        </is>
      </c>
      <c r="B815" s="145" t="inlineStr">
        <is>
          <t>Top-Row Cell Format</t>
        </is>
      </c>
      <c r="C815" s="145" t="inlineStr">
        <is>
          <t>O1</t>
        </is>
      </c>
      <c r="D815" s="145" t="inlineStr">
        <is>
          <t>WINTER_ART!A1:AB82</t>
        </is>
      </c>
      <c r="E815" s="145" t="inlineStr">
        <is>
          <t>Normal</t>
        </is>
      </c>
      <c r="F815" s="145" t="n"/>
      <c r="G815" s="145" t="inlineStr">
        <is>
          <t>Aptos</t>
        </is>
      </c>
      <c r="H815" s="145" t="n">
        <v>8</v>
      </c>
      <c r="I815" s="145" t="inlineStr">
        <is>
          <t>No</t>
        </is>
      </c>
      <c r="J815" s="145" t="inlineStr">
        <is>
          <t>No</t>
        </is>
      </c>
      <c r="K815" s="145" t="inlineStr">
        <is>
          <t>None</t>
        </is>
      </c>
      <c r="L815" s="145" t="inlineStr">
        <is>
          <t>#000000</t>
        </is>
      </c>
      <c r="M815" s="145" t="inlineStr">
        <is>
          <t>General</t>
        </is>
      </c>
      <c r="N815" s="145" t="inlineStr">
        <is>
          <t>Center</t>
        </is>
      </c>
      <c r="O815" s="145" t="inlineStr">
        <is>
          <t>No</t>
        </is>
      </c>
      <c r="P815" s="145" t="inlineStr">
        <is>
          <t xml:space="preserve">_ * #,##0_ ;_ * -#,##0_ ;_ * "-"??_ ;_ @_ </t>
        </is>
      </c>
      <c r="Q815" s="145" t="inlineStr">
        <is>
          <t>Text</t>
        </is>
      </c>
      <c r="R815" s="145" t="n"/>
      <c r="S815" s="145" t="n"/>
      <c r="T815" s="145" t="n"/>
      <c r="U815" s="145" t="n"/>
      <c r="V815" s="145" t="n"/>
      <c r="W815" s="145" t="n"/>
      <c r="X815" s="145" t="inlineStr">
        <is>
          <t>Detailed format sample from top 5 used rows</t>
        </is>
      </c>
    </row>
    <row r="816" ht="23.85" customHeight="1" s="79">
      <c r="A816" s="145" t="inlineStr">
        <is>
          <t>WINTER_ART</t>
        </is>
      </c>
      <c r="B816" s="145" t="inlineStr">
        <is>
          <t>Top-Row Cell Format</t>
        </is>
      </c>
      <c r="C816" s="145" t="inlineStr">
        <is>
          <t>O2</t>
        </is>
      </c>
      <c r="D816" s="145" t="inlineStr">
        <is>
          <t>WINTER_ART!A1:AB82</t>
        </is>
      </c>
      <c r="E816" s="145" t="inlineStr">
        <is>
          <t>Comma</t>
        </is>
      </c>
      <c r="F816" s="145" t="inlineStr">
        <is>
          <t>#B4C6E7</t>
        </is>
      </c>
      <c r="G816" s="145" t="inlineStr">
        <is>
          <t>Aptos</t>
        </is>
      </c>
      <c r="H816" s="145" t="n">
        <v>8</v>
      </c>
      <c r="I816" s="145" t="inlineStr">
        <is>
          <t>Yes</t>
        </is>
      </c>
      <c r="J816" s="145" t="inlineStr">
        <is>
          <t>No</t>
        </is>
      </c>
      <c r="K816" s="145" t="inlineStr">
        <is>
          <t>None</t>
        </is>
      </c>
      <c r="L816" s="145" t="inlineStr">
        <is>
          <t>#000000</t>
        </is>
      </c>
      <c r="M816" s="145" t="inlineStr">
        <is>
          <t>Center</t>
        </is>
      </c>
      <c r="N816" s="145" t="inlineStr">
        <is>
          <t>Center</t>
        </is>
      </c>
      <c r="O816" s="145" t="inlineStr">
        <is>
          <t>No</t>
        </is>
      </c>
      <c r="P816" s="145" t="inlineStr">
        <is>
          <t xml:space="preserve">_ * #,##0_ ;_ * -#,##0_ ;_ * "-"??_ ;_ @_ </t>
        </is>
      </c>
      <c r="Q816" s="145" t="inlineStr">
        <is>
          <t>Text</t>
        </is>
      </c>
      <c r="R816" s="145" t="n"/>
      <c r="S816" s="145" t="n"/>
      <c r="T816" s="145" t="n"/>
      <c r="U816" s="145" t="n"/>
      <c r="V816" s="145" t="n"/>
      <c r="W816" s="145" t="n"/>
      <c r="X816" s="145" t="inlineStr">
        <is>
          <t>Detailed format sample from top 5 used rows</t>
        </is>
      </c>
    </row>
    <row r="817" ht="23.85" customHeight="1" s="79">
      <c r="A817" s="145" t="inlineStr">
        <is>
          <t>WINTER_ART</t>
        </is>
      </c>
      <c r="B817" s="145" t="inlineStr">
        <is>
          <t>Top-Row Cell Format</t>
        </is>
      </c>
      <c r="C817" s="145" t="inlineStr">
        <is>
          <t>O3</t>
        </is>
      </c>
      <c r="D817" s="145" t="inlineStr">
        <is>
          <t>WINTER_ART!A1:AB82</t>
        </is>
      </c>
      <c r="E817" s="145" t="inlineStr">
        <is>
          <t>Percent</t>
        </is>
      </c>
      <c r="F817" s="145" t="inlineStr">
        <is>
          <t>#F8CBAD</t>
        </is>
      </c>
      <c r="G817" s="145" t="inlineStr">
        <is>
          <t>Aptos</t>
        </is>
      </c>
      <c r="H817" s="145" t="n">
        <v>8</v>
      </c>
      <c r="I817" s="145" t="inlineStr">
        <is>
          <t>Yes</t>
        </is>
      </c>
      <c r="J817" s="145" t="inlineStr">
        <is>
          <t>No</t>
        </is>
      </c>
      <c r="K817" s="145" t="inlineStr">
        <is>
          <t>None</t>
        </is>
      </c>
      <c r="L817" s="145" t="inlineStr">
        <is>
          <t>#000000</t>
        </is>
      </c>
      <c r="M817" s="145" t="inlineStr">
        <is>
          <t>Center</t>
        </is>
      </c>
      <c r="N817" s="145" t="inlineStr">
        <is>
          <t>Center</t>
        </is>
      </c>
      <c r="O817" s="145" t="inlineStr">
        <is>
          <t>Yes</t>
        </is>
      </c>
      <c r="P817" s="146" t="n">
        <v>0</v>
      </c>
      <c r="Q817" s="145" t="inlineStr">
        <is>
          <t>Percentage</t>
        </is>
      </c>
      <c r="R817" s="145" t="n"/>
      <c r="S817" s="145" t="n"/>
      <c r="T817" s="145" t="n"/>
      <c r="U817" s="145" t="n"/>
      <c r="V817" s="145" t="n"/>
      <c r="W817" s="145" t="n"/>
      <c r="X817" s="145" t="inlineStr">
        <is>
          <t>Detailed format sample from top 5 used rows</t>
        </is>
      </c>
    </row>
    <row r="818" ht="23.85" customHeight="1" s="79">
      <c r="A818" s="145" t="inlineStr">
        <is>
          <t>WINTER_ART</t>
        </is>
      </c>
      <c r="B818" s="145" t="inlineStr">
        <is>
          <t>Top-Row Cell Format</t>
        </is>
      </c>
      <c r="C818" s="145" t="inlineStr">
        <is>
          <t>O4</t>
        </is>
      </c>
      <c r="D818" s="145" t="inlineStr">
        <is>
          <t>WINTER_ART!A1:AB82</t>
        </is>
      </c>
      <c r="E818" s="145" t="inlineStr">
        <is>
          <t>Normal</t>
        </is>
      </c>
      <c r="F818" s="145" t="inlineStr">
        <is>
          <t>#F8CBAD</t>
        </is>
      </c>
      <c r="G818" s="145" t="inlineStr">
        <is>
          <t>Aptos</t>
        </is>
      </c>
      <c r="H818" s="145" t="n">
        <v>8</v>
      </c>
      <c r="I818" s="145" t="inlineStr">
        <is>
          <t>No</t>
        </is>
      </c>
      <c r="J818" s="145" t="inlineStr">
        <is>
          <t>No</t>
        </is>
      </c>
      <c r="K818" s="145" t="inlineStr">
        <is>
          <t>None</t>
        </is>
      </c>
      <c r="L818" s="145" t="inlineStr">
        <is>
          <t>#000000</t>
        </is>
      </c>
      <c r="M818" s="145" t="inlineStr">
        <is>
          <t>Center</t>
        </is>
      </c>
      <c r="N818" s="145" t="inlineStr">
        <is>
          <t>Center</t>
        </is>
      </c>
      <c r="O818" s="145" t="inlineStr">
        <is>
          <t>No</t>
        </is>
      </c>
      <c r="P818" s="145" t="inlineStr">
        <is>
          <t>General</t>
        </is>
      </c>
      <c r="Q818" s="145" t="inlineStr">
        <is>
          <t>General</t>
        </is>
      </c>
      <c r="R818" s="145" t="n"/>
      <c r="S818" s="145" t="n"/>
      <c r="T818" s="145" t="n"/>
      <c r="U818" s="145" t="n"/>
      <c r="V818" s="145" t="n"/>
      <c r="W818" s="145" t="n"/>
      <c r="X818" s="145" t="inlineStr">
        <is>
          <t>Detailed format sample from top 5 used rows</t>
        </is>
      </c>
    </row>
    <row r="819" ht="23.85" customHeight="1" s="79">
      <c r="A819" s="145" t="inlineStr">
        <is>
          <t>WINTER_ART</t>
        </is>
      </c>
      <c r="B819" s="145" t="inlineStr">
        <is>
          <t>Top-Row Cell Format</t>
        </is>
      </c>
      <c r="C819" s="145" t="inlineStr">
        <is>
          <t>O5</t>
        </is>
      </c>
      <c r="D819" s="145" t="inlineStr">
        <is>
          <t>WINTER_ART!A1:AB82</t>
        </is>
      </c>
      <c r="E819" s="145" t="inlineStr">
        <is>
          <t>Comma</t>
        </is>
      </c>
      <c r="F819" s="145" t="n"/>
      <c r="G819" s="145" t="inlineStr">
        <is>
          <t>Aptos</t>
        </is>
      </c>
      <c r="H819" s="145" t="n">
        <v>8</v>
      </c>
      <c r="I819" s="145" t="inlineStr">
        <is>
          <t>No</t>
        </is>
      </c>
      <c r="J819" s="145" t="inlineStr">
        <is>
          <t>No</t>
        </is>
      </c>
      <c r="K819" s="145" t="inlineStr">
        <is>
          <t>None</t>
        </is>
      </c>
      <c r="L819" s="145" t="inlineStr">
        <is>
          <t>#000000</t>
        </is>
      </c>
      <c r="M819" s="145" t="inlineStr">
        <is>
          <t>General</t>
        </is>
      </c>
      <c r="N819" s="145" t="inlineStr">
        <is>
          <t>Center</t>
        </is>
      </c>
      <c r="O819" s="145" t="inlineStr">
        <is>
          <t>No</t>
        </is>
      </c>
      <c r="P819" s="145" t="inlineStr">
        <is>
          <t xml:space="preserve">_ * #,##0_ ;_ * -#,##0_ ;_ * "-"??_ ;_ @_ </t>
        </is>
      </c>
      <c r="Q819" s="145" t="inlineStr">
        <is>
          <t>Text</t>
        </is>
      </c>
      <c r="R819" s="145" t="n"/>
      <c r="S819" s="145" t="n"/>
      <c r="T819" s="145" t="n"/>
      <c r="U819" s="145" t="n"/>
      <c r="V819" s="145" t="n"/>
      <c r="W819" s="145" t="n"/>
      <c r="X819" s="145" t="inlineStr">
        <is>
          <t>Detailed format sample from top 5 used rows</t>
        </is>
      </c>
    </row>
    <row r="820" ht="23.85" customHeight="1" s="79">
      <c r="A820" s="145" t="inlineStr">
        <is>
          <t>WINTER_ART</t>
        </is>
      </c>
      <c r="B820" s="145" t="inlineStr">
        <is>
          <t>Column Format</t>
        </is>
      </c>
      <c r="C820" s="145" t="inlineStr">
        <is>
          <t>P:P</t>
        </is>
      </c>
      <c r="D820" s="145" t="inlineStr">
        <is>
          <t>WINTER_ART!A1:AB82</t>
        </is>
      </c>
      <c r="E820" s="145" t="inlineStr">
        <is>
          <t>Mixed</t>
        </is>
      </c>
      <c r="F820" s="145" t="inlineStr">
        <is>
          <t>Mixed</t>
        </is>
      </c>
      <c r="G820" s="145" t="inlineStr">
        <is>
          <t>Aptos</t>
        </is>
      </c>
      <c r="H820" s="145" t="n">
        <v>8</v>
      </c>
      <c r="I820" s="145" t="inlineStr">
        <is>
          <t>Mixed</t>
        </is>
      </c>
      <c r="J820" s="145" t="inlineStr">
        <is>
          <t>No</t>
        </is>
      </c>
      <c r="K820" s="145" t="inlineStr">
        <is>
          <t>None</t>
        </is>
      </c>
      <c r="L820" s="145" t="inlineStr">
        <is>
          <t>#000000</t>
        </is>
      </c>
      <c r="M820" s="145" t="inlineStr">
        <is>
          <t>Mixed</t>
        </is>
      </c>
      <c r="N820" s="145" t="inlineStr">
        <is>
          <t>Center</t>
        </is>
      </c>
      <c r="O820" s="145" t="inlineStr">
        <is>
          <t>Mixed</t>
        </is>
      </c>
      <c r="P820" s="145" t="n"/>
      <c r="Q820" s="145" t="n"/>
      <c r="R820" s="145" t="inlineStr">
        <is>
          <t>EdgeBottom:Continuous/Thin/#000000; EdgeRight:Continuous/Thin/#000000</t>
        </is>
      </c>
      <c r="S820" s="145" t="n">
        <v>53.1940298507463</v>
      </c>
      <c r="T820" s="145" t="n"/>
      <c r="U820" s="145" t="inlineStr">
        <is>
          <t>No</t>
        </is>
      </c>
      <c r="V820" s="145" t="inlineStr">
        <is>
          <t>Visible</t>
        </is>
      </c>
      <c r="W820" s="145" t="n"/>
      <c r="X820" s="145" t="inlineStr">
        <is>
          <t>Mixed styles within used column</t>
        </is>
      </c>
    </row>
    <row r="821" ht="23.85" customHeight="1" s="79">
      <c r="A821" s="145" t="inlineStr">
        <is>
          <t>WINTER_ART</t>
        </is>
      </c>
      <c r="B821" s="145" t="inlineStr">
        <is>
          <t>Top-Row Cell Format</t>
        </is>
      </c>
      <c r="C821" s="145" t="inlineStr">
        <is>
          <t>P1</t>
        </is>
      </c>
      <c r="D821" s="145" t="inlineStr">
        <is>
          <t>WINTER_ART!A1:AB82</t>
        </is>
      </c>
      <c r="E821" s="145" t="inlineStr">
        <is>
          <t>Normal</t>
        </is>
      </c>
      <c r="F821" s="145" t="n"/>
      <c r="G821" s="145" t="inlineStr">
        <is>
          <t>Aptos</t>
        </is>
      </c>
      <c r="H821" s="145" t="n">
        <v>8</v>
      </c>
      <c r="I821" s="145" t="inlineStr">
        <is>
          <t>No</t>
        </is>
      </c>
      <c r="J821" s="145" t="inlineStr">
        <is>
          <t>No</t>
        </is>
      </c>
      <c r="K821" s="145" t="inlineStr">
        <is>
          <t>None</t>
        </is>
      </c>
      <c r="L821" s="145" t="inlineStr">
        <is>
          <t>#000000</t>
        </is>
      </c>
      <c r="M821" s="145" t="inlineStr">
        <is>
          <t>General</t>
        </is>
      </c>
      <c r="N821" s="145" t="inlineStr">
        <is>
          <t>Center</t>
        </is>
      </c>
      <c r="O821" s="145" t="inlineStr">
        <is>
          <t>No</t>
        </is>
      </c>
      <c r="P821" s="145" t="inlineStr">
        <is>
          <t>General</t>
        </is>
      </c>
      <c r="Q821" s="145" t="inlineStr">
        <is>
          <t>General</t>
        </is>
      </c>
      <c r="R821" s="145" t="n"/>
      <c r="S821" s="145" t="n"/>
      <c r="T821" s="145" t="n"/>
      <c r="U821" s="145" t="n"/>
      <c r="V821" s="145" t="n"/>
      <c r="W821" s="145" t="n"/>
      <c r="X821" s="145" t="inlineStr">
        <is>
          <t>Detailed format sample from top 5 used rows</t>
        </is>
      </c>
    </row>
    <row r="822" ht="23.85" customHeight="1" s="79">
      <c r="A822" s="145" t="inlineStr">
        <is>
          <t>WINTER_ART</t>
        </is>
      </c>
      <c r="B822" s="145" t="inlineStr">
        <is>
          <t>Top-Row Cell Format</t>
        </is>
      </c>
      <c r="C822" s="145" t="inlineStr">
        <is>
          <t>P2</t>
        </is>
      </c>
      <c r="D822" s="145" t="inlineStr">
        <is>
          <t>WINTER_ART!A1:AB82</t>
        </is>
      </c>
      <c r="E822" s="145" t="inlineStr">
        <is>
          <t>Comma</t>
        </is>
      </c>
      <c r="F822" s="145" t="inlineStr">
        <is>
          <t>#B4C6E7</t>
        </is>
      </c>
      <c r="G822" s="145" t="inlineStr">
        <is>
          <t>Aptos</t>
        </is>
      </c>
      <c r="H822" s="145" t="n">
        <v>8</v>
      </c>
      <c r="I822" s="145" t="inlineStr">
        <is>
          <t>Yes</t>
        </is>
      </c>
      <c r="J822" s="145" t="inlineStr">
        <is>
          <t>No</t>
        </is>
      </c>
      <c r="K822" s="145" t="inlineStr">
        <is>
          <t>None</t>
        </is>
      </c>
      <c r="L822" s="145" t="inlineStr">
        <is>
          <t>#000000</t>
        </is>
      </c>
      <c r="M822" s="145" t="inlineStr">
        <is>
          <t>Center</t>
        </is>
      </c>
      <c r="N822" s="145" t="inlineStr">
        <is>
          <t>Center</t>
        </is>
      </c>
      <c r="O822" s="145" t="inlineStr">
        <is>
          <t>No</t>
        </is>
      </c>
      <c r="P822" s="145" t="inlineStr">
        <is>
          <t xml:space="preserve">_ * #,##0_ ;_ * -#,##0_ ;_ * "-"??_ ;_ @_ </t>
        </is>
      </c>
      <c r="Q822" s="145" t="inlineStr">
        <is>
          <t>Text</t>
        </is>
      </c>
      <c r="R822" s="145" t="n"/>
      <c r="S822" s="145" t="n"/>
      <c r="T822" s="145" t="n"/>
      <c r="U822" s="145" t="n"/>
      <c r="V822" s="145" t="n"/>
      <c r="W822" s="145" t="n"/>
      <c r="X822" s="145" t="inlineStr">
        <is>
          <t>Detailed format sample from top 5 used rows</t>
        </is>
      </c>
    </row>
    <row r="823" ht="23.85" customHeight="1" s="79">
      <c r="A823" s="145" t="inlineStr">
        <is>
          <t>WINTER_ART</t>
        </is>
      </c>
      <c r="B823" s="145" t="inlineStr">
        <is>
          <t>Top-Row Cell Format</t>
        </is>
      </c>
      <c r="C823" s="145" t="inlineStr">
        <is>
          <t>P3</t>
        </is>
      </c>
      <c r="D823" s="145" t="inlineStr">
        <is>
          <t>WINTER_ART!A1:AB82</t>
        </is>
      </c>
      <c r="E823" s="145" t="inlineStr">
        <is>
          <t>Normal</t>
        </is>
      </c>
      <c r="F823" s="145" t="inlineStr">
        <is>
          <t>#F8CBAD</t>
        </is>
      </c>
      <c r="G823" s="145" t="inlineStr">
        <is>
          <t>Aptos</t>
        </is>
      </c>
      <c r="H823" s="145" t="n">
        <v>8</v>
      </c>
      <c r="I823" s="145" t="inlineStr">
        <is>
          <t>Yes</t>
        </is>
      </c>
      <c r="J823" s="145" t="inlineStr">
        <is>
          <t>No</t>
        </is>
      </c>
      <c r="K823" s="145" t="inlineStr">
        <is>
          <t>None</t>
        </is>
      </c>
      <c r="L823" s="145" t="inlineStr">
        <is>
          <t>#000000</t>
        </is>
      </c>
      <c r="M823" s="145" t="inlineStr">
        <is>
          <t>Center</t>
        </is>
      </c>
      <c r="N823" s="145" t="inlineStr">
        <is>
          <t>Center</t>
        </is>
      </c>
      <c r="O823" s="145" t="inlineStr">
        <is>
          <t>Yes</t>
        </is>
      </c>
      <c r="P823" s="145" t="inlineStr">
        <is>
          <t>General</t>
        </is>
      </c>
      <c r="Q823" s="145" t="inlineStr">
        <is>
          <t>General</t>
        </is>
      </c>
      <c r="R823" s="145" t="n"/>
      <c r="S823" s="145" t="n"/>
      <c r="T823" s="145" t="n"/>
      <c r="U823" s="145" t="n"/>
      <c r="V823" s="145" t="n"/>
      <c r="W823" s="145" t="n"/>
      <c r="X823" s="145" t="inlineStr">
        <is>
          <t>Detailed format sample from top 5 used rows</t>
        </is>
      </c>
    </row>
    <row r="824" ht="23.85" customHeight="1" s="79">
      <c r="A824" s="145" t="inlineStr">
        <is>
          <t>WINTER_ART</t>
        </is>
      </c>
      <c r="B824" s="145" t="inlineStr">
        <is>
          <t>Top-Row Cell Format</t>
        </is>
      </c>
      <c r="C824" s="145" t="inlineStr">
        <is>
          <t>P4</t>
        </is>
      </c>
      <c r="D824" s="145" t="inlineStr">
        <is>
          <t>WINTER_ART!A1:AB82</t>
        </is>
      </c>
      <c r="E824" s="145" t="inlineStr">
        <is>
          <t>Normal</t>
        </is>
      </c>
      <c r="F824" s="145" t="inlineStr">
        <is>
          <t>#F8CBAD</t>
        </is>
      </c>
      <c r="G824" s="145" t="inlineStr">
        <is>
          <t>Aptos</t>
        </is>
      </c>
      <c r="H824" s="145" t="n">
        <v>8</v>
      </c>
      <c r="I824" s="145" t="inlineStr">
        <is>
          <t>No</t>
        </is>
      </c>
      <c r="J824" s="145" t="inlineStr">
        <is>
          <t>No</t>
        </is>
      </c>
      <c r="K824" s="145" t="inlineStr">
        <is>
          <t>None</t>
        </is>
      </c>
      <c r="L824" s="145" t="inlineStr">
        <is>
          <t>#000000</t>
        </is>
      </c>
      <c r="M824" s="145" t="inlineStr">
        <is>
          <t>Center</t>
        </is>
      </c>
      <c r="N824" s="145" t="inlineStr">
        <is>
          <t>Center</t>
        </is>
      </c>
      <c r="O824" s="145" t="inlineStr">
        <is>
          <t>No</t>
        </is>
      </c>
      <c r="P824" s="145" t="inlineStr">
        <is>
          <t>General</t>
        </is>
      </c>
      <c r="Q824" s="145" t="inlineStr">
        <is>
          <t>General</t>
        </is>
      </c>
      <c r="R824" s="145" t="n"/>
      <c r="S824" s="145" t="n"/>
      <c r="T824" s="145" t="n"/>
      <c r="U824" s="145" t="n"/>
      <c r="V824" s="145" t="n"/>
      <c r="W824" s="145" t="n"/>
      <c r="X824" s="145" t="inlineStr">
        <is>
          <t>Detailed format sample from top 5 used rows</t>
        </is>
      </c>
    </row>
    <row r="825" ht="23.85" customHeight="1" s="79">
      <c r="A825" s="145" t="inlineStr">
        <is>
          <t>WINTER_ART</t>
        </is>
      </c>
      <c r="B825" s="145" t="inlineStr">
        <is>
          <t>Top-Row Cell Format</t>
        </is>
      </c>
      <c r="C825" s="145" t="inlineStr">
        <is>
          <t>P5</t>
        </is>
      </c>
      <c r="D825" s="145" t="inlineStr">
        <is>
          <t>WINTER_ART!A1:AB82</t>
        </is>
      </c>
      <c r="E825" s="145" t="inlineStr">
        <is>
          <t>Comma</t>
        </is>
      </c>
      <c r="F825" s="145" t="n"/>
      <c r="G825" s="145" t="inlineStr">
        <is>
          <t>Aptos</t>
        </is>
      </c>
      <c r="H825" s="145" t="n">
        <v>8</v>
      </c>
      <c r="I825" s="145" t="inlineStr">
        <is>
          <t>No</t>
        </is>
      </c>
      <c r="J825" s="145" t="inlineStr">
        <is>
          <t>No</t>
        </is>
      </c>
      <c r="K825" s="145" t="inlineStr">
        <is>
          <t>None</t>
        </is>
      </c>
      <c r="L825" s="145" t="inlineStr">
        <is>
          <t>#000000</t>
        </is>
      </c>
      <c r="M825" s="145" t="inlineStr">
        <is>
          <t>General</t>
        </is>
      </c>
      <c r="N825" s="145" t="inlineStr">
        <is>
          <t>Center</t>
        </is>
      </c>
      <c r="O825" s="145" t="inlineStr">
        <is>
          <t>No</t>
        </is>
      </c>
      <c r="P825" s="145" t="inlineStr">
        <is>
          <t xml:space="preserve">_ * #,##0_ ;_ * -#,##0_ ;_ * "-"??_ ;_ @_ </t>
        </is>
      </c>
      <c r="Q825" s="145" t="inlineStr">
        <is>
          <t>Text</t>
        </is>
      </c>
      <c r="R825" s="145" t="n"/>
      <c r="S825" s="145" t="n"/>
      <c r="T825" s="145" t="n"/>
      <c r="U825" s="145" t="n"/>
      <c r="V825" s="145" t="n"/>
      <c r="W825" s="145" t="n"/>
      <c r="X825" s="145" t="inlineStr">
        <is>
          <t>Detailed format sample from top 5 used rows</t>
        </is>
      </c>
    </row>
    <row r="826" ht="23.85" customHeight="1" s="79">
      <c r="A826" s="145" t="inlineStr">
        <is>
          <t>WINTER_ART</t>
        </is>
      </c>
      <c r="B826" s="145" t="inlineStr">
        <is>
          <t>Column Format</t>
        </is>
      </c>
      <c r="C826" s="145" t="inlineStr">
        <is>
          <t>Q:Q</t>
        </is>
      </c>
      <c r="D826" s="145" t="inlineStr">
        <is>
          <t>WINTER_ART!A1:AB82</t>
        </is>
      </c>
      <c r="E826" s="145" t="inlineStr">
        <is>
          <t>Mixed</t>
        </is>
      </c>
      <c r="F826" s="145" t="inlineStr">
        <is>
          <t>Mixed</t>
        </is>
      </c>
      <c r="G826" s="145" t="inlineStr">
        <is>
          <t>Aptos</t>
        </is>
      </c>
      <c r="H826" s="145" t="n">
        <v>8</v>
      </c>
      <c r="I826" s="145" t="inlineStr">
        <is>
          <t>Mixed</t>
        </is>
      </c>
      <c r="J826" s="145" t="inlineStr">
        <is>
          <t>No</t>
        </is>
      </c>
      <c r="K826" s="145" t="inlineStr">
        <is>
          <t>None</t>
        </is>
      </c>
      <c r="L826" s="145" t="inlineStr">
        <is>
          <t>#000000</t>
        </is>
      </c>
      <c r="M826" s="145" t="inlineStr">
        <is>
          <t>Mixed</t>
        </is>
      </c>
      <c r="N826" s="145" t="inlineStr">
        <is>
          <t>Center</t>
        </is>
      </c>
      <c r="O826" s="145" t="inlineStr">
        <is>
          <t>Mixed</t>
        </is>
      </c>
      <c r="P826" s="145" t="n"/>
      <c r="Q826" s="145" t="n"/>
      <c r="R826" s="145" t="inlineStr">
        <is>
          <t>EdgeBottom:Continuous/Thin/#000000; EdgeRight:Continuous/Thin/#000000</t>
        </is>
      </c>
      <c r="S826" s="145" t="n">
        <v>60.7164179104478</v>
      </c>
      <c r="T826" s="145" t="n"/>
      <c r="U826" s="145" t="inlineStr">
        <is>
          <t>No</t>
        </is>
      </c>
      <c r="V826" s="145" t="inlineStr">
        <is>
          <t>Visible</t>
        </is>
      </c>
      <c r="W826" s="145" t="n"/>
      <c r="X826" s="145" t="inlineStr">
        <is>
          <t>Mixed styles within used column</t>
        </is>
      </c>
    </row>
    <row r="827" ht="23.85" customHeight="1" s="79">
      <c r="A827" s="145" t="inlineStr">
        <is>
          <t>WINTER_ART</t>
        </is>
      </c>
      <c r="B827" s="145" t="inlineStr">
        <is>
          <t>Top-Row Cell Format</t>
        </is>
      </c>
      <c r="C827" s="145" t="inlineStr">
        <is>
          <t>Q1</t>
        </is>
      </c>
      <c r="D827" s="145" t="inlineStr">
        <is>
          <t>WINTER_ART!A1:AB82</t>
        </is>
      </c>
      <c r="E827" s="145" t="inlineStr">
        <is>
          <t>Normal</t>
        </is>
      </c>
      <c r="F827" s="145" t="n"/>
      <c r="G827" s="145" t="inlineStr">
        <is>
          <t>Aptos</t>
        </is>
      </c>
      <c r="H827" s="145" t="n">
        <v>8</v>
      </c>
      <c r="I827" s="145" t="inlineStr">
        <is>
          <t>No</t>
        </is>
      </c>
      <c r="J827" s="145" t="inlineStr">
        <is>
          <t>No</t>
        </is>
      </c>
      <c r="K827" s="145" t="inlineStr">
        <is>
          <t>None</t>
        </is>
      </c>
      <c r="L827" s="145" t="inlineStr">
        <is>
          <t>#000000</t>
        </is>
      </c>
      <c r="M827" s="145" t="inlineStr">
        <is>
          <t>General</t>
        </is>
      </c>
      <c r="N827" s="145" t="inlineStr">
        <is>
          <t>Center</t>
        </is>
      </c>
      <c r="O827" s="145" t="inlineStr">
        <is>
          <t>No</t>
        </is>
      </c>
      <c r="P827" s="145" t="inlineStr">
        <is>
          <t>General</t>
        </is>
      </c>
      <c r="Q827" s="145" t="inlineStr">
        <is>
          <t>General</t>
        </is>
      </c>
      <c r="R827" s="145" t="n"/>
      <c r="S827" s="145" t="n"/>
      <c r="T827" s="145" t="n"/>
      <c r="U827" s="145" t="n"/>
      <c r="V827" s="145" t="n"/>
      <c r="W827" s="145" t="n"/>
      <c r="X827" s="145" t="inlineStr">
        <is>
          <t>Detailed format sample from top 5 used rows</t>
        </is>
      </c>
    </row>
    <row r="828" ht="23.85" customHeight="1" s="79">
      <c r="A828" s="145" t="inlineStr">
        <is>
          <t>WINTER_ART</t>
        </is>
      </c>
      <c r="B828" s="145" t="inlineStr">
        <is>
          <t>Top-Row Cell Format</t>
        </is>
      </c>
      <c r="C828" s="145" t="inlineStr">
        <is>
          <t>Q2</t>
        </is>
      </c>
      <c r="D828" s="145" t="inlineStr">
        <is>
          <t>WINTER_ART!A1:AB82</t>
        </is>
      </c>
      <c r="E828" s="145" t="inlineStr">
        <is>
          <t>Comma</t>
        </is>
      </c>
      <c r="F828" s="145" t="inlineStr">
        <is>
          <t>#B4C6E7</t>
        </is>
      </c>
      <c r="G828" s="145" t="inlineStr">
        <is>
          <t>Aptos</t>
        </is>
      </c>
      <c r="H828" s="145" t="n">
        <v>8</v>
      </c>
      <c r="I828" s="145" t="inlineStr">
        <is>
          <t>Yes</t>
        </is>
      </c>
      <c r="J828" s="145" t="inlineStr">
        <is>
          <t>No</t>
        </is>
      </c>
      <c r="K828" s="145" t="inlineStr">
        <is>
          <t>None</t>
        </is>
      </c>
      <c r="L828" s="145" t="inlineStr">
        <is>
          <t>#000000</t>
        </is>
      </c>
      <c r="M828" s="145" t="inlineStr">
        <is>
          <t>Center</t>
        </is>
      </c>
      <c r="N828" s="145" t="inlineStr">
        <is>
          <t>Center</t>
        </is>
      </c>
      <c r="O828" s="145" t="inlineStr">
        <is>
          <t>No</t>
        </is>
      </c>
      <c r="P828" s="145" t="inlineStr">
        <is>
          <t xml:space="preserve">_ * #,##0_ ;_ * -#,##0_ ;_ * "-"??_ ;_ @_ </t>
        </is>
      </c>
      <c r="Q828" s="145" t="inlineStr">
        <is>
          <t>Text</t>
        </is>
      </c>
      <c r="R828" s="145" t="n"/>
      <c r="S828" s="145" t="n"/>
      <c r="T828" s="145" t="n"/>
      <c r="U828" s="145" t="n"/>
      <c r="V828" s="145" t="n"/>
      <c r="W828" s="145" t="n"/>
      <c r="X828" s="145" t="inlineStr">
        <is>
          <t>Detailed format sample from top 5 used rows</t>
        </is>
      </c>
    </row>
    <row r="829" ht="23.85" customHeight="1" s="79">
      <c r="A829" s="145" t="inlineStr">
        <is>
          <t>WINTER_ART</t>
        </is>
      </c>
      <c r="B829" s="145" t="inlineStr">
        <is>
          <t>Top-Row Cell Format</t>
        </is>
      </c>
      <c r="C829" s="145" t="inlineStr">
        <is>
          <t>Q3</t>
        </is>
      </c>
      <c r="D829" s="145" t="inlineStr">
        <is>
          <t>WINTER_ART!A1:AB82</t>
        </is>
      </c>
      <c r="E829" s="145" t="inlineStr">
        <is>
          <t>Normal</t>
        </is>
      </c>
      <c r="F829" s="145" t="inlineStr">
        <is>
          <t>#F8CBAD</t>
        </is>
      </c>
      <c r="G829" s="145" t="inlineStr">
        <is>
          <t>Aptos</t>
        </is>
      </c>
      <c r="H829" s="145" t="n">
        <v>8</v>
      </c>
      <c r="I829" s="145" t="inlineStr">
        <is>
          <t>Yes</t>
        </is>
      </c>
      <c r="J829" s="145" t="inlineStr">
        <is>
          <t>No</t>
        </is>
      </c>
      <c r="K829" s="145" t="inlineStr">
        <is>
          <t>None</t>
        </is>
      </c>
      <c r="L829" s="145" t="inlineStr">
        <is>
          <t>#000000</t>
        </is>
      </c>
      <c r="M829" s="145" t="inlineStr">
        <is>
          <t>Center</t>
        </is>
      </c>
      <c r="N829" s="145" t="inlineStr">
        <is>
          <t>Center</t>
        </is>
      </c>
      <c r="O829" s="145" t="inlineStr">
        <is>
          <t>Yes</t>
        </is>
      </c>
      <c r="P829" s="145" t="inlineStr">
        <is>
          <t>General</t>
        </is>
      </c>
      <c r="Q829" s="145" t="inlineStr">
        <is>
          <t>General</t>
        </is>
      </c>
      <c r="R829" s="145" t="n"/>
      <c r="S829" s="145" t="n"/>
      <c r="T829" s="145" t="n"/>
      <c r="U829" s="145" t="n"/>
      <c r="V829" s="145" t="n"/>
      <c r="W829" s="145" t="n"/>
      <c r="X829" s="145" t="inlineStr">
        <is>
          <t>Detailed format sample from top 5 used rows</t>
        </is>
      </c>
    </row>
    <row r="830" ht="23.85" customHeight="1" s="79">
      <c r="A830" s="145" t="inlineStr">
        <is>
          <t>WINTER_ART</t>
        </is>
      </c>
      <c r="B830" s="145" t="inlineStr">
        <is>
          <t>Top-Row Cell Format</t>
        </is>
      </c>
      <c r="C830" s="145" t="inlineStr">
        <is>
          <t>Q4</t>
        </is>
      </c>
      <c r="D830" s="145" t="inlineStr">
        <is>
          <t>WINTER_ART!A1:AB82</t>
        </is>
      </c>
      <c r="E830" s="145" t="inlineStr">
        <is>
          <t>Normal</t>
        </is>
      </c>
      <c r="F830" s="145" t="inlineStr">
        <is>
          <t>#F8CBAD</t>
        </is>
      </c>
      <c r="G830" s="145" t="inlineStr">
        <is>
          <t>Aptos</t>
        </is>
      </c>
      <c r="H830" s="145" t="n">
        <v>8</v>
      </c>
      <c r="I830" s="145" t="inlineStr">
        <is>
          <t>No</t>
        </is>
      </c>
      <c r="J830" s="145" t="inlineStr">
        <is>
          <t>No</t>
        </is>
      </c>
      <c r="K830" s="145" t="inlineStr">
        <is>
          <t>None</t>
        </is>
      </c>
      <c r="L830" s="145" t="inlineStr">
        <is>
          <t>#000000</t>
        </is>
      </c>
      <c r="M830" s="145" t="inlineStr">
        <is>
          <t>Center</t>
        </is>
      </c>
      <c r="N830" s="145" t="inlineStr">
        <is>
          <t>Center</t>
        </is>
      </c>
      <c r="O830" s="145" t="inlineStr">
        <is>
          <t>No</t>
        </is>
      </c>
      <c r="P830" s="145" t="inlineStr">
        <is>
          <t>General</t>
        </is>
      </c>
      <c r="Q830" s="145" t="inlineStr">
        <is>
          <t>General</t>
        </is>
      </c>
      <c r="R830" s="145" t="n"/>
      <c r="S830" s="145" t="n"/>
      <c r="T830" s="145" t="n"/>
      <c r="U830" s="145" t="n"/>
      <c r="V830" s="145" t="n"/>
      <c r="W830" s="145" t="n"/>
      <c r="X830" s="145" t="inlineStr">
        <is>
          <t>Detailed format sample from top 5 used rows</t>
        </is>
      </c>
    </row>
    <row r="831" ht="23.85" customHeight="1" s="79">
      <c r="A831" s="145" t="inlineStr">
        <is>
          <t>WINTER_ART</t>
        </is>
      </c>
      <c r="B831" s="145" t="inlineStr">
        <is>
          <t>Top-Row Cell Format</t>
        </is>
      </c>
      <c r="C831" s="145" t="inlineStr">
        <is>
          <t>Q5</t>
        </is>
      </c>
      <c r="D831" s="145" t="inlineStr">
        <is>
          <t>WINTER_ART!A1:AB82</t>
        </is>
      </c>
      <c r="E831" s="145" t="inlineStr">
        <is>
          <t>Comma</t>
        </is>
      </c>
      <c r="F831" s="145" t="n"/>
      <c r="G831" s="145" t="inlineStr">
        <is>
          <t>Aptos</t>
        </is>
      </c>
      <c r="H831" s="145" t="n">
        <v>8</v>
      </c>
      <c r="I831" s="145" t="inlineStr">
        <is>
          <t>No</t>
        </is>
      </c>
      <c r="J831" s="145" t="inlineStr">
        <is>
          <t>No</t>
        </is>
      </c>
      <c r="K831" s="145" t="inlineStr">
        <is>
          <t>None</t>
        </is>
      </c>
      <c r="L831" s="145" t="inlineStr">
        <is>
          <t>#000000</t>
        </is>
      </c>
      <c r="M831" s="145" t="inlineStr">
        <is>
          <t>General</t>
        </is>
      </c>
      <c r="N831" s="145" t="inlineStr">
        <is>
          <t>Center</t>
        </is>
      </c>
      <c r="O831" s="145" t="inlineStr">
        <is>
          <t>No</t>
        </is>
      </c>
      <c r="P831" s="145" t="inlineStr">
        <is>
          <t xml:space="preserve">_ * #,##0_ ;_ * -#,##0_ ;_ * "-"??_ ;_ @_ </t>
        </is>
      </c>
      <c r="Q831" s="145" t="inlineStr">
        <is>
          <t>Text</t>
        </is>
      </c>
      <c r="R831" s="145" t="n"/>
      <c r="S831" s="145" t="n"/>
      <c r="T831" s="145" t="n"/>
      <c r="U831" s="145" t="n"/>
      <c r="V831" s="145" t="n"/>
      <c r="W831" s="145" t="n"/>
      <c r="X831" s="145" t="inlineStr">
        <is>
          <t>Detailed format sample from top 5 used rows</t>
        </is>
      </c>
    </row>
    <row r="832" ht="46.25" customHeight="1" s="79">
      <c r="A832" s="145" t="inlineStr">
        <is>
          <t>WINTER_ART</t>
        </is>
      </c>
      <c r="B832" s="145" t="inlineStr">
        <is>
          <t>Column Format</t>
        </is>
      </c>
      <c r="C832" s="145" t="inlineStr">
        <is>
          <t>R:R</t>
        </is>
      </c>
      <c r="D832" s="145" t="inlineStr">
        <is>
          <t>WINTER_ART!A1:AB82</t>
        </is>
      </c>
      <c r="E832" s="145" t="inlineStr">
        <is>
          <t>Mixed</t>
        </is>
      </c>
      <c r="F832" s="145" t="inlineStr">
        <is>
          <t>Mixed</t>
        </is>
      </c>
      <c r="G832" s="145" t="inlineStr">
        <is>
          <t>Aptos</t>
        </is>
      </c>
      <c r="H832" s="145" t="n">
        <v>8</v>
      </c>
      <c r="I832" s="145" t="inlineStr">
        <is>
          <t>Mixed</t>
        </is>
      </c>
      <c r="J832" s="145" t="inlineStr">
        <is>
          <t>No</t>
        </is>
      </c>
      <c r="K832" s="145" t="inlineStr">
        <is>
          <t>None</t>
        </is>
      </c>
      <c r="L832" s="145" t="inlineStr">
        <is>
          <t>#000000</t>
        </is>
      </c>
      <c r="M832" s="145" t="inlineStr">
        <is>
          <t>Center</t>
        </is>
      </c>
      <c r="N832" s="145" t="inlineStr">
        <is>
          <t>Center</t>
        </is>
      </c>
      <c r="O832" s="145" t="inlineStr">
        <is>
          <t>Mixed</t>
        </is>
      </c>
      <c r="P832" s="145" t="n"/>
      <c r="Q832" s="145" t="n"/>
      <c r="R832" s="145" t="inlineStr">
        <is>
          <t>EdgeTop:Continuous/Thin/#000000; EdgeBottom:Continuous/Thin/#000000; EdgeLeft:Continuous/Thin/#000000; EdgeRight:Continuous/Thin/#000000</t>
        </is>
      </c>
      <c r="S832" s="145" t="n">
        <v>51.5820895522388</v>
      </c>
      <c r="T832" s="145" t="n"/>
      <c r="U832" s="145" t="inlineStr">
        <is>
          <t>No</t>
        </is>
      </c>
      <c r="V832" s="145" t="inlineStr">
        <is>
          <t>Visible</t>
        </is>
      </c>
      <c r="W832" s="145" t="n"/>
      <c r="X832" s="145" t="inlineStr">
        <is>
          <t>Mixed styles within used column</t>
        </is>
      </c>
    </row>
    <row r="833" ht="23.85" customHeight="1" s="79">
      <c r="A833" s="145" t="inlineStr">
        <is>
          <t>WINTER_ART</t>
        </is>
      </c>
      <c r="B833" s="145" t="inlineStr">
        <is>
          <t>Top-Row Cell Format</t>
        </is>
      </c>
      <c r="C833" s="145" t="inlineStr">
        <is>
          <t>R1</t>
        </is>
      </c>
      <c r="D833" s="145" t="inlineStr">
        <is>
          <t>WINTER_ART!A1:AB82</t>
        </is>
      </c>
      <c r="E833" s="145" t="inlineStr">
        <is>
          <t>Normal</t>
        </is>
      </c>
      <c r="F833" s="145" t="inlineStr">
        <is>
          <t>#C9C9C9</t>
        </is>
      </c>
      <c r="G833" s="145" t="inlineStr">
        <is>
          <t>Aptos</t>
        </is>
      </c>
      <c r="H833" s="145" t="n">
        <v>8</v>
      </c>
      <c r="I833" s="145" t="inlineStr">
        <is>
          <t>Yes</t>
        </is>
      </c>
      <c r="J833" s="145" t="inlineStr">
        <is>
          <t>No</t>
        </is>
      </c>
      <c r="K833" s="145" t="inlineStr">
        <is>
          <t>None</t>
        </is>
      </c>
      <c r="L833" s="145" t="inlineStr">
        <is>
          <t>#000000</t>
        </is>
      </c>
      <c r="M833" s="145" t="inlineStr">
        <is>
          <t>Center</t>
        </is>
      </c>
      <c r="N833" s="145" t="inlineStr">
        <is>
          <t>Center</t>
        </is>
      </c>
      <c r="O833" s="145" t="inlineStr">
        <is>
          <t>No</t>
        </is>
      </c>
      <c r="P833" s="145" t="inlineStr">
        <is>
          <t>General</t>
        </is>
      </c>
      <c r="Q833" s="145" t="inlineStr">
        <is>
          <t>General</t>
        </is>
      </c>
      <c r="R833" s="145" t="n"/>
      <c r="S833" s="145" t="n"/>
      <c r="T833" s="145" t="n"/>
      <c r="U833" s="145" t="n"/>
      <c r="V833" s="145" t="n"/>
      <c r="W833" s="145" t="n"/>
      <c r="X833" s="145" t="inlineStr">
        <is>
          <t>Detailed format sample from top 5 used rows</t>
        </is>
      </c>
    </row>
    <row r="834" ht="23.85" customHeight="1" s="79">
      <c r="A834" s="145" t="inlineStr">
        <is>
          <t>WINTER_ART</t>
        </is>
      </c>
      <c r="B834" s="145" t="inlineStr">
        <is>
          <t>Top-Row Cell Format</t>
        </is>
      </c>
      <c r="C834" s="145" t="inlineStr">
        <is>
          <t>R2</t>
        </is>
      </c>
      <c r="D834" s="145" t="inlineStr">
        <is>
          <t>WINTER_ART!A1:AB82</t>
        </is>
      </c>
      <c r="E834" s="145" t="inlineStr">
        <is>
          <t>Percent</t>
        </is>
      </c>
      <c r="F834" s="145" t="inlineStr">
        <is>
          <t>#B4C6E7</t>
        </is>
      </c>
      <c r="G834" s="145" t="inlineStr">
        <is>
          <t>Aptos</t>
        </is>
      </c>
      <c r="H834" s="145" t="n">
        <v>8</v>
      </c>
      <c r="I834" s="145" t="inlineStr">
        <is>
          <t>Yes</t>
        </is>
      </c>
      <c r="J834" s="145" t="inlineStr">
        <is>
          <t>No</t>
        </is>
      </c>
      <c r="K834" s="145" t="inlineStr">
        <is>
          <t>None</t>
        </is>
      </c>
      <c r="L834" s="145" t="inlineStr">
        <is>
          <t>#000000</t>
        </is>
      </c>
      <c r="M834" s="145" t="inlineStr">
        <is>
          <t>Center</t>
        </is>
      </c>
      <c r="N834" s="145" t="inlineStr">
        <is>
          <t>Center</t>
        </is>
      </c>
      <c r="O834" s="145" t="inlineStr">
        <is>
          <t>No</t>
        </is>
      </c>
      <c r="P834" s="146" t="n">
        <v>0</v>
      </c>
      <c r="Q834" s="145" t="inlineStr">
        <is>
          <t>Percentage</t>
        </is>
      </c>
      <c r="R834" s="145" t="n"/>
      <c r="S834" s="145" t="n"/>
      <c r="T834" s="145" t="n"/>
      <c r="U834" s="145" t="n"/>
      <c r="V834" s="145" t="n"/>
      <c r="W834" s="145" t="n"/>
      <c r="X834" s="145" t="inlineStr">
        <is>
          <t>Detailed format sample from top 5 used rows</t>
        </is>
      </c>
    </row>
    <row r="835" ht="23.85" customHeight="1" s="79">
      <c r="A835" s="145" t="inlineStr">
        <is>
          <t>WINTER_ART</t>
        </is>
      </c>
      <c r="B835" s="145" t="inlineStr">
        <is>
          <t>Top-Row Cell Format</t>
        </is>
      </c>
      <c r="C835" s="145" t="inlineStr">
        <is>
          <t>R3</t>
        </is>
      </c>
      <c r="D835" s="145" t="inlineStr">
        <is>
          <t>WINTER_ART!A1:AB82</t>
        </is>
      </c>
      <c r="E835" s="145" t="inlineStr">
        <is>
          <t>Normal</t>
        </is>
      </c>
      <c r="F835" s="145" t="inlineStr">
        <is>
          <t>#F8CBAD</t>
        </is>
      </c>
      <c r="G835" s="145" t="inlineStr">
        <is>
          <t>Aptos</t>
        </is>
      </c>
      <c r="H835" s="145" t="n">
        <v>8</v>
      </c>
      <c r="I835" s="145" t="inlineStr">
        <is>
          <t>Yes</t>
        </is>
      </c>
      <c r="J835" s="145" t="inlineStr">
        <is>
          <t>No</t>
        </is>
      </c>
      <c r="K835" s="145" t="inlineStr">
        <is>
          <t>None</t>
        </is>
      </c>
      <c r="L835" s="145" t="inlineStr">
        <is>
          <t>#000000</t>
        </is>
      </c>
      <c r="M835" s="145" t="inlineStr">
        <is>
          <t>Center</t>
        </is>
      </c>
      <c r="N835" s="145" t="inlineStr">
        <is>
          <t>Center</t>
        </is>
      </c>
      <c r="O835" s="145" t="inlineStr">
        <is>
          <t>Yes</t>
        </is>
      </c>
      <c r="P835" s="145" t="inlineStr">
        <is>
          <t>General</t>
        </is>
      </c>
      <c r="Q835" s="145" t="inlineStr">
        <is>
          <t>General</t>
        </is>
      </c>
      <c r="R835" s="145" t="n"/>
      <c r="S835" s="145" t="n"/>
      <c r="T835" s="145" t="n"/>
      <c r="U835" s="145" t="n"/>
      <c r="V835" s="145" t="n"/>
      <c r="W835" s="145" t="n"/>
      <c r="X835" s="145" t="inlineStr">
        <is>
          <t>Detailed format sample from top 5 used rows</t>
        </is>
      </c>
    </row>
    <row r="836" ht="23.85" customHeight="1" s="79">
      <c r="A836" s="145" t="inlineStr">
        <is>
          <t>WINTER_ART</t>
        </is>
      </c>
      <c r="B836" s="145" t="inlineStr">
        <is>
          <t>Top-Row Cell Format</t>
        </is>
      </c>
      <c r="C836" s="145" t="inlineStr">
        <is>
          <t>R4</t>
        </is>
      </c>
      <c r="D836" s="145" t="inlineStr">
        <is>
          <t>WINTER_ART!A1:AB82</t>
        </is>
      </c>
      <c r="E836" s="145" t="inlineStr">
        <is>
          <t>Normal</t>
        </is>
      </c>
      <c r="F836" s="145" t="inlineStr">
        <is>
          <t>#F8CBAD</t>
        </is>
      </c>
      <c r="G836" s="145" t="inlineStr">
        <is>
          <t>Aptos</t>
        </is>
      </c>
      <c r="H836" s="145" t="n">
        <v>8</v>
      </c>
      <c r="I836" s="145" t="inlineStr">
        <is>
          <t>No</t>
        </is>
      </c>
      <c r="J836" s="145" t="inlineStr">
        <is>
          <t>No</t>
        </is>
      </c>
      <c r="K836" s="145" t="inlineStr">
        <is>
          <t>None</t>
        </is>
      </c>
      <c r="L836" s="145" t="inlineStr">
        <is>
          <t>#000000</t>
        </is>
      </c>
      <c r="M836" s="145" t="inlineStr">
        <is>
          <t>Center</t>
        </is>
      </c>
      <c r="N836" s="145" t="inlineStr">
        <is>
          <t>Center</t>
        </is>
      </c>
      <c r="O836" s="145" t="inlineStr">
        <is>
          <t>No</t>
        </is>
      </c>
      <c r="P836" s="145" t="inlineStr">
        <is>
          <t>General</t>
        </is>
      </c>
      <c r="Q836" s="145" t="inlineStr">
        <is>
          <t>General</t>
        </is>
      </c>
      <c r="R836" s="145" t="n"/>
      <c r="S836" s="145" t="n"/>
      <c r="T836" s="145" t="n"/>
      <c r="U836" s="145" t="n"/>
      <c r="V836" s="145" t="n"/>
      <c r="W836" s="145" t="n"/>
      <c r="X836" s="145" t="inlineStr">
        <is>
          <t>Detailed format sample from top 5 used rows</t>
        </is>
      </c>
    </row>
    <row r="837" ht="23.85" customHeight="1" s="79">
      <c r="A837" s="145" t="inlineStr">
        <is>
          <t>WINTER_ART</t>
        </is>
      </c>
      <c r="B837" s="145" t="inlineStr">
        <is>
          <t>Top-Row Cell Format</t>
        </is>
      </c>
      <c r="C837" s="145" t="inlineStr">
        <is>
          <t>R5</t>
        </is>
      </c>
      <c r="D837" s="145" t="inlineStr">
        <is>
          <t>WINTER_ART!A1:AB82</t>
        </is>
      </c>
      <c r="E837" s="145" t="inlineStr">
        <is>
          <t>Percent</t>
        </is>
      </c>
      <c r="F837" s="145" t="n"/>
      <c r="G837" s="145" t="inlineStr">
        <is>
          <t>Aptos</t>
        </is>
      </c>
      <c r="H837" s="145" t="n">
        <v>8</v>
      </c>
      <c r="I837" s="145" t="inlineStr">
        <is>
          <t>No</t>
        </is>
      </c>
      <c r="J837" s="145" t="inlineStr">
        <is>
          <t>No</t>
        </is>
      </c>
      <c r="K837" s="145" t="inlineStr">
        <is>
          <t>None</t>
        </is>
      </c>
      <c r="L837" s="145" t="inlineStr">
        <is>
          <t>#000000</t>
        </is>
      </c>
      <c r="M837" s="145" t="inlineStr">
        <is>
          <t>Center</t>
        </is>
      </c>
      <c r="N837" s="145" t="inlineStr">
        <is>
          <t>Center</t>
        </is>
      </c>
      <c r="O837" s="145" t="inlineStr">
        <is>
          <t>No</t>
        </is>
      </c>
      <c r="P837" s="146" t="n">
        <v>0</v>
      </c>
      <c r="Q837" s="145" t="inlineStr">
        <is>
          <t>Percentage</t>
        </is>
      </c>
      <c r="R837" s="145" t="n"/>
      <c r="S837" s="145" t="n"/>
      <c r="T837" s="145" t="n"/>
      <c r="U837" s="145" t="n"/>
      <c r="V837" s="145" t="n"/>
      <c r="W837" s="145" t="n"/>
      <c r="X837" s="145" t="inlineStr">
        <is>
          <t>Detailed format sample from top 5 used rows</t>
        </is>
      </c>
    </row>
    <row r="838" ht="35.05" customHeight="1" s="79">
      <c r="A838" s="145" t="inlineStr">
        <is>
          <t>WINTER_ART</t>
        </is>
      </c>
      <c r="B838" s="145" t="inlineStr">
        <is>
          <t>Column Format</t>
        </is>
      </c>
      <c r="C838" s="145" t="inlineStr">
        <is>
          <t>S:S</t>
        </is>
      </c>
      <c r="D838" s="145" t="inlineStr">
        <is>
          <t>WINTER_ART!A1:AB82</t>
        </is>
      </c>
      <c r="E838" s="145" t="inlineStr">
        <is>
          <t>Mixed</t>
        </is>
      </c>
      <c r="F838" s="145" t="inlineStr">
        <is>
          <t>Mixed</t>
        </is>
      </c>
      <c r="G838" s="145" t="inlineStr">
        <is>
          <t>Aptos</t>
        </is>
      </c>
      <c r="H838" s="145" t="n">
        <v>8</v>
      </c>
      <c r="I838" s="145" t="inlineStr">
        <is>
          <t>Mixed</t>
        </is>
      </c>
      <c r="J838" s="145" t="inlineStr">
        <is>
          <t>No</t>
        </is>
      </c>
      <c r="K838" s="145" t="inlineStr">
        <is>
          <t>None</t>
        </is>
      </c>
      <c r="L838" s="145" t="inlineStr">
        <is>
          <t>#000000</t>
        </is>
      </c>
      <c r="M838" s="145" t="inlineStr">
        <is>
          <t>Center</t>
        </is>
      </c>
      <c r="N838" s="145" t="inlineStr">
        <is>
          <t>Center</t>
        </is>
      </c>
      <c r="O838" s="145" t="inlineStr">
        <is>
          <t>Mixed</t>
        </is>
      </c>
      <c r="P838" s="145" t="n"/>
      <c r="Q838" s="145" t="n"/>
      <c r="R838" s="145" t="inlineStr">
        <is>
          <t>EdgeTop:Continuous/Thin/#000000; EdgeBottom:Continuous/Thin/#000000; EdgeRight:Continuous/Thin/#000000</t>
        </is>
      </c>
      <c r="S838" s="145" t="n">
        <v>51.5820895522388</v>
      </c>
      <c r="T838" s="145" t="n"/>
      <c r="U838" s="145" t="inlineStr">
        <is>
          <t>No</t>
        </is>
      </c>
      <c r="V838" s="145" t="inlineStr">
        <is>
          <t>Visible</t>
        </is>
      </c>
      <c r="W838" s="145" t="n"/>
      <c r="X838" s="145" t="inlineStr">
        <is>
          <t>Mixed styles within used column</t>
        </is>
      </c>
    </row>
    <row r="839" ht="23.85" customHeight="1" s="79">
      <c r="A839" s="145" t="inlineStr">
        <is>
          <t>WINTER_ART</t>
        </is>
      </c>
      <c r="B839" s="145" t="inlineStr">
        <is>
          <t>Top-Row Cell Format</t>
        </is>
      </c>
      <c r="C839" s="145" t="inlineStr">
        <is>
          <t>S1</t>
        </is>
      </c>
      <c r="D839" s="145" t="inlineStr">
        <is>
          <t>WINTER_ART!A1:AB82</t>
        </is>
      </c>
      <c r="E839" s="145" t="inlineStr">
        <is>
          <t>Normal</t>
        </is>
      </c>
      <c r="F839" s="145" t="inlineStr">
        <is>
          <t>#C9C9C9</t>
        </is>
      </c>
      <c r="G839" s="145" t="inlineStr">
        <is>
          <t>Aptos</t>
        </is>
      </c>
      <c r="H839" s="145" t="n">
        <v>8</v>
      </c>
      <c r="I839" s="145" t="inlineStr">
        <is>
          <t>Yes</t>
        </is>
      </c>
      <c r="J839" s="145" t="inlineStr">
        <is>
          <t>No</t>
        </is>
      </c>
      <c r="K839" s="145" t="inlineStr">
        <is>
          <t>None</t>
        </is>
      </c>
      <c r="L839" s="145" t="inlineStr">
        <is>
          <t>#000000</t>
        </is>
      </c>
      <c r="M839" s="145" t="inlineStr">
        <is>
          <t>Center</t>
        </is>
      </c>
      <c r="N839" s="145" t="inlineStr">
        <is>
          <t>Center</t>
        </is>
      </c>
      <c r="O839" s="145" t="inlineStr">
        <is>
          <t>No</t>
        </is>
      </c>
      <c r="P839" s="145" t="inlineStr">
        <is>
          <t>General</t>
        </is>
      </c>
      <c r="Q839" s="145" t="inlineStr">
        <is>
          <t>General</t>
        </is>
      </c>
      <c r="R839" s="145" t="n"/>
      <c r="S839" s="145" t="n"/>
      <c r="T839" s="145" t="n"/>
      <c r="U839" s="145" t="n"/>
      <c r="V839" s="145" t="n"/>
      <c r="W839" s="145" t="n"/>
      <c r="X839" s="145" t="inlineStr">
        <is>
          <t>Detailed format sample from top 5 used rows</t>
        </is>
      </c>
    </row>
    <row r="840" ht="23.85" customHeight="1" s="79">
      <c r="A840" s="145" t="inlineStr">
        <is>
          <t>WINTER_ART</t>
        </is>
      </c>
      <c r="B840" s="145" t="inlineStr">
        <is>
          <t>Top-Row Cell Format</t>
        </is>
      </c>
      <c r="C840" s="145" t="inlineStr">
        <is>
          <t>S2</t>
        </is>
      </c>
      <c r="D840" s="145" t="inlineStr">
        <is>
          <t>WINTER_ART!A1:AB82</t>
        </is>
      </c>
      <c r="E840" s="145" t="inlineStr">
        <is>
          <t>Percent</t>
        </is>
      </c>
      <c r="F840" s="145" t="inlineStr">
        <is>
          <t>#B4C6E7</t>
        </is>
      </c>
      <c r="G840" s="145" t="inlineStr">
        <is>
          <t>Aptos</t>
        </is>
      </c>
      <c r="H840" s="145" t="n">
        <v>8</v>
      </c>
      <c r="I840" s="145" t="inlineStr">
        <is>
          <t>Yes</t>
        </is>
      </c>
      <c r="J840" s="145" t="inlineStr">
        <is>
          <t>No</t>
        </is>
      </c>
      <c r="K840" s="145" t="inlineStr">
        <is>
          <t>None</t>
        </is>
      </c>
      <c r="L840" s="145" t="inlineStr">
        <is>
          <t>#000000</t>
        </is>
      </c>
      <c r="M840" s="145" t="inlineStr">
        <is>
          <t>Center</t>
        </is>
      </c>
      <c r="N840" s="145" t="inlineStr">
        <is>
          <t>Center</t>
        </is>
      </c>
      <c r="O840" s="145" t="inlineStr">
        <is>
          <t>No</t>
        </is>
      </c>
      <c r="P840" s="146" t="n">
        <v>0</v>
      </c>
      <c r="Q840" s="145" t="inlineStr">
        <is>
          <t>Percentage</t>
        </is>
      </c>
      <c r="R840" s="145" t="n"/>
      <c r="S840" s="145" t="n"/>
      <c r="T840" s="145" t="n"/>
      <c r="U840" s="145" t="n"/>
      <c r="V840" s="145" t="n"/>
      <c r="W840" s="145" t="n"/>
      <c r="X840" s="145" t="inlineStr">
        <is>
          <t>Detailed format sample from top 5 used rows</t>
        </is>
      </c>
    </row>
    <row r="841" ht="23.85" customHeight="1" s="79">
      <c r="A841" s="145" t="inlineStr">
        <is>
          <t>WINTER_ART</t>
        </is>
      </c>
      <c r="B841" s="145" t="inlineStr">
        <is>
          <t>Top-Row Cell Format</t>
        </is>
      </c>
      <c r="C841" s="145" t="inlineStr">
        <is>
          <t>S3</t>
        </is>
      </c>
      <c r="D841" s="145" t="inlineStr">
        <is>
          <t>WINTER_ART!A1:AB82</t>
        </is>
      </c>
      <c r="E841" s="145" t="inlineStr">
        <is>
          <t>Normal</t>
        </is>
      </c>
      <c r="F841" s="145" t="inlineStr">
        <is>
          <t>#F8CBAD</t>
        </is>
      </c>
      <c r="G841" s="145" t="inlineStr">
        <is>
          <t>Aptos</t>
        </is>
      </c>
      <c r="H841" s="145" t="n">
        <v>8</v>
      </c>
      <c r="I841" s="145" t="inlineStr">
        <is>
          <t>Yes</t>
        </is>
      </c>
      <c r="J841" s="145" t="inlineStr">
        <is>
          <t>No</t>
        </is>
      </c>
      <c r="K841" s="145" t="inlineStr">
        <is>
          <t>None</t>
        </is>
      </c>
      <c r="L841" s="145" t="inlineStr">
        <is>
          <t>#000000</t>
        </is>
      </c>
      <c r="M841" s="145" t="inlineStr">
        <is>
          <t>Center</t>
        </is>
      </c>
      <c r="N841" s="145" t="inlineStr">
        <is>
          <t>Center</t>
        </is>
      </c>
      <c r="O841" s="145" t="inlineStr">
        <is>
          <t>Yes</t>
        </is>
      </c>
      <c r="P841" s="145" t="inlineStr">
        <is>
          <t>General</t>
        </is>
      </c>
      <c r="Q841" s="145" t="inlineStr">
        <is>
          <t>General</t>
        </is>
      </c>
      <c r="R841" s="145" t="n"/>
      <c r="S841" s="145" t="n"/>
      <c r="T841" s="145" t="n"/>
      <c r="U841" s="145" t="n"/>
      <c r="V841" s="145" t="n"/>
      <c r="W841" s="145" t="n"/>
      <c r="X841" s="145" t="inlineStr">
        <is>
          <t>Detailed format sample from top 5 used rows</t>
        </is>
      </c>
    </row>
    <row r="842" ht="23.85" customHeight="1" s="79">
      <c r="A842" s="145" t="inlineStr">
        <is>
          <t>WINTER_ART</t>
        </is>
      </c>
      <c r="B842" s="145" t="inlineStr">
        <is>
          <t>Top-Row Cell Format</t>
        </is>
      </c>
      <c r="C842" s="145" t="inlineStr">
        <is>
          <t>S4</t>
        </is>
      </c>
      <c r="D842" s="145" t="inlineStr">
        <is>
          <t>WINTER_ART!A1:AB82</t>
        </is>
      </c>
      <c r="E842" s="145" t="inlineStr">
        <is>
          <t>Normal</t>
        </is>
      </c>
      <c r="F842" s="145" t="inlineStr">
        <is>
          <t>#F8CBAD</t>
        </is>
      </c>
      <c r="G842" s="145" t="inlineStr">
        <is>
          <t>Aptos</t>
        </is>
      </c>
      <c r="H842" s="145" t="n">
        <v>8</v>
      </c>
      <c r="I842" s="145" t="inlineStr">
        <is>
          <t>No</t>
        </is>
      </c>
      <c r="J842" s="145" t="inlineStr">
        <is>
          <t>No</t>
        </is>
      </c>
      <c r="K842" s="145" t="inlineStr">
        <is>
          <t>None</t>
        </is>
      </c>
      <c r="L842" s="145" t="inlineStr">
        <is>
          <t>#000000</t>
        </is>
      </c>
      <c r="M842" s="145" t="inlineStr">
        <is>
          <t>Center</t>
        </is>
      </c>
      <c r="N842" s="145" t="inlineStr">
        <is>
          <t>Center</t>
        </is>
      </c>
      <c r="O842" s="145" t="inlineStr">
        <is>
          <t>No</t>
        </is>
      </c>
      <c r="P842" s="145" t="inlineStr">
        <is>
          <t>General</t>
        </is>
      </c>
      <c r="Q842" s="145" t="inlineStr">
        <is>
          <t>General</t>
        </is>
      </c>
      <c r="R842" s="145" t="n"/>
      <c r="S842" s="145" t="n"/>
      <c r="T842" s="145" t="n"/>
      <c r="U842" s="145" t="n"/>
      <c r="V842" s="145" t="n"/>
      <c r="W842" s="145" t="n"/>
      <c r="X842" s="145" t="inlineStr">
        <is>
          <t>Detailed format sample from top 5 used rows</t>
        </is>
      </c>
    </row>
    <row r="843" ht="23.85" customHeight="1" s="79">
      <c r="A843" s="145" t="inlineStr">
        <is>
          <t>WINTER_ART</t>
        </is>
      </c>
      <c r="B843" s="145" t="inlineStr">
        <is>
          <t>Top-Row Cell Format</t>
        </is>
      </c>
      <c r="C843" s="145" t="inlineStr">
        <is>
          <t>S5</t>
        </is>
      </c>
      <c r="D843" s="145" t="inlineStr">
        <is>
          <t>WINTER_ART!A1:AB82</t>
        </is>
      </c>
      <c r="E843" s="145" t="inlineStr">
        <is>
          <t>Percent</t>
        </is>
      </c>
      <c r="F843" s="145" t="n"/>
      <c r="G843" s="145" t="inlineStr">
        <is>
          <t>Aptos</t>
        </is>
      </c>
      <c r="H843" s="145" t="n">
        <v>8</v>
      </c>
      <c r="I843" s="145" t="inlineStr">
        <is>
          <t>No</t>
        </is>
      </c>
      <c r="J843" s="145" t="inlineStr">
        <is>
          <t>No</t>
        </is>
      </c>
      <c r="K843" s="145" t="inlineStr">
        <is>
          <t>None</t>
        </is>
      </c>
      <c r="L843" s="145" t="inlineStr">
        <is>
          <t>#000000</t>
        </is>
      </c>
      <c r="M843" s="145" t="inlineStr">
        <is>
          <t>Center</t>
        </is>
      </c>
      <c r="N843" s="145" t="inlineStr">
        <is>
          <t>Center</t>
        </is>
      </c>
      <c r="O843" s="145" t="inlineStr">
        <is>
          <t>No</t>
        </is>
      </c>
      <c r="P843" s="146" t="n">
        <v>0</v>
      </c>
      <c r="Q843" s="145" t="inlineStr">
        <is>
          <t>Percentage</t>
        </is>
      </c>
      <c r="R843" s="145" t="n"/>
      <c r="S843" s="145" t="n"/>
      <c r="T843" s="145" t="n"/>
      <c r="U843" s="145" t="n"/>
      <c r="V843" s="145" t="n"/>
      <c r="W843" s="145" t="n"/>
      <c r="X843" s="145" t="inlineStr">
        <is>
          <t>Detailed format sample from top 5 used rows</t>
        </is>
      </c>
    </row>
    <row r="844" ht="46.25" customHeight="1" s="79">
      <c r="A844" s="145" t="inlineStr">
        <is>
          <t>WINTER_ART</t>
        </is>
      </c>
      <c r="B844" s="145" t="inlineStr">
        <is>
          <t>Column Format</t>
        </is>
      </c>
      <c r="C844" s="145" t="inlineStr">
        <is>
          <t>T:T</t>
        </is>
      </c>
      <c r="D844" s="145" t="inlineStr">
        <is>
          <t>WINTER_ART!A1:AB82</t>
        </is>
      </c>
      <c r="E844" s="145" t="inlineStr">
        <is>
          <t>Mixed</t>
        </is>
      </c>
      <c r="F844" s="145" t="inlineStr">
        <is>
          <t>Mixed</t>
        </is>
      </c>
      <c r="G844" s="145" t="inlineStr">
        <is>
          <t>Aptos</t>
        </is>
      </c>
      <c r="H844" s="145" t="n">
        <v>8</v>
      </c>
      <c r="I844" s="145" t="inlineStr">
        <is>
          <t>Mixed</t>
        </is>
      </c>
      <c r="J844" s="145" t="inlineStr">
        <is>
          <t>No</t>
        </is>
      </c>
      <c r="K844" s="145" t="inlineStr">
        <is>
          <t>None</t>
        </is>
      </c>
      <c r="L844" s="145" t="inlineStr">
        <is>
          <t>#000000</t>
        </is>
      </c>
      <c r="M844" s="145" t="inlineStr">
        <is>
          <t>Center</t>
        </is>
      </c>
      <c r="N844" s="145" t="inlineStr">
        <is>
          <t>Center</t>
        </is>
      </c>
      <c r="O844" s="145" t="inlineStr">
        <is>
          <t>Mixed</t>
        </is>
      </c>
      <c r="P844" s="145" t="n"/>
      <c r="Q844" s="145" t="n"/>
      <c r="R844" s="145" t="inlineStr">
        <is>
          <t>EdgeTop:Continuous/Thin/#000000; EdgeBottom:Continuous/Thin/#000000; EdgeLeft:Continuous/Thin/#000000; EdgeRight:Continuous/Thin/#000000</t>
        </is>
      </c>
      <c r="S844" s="145" t="n">
        <v>53.7313432835821</v>
      </c>
      <c r="T844" s="145" t="n"/>
      <c r="U844" s="145" t="inlineStr">
        <is>
          <t>No</t>
        </is>
      </c>
      <c r="V844" s="145" t="inlineStr">
        <is>
          <t>Visible</t>
        </is>
      </c>
      <c r="W844" s="145" t="n"/>
      <c r="X844" s="145" t="inlineStr">
        <is>
          <t>Mixed styles within used column</t>
        </is>
      </c>
    </row>
    <row r="845" ht="23.85" customHeight="1" s="79">
      <c r="A845" s="145" t="inlineStr">
        <is>
          <t>WINTER_ART</t>
        </is>
      </c>
      <c r="B845" s="145" t="inlineStr">
        <is>
          <t>Top-Row Cell Format</t>
        </is>
      </c>
      <c r="C845" s="145" t="inlineStr">
        <is>
          <t>T1</t>
        </is>
      </c>
      <c r="D845" s="145" t="inlineStr">
        <is>
          <t>WINTER_ART!A1:AB82</t>
        </is>
      </c>
      <c r="E845" s="145" t="inlineStr">
        <is>
          <t>Normal</t>
        </is>
      </c>
      <c r="F845" s="145" t="inlineStr">
        <is>
          <t>#C9C9C9</t>
        </is>
      </c>
      <c r="G845" s="145" t="inlineStr">
        <is>
          <t>Aptos</t>
        </is>
      </c>
      <c r="H845" s="145" t="n">
        <v>8</v>
      </c>
      <c r="I845" s="145" t="inlineStr">
        <is>
          <t>Yes</t>
        </is>
      </c>
      <c r="J845" s="145" t="inlineStr">
        <is>
          <t>No</t>
        </is>
      </c>
      <c r="K845" s="145" t="inlineStr">
        <is>
          <t>None</t>
        </is>
      </c>
      <c r="L845" s="145" t="inlineStr">
        <is>
          <t>#000000</t>
        </is>
      </c>
      <c r="M845" s="145" t="inlineStr">
        <is>
          <t>Center</t>
        </is>
      </c>
      <c r="N845" s="145" t="inlineStr">
        <is>
          <t>Center</t>
        </is>
      </c>
      <c r="O845" s="145" t="inlineStr">
        <is>
          <t>No</t>
        </is>
      </c>
      <c r="P845" s="145" t="inlineStr">
        <is>
          <t>General</t>
        </is>
      </c>
      <c r="Q845" s="145" t="inlineStr">
        <is>
          <t>General</t>
        </is>
      </c>
      <c r="R845" s="145" t="n"/>
      <c r="S845" s="145" t="n"/>
      <c r="T845" s="145" t="n"/>
      <c r="U845" s="145" t="n"/>
      <c r="V845" s="145" t="n"/>
      <c r="W845" s="145" t="n"/>
      <c r="X845" s="145" t="inlineStr">
        <is>
          <t>Detailed format sample from top 5 used rows</t>
        </is>
      </c>
    </row>
    <row r="846" ht="23.85" customHeight="1" s="79">
      <c r="A846" s="145" t="inlineStr">
        <is>
          <t>WINTER_ART</t>
        </is>
      </c>
      <c r="B846" s="145" t="inlineStr">
        <is>
          <t>Top-Row Cell Format</t>
        </is>
      </c>
      <c r="C846" s="145" t="inlineStr">
        <is>
          <t>T2</t>
        </is>
      </c>
      <c r="D846" s="145" t="inlineStr">
        <is>
          <t>WINTER_ART!A1:AB82</t>
        </is>
      </c>
      <c r="E846" s="145" t="inlineStr">
        <is>
          <t>Percent</t>
        </is>
      </c>
      <c r="F846" s="145" t="inlineStr">
        <is>
          <t>#B4C6E7</t>
        </is>
      </c>
      <c r="G846" s="145" t="inlineStr">
        <is>
          <t>Aptos</t>
        </is>
      </c>
      <c r="H846" s="145" t="n">
        <v>8</v>
      </c>
      <c r="I846" s="145" t="inlineStr">
        <is>
          <t>Yes</t>
        </is>
      </c>
      <c r="J846" s="145" t="inlineStr">
        <is>
          <t>No</t>
        </is>
      </c>
      <c r="K846" s="145" t="inlineStr">
        <is>
          <t>None</t>
        </is>
      </c>
      <c r="L846" s="145" t="inlineStr">
        <is>
          <t>#000000</t>
        </is>
      </c>
      <c r="M846" s="145" t="inlineStr">
        <is>
          <t>Center</t>
        </is>
      </c>
      <c r="N846" s="145" t="inlineStr">
        <is>
          <t>Center</t>
        </is>
      </c>
      <c r="O846" s="145" t="inlineStr">
        <is>
          <t>No</t>
        </is>
      </c>
      <c r="P846" s="146" t="n">
        <v>0</v>
      </c>
      <c r="Q846" s="145" t="inlineStr">
        <is>
          <t>Percentage</t>
        </is>
      </c>
      <c r="R846" s="145" t="n"/>
      <c r="S846" s="145" t="n"/>
      <c r="T846" s="145" t="n"/>
      <c r="U846" s="145" t="n"/>
      <c r="V846" s="145" t="n"/>
      <c r="W846" s="145" t="n"/>
      <c r="X846" s="145" t="inlineStr">
        <is>
          <t>Detailed format sample from top 5 used rows</t>
        </is>
      </c>
    </row>
    <row r="847" ht="23.85" customHeight="1" s="79">
      <c r="A847" s="145" t="inlineStr">
        <is>
          <t>WINTER_ART</t>
        </is>
      </c>
      <c r="B847" s="145" t="inlineStr">
        <is>
          <t>Top-Row Cell Format</t>
        </is>
      </c>
      <c r="C847" s="145" t="inlineStr">
        <is>
          <t>T3</t>
        </is>
      </c>
      <c r="D847" s="145" t="inlineStr">
        <is>
          <t>WINTER_ART!A1:AB82</t>
        </is>
      </c>
      <c r="E847" s="145" t="inlineStr">
        <is>
          <t>Normal</t>
        </is>
      </c>
      <c r="F847" s="145" t="inlineStr">
        <is>
          <t>#F8CBAD</t>
        </is>
      </c>
      <c r="G847" s="145" t="inlineStr">
        <is>
          <t>Aptos</t>
        </is>
      </c>
      <c r="H847" s="145" t="n">
        <v>8</v>
      </c>
      <c r="I847" s="145" t="inlineStr">
        <is>
          <t>Yes</t>
        </is>
      </c>
      <c r="J847" s="145" t="inlineStr">
        <is>
          <t>No</t>
        </is>
      </c>
      <c r="K847" s="145" t="inlineStr">
        <is>
          <t>None</t>
        </is>
      </c>
      <c r="L847" s="145" t="inlineStr">
        <is>
          <t>#000000</t>
        </is>
      </c>
      <c r="M847" s="145" t="inlineStr">
        <is>
          <t>Center</t>
        </is>
      </c>
      <c r="N847" s="145" t="inlineStr">
        <is>
          <t>Center</t>
        </is>
      </c>
      <c r="O847" s="145" t="inlineStr">
        <is>
          <t>Yes</t>
        </is>
      </c>
      <c r="P847" s="145" t="inlineStr">
        <is>
          <t>General</t>
        </is>
      </c>
      <c r="Q847" s="145" t="inlineStr">
        <is>
          <t>General</t>
        </is>
      </c>
      <c r="R847" s="145" t="n"/>
      <c r="S847" s="145" t="n"/>
      <c r="T847" s="145" t="n"/>
      <c r="U847" s="145" t="n"/>
      <c r="V847" s="145" t="n"/>
      <c r="W847" s="145" t="n"/>
      <c r="X847" s="145" t="inlineStr">
        <is>
          <t>Detailed format sample from top 5 used rows</t>
        </is>
      </c>
    </row>
    <row r="848" ht="23.85" customHeight="1" s="79">
      <c r="A848" s="145" t="inlineStr">
        <is>
          <t>WINTER_ART</t>
        </is>
      </c>
      <c r="B848" s="145" t="inlineStr">
        <is>
          <t>Top-Row Cell Format</t>
        </is>
      </c>
      <c r="C848" s="145" t="inlineStr">
        <is>
          <t>T4</t>
        </is>
      </c>
      <c r="D848" s="145" t="inlineStr">
        <is>
          <t>WINTER_ART!A1:AB82</t>
        </is>
      </c>
      <c r="E848" s="145" t="inlineStr">
        <is>
          <t>Normal</t>
        </is>
      </c>
      <c r="F848" s="145" t="inlineStr">
        <is>
          <t>#F8CBAD</t>
        </is>
      </c>
      <c r="G848" s="145" t="inlineStr">
        <is>
          <t>Aptos</t>
        </is>
      </c>
      <c r="H848" s="145" t="n">
        <v>8</v>
      </c>
      <c r="I848" s="145" t="inlineStr">
        <is>
          <t>No</t>
        </is>
      </c>
      <c r="J848" s="145" t="inlineStr">
        <is>
          <t>No</t>
        </is>
      </c>
      <c r="K848" s="145" t="inlineStr">
        <is>
          <t>None</t>
        </is>
      </c>
      <c r="L848" s="145" t="inlineStr">
        <is>
          <t>#000000</t>
        </is>
      </c>
      <c r="M848" s="145" t="inlineStr">
        <is>
          <t>Center</t>
        </is>
      </c>
      <c r="N848" s="145" t="inlineStr">
        <is>
          <t>Center</t>
        </is>
      </c>
      <c r="O848" s="145" t="inlineStr">
        <is>
          <t>No</t>
        </is>
      </c>
      <c r="P848" s="145" t="inlineStr">
        <is>
          <t>General</t>
        </is>
      </c>
      <c r="Q848" s="145" t="inlineStr">
        <is>
          <t>General</t>
        </is>
      </c>
      <c r="R848" s="145" t="n"/>
      <c r="S848" s="145" t="n"/>
      <c r="T848" s="145" t="n"/>
      <c r="U848" s="145" t="n"/>
      <c r="V848" s="145" t="n"/>
      <c r="W848" s="145" t="n"/>
      <c r="X848" s="145" t="inlineStr">
        <is>
          <t>Detailed format sample from top 5 used rows</t>
        </is>
      </c>
    </row>
    <row r="849" ht="23.85" customHeight="1" s="79">
      <c r="A849" s="145" t="inlineStr">
        <is>
          <t>WINTER_ART</t>
        </is>
      </c>
      <c r="B849" s="145" t="inlineStr">
        <is>
          <t>Top-Row Cell Format</t>
        </is>
      </c>
      <c r="C849" s="145" t="inlineStr">
        <is>
          <t>T5</t>
        </is>
      </c>
      <c r="D849" s="145" t="inlineStr">
        <is>
          <t>WINTER_ART!A1:AB82</t>
        </is>
      </c>
      <c r="E849" s="145" t="inlineStr">
        <is>
          <t>Percent</t>
        </is>
      </c>
      <c r="F849" s="145" t="n"/>
      <c r="G849" s="145" t="inlineStr">
        <is>
          <t>Aptos</t>
        </is>
      </c>
      <c r="H849" s="145" t="n">
        <v>8</v>
      </c>
      <c r="I849" s="145" t="inlineStr">
        <is>
          <t>No</t>
        </is>
      </c>
      <c r="J849" s="145" t="inlineStr">
        <is>
          <t>No</t>
        </is>
      </c>
      <c r="K849" s="145" t="inlineStr">
        <is>
          <t>None</t>
        </is>
      </c>
      <c r="L849" s="145" t="inlineStr">
        <is>
          <t>#000000</t>
        </is>
      </c>
      <c r="M849" s="145" t="inlineStr">
        <is>
          <t>Center</t>
        </is>
      </c>
      <c r="N849" s="145" t="inlineStr">
        <is>
          <t>Center</t>
        </is>
      </c>
      <c r="O849" s="145" t="inlineStr">
        <is>
          <t>No</t>
        </is>
      </c>
      <c r="P849" s="146" t="n">
        <v>0</v>
      </c>
      <c r="Q849" s="145" t="inlineStr">
        <is>
          <t>Percentage</t>
        </is>
      </c>
      <c r="R849" s="145" t="n"/>
      <c r="S849" s="145" t="n"/>
      <c r="T849" s="145" t="n"/>
      <c r="U849" s="145" t="n"/>
      <c r="V849" s="145" t="n"/>
      <c r="W849" s="145" t="n"/>
      <c r="X849" s="145" t="inlineStr">
        <is>
          <t>Detailed format sample from top 5 used rows</t>
        </is>
      </c>
    </row>
    <row r="850" ht="35.05" customHeight="1" s="79">
      <c r="A850" s="145" t="inlineStr">
        <is>
          <t>WINTER_ART</t>
        </is>
      </c>
      <c r="B850" s="145" t="inlineStr">
        <is>
          <t>Column Format</t>
        </is>
      </c>
      <c r="C850" s="145" t="inlineStr">
        <is>
          <t>U:U</t>
        </is>
      </c>
      <c r="D850" s="145" t="inlineStr">
        <is>
          <t>WINTER_ART!A1:AB82</t>
        </is>
      </c>
      <c r="E850" s="145" t="inlineStr">
        <is>
          <t>Mixed</t>
        </is>
      </c>
      <c r="F850" s="145" t="inlineStr">
        <is>
          <t>Mixed</t>
        </is>
      </c>
      <c r="G850" s="145" t="inlineStr">
        <is>
          <t>Aptos</t>
        </is>
      </c>
      <c r="H850" s="145" t="n">
        <v>8</v>
      </c>
      <c r="I850" s="145" t="inlineStr">
        <is>
          <t>Mixed</t>
        </is>
      </c>
      <c r="J850" s="145" t="inlineStr">
        <is>
          <t>No</t>
        </is>
      </c>
      <c r="K850" s="145" t="inlineStr">
        <is>
          <t>None</t>
        </is>
      </c>
      <c r="L850" s="145" t="inlineStr">
        <is>
          <t>#000000</t>
        </is>
      </c>
      <c r="M850" s="145" t="inlineStr">
        <is>
          <t>Center</t>
        </is>
      </c>
      <c r="N850" s="145" t="inlineStr">
        <is>
          <t>Center</t>
        </is>
      </c>
      <c r="O850" s="145" t="inlineStr">
        <is>
          <t>Mixed</t>
        </is>
      </c>
      <c r="P850" s="145" t="n"/>
      <c r="Q850" s="145" t="n"/>
      <c r="R850" s="145" t="inlineStr">
        <is>
          <t>EdgeTop:Continuous/Thin/#000000; EdgeBottom:Continuous/Thin/#000000; EdgeRight:Continuous/Thin/#000000</t>
        </is>
      </c>
      <c r="S850" s="145" t="n">
        <v>53.7313432835821</v>
      </c>
      <c r="T850" s="145" t="n"/>
      <c r="U850" s="145" t="inlineStr">
        <is>
          <t>No</t>
        </is>
      </c>
      <c r="V850" s="145" t="inlineStr">
        <is>
          <t>Visible</t>
        </is>
      </c>
      <c r="W850" s="145" t="n"/>
      <c r="X850" s="145" t="inlineStr">
        <is>
          <t>Mixed styles within used column</t>
        </is>
      </c>
    </row>
    <row r="851" ht="23.85" customHeight="1" s="79">
      <c r="A851" s="145" t="inlineStr">
        <is>
          <t>WINTER_ART</t>
        </is>
      </c>
      <c r="B851" s="145" t="inlineStr">
        <is>
          <t>Top-Row Cell Format</t>
        </is>
      </c>
      <c r="C851" s="145" t="inlineStr">
        <is>
          <t>U1</t>
        </is>
      </c>
      <c r="D851" s="145" t="inlineStr">
        <is>
          <t>WINTER_ART!A1:AB82</t>
        </is>
      </c>
      <c r="E851" s="145" t="inlineStr">
        <is>
          <t>Normal</t>
        </is>
      </c>
      <c r="F851" s="145" t="inlineStr">
        <is>
          <t>#C9C9C9</t>
        </is>
      </c>
      <c r="G851" s="145" t="inlineStr">
        <is>
          <t>Aptos</t>
        </is>
      </c>
      <c r="H851" s="145" t="n">
        <v>8</v>
      </c>
      <c r="I851" s="145" t="inlineStr">
        <is>
          <t>Yes</t>
        </is>
      </c>
      <c r="J851" s="145" t="inlineStr">
        <is>
          <t>No</t>
        </is>
      </c>
      <c r="K851" s="145" t="inlineStr">
        <is>
          <t>None</t>
        </is>
      </c>
      <c r="L851" s="145" t="inlineStr">
        <is>
          <t>#000000</t>
        </is>
      </c>
      <c r="M851" s="145" t="inlineStr">
        <is>
          <t>Center</t>
        </is>
      </c>
      <c r="N851" s="145" t="inlineStr">
        <is>
          <t>Center</t>
        </is>
      </c>
      <c r="O851" s="145" t="inlineStr">
        <is>
          <t>No</t>
        </is>
      </c>
      <c r="P851" s="145" t="inlineStr">
        <is>
          <t>General</t>
        </is>
      </c>
      <c r="Q851" s="145" t="inlineStr">
        <is>
          <t>General</t>
        </is>
      </c>
      <c r="R851" s="145" t="n"/>
      <c r="S851" s="145" t="n"/>
      <c r="T851" s="145" t="n"/>
      <c r="U851" s="145" t="n"/>
      <c r="V851" s="145" t="n"/>
      <c r="W851" s="145" t="n"/>
      <c r="X851" s="145" t="inlineStr">
        <is>
          <t>Detailed format sample from top 5 used rows</t>
        </is>
      </c>
    </row>
    <row r="852" ht="23.85" customHeight="1" s="79">
      <c r="A852" s="145" t="inlineStr">
        <is>
          <t>WINTER_ART</t>
        </is>
      </c>
      <c r="B852" s="145" t="inlineStr">
        <is>
          <t>Top-Row Cell Format</t>
        </is>
      </c>
      <c r="C852" s="145" t="inlineStr">
        <is>
          <t>U2</t>
        </is>
      </c>
      <c r="D852" s="145" t="inlineStr">
        <is>
          <t>WINTER_ART!A1:AB82</t>
        </is>
      </c>
      <c r="E852" s="145" t="inlineStr">
        <is>
          <t>Percent</t>
        </is>
      </c>
      <c r="F852" s="145" t="inlineStr">
        <is>
          <t>#B4C6E7</t>
        </is>
      </c>
      <c r="G852" s="145" t="inlineStr">
        <is>
          <t>Aptos</t>
        </is>
      </c>
      <c r="H852" s="145" t="n">
        <v>8</v>
      </c>
      <c r="I852" s="145" t="inlineStr">
        <is>
          <t>Yes</t>
        </is>
      </c>
      <c r="J852" s="145" t="inlineStr">
        <is>
          <t>No</t>
        </is>
      </c>
      <c r="K852" s="145" t="inlineStr">
        <is>
          <t>None</t>
        </is>
      </c>
      <c r="L852" s="145" t="inlineStr">
        <is>
          <t>#000000</t>
        </is>
      </c>
      <c r="M852" s="145" t="inlineStr">
        <is>
          <t>Center</t>
        </is>
      </c>
      <c r="N852" s="145" t="inlineStr">
        <is>
          <t>Center</t>
        </is>
      </c>
      <c r="O852" s="145" t="inlineStr">
        <is>
          <t>No</t>
        </is>
      </c>
      <c r="P852" s="146" t="n">
        <v>0</v>
      </c>
      <c r="Q852" s="145" t="inlineStr">
        <is>
          <t>Percentage</t>
        </is>
      </c>
      <c r="R852" s="145" t="n"/>
      <c r="S852" s="145" t="n"/>
      <c r="T852" s="145" t="n"/>
      <c r="U852" s="145" t="n"/>
      <c r="V852" s="145" t="n"/>
      <c r="W852" s="145" t="n"/>
      <c r="X852" s="145" t="inlineStr">
        <is>
          <t>Detailed format sample from top 5 used rows</t>
        </is>
      </c>
    </row>
    <row r="853" ht="23.85" customHeight="1" s="79">
      <c r="A853" s="145" t="inlineStr">
        <is>
          <t>WINTER_ART</t>
        </is>
      </c>
      <c r="B853" s="145" t="inlineStr">
        <is>
          <t>Top-Row Cell Format</t>
        </is>
      </c>
      <c r="C853" s="145" t="inlineStr">
        <is>
          <t>U3</t>
        </is>
      </c>
      <c r="D853" s="145" t="inlineStr">
        <is>
          <t>WINTER_ART!A1:AB82</t>
        </is>
      </c>
      <c r="E853" s="145" t="inlineStr">
        <is>
          <t>Normal</t>
        </is>
      </c>
      <c r="F853" s="145" t="inlineStr">
        <is>
          <t>#F8CBAD</t>
        </is>
      </c>
      <c r="G853" s="145" t="inlineStr">
        <is>
          <t>Aptos</t>
        </is>
      </c>
      <c r="H853" s="145" t="n">
        <v>8</v>
      </c>
      <c r="I853" s="145" t="inlineStr">
        <is>
          <t>Yes</t>
        </is>
      </c>
      <c r="J853" s="145" t="inlineStr">
        <is>
          <t>No</t>
        </is>
      </c>
      <c r="K853" s="145" t="inlineStr">
        <is>
          <t>None</t>
        </is>
      </c>
      <c r="L853" s="145" t="inlineStr">
        <is>
          <t>#000000</t>
        </is>
      </c>
      <c r="M853" s="145" t="inlineStr">
        <is>
          <t>Center</t>
        </is>
      </c>
      <c r="N853" s="145" t="inlineStr">
        <is>
          <t>Center</t>
        </is>
      </c>
      <c r="O853" s="145" t="inlineStr">
        <is>
          <t>Yes</t>
        </is>
      </c>
      <c r="P853" s="145" t="inlineStr">
        <is>
          <t>General</t>
        </is>
      </c>
      <c r="Q853" s="145" t="inlineStr">
        <is>
          <t>General</t>
        </is>
      </c>
      <c r="R853" s="145" t="n"/>
      <c r="S853" s="145" t="n"/>
      <c r="T853" s="145" t="n"/>
      <c r="U853" s="145" t="n"/>
      <c r="V853" s="145" t="n"/>
      <c r="W853" s="145" t="n"/>
      <c r="X853" s="145" t="inlineStr">
        <is>
          <t>Detailed format sample from top 5 used rows</t>
        </is>
      </c>
    </row>
    <row r="854" ht="23.85" customHeight="1" s="79">
      <c r="A854" s="145" t="inlineStr">
        <is>
          <t>WINTER_ART</t>
        </is>
      </c>
      <c r="B854" s="145" t="inlineStr">
        <is>
          <t>Top-Row Cell Format</t>
        </is>
      </c>
      <c r="C854" s="145" t="inlineStr">
        <is>
          <t>U4</t>
        </is>
      </c>
      <c r="D854" s="145" t="inlineStr">
        <is>
          <t>WINTER_ART!A1:AB82</t>
        </is>
      </c>
      <c r="E854" s="145" t="inlineStr">
        <is>
          <t>Normal</t>
        </is>
      </c>
      <c r="F854" s="145" t="inlineStr">
        <is>
          <t>#F8CBAD</t>
        </is>
      </c>
      <c r="G854" s="145" t="inlineStr">
        <is>
          <t>Aptos</t>
        </is>
      </c>
      <c r="H854" s="145" t="n">
        <v>8</v>
      </c>
      <c r="I854" s="145" t="inlineStr">
        <is>
          <t>No</t>
        </is>
      </c>
      <c r="J854" s="145" t="inlineStr">
        <is>
          <t>No</t>
        </is>
      </c>
      <c r="K854" s="145" t="inlineStr">
        <is>
          <t>None</t>
        </is>
      </c>
      <c r="L854" s="145" t="inlineStr">
        <is>
          <t>#000000</t>
        </is>
      </c>
      <c r="M854" s="145" t="inlineStr">
        <is>
          <t>Center</t>
        </is>
      </c>
      <c r="N854" s="145" t="inlineStr">
        <is>
          <t>Center</t>
        </is>
      </c>
      <c r="O854" s="145" t="inlineStr">
        <is>
          <t>No</t>
        </is>
      </c>
      <c r="P854" s="145" t="inlineStr">
        <is>
          <t>General</t>
        </is>
      </c>
      <c r="Q854" s="145" t="inlineStr">
        <is>
          <t>General</t>
        </is>
      </c>
      <c r="R854" s="145" t="n"/>
      <c r="S854" s="145" t="n"/>
      <c r="T854" s="145" t="n"/>
      <c r="U854" s="145" t="n"/>
      <c r="V854" s="145" t="n"/>
      <c r="W854" s="145" t="n"/>
      <c r="X854" s="145" t="inlineStr">
        <is>
          <t>Detailed format sample from top 5 used rows</t>
        </is>
      </c>
    </row>
    <row r="855" ht="23.85" customHeight="1" s="79">
      <c r="A855" s="145" t="inlineStr">
        <is>
          <t>WINTER_ART</t>
        </is>
      </c>
      <c r="B855" s="145" t="inlineStr">
        <is>
          <t>Top-Row Cell Format</t>
        </is>
      </c>
      <c r="C855" s="145" t="inlineStr">
        <is>
          <t>U5</t>
        </is>
      </c>
      <c r="D855" s="145" t="inlineStr">
        <is>
          <t>WINTER_ART!A1:AB82</t>
        </is>
      </c>
      <c r="E855" s="145" t="inlineStr">
        <is>
          <t>Percent</t>
        </is>
      </c>
      <c r="F855" s="145" t="n"/>
      <c r="G855" s="145" t="inlineStr">
        <is>
          <t>Aptos</t>
        </is>
      </c>
      <c r="H855" s="145" t="n">
        <v>8</v>
      </c>
      <c r="I855" s="145" t="inlineStr">
        <is>
          <t>No</t>
        </is>
      </c>
      <c r="J855" s="145" t="inlineStr">
        <is>
          <t>No</t>
        </is>
      </c>
      <c r="K855" s="145" t="inlineStr">
        <is>
          <t>None</t>
        </is>
      </c>
      <c r="L855" s="145" t="inlineStr">
        <is>
          <t>#000000</t>
        </is>
      </c>
      <c r="M855" s="145" t="inlineStr">
        <is>
          <t>Center</t>
        </is>
      </c>
      <c r="N855" s="145" t="inlineStr">
        <is>
          <t>Center</t>
        </is>
      </c>
      <c r="O855" s="145" t="inlineStr">
        <is>
          <t>No</t>
        </is>
      </c>
      <c r="P855" s="146" t="n">
        <v>0</v>
      </c>
      <c r="Q855" s="145" t="inlineStr">
        <is>
          <t>Percentage</t>
        </is>
      </c>
      <c r="R855" s="145" t="n"/>
      <c r="S855" s="145" t="n"/>
      <c r="T855" s="145" t="n"/>
      <c r="U855" s="145" t="n"/>
      <c r="V855" s="145" t="n"/>
      <c r="W855" s="145" t="n"/>
      <c r="X855" s="145" t="inlineStr">
        <is>
          <t>Detailed format sample from top 5 used rows</t>
        </is>
      </c>
    </row>
    <row r="856" ht="23.85" customHeight="1" s="79">
      <c r="A856" s="145" t="inlineStr">
        <is>
          <t>WINTER_ART</t>
        </is>
      </c>
      <c r="B856" s="145" t="inlineStr">
        <is>
          <t>Column Format</t>
        </is>
      </c>
      <c r="C856" s="145" t="inlineStr">
        <is>
          <t>V:V</t>
        </is>
      </c>
      <c r="D856" s="145" t="inlineStr">
        <is>
          <t>WINTER_ART!A1:AB82</t>
        </is>
      </c>
      <c r="E856" s="145" t="inlineStr">
        <is>
          <t>Normal</t>
        </is>
      </c>
      <c r="F856" s="145" t="inlineStr">
        <is>
          <t>#8EA9DB</t>
        </is>
      </c>
      <c r="G856" s="145" t="inlineStr">
        <is>
          <t>Aptos</t>
        </is>
      </c>
      <c r="H856" s="145" t="n">
        <v>8</v>
      </c>
      <c r="I856" s="145" t="inlineStr">
        <is>
          <t>No</t>
        </is>
      </c>
      <c r="J856" s="145" t="inlineStr">
        <is>
          <t>No</t>
        </is>
      </c>
      <c r="K856" s="145" t="inlineStr">
        <is>
          <t>None</t>
        </is>
      </c>
      <c r="L856" s="145" t="inlineStr">
        <is>
          <t>#000000</t>
        </is>
      </c>
      <c r="M856" s="145" t="inlineStr">
        <is>
          <t>General</t>
        </is>
      </c>
      <c r="N856" s="145" t="inlineStr">
        <is>
          <t>Center</t>
        </is>
      </c>
      <c r="O856" s="145" t="inlineStr">
        <is>
          <t>No</t>
        </is>
      </c>
      <c r="P856" s="145" t="n"/>
      <c r="Q856" s="145" t="n"/>
      <c r="R856" s="145" t="inlineStr">
        <is>
          <t>EdgeLeft:Continuous/Thin/#000000; EdgeRight:Continuous/Thin/#000000</t>
        </is>
      </c>
      <c r="S856" s="145" t="n">
        <v>4.29850746268657</v>
      </c>
      <c r="T856" s="145" t="n"/>
      <c r="U856" s="145" t="inlineStr">
        <is>
          <t>No</t>
        </is>
      </c>
      <c r="V856" s="145" t="inlineStr">
        <is>
          <t>Visible</t>
        </is>
      </c>
      <c r="W856" s="145" t="n"/>
      <c r="X856" s="145" t="inlineStr">
        <is>
          <t>Uniform style across used column</t>
        </is>
      </c>
    </row>
    <row r="857" ht="23.85" customHeight="1" s="79">
      <c r="A857" s="145" t="inlineStr">
        <is>
          <t>WINTER_ART</t>
        </is>
      </c>
      <c r="B857" s="145" t="inlineStr">
        <is>
          <t>Top-Row Cell Format</t>
        </is>
      </c>
      <c r="C857" s="145" t="inlineStr">
        <is>
          <t>V1</t>
        </is>
      </c>
      <c r="D857" s="145" t="inlineStr">
        <is>
          <t>WINTER_ART!A1:AB82</t>
        </is>
      </c>
      <c r="E857" s="145" t="inlineStr">
        <is>
          <t>Normal</t>
        </is>
      </c>
      <c r="F857" s="145" t="inlineStr">
        <is>
          <t>#8EA9DB</t>
        </is>
      </c>
      <c r="G857" s="145" t="inlineStr">
        <is>
          <t>Aptos</t>
        </is>
      </c>
      <c r="H857" s="145" t="n">
        <v>8</v>
      </c>
      <c r="I857" s="145" t="inlineStr">
        <is>
          <t>No</t>
        </is>
      </c>
      <c r="J857" s="145" t="inlineStr">
        <is>
          <t>No</t>
        </is>
      </c>
      <c r="K857" s="145" t="inlineStr">
        <is>
          <t>None</t>
        </is>
      </c>
      <c r="L857" s="145" t="inlineStr">
        <is>
          <t>#000000</t>
        </is>
      </c>
      <c r="M857" s="145" t="inlineStr">
        <is>
          <t>General</t>
        </is>
      </c>
      <c r="N857" s="145" t="inlineStr">
        <is>
          <t>Center</t>
        </is>
      </c>
      <c r="O857" s="145" t="inlineStr">
        <is>
          <t>No</t>
        </is>
      </c>
      <c r="P857" s="145" t="inlineStr">
        <is>
          <t>General</t>
        </is>
      </c>
      <c r="Q857" s="145" t="inlineStr">
        <is>
          <t>General</t>
        </is>
      </c>
      <c r="R857" s="145" t="n"/>
      <c r="S857" s="145" t="n"/>
      <c r="T857" s="145" t="n"/>
      <c r="U857" s="145" t="n"/>
      <c r="V857" s="145" t="n"/>
      <c r="W857" s="145" t="n"/>
      <c r="X857" s="145" t="inlineStr">
        <is>
          <t>Detailed format sample from top 5 used rows</t>
        </is>
      </c>
    </row>
    <row r="858" ht="23.85" customHeight="1" s="79">
      <c r="A858" s="145" t="inlineStr">
        <is>
          <t>WINTER_ART</t>
        </is>
      </c>
      <c r="B858" s="145" t="inlineStr">
        <is>
          <t>Top-Row Cell Format</t>
        </is>
      </c>
      <c r="C858" s="145" t="inlineStr">
        <is>
          <t>V2</t>
        </is>
      </c>
      <c r="D858" s="145" t="inlineStr">
        <is>
          <t>WINTER_ART!A1:AB82</t>
        </is>
      </c>
      <c r="E858" s="145" t="inlineStr">
        <is>
          <t>Normal</t>
        </is>
      </c>
      <c r="F858" s="145" t="inlineStr">
        <is>
          <t>#8EA9DB</t>
        </is>
      </c>
      <c r="G858" s="145" t="inlineStr">
        <is>
          <t>Aptos</t>
        </is>
      </c>
      <c r="H858" s="145" t="n">
        <v>8</v>
      </c>
      <c r="I858" s="145" t="inlineStr">
        <is>
          <t>No</t>
        </is>
      </c>
      <c r="J858" s="145" t="inlineStr">
        <is>
          <t>No</t>
        </is>
      </c>
      <c r="K858" s="145" t="inlineStr">
        <is>
          <t>None</t>
        </is>
      </c>
      <c r="L858" s="145" t="inlineStr">
        <is>
          <t>#000000</t>
        </is>
      </c>
      <c r="M858" s="145" t="inlineStr">
        <is>
          <t>General</t>
        </is>
      </c>
      <c r="N858" s="145" t="inlineStr">
        <is>
          <t>Center</t>
        </is>
      </c>
      <c r="O858" s="145" t="inlineStr">
        <is>
          <t>No</t>
        </is>
      </c>
      <c r="P858" s="145" t="inlineStr">
        <is>
          <t>General</t>
        </is>
      </c>
      <c r="Q858" s="145" t="inlineStr">
        <is>
          <t>General</t>
        </is>
      </c>
      <c r="R858" s="145" t="n"/>
      <c r="S858" s="145" t="n"/>
      <c r="T858" s="145" t="n"/>
      <c r="U858" s="145" t="n"/>
      <c r="V858" s="145" t="n"/>
      <c r="W858" s="145" t="n"/>
      <c r="X858" s="145" t="inlineStr">
        <is>
          <t>Detailed format sample from top 5 used rows</t>
        </is>
      </c>
    </row>
    <row r="859" ht="23.85" customHeight="1" s="79">
      <c r="A859" s="145" t="inlineStr">
        <is>
          <t>WINTER_ART</t>
        </is>
      </c>
      <c r="B859" s="145" t="inlineStr">
        <is>
          <t>Top-Row Cell Format</t>
        </is>
      </c>
      <c r="C859" s="145" t="inlineStr">
        <is>
          <t>V3</t>
        </is>
      </c>
      <c r="D859" s="145" t="inlineStr">
        <is>
          <t>WINTER_ART!A1:AB82</t>
        </is>
      </c>
      <c r="E859" s="145" t="inlineStr">
        <is>
          <t>Normal</t>
        </is>
      </c>
      <c r="F859" s="145" t="inlineStr">
        <is>
          <t>#8EA9DB</t>
        </is>
      </c>
      <c r="G859" s="145" t="inlineStr">
        <is>
          <t>Aptos</t>
        </is>
      </c>
      <c r="H859" s="145" t="n">
        <v>8</v>
      </c>
      <c r="I859" s="145" t="inlineStr">
        <is>
          <t>No</t>
        </is>
      </c>
      <c r="J859" s="145" t="inlineStr">
        <is>
          <t>No</t>
        </is>
      </c>
      <c r="K859" s="145" t="inlineStr">
        <is>
          <t>None</t>
        </is>
      </c>
      <c r="L859" s="145" t="inlineStr">
        <is>
          <t>#000000</t>
        </is>
      </c>
      <c r="M859" s="145" t="inlineStr">
        <is>
          <t>General</t>
        </is>
      </c>
      <c r="N859" s="145" t="inlineStr">
        <is>
          <t>Center</t>
        </is>
      </c>
      <c r="O859" s="145" t="inlineStr">
        <is>
          <t>No</t>
        </is>
      </c>
      <c r="P859" s="145" t="inlineStr">
        <is>
          <t>General</t>
        </is>
      </c>
      <c r="Q859" s="145" t="inlineStr">
        <is>
          <t>General</t>
        </is>
      </c>
      <c r="R859" s="145" t="n"/>
      <c r="S859" s="145" t="n"/>
      <c r="T859" s="145" t="n"/>
      <c r="U859" s="145" t="n"/>
      <c r="V859" s="145" t="n"/>
      <c r="W859" s="145" t="n"/>
      <c r="X859" s="145" t="inlineStr">
        <is>
          <t>Detailed format sample from top 5 used rows</t>
        </is>
      </c>
    </row>
    <row r="860" ht="23.85" customHeight="1" s="79">
      <c r="A860" s="145" t="inlineStr">
        <is>
          <t>WINTER_ART</t>
        </is>
      </c>
      <c r="B860" s="145" t="inlineStr">
        <is>
          <t>Top-Row Cell Format</t>
        </is>
      </c>
      <c r="C860" s="145" t="inlineStr">
        <is>
          <t>V4</t>
        </is>
      </c>
      <c r="D860" s="145" t="inlineStr">
        <is>
          <t>WINTER_ART!A1:AB82</t>
        </is>
      </c>
      <c r="E860" s="145" t="inlineStr">
        <is>
          <t>Normal</t>
        </is>
      </c>
      <c r="F860" s="145" t="inlineStr">
        <is>
          <t>#8EA9DB</t>
        </is>
      </c>
      <c r="G860" s="145" t="inlineStr">
        <is>
          <t>Aptos</t>
        </is>
      </c>
      <c r="H860" s="145" t="n">
        <v>8</v>
      </c>
      <c r="I860" s="145" t="inlineStr">
        <is>
          <t>No</t>
        </is>
      </c>
      <c r="J860" s="145" t="inlineStr">
        <is>
          <t>No</t>
        </is>
      </c>
      <c r="K860" s="145" t="inlineStr">
        <is>
          <t>None</t>
        </is>
      </c>
      <c r="L860" s="145" t="inlineStr">
        <is>
          <t>#000000</t>
        </is>
      </c>
      <c r="M860" s="145" t="inlineStr">
        <is>
          <t>General</t>
        </is>
      </c>
      <c r="N860" s="145" t="inlineStr">
        <is>
          <t>Center</t>
        </is>
      </c>
      <c r="O860" s="145" t="inlineStr">
        <is>
          <t>No</t>
        </is>
      </c>
      <c r="P860" s="145" t="inlineStr">
        <is>
          <t>General</t>
        </is>
      </c>
      <c r="Q860" s="145" t="inlineStr">
        <is>
          <t>General</t>
        </is>
      </c>
      <c r="R860" s="145" t="n"/>
      <c r="S860" s="145" t="n"/>
      <c r="T860" s="145" t="n"/>
      <c r="U860" s="145" t="n"/>
      <c r="V860" s="145" t="n"/>
      <c r="W860" s="145" t="n"/>
      <c r="X860" s="145" t="inlineStr">
        <is>
          <t>Detailed format sample from top 5 used rows</t>
        </is>
      </c>
    </row>
    <row r="861" ht="23.85" customHeight="1" s="79">
      <c r="A861" s="145" t="inlineStr">
        <is>
          <t>WINTER_ART</t>
        </is>
      </c>
      <c r="B861" s="145" t="inlineStr">
        <is>
          <t>Top-Row Cell Format</t>
        </is>
      </c>
      <c r="C861" s="145" t="inlineStr">
        <is>
          <t>V5</t>
        </is>
      </c>
      <c r="D861" s="145" t="inlineStr">
        <is>
          <t>WINTER_ART!A1:AB82</t>
        </is>
      </c>
      <c r="E861" s="145" t="inlineStr">
        <is>
          <t>Normal</t>
        </is>
      </c>
      <c r="F861" s="145" t="inlineStr">
        <is>
          <t>#8EA9DB</t>
        </is>
      </c>
      <c r="G861" s="145" t="inlineStr">
        <is>
          <t>Aptos</t>
        </is>
      </c>
      <c r="H861" s="145" t="n">
        <v>8</v>
      </c>
      <c r="I861" s="145" t="inlineStr">
        <is>
          <t>No</t>
        </is>
      </c>
      <c r="J861" s="145" t="inlineStr">
        <is>
          <t>No</t>
        </is>
      </c>
      <c r="K861" s="145" t="inlineStr">
        <is>
          <t>None</t>
        </is>
      </c>
      <c r="L861" s="145" t="inlineStr">
        <is>
          <t>#000000</t>
        </is>
      </c>
      <c r="M861" s="145" t="inlineStr">
        <is>
          <t>General</t>
        </is>
      </c>
      <c r="N861" s="145" t="inlineStr">
        <is>
          <t>Center</t>
        </is>
      </c>
      <c r="O861" s="145" t="inlineStr">
        <is>
          <t>No</t>
        </is>
      </c>
      <c r="P861" s="145" t="inlineStr">
        <is>
          <t>General</t>
        </is>
      </c>
      <c r="Q861" s="145" t="inlineStr">
        <is>
          <t>General</t>
        </is>
      </c>
      <c r="R861" s="145" t="n"/>
      <c r="S861" s="145" t="n"/>
      <c r="T861" s="145" t="n"/>
      <c r="U861" s="145" t="n"/>
      <c r="V861" s="145" t="n"/>
      <c r="W861" s="145" t="n"/>
      <c r="X861" s="145" t="inlineStr">
        <is>
          <t>Detailed format sample from top 5 used rows</t>
        </is>
      </c>
    </row>
    <row r="862" ht="46.25" customHeight="1" s="79">
      <c r="A862" s="145" t="inlineStr">
        <is>
          <t>WINTER_ART</t>
        </is>
      </c>
      <c r="B862" s="145" t="inlineStr">
        <is>
          <t>Column Format</t>
        </is>
      </c>
      <c r="C862" s="145" t="inlineStr">
        <is>
          <t>W:W</t>
        </is>
      </c>
      <c r="D862" s="145" t="inlineStr">
        <is>
          <t>WINTER_ART!A1:AB82</t>
        </is>
      </c>
      <c r="E862" s="145" t="inlineStr">
        <is>
          <t>Mixed</t>
        </is>
      </c>
      <c r="F862" s="145" t="inlineStr">
        <is>
          <t>Mixed</t>
        </is>
      </c>
      <c r="G862" s="145" t="inlineStr">
        <is>
          <t>Aptos</t>
        </is>
      </c>
      <c r="H862" s="145" t="n">
        <v>8</v>
      </c>
      <c r="I862" s="145" t="inlineStr">
        <is>
          <t>Mixed</t>
        </is>
      </c>
      <c r="J862" s="145" t="inlineStr">
        <is>
          <t>No</t>
        </is>
      </c>
      <c r="K862" s="145" t="inlineStr">
        <is>
          <t>None</t>
        </is>
      </c>
      <c r="L862" s="145" t="inlineStr">
        <is>
          <t>#000000</t>
        </is>
      </c>
      <c r="M862" s="145" t="inlineStr">
        <is>
          <t>Center</t>
        </is>
      </c>
      <c r="N862" s="145" t="inlineStr">
        <is>
          <t>Center</t>
        </is>
      </c>
      <c r="O862" s="145" t="inlineStr">
        <is>
          <t>Mixed</t>
        </is>
      </c>
      <c r="P862" s="145" t="n"/>
      <c r="Q862" s="145" t="n"/>
      <c r="R862" s="145" t="inlineStr">
        <is>
          <t>EdgeTop:Continuous/Thin/#000000; EdgeBottom:Continuous/Thin/#000000; EdgeLeft:Continuous/Thin/#000000; EdgeRight:Continuous/Thin/#000000</t>
        </is>
      </c>
      <c r="S862" s="145" t="n">
        <v>53.7313432835821</v>
      </c>
      <c r="T862" s="145" t="n"/>
      <c r="U862" s="145" t="inlineStr">
        <is>
          <t>No</t>
        </is>
      </c>
      <c r="V862" s="145" t="inlineStr">
        <is>
          <t>Visible</t>
        </is>
      </c>
      <c r="W862" s="145" t="n"/>
      <c r="X862" s="145" t="inlineStr">
        <is>
          <t>Mixed styles within used column</t>
        </is>
      </c>
    </row>
    <row r="863" ht="23.85" customHeight="1" s="79">
      <c r="A863" s="145" t="inlineStr">
        <is>
          <t>WINTER_ART</t>
        </is>
      </c>
      <c r="B863" s="145" t="inlineStr">
        <is>
          <t>Top-Row Cell Format</t>
        </is>
      </c>
      <c r="C863" s="145" t="inlineStr">
        <is>
          <t>W1</t>
        </is>
      </c>
      <c r="D863" s="145" t="inlineStr">
        <is>
          <t>WINTER_ART!A1:AB82</t>
        </is>
      </c>
      <c r="E863" s="145" t="inlineStr">
        <is>
          <t>Normal</t>
        </is>
      </c>
      <c r="F863" s="145" t="inlineStr">
        <is>
          <t>#C9C9C9</t>
        </is>
      </c>
      <c r="G863" s="145" t="inlineStr">
        <is>
          <t>Aptos</t>
        </is>
      </c>
      <c r="H863" s="145" t="n">
        <v>8</v>
      </c>
      <c r="I863" s="145" t="inlineStr">
        <is>
          <t>Yes</t>
        </is>
      </c>
      <c r="J863" s="145" t="inlineStr">
        <is>
          <t>No</t>
        </is>
      </c>
      <c r="K863" s="145" t="inlineStr">
        <is>
          <t>None</t>
        </is>
      </c>
      <c r="L863" s="145" t="inlineStr">
        <is>
          <t>#000000</t>
        </is>
      </c>
      <c r="M863" s="145" t="inlineStr">
        <is>
          <t>Center</t>
        </is>
      </c>
      <c r="N863" s="145" t="inlineStr">
        <is>
          <t>Center</t>
        </is>
      </c>
      <c r="O863" s="145" t="inlineStr">
        <is>
          <t>No</t>
        </is>
      </c>
      <c r="P863" s="145" t="inlineStr">
        <is>
          <t>General</t>
        </is>
      </c>
      <c r="Q863" s="145" t="inlineStr">
        <is>
          <t>General</t>
        </is>
      </c>
      <c r="R863" s="145" t="n"/>
      <c r="S863" s="145" t="n"/>
      <c r="T863" s="145" t="n"/>
      <c r="U863" s="145" t="n"/>
      <c r="V863" s="145" t="n"/>
      <c r="W863" s="145" t="n"/>
      <c r="X863" s="145" t="inlineStr">
        <is>
          <t>Detailed format sample from top 5 used rows</t>
        </is>
      </c>
    </row>
    <row r="864" ht="23.85" customHeight="1" s="79">
      <c r="A864" s="145" t="inlineStr">
        <is>
          <t>WINTER_ART</t>
        </is>
      </c>
      <c r="B864" s="145" t="inlineStr">
        <is>
          <t>Top-Row Cell Format</t>
        </is>
      </c>
      <c r="C864" s="145" t="inlineStr">
        <is>
          <t>W2</t>
        </is>
      </c>
      <c r="D864" s="145" t="inlineStr">
        <is>
          <t>WINTER_ART!A1:AB82</t>
        </is>
      </c>
      <c r="E864" s="145" t="inlineStr">
        <is>
          <t>Percent</t>
        </is>
      </c>
      <c r="F864" s="145" t="inlineStr">
        <is>
          <t>#B4C6E7</t>
        </is>
      </c>
      <c r="G864" s="145" t="inlineStr">
        <is>
          <t>Aptos</t>
        </is>
      </c>
      <c r="H864" s="145" t="n">
        <v>8</v>
      </c>
      <c r="I864" s="145" t="inlineStr">
        <is>
          <t>Yes</t>
        </is>
      </c>
      <c r="J864" s="145" t="inlineStr">
        <is>
          <t>No</t>
        </is>
      </c>
      <c r="K864" s="145" t="inlineStr">
        <is>
          <t>None</t>
        </is>
      </c>
      <c r="L864" s="145" t="inlineStr">
        <is>
          <t>#000000</t>
        </is>
      </c>
      <c r="M864" s="145" t="inlineStr">
        <is>
          <t>Center</t>
        </is>
      </c>
      <c r="N864" s="145" t="inlineStr">
        <is>
          <t>Center</t>
        </is>
      </c>
      <c r="O864" s="145" t="inlineStr">
        <is>
          <t>No</t>
        </is>
      </c>
      <c r="P864" s="146" t="n">
        <v>0</v>
      </c>
      <c r="Q864" s="145" t="inlineStr">
        <is>
          <t>Percentage</t>
        </is>
      </c>
      <c r="R864" s="145" t="n"/>
      <c r="S864" s="145" t="n"/>
      <c r="T864" s="145" t="n"/>
      <c r="U864" s="145" t="n"/>
      <c r="V864" s="145" t="n"/>
      <c r="W864" s="145" t="n"/>
      <c r="X864" s="145" t="inlineStr">
        <is>
          <t>Detailed format sample from top 5 used rows</t>
        </is>
      </c>
    </row>
    <row r="865" ht="23.85" customHeight="1" s="79">
      <c r="A865" s="145" t="inlineStr">
        <is>
          <t>WINTER_ART</t>
        </is>
      </c>
      <c r="B865" s="145" t="inlineStr">
        <is>
          <t>Top-Row Cell Format</t>
        </is>
      </c>
      <c r="C865" s="145" t="inlineStr">
        <is>
          <t>W3</t>
        </is>
      </c>
      <c r="D865" s="145" t="inlineStr">
        <is>
          <t>WINTER_ART!A1:AB82</t>
        </is>
      </c>
      <c r="E865" s="145" t="inlineStr">
        <is>
          <t>Normal</t>
        </is>
      </c>
      <c r="F865" s="145" t="inlineStr">
        <is>
          <t>#F8CBAD</t>
        </is>
      </c>
      <c r="G865" s="145" t="inlineStr">
        <is>
          <t>Aptos</t>
        </is>
      </c>
      <c r="H865" s="145" t="n">
        <v>8</v>
      </c>
      <c r="I865" s="145" t="inlineStr">
        <is>
          <t>Yes</t>
        </is>
      </c>
      <c r="J865" s="145" t="inlineStr">
        <is>
          <t>No</t>
        </is>
      </c>
      <c r="K865" s="145" t="inlineStr">
        <is>
          <t>None</t>
        </is>
      </c>
      <c r="L865" s="145" t="inlineStr">
        <is>
          <t>#000000</t>
        </is>
      </c>
      <c r="M865" s="145" t="inlineStr">
        <is>
          <t>Center</t>
        </is>
      </c>
      <c r="N865" s="145" t="inlineStr">
        <is>
          <t>Center</t>
        </is>
      </c>
      <c r="O865" s="145" t="inlineStr">
        <is>
          <t>Yes</t>
        </is>
      </c>
      <c r="P865" s="145" t="inlineStr">
        <is>
          <t>General</t>
        </is>
      </c>
      <c r="Q865" s="145" t="inlineStr">
        <is>
          <t>General</t>
        </is>
      </c>
      <c r="R865" s="145" t="n"/>
      <c r="S865" s="145" t="n"/>
      <c r="T865" s="145" t="n"/>
      <c r="U865" s="145" t="n"/>
      <c r="V865" s="145" t="n"/>
      <c r="W865" s="145" t="n"/>
      <c r="X865" s="145" t="inlineStr">
        <is>
          <t>Detailed format sample from top 5 used rows</t>
        </is>
      </c>
    </row>
    <row r="866" ht="23.85" customHeight="1" s="79">
      <c r="A866" s="145" t="inlineStr">
        <is>
          <t>WINTER_ART</t>
        </is>
      </c>
      <c r="B866" s="145" t="inlineStr">
        <is>
          <t>Top-Row Cell Format</t>
        </is>
      </c>
      <c r="C866" s="145" t="inlineStr">
        <is>
          <t>W4</t>
        </is>
      </c>
      <c r="D866" s="145" t="inlineStr">
        <is>
          <t>WINTER_ART!A1:AB82</t>
        </is>
      </c>
      <c r="E866" s="145" t="inlineStr">
        <is>
          <t>Normal</t>
        </is>
      </c>
      <c r="F866" s="145" t="inlineStr">
        <is>
          <t>#F8CBAD</t>
        </is>
      </c>
      <c r="G866" s="145" t="inlineStr">
        <is>
          <t>Aptos</t>
        </is>
      </c>
      <c r="H866" s="145" t="n">
        <v>8</v>
      </c>
      <c r="I866" s="145" t="inlineStr">
        <is>
          <t>No</t>
        </is>
      </c>
      <c r="J866" s="145" t="inlineStr">
        <is>
          <t>No</t>
        </is>
      </c>
      <c r="K866" s="145" t="inlineStr">
        <is>
          <t>None</t>
        </is>
      </c>
      <c r="L866" s="145" t="inlineStr">
        <is>
          <t>#000000</t>
        </is>
      </c>
      <c r="M866" s="145" t="inlineStr">
        <is>
          <t>Center</t>
        </is>
      </c>
      <c r="N866" s="145" t="inlineStr">
        <is>
          <t>Center</t>
        </is>
      </c>
      <c r="O866" s="145" t="inlineStr">
        <is>
          <t>No</t>
        </is>
      </c>
      <c r="P866" s="145" t="inlineStr">
        <is>
          <t>General</t>
        </is>
      </c>
      <c r="Q866" s="145" t="inlineStr">
        <is>
          <t>General</t>
        </is>
      </c>
      <c r="R866" s="145" t="n"/>
      <c r="S866" s="145" t="n"/>
      <c r="T866" s="145" t="n"/>
      <c r="U866" s="145" t="n"/>
      <c r="V866" s="145" t="n"/>
      <c r="W866" s="145" t="n"/>
      <c r="X866" s="145" t="inlineStr">
        <is>
          <t>Detailed format sample from top 5 used rows</t>
        </is>
      </c>
    </row>
    <row r="867" ht="23.85" customHeight="1" s="79">
      <c r="A867" s="145" t="inlineStr">
        <is>
          <t>WINTER_ART</t>
        </is>
      </c>
      <c r="B867" s="145" t="inlineStr">
        <is>
          <t>Top-Row Cell Format</t>
        </is>
      </c>
      <c r="C867" s="145" t="inlineStr">
        <is>
          <t>W5</t>
        </is>
      </c>
      <c r="D867" s="145" t="inlineStr">
        <is>
          <t>WINTER_ART!A1:AB82</t>
        </is>
      </c>
      <c r="E867" s="145" t="inlineStr">
        <is>
          <t>Percent</t>
        </is>
      </c>
      <c r="F867" s="145" t="n"/>
      <c r="G867" s="145" t="inlineStr">
        <is>
          <t>Aptos</t>
        </is>
      </c>
      <c r="H867" s="145" t="n">
        <v>8</v>
      </c>
      <c r="I867" s="145" t="inlineStr">
        <is>
          <t>No</t>
        </is>
      </c>
      <c r="J867" s="145" t="inlineStr">
        <is>
          <t>No</t>
        </is>
      </c>
      <c r="K867" s="145" t="inlineStr">
        <is>
          <t>None</t>
        </is>
      </c>
      <c r="L867" s="145" t="inlineStr">
        <is>
          <t>#000000</t>
        </is>
      </c>
      <c r="M867" s="145" t="inlineStr">
        <is>
          <t>Center</t>
        </is>
      </c>
      <c r="N867" s="145" t="inlineStr">
        <is>
          <t>Center</t>
        </is>
      </c>
      <c r="O867" s="145" t="inlineStr">
        <is>
          <t>No</t>
        </is>
      </c>
      <c r="P867" s="146" t="n">
        <v>0</v>
      </c>
      <c r="Q867" s="145" t="inlineStr">
        <is>
          <t>Percentage</t>
        </is>
      </c>
      <c r="R867" s="145" t="n"/>
      <c r="S867" s="145" t="n"/>
      <c r="T867" s="145" t="n"/>
      <c r="U867" s="145" t="n"/>
      <c r="V867" s="145" t="n"/>
      <c r="W867" s="145" t="n"/>
      <c r="X867" s="145" t="inlineStr">
        <is>
          <t>Detailed format sample from top 5 used rows</t>
        </is>
      </c>
    </row>
    <row r="868" ht="35.05" customHeight="1" s="79">
      <c r="A868" s="145" t="inlineStr">
        <is>
          <t>WINTER_ART</t>
        </is>
      </c>
      <c r="B868" s="145" t="inlineStr">
        <is>
          <t>Column Format</t>
        </is>
      </c>
      <c r="C868" s="145" t="inlineStr">
        <is>
          <t>X:X</t>
        </is>
      </c>
      <c r="D868" s="145" t="inlineStr">
        <is>
          <t>WINTER_ART!A1:AB82</t>
        </is>
      </c>
      <c r="E868" s="145" t="inlineStr">
        <is>
          <t>Mixed</t>
        </is>
      </c>
      <c r="F868" s="145" t="inlineStr">
        <is>
          <t>Mixed</t>
        </is>
      </c>
      <c r="G868" s="145" t="inlineStr">
        <is>
          <t>Aptos</t>
        </is>
      </c>
      <c r="H868" s="145" t="n">
        <v>8</v>
      </c>
      <c r="I868" s="145" t="inlineStr">
        <is>
          <t>Mixed</t>
        </is>
      </c>
      <c r="J868" s="145" t="inlineStr">
        <is>
          <t>No</t>
        </is>
      </c>
      <c r="K868" s="145" t="inlineStr">
        <is>
          <t>None</t>
        </is>
      </c>
      <c r="L868" s="145" t="inlineStr">
        <is>
          <t>#000000</t>
        </is>
      </c>
      <c r="M868" s="145" t="inlineStr">
        <is>
          <t>Mixed</t>
        </is>
      </c>
      <c r="N868" s="145" t="inlineStr">
        <is>
          <t>Center</t>
        </is>
      </c>
      <c r="O868" s="145" t="inlineStr">
        <is>
          <t>Mixed</t>
        </is>
      </c>
      <c r="P868" s="145" t="n"/>
      <c r="Q868" s="145" t="n"/>
      <c r="R868" s="145" t="inlineStr">
        <is>
          <t>EdgeTop:Continuous/Thin/#000000; EdgeBottom:Continuous/Thin/#000000; EdgeRight:Continuous/Thin/#000000</t>
        </is>
      </c>
      <c r="S868" s="145" t="n">
        <v>53.7313432835821</v>
      </c>
      <c r="T868" s="145" t="n"/>
      <c r="U868" s="145" t="inlineStr">
        <is>
          <t>No</t>
        </is>
      </c>
      <c r="V868" s="145" t="inlineStr">
        <is>
          <t>Visible</t>
        </is>
      </c>
      <c r="W868" s="145" t="n"/>
      <c r="X868" s="145" t="inlineStr">
        <is>
          <t>Mixed styles within used column</t>
        </is>
      </c>
    </row>
    <row r="869" ht="23.85" customHeight="1" s="79">
      <c r="A869" s="145" t="inlineStr">
        <is>
          <t>WINTER_ART</t>
        </is>
      </c>
      <c r="B869" s="145" t="inlineStr">
        <is>
          <t>Top-Row Cell Format</t>
        </is>
      </c>
      <c r="C869" s="145" t="inlineStr">
        <is>
          <t>X1</t>
        </is>
      </c>
      <c r="D869" s="145" t="inlineStr">
        <is>
          <t>WINTER_ART!A1:AB82</t>
        </is>
      </c>
      <c r="E869" s="145" t="inlineStr">
        <is>
          <t>Normal</t>
        </is>
      </c>
      <c r="F869" s="145" t="inlineStr">
        <is>
          <t>#C9C9C9</t>
        </is>
      </c>
      <c r="G869" s="145" t="inlineStr">
        <is>
          <t>Aptos</t>
        </is>
      </c>
      <c r="H869" s="145" t="n">
        <v>8</v>
      </c>
      <c r="I869" s="145" t="inlineStr">
        <is>
          <t>Yes</t>
        </is>
      </c>
      <c r="J869" s="145" t="inlineStr">
        <is>
          <t>No</t>
        </is>
      </c>
      <c r="K869" s="145" t="inlineStr">
        <is>
          <t>None</t>
        </is>
      </c>
      <c r="L869" s="145" t="inlineStr">
        <is>
          <t>#000000</t>
        </is>
      </c>
      <c r="M869" s="145" t="inlineStr">
        <is>
          <t>Center</t>
        </is>
      </c>
      <c r="N869" s="145" t="inlineStr">
        <is>
          <t>Center</t>
        </is>
      </c>
      <c r="O869" s="145" t="inlineStr">
        <is>
          <t>No</t>
        </is>
      </c>
      <c r="P869" s="145" t="inlineStr">
        <is>
          <t>General</t>
        </is>
      </c>
      <c r="Q869" s="145" t="inlineStr">
        <is>
          <t>General</t>
        </is>
      </c>
      <c r="R869" s="145" t="n"/>
      <c r="S869" s="145" t="n"/>
      <c r="T869" s="145" t="n"/>
      <c r="U869" s="145" t="n"/>
      <c r="V869" s="145" t="n"/>
      <c r="W869" s="145" t="n"/>
      <c r="X869" s="145" t="inlineStr">
        <is>
          <t>Detailed format sample from top 5 used rows</t>
        </is>
      </c>
    </row>
    <row r="870" ht="23.85" customHeight="1" s="79">
      <c r="A870" s="145" t="inlineStr">
        <is>
          <t>WINTER_ART</t>
        </is>
      </c>
      <c r="B870" s="145" t="inlineStr">
        <is>
          <t>Top-Row Cell Format</t>
        </is>
      </c>
      <c r="C870" s="145" t="inlineStr">
        <is>
          <t>X2</t>
        </is>
      </c>
      <c r="D870" s="145" t="inlineStr">
        <is>
          <t>WINTER_ART!A1:AB82</t>
        </is>
      </c>
      <c r="E870" s="145" t="inlineStr">
        <is>
          <t>Comma</t>
        </is>
      </c>
      <c r="F870" s="145" t="inlineStr">
        <is>
          <t>#B4C6E7</t>
        </is>
      </c>
      <c r="G870" s="145" t="inlineStr">
        <is>
          <t>Aptos</t>
        </is>
      </c>
      <c r="H870" s="145" t="n">
        <v>8</v>
      </c>
      <c r="I870" s="145" t="inlineStr">
        <is>
          <t>Yes</t>
        </is>
      </c>
      <c r="J870" s="145" t="inlineStr">
        <is>
          <t>No</t>
        </is>
      </c>
      <c r="K870" s="145" t="inlineStr">
        <is>
          <t>None</t>
        </is>
      </c>
      <c r="L870" s="145" t="inlineStr">
        <is>
          <t>#000000</t>
        </is>
      </c>
      <c r="M870" s="145" t="inlineStr">
        <is>
          <t>Center</t>
        </is>
      </c>
      <c r="N870" s="145" t="inlineStr">
        <is>
          <t>Center</t>
        </is>
      </c>
      <c r="O870" s="145" t="inlineStr">
        <is>
          <t>No</t>
        </is>
      </c>
      <c r="P870" s="145" t="inlineStr">
        <is>
          <t xml:space="preserve">_ * #,##0_ ;_ * -#,##0_ ;_ * "-"??_ ;_ @_ </t>
        </is>
      </c>
      <c r="Q870" s="145" t="inlineStr">
        <is>
          <t>Text</t>
        </is>
      </c>
      <c r="R870" s="145" t="n"/>
      <c r="S870" s="145" t="n"/>
      <c r="T870" s="145" t="n"/>
      <c r="U870" s="145" t="n"/>
      <c r="V870" s="145" t="n"/>
      <c r="W870" s="145" t="n"/>
      <c r="X870" s="145" t="inlineStr">
        <is>
          <t>Detailed format sample from top 5 used rows</t>
        </is>
      </c>
    </row>
    <row r="871" ht="23.85" customHeight="1" s="79">
      <c r="A871" s="145" t="inlineStr">
        <is>
          <t>WINTER_ART</t>
        </is>
      </c>
      <c r="B871" s="145" t="inlineStr">
        <is>
          <t>Top-Row Cell Format</t>
        </is>
      </c>
      <c r="C871" s="145" t="inlineStr">
        <is>
          <t>X3</t>
        </is>
      </c>
      <c r="D871" s="145" t="inlineStr">
        <is>
          <t>WINTER_ART!A1:AB82</t>
        </is>
      </c>
      <c r="E871" s="145" t="inlineStr">
        <is>
          <t>Normal</t>
        </is>
      </c>
      <c r="F871" s="145" t="inlineStr">
        <is>
          <t>#F8CBAD</t>
        </is>
      </c>
      <c r="G871" s="145" t="inlineStr">
        <is>
          <t>Aptos</t>
        </is>
      </c>
      <c r="H871" s="145" t="n">
        <v>8</v>
      </c>
      <c r="I871" s="145" t="inlineStr">
        <is>
          <t>Yes</t>
        </is>
      </c>
      <c r="J871" s="145" t="inlineStr">
        <is>
          <t>No</t>
        </is>
      </c>
      <c r="K871" s="145" t="inlineStr">
        <is>
          <t>None</t>
        </is>
      </c>
      <c r="L871" s="145" t="inlineStr">
        <is>
          <t>#000000</t>
        </is>
      </c>
      <c r="M871" s="145" t="inlineStr">
        <is>
          <t>Center</t>
        </is>
      </c>
      <c r="N871" s="145" t="inlineStr">
        <is>
          <t>Center</t>
        </is>
      </c>
      <c r="O871" s="145" t="inlineStr">
        <is>
          <t>Yes</t>
        </is>
      </c>
      <c r="P871" s="145" t="inlineStr">
        <is>
          <t>General</t>
        </is>
      </c>
      <c r="Q871" s="145" t="inlineStr">
        <is>
          <t>General</t>
        </is>
      </c>
      <c r="R871" s="145" t="n"/>
      <c r="S871" s="145" t="n"/>
      <c r="T871" s="145" t="n"/>
      <c r="U871" s="145" t="n"/>
      <c r="V871" s="145" t="n"/>
      <c r="W871" s="145" t="n"/>
      <c r="X871" s="145" t="inlineStr">
        <is>
          <t>Detailed format sample from top 5 used rows</t>
        </is>
      </c>
    </row>
    <row r="872" ht="23.85" customHeight="1" s="79">
      <c r="A872" s="145" t="inlineStr">
        <is>
          <t>WINTER_ART</t>
        </is>
      </c>
      <c r="B872" s="145" t="inlineStr">
        <is>
          <t>Top-Row Cell Format</t>
        </is>
      </c>
      <c r="C872" s="145" t="inlineStr">
        <is>
          <t>X4</t>
        </is>
      </c>
      <c r="D872" s="145" t="inlineStr">
        <is>
          <t>WINTER_ART!A1:AB82</t>
        </is>
      </c>
      <c r="E872" s="145" t="inlineStr">
        <is>
          <t>Normal</t>
        </is>
      </c>
      <c r="F872" s="145" t="inlineStr">
        <is>
          <t>#F8CBAD</t>
        </is>
      </c>
      <c r="G872" s="145" t="inlineStr">
        <is>
          <t>Aptos</t>
        </is>
      </c>
      <c r="H872" s="145" t="n">
        <v>8</v>
      </c>
      <c r="I872" s="145" t="inlineStr">
        <is>
          <t>No</t>
        </is>
      </c>
      <c r="J872" s="145" t="inlineStr">
        <is>
          <t>No</t>
        </is>
      </c>
      <c r="K872" s="145" t="inlineStr">
        <is>
          <t>None</t>
        </is>
      </c>
      <c r="L872" s="145" t="inlineStr">
        <is>
          <t>#000000</t>
        </is>
      </c>
      <c r="M872" s="145" t="inlineStr">
        <is>
          <t>Center</t>
        </is>
      </c>
      <c r="N872" s="145" t="inlineStr">
        <is>
          <t>Center</t>
        </is>
      </c>
      <c r="O872" s="145" t="inlineStr">
        <is>
          <t>No</t>
        </is>
      </c>
      <c r="P872" s="145" t="inlineStr">
        <is>
          <t>General</t>
        </is>
      </c>
      <c r="Q872" s="145" t="inlineStr">
        <is>
          <t>General</t>
        </is>
      </c>
      <c r="R872" s="145" t="n"/>
      <c r="S872" s="145" t="n"/>
      <c r="T872" s="145" t="n"/>
      <c r="U872" s="145" t="n"/>
      <c r="V872" s="145" t="n"/>
      <c r="W872" s="145" t="n"/>
      <c r="X872" s="145" t="inlineStr">
        <is>
          <t>Detailed format sample from top 5 used rows</t>
        </is>
      </c>
    </row>
    <row r="873" ht="23.85" customHeight="1" s="79">
      <c r="A873" s="145" t="inlineStr">
        <is>
          <t>WINTER_ART</t>
        </is>
      </c>
      <c r="B873" s="145" t="inlineStr">
        <is>
          <t>Top-Row Cell Format</t>
        </is>
      </c>
      <c r="C873" s="145" t="inlineStr">
        <is>
          <t>X5</t>
        </is>
      </c>
      <c r="D873" s="145" t="inlineStr">
        <is>
          <t>WINTER_ART!A1:AB82</t>
        </is>
      </c>
      <c r="E873" s="145" t="inlineStr">
        <is>
          <t>Comma</t>
        </is>
      </c>
      <c r="F873" s="145" t="n"/>
      <c r="G873" s="145" t="inlineStr">
        <is>
          <t>Aptos</t>
        </is>
      </c>
      <c r="H873" s="145" t="n">
        <v>8</v>
      </c>
      <c r="I873" s="145" t="inlineStr">
        <is>
          <t>Yes</t>
        </is>
      </c>
      <c r="J873" s="145" t="inlineStr">
        <is>
          <t>No</t>
        </is>
      </c>
      <c r="K873" s="145" t="inlineStr">
        <is>
          <t>None</t>
        </is>
      </c>
      <c r="L873" s="145" t="inlineStr">
        <is>
          <t>#000000</t>
        </is>
      </c>
      <c r="M873" s="145" t="inlineStr">
        <is>
          <t>General</t>
        </is>
      </c>
      <c r="N873" s="145" t="inlineStr">
        <is>
          <t>Center</t>
        </is>
      </c>
      <c r="O873" s="145" t="inlineStr">
        <is>
          <t>No</t>
        </is>
      </c>
      <c r="P873" s="145" t="inlineStr">
        <is>
          <t xml:space="preserve">_ * #,##0_ ;_ * -#,##0_ ;_ * "-"??_ ;_ @_ </t>
        </is>
      </c>
      <c r="Q873" s="145" t="inlineStr">
        <is>
          <t>Text</t>
        </is>
      </c>
      <c r="R873" s="145" t="n"/>
      <c r="S873" s="145" t="n"/>
      <c r="T873" s="145" t="n"/>
      <c r="U873" s="145" t="n"/>
      <c r="V873" s="145" t="n"/>
      <c r="W873" s="145" t="n"/>
      <c r="X873" s="145" t="inlineStr">
        <is>
          <t>Detailed format sample from top 5 used rows</t>
        </is>
      </c>
    </row>
    <row r="874" ht="35.05" customHeight="1" s="79">
      <c r="A874" s="145" t="inlineStr">
        <is>
          <t>WINTER_ART</t>
        </is>
      </c>
      <c r="B874" s="145" t="inlineStr">
        <is>
          <t>Column Format</t>
        </is>
      </c>
      <c r="C874" s="145" t="inlineStr">
        <is>
          <t>Y:Y</t>
        </is>
      </c>
      <c r="D874" s="145" t="inlineStr">
        <is>
          <t>WINTER_ART!A1:AB82</t>
        </is>
      </c>
      <c r="E874" s="145" t="inlineStr">
        <is>
          <t>Mixed</t>
        </is>
      </c>
      <c r="F874" s="145" t="inlineStr">
        <is>
          <t>Mixed</t>
        </is>
      </c>
      <c r="G874" s="145" t="inlineStr">
        <is>
          <t>Aptos</t>
        </is>
      </c>
      <c r="H874" s="145" t="n">
        <v>8</v>
      </c>
      <c r="I874" s="145" t="inlineStr">
        <is>
          <t>Mixed</t>
        </is>
      </c>
      <c r="J874" s="145" t="inlineStr">
        <is>
          <t>No</t>
        </is>
      </c>
      <c r="K874" s="145" t="inlineStr">
        <is>
          <t>None</t>
        </is>
      </c>
      <c r="L874" s="145" t="inlineStr">
        <is>
          <t>#000000</t>
        </is>
      </c>
      <c r="M874" s="145" t="inlineStr">
        <is>
          <t>Mixed</t>
        </is>
      </c>
      <c r="N874" s="145" t="inlineStr">
        <is>
          <t>Center</t>
        </is>
      </c>
      <c r="O874" s="145" t="inlineStr">
        <is>
          <t>Mixed</t>
        </is>
      </c>
      <c r="P874" s="145" t="n"/>
      <c r="Q874" s="145" t="n"/>
      <c r="R874" s="145" t="inlineStr">
        <is>
          <t>EdgeBottom:Continuous/Thin/#000000; EdgeLeft:Continuous/Thin/#000000; EdgeRight:Continuous/Thin/#000000</t>
        </is>
      </c>
      <c r="S874" s="145" t="n">
        <v>42.9850746268657</v>
      </c>
      <c r="T874" s="145" t="n"/>
      <c r="U874" s="145" t="inlineStr">
        <is>
          <t>No</t>
        </is>
      </c>
      <c r="V874" s="145" t="inlineStr">
        <is>
          <t>Visible</t>
        </is>
      </c>
      <c r="W874" s="145" t="n"/>
      <c r="X874" s="145" t="inlineStr">
        <is>
          <t>Mixed styles within used column</t>
        </is>
      </c>
    </row>
    <row r="875" ht="23.85" customHeight="1" s="79">
      <c r="A875" s="145" t="inlineStr">
        <is>
          <t>WINTER_ART</t>
        </is>
      </c>
      <c r="B875" s="145" t="inlineStr">
        <is>
          <t>Top-Row Cell Format</t>
        </is>
      </c>
      <c r="C875" s="145" t="inlineStr">
        <is>
          <t>Y1</t>
        </is>
      </c>
      <c r="D875" s="145" t="inlineStr">
        <is>
          <t>WINTER_ART!A1:AB82</t>
        </is>
      </c>
      <c r="E875" s="145" t="inlineStr">
        <is>
          <t>Normal</t>
        </is>
      </c>
      <c r="F875" s="145" t="n"/>
      <c r="G875" s="145" t="inlineStr">
        <is>
          <t>Aptos</t>
        </is>
      </c>
      <c r="H875" s="145" t="n">
        <v>8</v>
      </c>
      <c r="I875" s="145" t="inlineStr">
        <is>
          <t>No</t>
        </is>
      </c>
      <c r="J875" s="145" t="inlineStr">
        <is>
          <t>No</t>
        </is>
      </c>
      <c r="K875" s="145" t="inlineStr">
        <is>
          <t>None</t>
        </is>
      </c>
      <c r="L875" s="145" t="inlineStr">
        <is>
          <t>#000000</t>
        </is>
      </c>
      <c r="M875" s="145" t="inlineStr">
        <is>
          <t>General</t>
        </is>
      </c>
      <c r="N875" s="145" t="inlineStr">
        <is>
          <t>Center</t>
        </is>
      </c>
      <c r="O875" s="145" t="inlineStr">
        <is>
          <t>No</t>
        </is>
      </c>
      <c r="P875" s="145" t="inlineStr">
        <is>
          <t>General</t>
        </is>
      </c>
      <c r="Q875" s="145" t="inlineStr">
        <is>
          <t>General</t>
        </is>
      </c>
      <c r="R875" s="145" t="n"/>
      <c r="S875" s="145" t="n"/>
      <c r="T875" s="145" t="n"/>
      <c r="U875" s="145" t="n"/>
      <c r="V875" s="145" t="n"/>
      <c r="W875" s="145" t="n"/>
      <c r="X875" s="145" t="inlineStr">
        <is>
          <t>Detailed format sample from top 5 used rows</t>
        </is>
      </c>
    </row>
    <row r="876" ht="23.85" customHeight="1" s="79">
      <c r="A876" s="145" t="inlineStr">
        <is>
          <t>WINTER_ART</t>
        </is>
      </c>
      <c r="B876" s="145" t="inlineStr">
        <is>
          <t>Top-Row Cell Format</t>
        </is>
      </c>
      <c r="C876" s="145" t="inlineStr">
        <is>
          <t>Y2</t>
        </is>
      </c>
      <c r="D876" s="145" t="inlineStr">
        <is>
          <t>WINTER_ART!A1:AB82</t>
        </is>
      </c>
      <c r="E876" s="145" t="inlineStr">
        <is>
          <t>Comma</t>
        </is>
      </c>
      <c r="F876" s="145" t="inlineStr">
        <is>
          <t>#B4C6E7</t>
        </is>
      </c>
      <c r="G876" s="145" t="inlineStr">
        <is>
          <t>Aptos</t>
        </is>
      </c>
      <c r="H876" s="145" t="n">
        <v>8</v>
      </c>
      <c r="I876" s="145" t="inlineStr">
        <is>
          <t>Yes</t>
        </is>
      </c>
      <c r="J876" s="145" t="inlineStr">
        <is>
          <t>No</t>
        </is>
      </c>
      <c r="K876" s="145" t="inlineStr">
        <is>
          <t>None</t>
        </is>
      </c>
      <c r="L876" s="145" t="inlineStr">
        <is>
          <t>#000000</t>
        </is>
      </c>
      <c r="M876" s="145" t="inlineStr">
        <is>
          <t>Center</t>
        </is>
      </c>
      <c r="N876" s="145" t="inlineStr">
        <is>
          <t>Center</t>
        </is>
      </c>
      <c r="O876" s="145" t="inlineStr">
        <is>
          <t>No</t>
        </is>
      </c>
      <c r="P876" s="145" t="inlineStr">
        <is>
          <t xml:space="preserve">_ * #,##0_ ;_ * -#,##0_ ;_ * "-"??_ ;_ @_ </t>
        </is>
      </c>
      <c r="Q876" s="145" t="inlineStr">
        <is>
          <t>Text</t>
        </is>
      </c>
      <c r="R876" s="145" t="n"/>
      <c r="S876" s="145" t="n"/>
      <c r="T876" s="145" t="n"/>
      <c r="U876" s="145" t="n"/>
      <c r="V876" s="145" t="n"/>
      <c r="W876" s="145" t="n"/>
      <c r="X876" s="145" t="inlineStr">
        <is>
          <t>Detailed format sample from top 5 used rows</t>
        </is>
      </c>
    </row>
    <row r="877" ht="23.85" customHeight="1" s="79">
      <c r="A877" s="145" t="inlineStr">
        <is>
          <t>WINTER_ART</t>
        </is>
      </c>
      <c r="B877" s="145" t="inlineStr">
        <is>
          <t>Top-Row Cell Format</t>
        </is>
      </c>
      <c r="C877" s="145" t="inlineStr">
        <is>
          <t>Y3</t>
        </is>
      </c>
      <c r="D877" s="145" t="inlineStr">
        <is>
          <t>WINTER_ART!A1:AB82</t>
        </is>
      </c>
      <c r="E877" s="145" t="inlineStr">
        <is>
          <t>Normal</t>
        </is>
      </c>
      <c r="F877" s="145" t="inlineStr">
        <is>
          <t>#F8CBAD</t>
        </is>
      </c>
      <c r="G877" s="145" t="inlineStr">
        <is>
          <t>Aptos</t>
        </is>
      </c>
      <c r="H877" s="145" t="n">
        <v>8</v>
      </c>
      <c r="I877" s="145" t="inlineStr">
        <is>
          <t>Yes</t>
        </is>
      </c>
      <c r="J877" s="145" t="inlineStr">
        <is>
          <t>No</t>
        </is>
      </c>
      <c r="K877" s="145" t="inlineStr">
        <is>
          <t>None</t>
        </is>
      </c>
      <c r="L877" s="145" t="inlineStr">
        <is>
          <t>#000000</t>
        </is>
      </c>
      <c r="M877" s="145" t="inlineStr">
        <is>
          <t>Center</t>
        </is>
      </c>
      <c r="N877" s="145" t="inlineStr">
        <is>
          <t>Center</t>
        </is>
      </c>
      <c r="O877" s="145" t="inlineStr">
        <is>
          <t>Yes</t>
        </is>
      </c>
      <c r="P877" s="145" t="inlineStr">
        <is>
          <t>General</t>
        </is>
      </c>
      <c r="Q877" s="145" t="inlineStr">
        <is>
          <t>General</t>
        </is>
      </c>
      <c r="R877" s="145" t="n"/>
      <c r="S877" s="145" t="n"/>
      <c r="T877" s="145" t="n"/>
      <c r="U877" s="145" t="n"/>
      <c r="V877" s="145" t="n"/>
      <c r="W877" s="145" t="n"/>
      <c r="X877" s="145" t="inlineStr">
        <is>
          <t>Detailed format sample from top 5 used rows</t>
        </is>
      </c>
    </row>
    <row r="878" ht="23.85" customHeight="1" s="79">
      <c r="A878" s="145" t="inlineStr">
        <is>
          <t>WINTER_ART</t>
        </is>
      </c>
      <c r="B878" s="145" t="inlineStr">
        <is>
          <t>Top-Row Cell Format</t>
        </is>
      </c>
      <c r="C878" s="145" t="inlineStr">
        <is>
          <t>Y4</t>
        </is>
      </c>
      <c r="D878" s="145" t="inlineStr">
        <is>
          <t>WINTER_ART!A1:AB82</t>
        </is>
      </c>
      <c r="E878" s="145" t="inlineStr">
        <is>
          <t>Normal</t>
        </is>
      </c>
      <c r="F878" s="145" t="inlineStr">
        <is>
          <t>#F8CBAD</t>
        </is>
      </c>
      <c r="G878" s="145" t="inlineStr">
        <is>
          <t>Aptos</t>
        </is>
      </c>
      <c r="H878" s="145" t="n">
        <v>8</v>
      </c>
      <c r="I878" s="145" t="inlineStr">
        <is>
          <t>No</t>
        </is>
      </c>
      <c r="J878" s="145" t="inlineStr">
        <is>
          <t>No</t>
        </is>
      </c>
      <c r="K878" s="145" t="inlineStr">
        <is>
          <t>None</t>
        </is>
      </c>
      <c r="L878" s="145" t="inlineStr">
        <is>
          <t>#000000</t>
        </is>
      </c>
      <c r="M878" s="145" t="inlineStr">
        <is>
          <t>Center</t>
        </is>
      </c>
      <c r="N878" s="145" t="inlineStr">
        <is>
          <t>Center</t>
        </is>
      </c>
      <c r="O878" s="145" t="inlineStr">
        <is>
          <t>No</t>
        </is>
      </c>
      <c r="P878" s="145" t="inlineStr">
        <is>
          <t>General</t>
        </is>
      </c>
      <c r="Q878" s="145" t="inlineStr">
        <is>
          <t>General</t>
        </is>
      </c>
      <c r="R878" s="145" t="n"/>
      <c r="S878" s="145" t="n"/>
      <c r="T878" s="145" t="n"/>
      <c r="U878" s="145" t="n"/>
      <c r="V878" s="145" t="n"/>
      <c r="W878" s="145" t="n"/>
      <c r="X878" s="145" t="inlineStr">
        <is>
          <t>Detailed format sample from top 5 used rows</t>
        </is>
      </c>
    </row>
    <row r="879" ht="23.85" customHeight="1" s="79">
      <c r="A879" s="145" t="inlineStr">
        <is>
          <t>WINTER_ART</t>
        </is>
      </c>
      <c r="B879" s="145" t="inlineStr">
        <is>
          <t>Top-Row Cell Format</t>
        </is>
      </c>
      <c r="C879" s="145" t="inlineStr">
        <is>
          <t>Y5</t>
        </is>
      </c>
      <c r="D879" s="145" t="inlineStr">
        <is>
          <t>WINTER_ART!A1:AB82</t>
        </is>
      </c>
      <c r="E879" s="145" t="inlineStr">
        <is>
          <t>Comma</t>
        </is>
      </c>
      <c r="F879" s="145" t="n"/>
      <c r="G879" s="145" t="inlineStr">
        <is>
          <t>Aptos</t>
        </is>
      </c>
      <c r="H879" s="145" t="n">
        <v>8</v>
      </c>
      <c r="I879" s="145" t="inlineStr">
        <is>
          <t>No</t>
        </is>
      </c>
      <c r="J879" s="145" t="inlineStr">
        <is>
          <t>No</t>
        </is>
      </c>
      <c r="K879" s="145" t="inlineStr">
        <is>
          <t>None</t>
        </is>
      </c>
      <c r="L879" s="145" t="inlineStr">
        <is>
          <t>#000000</t>
        </is>
      </c>
      <c r="M879" s="145" t="inlineStr">
        <is>
          <t>General</t>
        </is>
      </c>
      <c r="N879" s="145" t="inlineStr">
        <is>
          <t>Center</t>
        </is>
      </c>
      <c r="O879" s="145" t="inlineStr">
        <is>
          <t>No</t>
        </is>
      </c>
      <c r="P879" s="145" t="inlineStr">
        <is>
          <t xml:space="preserve">_ * #,##0_ ;_ * -#,##0_ ;_ * "-"??_ ;_ @_ </t>
        </is>
      </c>
      <c r="Q879" s="145" t="inlineStr">
        <is>
          <t>Text</t>
        </is>
      </c>
      <c r="R879" s="145" t="n"/>
      <c r="S879" s="145" t="n"/>
      <c r="T879" s="145" t="n"/>
      <c r="U879" s="145" t="n"/>
      <c r="V879" s="145" t="n"/>
      <c r="W879" s="145" t="n"/>
      <c r="X879" s="145" t="inlineStr">
        <is>
          <t>Detailed format sample from top 5 used rows</t>
        </is>
      </c>
    </row>
    <row r="880" ht="23.85" customHeight="1" s="79">
      <c r="A880" s="145" t="inlineStr">
        <is>
          <t>WINTER_ART</t>
        </is>
      </c>
      <c r="B880" s="145" t="inlineStr">
        <is>
          <t>Column Format</t>
        </is>
      </c>
      <c r="C880" s="145" t="inlineStr">
        <is>
          <t>Z:Z</t>
        </is>
      </c>
      <c r="D880" s="145" t="inlineStr">
        <is>
          <t>WINTER_ART!A1:AB82</t>
        </is>
      </c>
      <c r="E880" s="145" t="inlineStr">
        <is>
          <t>Mixed</t>
        </is>
      </c>
      <c r="F880" s="145" t="inlineStr">
        <is>
          <t>Mixed</t>
        </is>
      </c>
      <c r="G880" s="145" t="inlineStr">
        <is>
          <t>Aptos</t>
        </is>
      </c>
      <c r="H880" s="145" t="n">
        <v>8</v>
      </c>
      <c r="I880" s="145" t="inlineStr">
        <is>
          <t>Mixed</t>
        </is>
      </c>
      <c r="J880" s="145" t="inlineStr">
        <is>
          <t>No</t>
        </is>
      </c>
      <c r="K880" s="145" t="inlineStr">
        <is>
          <t>None</t>
        </is>
      </c>
      <c r="L880" s="145" t="inlineStr">
        <is>
          <t>#000000</t>
        </is>
      </c>
      <c r="M880" s="145" t="inlineStr">
        <is>
          <t>Mixed</t>
        </is>
      </c>
      <c r="N880" s="145" t="inlineStr">
        <is>
          <t>Center</t>
        </is>
      </c>
      <c r="O880" s="145" t="inlineStr">
        <is>
          <t>Mixed</t>
        </is>
      </c>
      <c r="P880" s="145" t="n"/>
      <c r="Q880" s="145" t="n"/>
      <c r="R880" s="145" t="inlineStr">
        <is>
          <t>EdgeBottom:Continuous/Thin/#000000; EdgeRight:Continuous/Thin/#000000</t>
        </is>
      </c>
      <c r="S880" s="145" t="n">
        <v>42.9850746268657</v>
      </c>
      <c r="T880" s="145" t="n"/>
      <c r="U880" s="145" t="inlineStr">
        <is>
          <t>No</t>
        </is>
      </c>
      <c r="V880" s="145" t="inlineStr">
        <is>
          <t>Visible</t>
        </is>
      </c>
      <c r="W880" s="145" t="n"/>
      <c r="X880" s="145" t="inlineStr">
        <is>
          <t>Mixed styles within used column</t>
        </is>
      </c>
    </row>
    <row r="881" ht="23.85" customHeight="1" s="79">
      <c r="A881" s="145" t="inlineStr">
        <is>
          <t>WINTER_ART</t>
        </is>
      </c>
      <c r="B881" s="145" t="inlineStr">
        <is>
          <t>Top-Row Cell Format</t>
        </is>
      </c>
      <c r="C881" s="145" t="inlineStr">
        <is>
          <t>Z1</t>
        </is>
      </c>
      <c r="D881" s="145" t="inlineStr">
        <is>
          <t>WINTER_ART!A1:AB82</t>
        </is>
      </c>
      <c r="E881" s="145" t="inlineStr">
        <is>
          <t>Normal</t>
        </is>
      </c>
      <c r="F881" s="145" t="n"/>
      <c r="G881" s="145" t="inlineStr">
        <is>
          <t>Aptos</t>
        </is>
      </c>
      <c r="H881" s="145" t="n">
        <v>8</v>
      </c>
      <c r="I881" s="145" t="inlineStr">
        <is>
          <t>No</t>
        </is>
      </c>
      <c r="J881" s="145" t="inlineStr">
        <is>
          <t>No</t>
        </is>
      </c>
      <c r="K881" s="145" t="inlineStr">
        <is>
          <t>None</t>
        </is>
      </c>
      <c r="L881" s="145" t="inlineStr">
        <is>
          <t>#000000</t>
        </is>
      </c>
      <c r="M881" s="145" t="inlineStr">
        <is>
          <t>General</t>
        </is>
      </c>
      <c r="N881" s="145" t="inlineStr">
        <is>
          <t>Center</t>
        </is>
      </c>
      <c r="O881" s="145" t="inlineStr">
        <is>
          <t>No</t>
        </is>
      </c>
      <c r="P881" s="145" t="inlineStr">
        <is>
          <t>General</t>
        </is>
      </c>
      <c r="Q881" s="145" t="inlineStr">
        <is>
          <t>General</t>
        </is>
      </c>
      <c r="R881" s="145" t="n"/>
      <c r="S881" s="145" t="n"/>
      <c r="T881" s="145" t="n"/>
      <c r="U881" s="145" t="n"/>
      <c r="V881" s="145" t="n"/>
      <c r="W881" s="145" t="n"/>
      <c r="X881" s="145" t="inlineStr">
        <is>
          <t>Detailed format sample from top 5 used rows</t>
        </is>
      </c>
    </row>
    <row r="882" ht="23.85" customHeight="1" s="79">
      <c r="A882" s="145" t="inlineStr">
        <is>
          <t>WINTER_ART</t>
        </is>
      </c>
      <c r="B882" s="145" t="inlineStr">
        <is>
          <t>Top-Row Cell Format</t>
        </is>
      </c>
      <c r="C882" s="145" t="inlineStr">
        <is>
          <t>Z2</t>
        </is>
      </c>
      <c r="D882" s="145" t="inlineStr">
        <is>
          <t>WINTER_ART!A1:AB82</t>
        </is>
      </c>
      <c r="E882" s="145" t="inlineStr">
        <is>
          <t>Comma</t>
        </is>
      </c>
      <c r="F882" s="145" t="inlineStr">
        <is>
          <t>#B4C6E7</t>
        </is>
      </c>
      <c r="G882" s="145" t="inlineStr">
        <is>
          <t>Aptos</t>
        </is>
      </c>
      <c r="H882" s="145" t="n">
        <v>8</v>
      </c>
      <c r="I882" s="145" t="inlineStr">
        <is>
          <t>Yes</t>
        </is>
      </c>
      <c r="J882" s="145" t="inlineStr">
        <is>
          <t>No</t>
        </is>
      </c>
      <c r="K882" s="145" t="inlineStr">
        <is>
          <t>None</t>
        </is>
      </c>
      <c r="L882" s="145" t="inlineStr">
        <is>
          <t>#000000</t>
        </is>
      </c>
      <c r="M882" s="145" t="inlineStr">
        <is>
          <t>Center</t>
        </is>
      </c>
      <c r="N882" s="145" t="inlineStr">
        <is>
          <t>Center</t>
        </is>
      </c>
      <c r="O882" s="145" t="inlineStr">
        <is>
          <t>No</t>
        </is>
      </c>
      <c r="P882" s="145" t="inlineStr">
        <is>
          <t xml:space="preserve">_ * #,##0_ ;_ * -#,##0_ ;_ * "-"??_ ;_ @_ </t>
        </is>
      </c>
      <c r="Q882" s="145" t="inlineStr">
        <is>
          <t>Text</t>
        </is>
      </c>
      <c r="R882" s="145" t="n"/>
      <c r="S882" s="145" t="n"/>
      <c r="T882" s="145" t="n"/>
      <c r="U882" s="145" t="n"/>
      <c r="V882" s="145" t="n"/>
      <c r="W882" s="145" t="n"/>
      <c r="X882" s="145" t="inlineStr">
        <is>
          <t>Detailed format sample from top 5 used rows</t>
        </is>
      </c>
    </row>
    <row r="883" ht="23.85" customHeight="1" s="79">
      <c r="A883" s="145" t="inlineStr">
        <is>
          <t>WINTER_ART</t>
        </is>
      </c>
      <c r="B883" s="145" t="inlineStr">
        <is>
          <t>Top-Row Cell Format</t>
        </is>
      </c>
      <c r="C883" s="145" t="inlineStr">
        <is>
          <t>Z3</t>
        </is>
      </c>
      <c r="D883" s="145" t="inlineStr">
        <is>
          <t>WINTER_ART!A1:AB82</t>
        </is>
      </c>
      <c r="E883" s="145" t="inlineStr">
        <is>
          <t>Normal</t>
        </is>
      </c>
      <c r="F883" s="145" t="inlineStr">
        <is>
          <t>#F8CBAD</t>
        </is>
      </c>
      <c r="G883" s="145" t="inlineStr">
        <is>
          <t>Aptos</t>
        </is>
      </c>
      <c r="H883" s="145" t="n">
        <v>8</v>
      </c>
      <c r="I883" s="145" t="inlineStr">
        <is>
          <t>Yes</t>
        </is>
      </c>
      <c r="J883" s="145" t="inlineStr">
        <is>
          <t>No</t>
        </is>
      </c>
      <c r="K883" s="145" t="inlineStr">
        <is>
          <t>None</t>
        </is>
      </c>
      <c r="L883" s="145" t="inlineStr">
        <is>
          <t>#000000</t>
        </is>
      </c>
      <c r="M883" s="145" t="inlineStr">
        <is>
          <t>Center</t>
        </is>
      </c>
      <c r="N883" s="145" t="inlineStr">
        <is>
          <t>Center</t>
        </is>
      </c>
      <c r="O883" s="145" t="inlineStr">
        <is>
          <t>Yes</t>
        </is>
      </c>
      <c r="P883" s="145" t="inlineStr">
        <is>
          <t>General</t>
        </is>
      </c>
      <c r="Q883" s="145" t="inlineStr">
        <is>
          <t>General</t>
        </is>
      </c>
      <c r="R883" s="145" t="n"/>
      <c r="S883" s="145" t="n"/>
      <c r="T883" s="145" t="n"/>
      <c r="U883" s="145" t="n"/>
      <c r="V883" s="145" t="n"/>
      <c r="W883" s="145" t="n"/>
      <c r="X883" s="145" t="inlineStr">
        <is>
          <t>Detailed format sample from top 5 used rows</t>
        </is>
      </c>
    </row>
    <row r="884" ht="23.85" customHeight="1" s="79">
      <c r="A884" s="145" t="inlineStr">
        <is>
          <t>WINTER_ART</t>
        </is>
      </c>
      <c r="B884" s="145" t="inlineStr">
        <is>
          <t>Top-Row Cell Format</t>
        </is>
      </c>
      <c r="C884" s="145" t="inlineStr">
        <is>
          <t>Z4</t>
        </is>
      </c>
      <c r="D884" s="145" t="inlineStr">
        <is>
          <t>WINTER_ART!A1:AB82</t>
        </is>
      </c>
      <c r="E884" s="145" t="inlineStr">
        <is>
          <t>Normal</t>
        </is>
      </c>
      <c r="F884" s="145" t="inlineStr">
        <is>
          <t>#F8CBAD</t>
        </is>
      </c>
      <c r="G884" s="145" t="inlineStr">
        <is>
          <t>Aptos</t>
        </is>
      </c>
      <c r="H884" s="145" t="n">
        <v>8</v>
      </c>
      <c r="I884" s="145" t="inlineStr">
        <is>
          <t>No</t>
        </is>
      </c>
      <c r="J884" s="145" t="inlineStr">
        <is>
          <t>No</t>
        </is>
      </c>
      <c r="K884" s="145" t="inlineStr">
        <is>
          <t>None</t>
        </is>
      </c>
      <c r="L884" s="145" t="inlineStr">
        <is>
          <t>#000000</t>
        </is>
      </c>
      <c r="M884" s="145" t="inlineStr">
        <is>
          <t>Center</t>
        </is>
      </c>
      <c r="N884" s="145" t="inlineStr">
        <is>
          <t>Center</t>
        </is>
      </c>
      <c r="O884" s="145" t="inlineStr">
        <is>
          <t>No</t>
        </is>
      </c>
      <c r="P884" s="145" t="inlineStr">
        <is>
          <t>General</t>
        </is>
      </c>
      <c r="Q884" s="145" t="inlineStr">
        <is>
          <t>General</t>
        </is>
      </c>
      <c r="R884" s="145" t="n"/>
      <c r="S884" s="145" t="n"/>
      <c r="T884" s="145" t="n"/>
      <c r="U884" s="145" t="n"/>
      <c r="V884" s="145" t="n"/>
      <c r="W884" s="145" t="n"/>
      <c r="X884" s="145" t="inlineStr">
        <is>
          <t>Detailed format sample from top 5 used rows</t>
        </is>
      </c>
    </row>
    <row r="885" ht="23.85" customHeight="1" s="79">
      <c r="A885" s="145" t="inlineStr">
        <is>
          <t>WINTER_ART</t>
        </is>
      </c>
      <c r="B885" s="145" t="inlineStr">
        <is>
          <t>Top-Row Cell Format</t>
        </is>
      </c>
      <c r="C885" s="145" t="inlineStr">
        <is>
          <t>Z5</t>
        </is>
      </c>
      <c r="D885" s="145" t="inlineStr">
        <is>
          <t>WINTER_ART!A1:AB82</t>
        </is>
      </c>
      <c r="E885" s="145" t="inlineStr">
        <is>
          <t>Comma</t>
        </is>
      </c>
      <c r="F885" s="145" t="n"/>
      <c r="G885" s="145" t="inlineStr">
        <is>
          <t>Aptos</t>
        </is>
      </c>
      <c r="H885" s="145" t="n">
        <v>8</v>
      </c>
      <c r="I885" s="145" t="inlineStr">
        <is>
          <t>No</t>
        </is>
      </c>
      <c r="J885" s="145" t="inlineStr">
        <is>
          <t>No</t>
        </is>
      </c>
      <c r="K885" s="145" t="inlineStr">
        <is>
          <t>None</t>
        </is>
      </c>
      <c r="L885" s="145" t="inlineStr">
        <is>
          <t>#000000</t>
        </is>
      </c>
      <c r="M885" s="145" t="inlineStr">
        <is>
          <t>General</t>
        </is>
      </c>
      <c r="N885" s="145" t="inlineStr">
        <is>
          <t>Center</t>
        </is>
      </c>
      <c r="O885" s="145" t="inlineStr">
        <is>
          <t>No</t>
        </is>
      </c>
      <c r="P885" s="145" t="inlineStr">
        <is>
          <t xml:space="preserve">_ * #,##0_ ;_ * -#,##0_ ;_ * "-"??_ ;_ @_ </t>
        </is>
      </c>
      <c r="Q885" s="145" t="inlineStr">
        <is>
          <t>Text</t>
        </is>
      </c>
      <c r="R885" s="145" t="n"/>
      <c r="S885" s="145" t="n"/>
      <c r="T885" s="145" t="n"/>
      <c r="U885" s="145" t="n"/>
      <c r="V885" s="145" t="n"/>
      <c r="W885" s="145" t="n"/>
      <c r="X885" s="145" t="inlineStr">
        <is>
          <t>Detailed format sample from top 5 used rows</t>
        </is>
      </c>
    </row>
    <row r="886" ht="23.85" customHeight="1" s="79">
      <c r="A886" s="145" t="inlineStr">
        <is>
          <t>WINTER_ART</t>
        </is>
      </c>
      <c r="B886" s="145" t="inlineStr">
        <is>
          <t>Column Format</t>
        </is>
      </c>
      <c r="C886" s="145" t="inlineStr">
        <is>
          <t>AA:AA</t>
        </is>
      </c>
      <c r="D886" s="145" t="inlineStr">
        <is>
          <t>WINTER_ART!A1:AB82</t>
        </is>
      </c>
      <c r="E886" s="145" t="inlineStr">
        <is>
          <t>Mixed</t>
        </is>
      </c>
      <c r="F886" s="145" t="inlineStr">
        <is>
          <t>Mixed</t>
        </is>
      </c>
      <c r="G886" s="145" t="inlineStr">
        <is>
          <t>Aptos</t>
        </is>
      </c>
      <c r="H886" s="145" t="n">
        <v>8</v>
      </c>
      <c r="I886" s="145" t="inlineStr">
        <is>
          <t>Mixed</t>
        </is>
      </c>
      <c r="J886" s="145" t="inlineStr">
        <is>
          <t>No</t>
        </is>
      </c>
      <c r="K886" s="145" t="inlineStr">
        <is>
          <t>None</t>
        </is>
      </c>
      <c r="L886" s="145" t="inlineStr">
        <is>
          <t>#000000</t>
        </is>
      </c>
      <c r="M886" s="145" t="inlineStr">
        <is>
          <t>Mixed</t>
        </is>
      </c>
      <c r="N886" s="145" t="inlineStr">
        <is>
          <t>Center</t>
        </is>
      </c>
      <c r="O886" s="145" t="inlineStr">
        <is>
          <t>Mixed</t>
        </is>
      </c>
      <c r="P886" s="145" t="n"/>
      <c r="Q886" s="145" t="n"/>
      <c r="R886" s="145" t="inlineStr">
        <is>
          <t>EdgeBottom:Continuous/Thin/#000000; EdgeRight:Continuous/Thin/#000000</t>
        </is>
      </c>
      <c r="S886" s="145" t="n">
        <v>58.0298507462687</v>
      </c>
      <c r="T886" s="145" t="n"/>
      <c r="U886" s="145" t="inlineStr">
        <is>
          <t>No</t>
        </is>
      </c>
      <c r="V886" s="145" t="inlineStr">
        <is>
          <t>Visible</t>
        </is>
      </c>
      <c r="W886" s="145" t="n"/>
      <c r="X886" s="145" t="inlineStr">
        <is>
          <t>Mixed styles within used column</t>
        </is>
      </c>
    </row>
    <row r="887" ht="23.85" customHeight="1" s="79">
      <c r="A887" s="145" t="inlineStr">
        <is>
          <t>WINTER_ART</t>
        </is>
      </c>
      <c r="B887" s="145" t="inlineStr">
        <is>
          <t>Top-Row Cell Format</t>
        </is>
      </c>
      <c r="C887" s="145" t="inlineStr">
        <is>
          <t>AA1</t>
        </is>
      </c>
      <c r="D887" s="145" t="inlineStr">
        <is>
          <t>WINTER_ART!A1:AB82</t>
        </is>
      </c>
      <c r="E887" s="145" t="inlineStr">
        <is>
          <t>Normal</t>
        </is>
      </c>
      <c r="F887" s="145" t="n"/>
      <c r="G887" s="145" t="inlineStr">
        <is>
          <t>Aptos</t>
        </is>
      </c>
      <c r="H887" s="145" t="n">
        <v>8</v>
      </c>
      <c r="I887" s="145" t="inlineStr">
        <is>
          <t>No</t>
        </is>
      </c>
      <c r="J887" s="145" t="inlineStr">
        <is>
          <t>No</t>
        </is>
      </c>
      <c r="K887" s="145" t="inlineStr">
        <is>
          <t>None</t>
        </is>
      </c>
      <c r="L887" s="145" t="inlineStr">
        <is>
          <t>#000000</t>
        </is>
      </c>
      <c r="M887" s="145" t="inlineStr">
        <is>
          <t>General</t>
        </is>
      </c>
      <c r="N887" s="145" t="inlineStr">
        <is>
          <t>Center</t>
        </is>
      </c>
      <c r="O887" s="145" t="inlineStr">
        <is>
          <t>No</t>
        </is>
      </c>
      <c r="P887" s="145" t="inlineStr">
        <is>
          <t>General</t>
        </is>
      </c>
      <c r="Q887" s="145" t="inlineStr">
        <is>
          <t>General</t>
        </is>
      </c>
      <c r="R887" s="145" t="n"/>
      <c r="S887" s="145" t="n"/>
      <c r="T887" s="145" t="n"/>
      <c r="U887" s="145" t="n"/>
      <c r="V887" s="145" t="n"/>
      <c r="W887" s="145" t="n"/>
      <c r="X887" s="145" t="inlineStr">
        <is>
          <t>Detailed format sample from top 5 used rows</t>
        </is>
      </c>
    </row>
    <row r="888" ht="23.85" customHeight="1" s="79">
      <c r="A888" s="145" t="inlineStr">
        <is>
          <t>WINTER_ART</t>
        </is>
      </c>
      <c r="B888" s="145" t="inlineStr">
        <is>
          <t>Top-Row Cell Format</t>
        </is>
      </c>
      <c r="C888" s="145" t="inlineStr">
        <is>
          <t>AA2</t>
        </is>
      </c>
      <c r="D888" s="145" t="inlineStr">
        <is>
          <t>WINTER_ART!A1:AB82</t>
        </is>
      </c>
      <c r="E888" s="145" t="inlineStr">
        <is>
          <t>Normal</t>
        </is>
      </c>
      <c r="F888" s="145" t="n"/>
      <c r="G888" s="145" t="inlineStr">
        <is>
          <t>Aptos</t>
        </is>
      </c>
      <c r="H888" s="145" t="n">
        <v>8</v>
      </c>
      <c r="I888" s="145" t="inlineStr">
        <is>
          <t>No</t>
        </is>
      </c>
      <c r="J888" s="145" t="inlineStr">
        <is>
          <t>No</t>
        </is>
      </c>
      <c r="K888" s="145" t="inlineStr">
        <is>
          <t>None</t>
        </is>
      </c>
      <c r="L888" s="145" t="inlineStr">
        <is>
          <t>#000000</t>
        </is>
      </c>
      <c r="M888" s="145" t="inlineStr">
        <is>
          <t>General</t>
        </is>
      </c>
      <c r="N888" s="145" t="inlineStr">
        <is>
          <t>Center</t>
        </is>
      </c>
      <c r="O888" s="145" t="inlineStr">
        <is>
          <t>No</t>
        </is>
      </c>
      <c r="P888" s="145" t="inlineStr">
        <is>
          <t xml:space="preserve">_ * #,##0_ ;_ * -#,##0_ ;_ * "-"??_ ;_ @_ </t>
        </is>
      </c>
      <c r="Q888" s="145" t="inlineStr">
        <is>
          <t>Text</t>
        </is>
      </c>
      <c r="R888" s="145" t="n"/>
      <c r="S888" s="145" t="n"/>
      <c r="T888" s="145" t="n"/>
      <c r="U888" s="145" t="n"/>
      <c r="V888" s="145" t="n"/>
      <c r="W888" s="145" t="n"/>
      <c r="X888" s="145" t="inlineStr">
        <is>
          <t>Detailed format sample from top 5 used rows</t>
        </is>
      </c>
    </row>
    <row r="889" ht="23.85" customHeight="1" s="79">
      <c r="A889" s="145" t="inlineStr">
        <is>
          <t>WINTER_ART</t>
        </is>
      </c>
      <c r="B889" s="145" t="inlineStr">
        <is>
          <t>Top-Row Cell Format</t>
        </is>
      </c>
      <c r="C889" s="145" t="inlineStr">
        <is>
          <t>AA3</t>
        </is>
      </c>
      <c r="D889" s="145" t="inlineStr">
        <is>
          <t>WINTER_ART!A1:AB82</t>
        </is>
      </c>
      <c r="E889" s="145" t="inlineStr">
        <is>
          <t>Normal</t>
        </is>
      </c>
      <c r="F889" s="145" t="inlineStr">
        <is>
          <t>#F8CBAD</t>
        </is>
      </c>
      <c r="G889" s="145" t="inlineStr">
        <is>
          <t>Aptos</t>
        </is>
      </c>
      <c r="H889" s="145" t="n">
        <v>8</v>
      </c>
      <c r="I889" s="145" t="inlineStr">
        <is>
          <t>Yes</t>
        </is>
      </c>
      <c r="J889" s="145" t="inlineStr">
        <is>
          <t>No</t>
        </is>
      </c>
      <c r="K889" s="145" t="inlineStr">
        <is>
          <t>None</t>
        </is>
      </c>
      <c r="L889" s="145" t="inlineStr">
        <is>
          <t>#000000</t>
        </is>
      </c>
      <c r="M889" s="145" t="inlineStr">
        <is>
          <t>Center</t>
        </is>
      </c>
      <c r="N889" s="145" t="inlineStr">
        <is>
          <t>Center</t>
        </is>
      </c>
      <c r="O889" s="145" t="inlineStr">
        <is>
          <t>Yes</t>
        </is>
      </c>
      <c r="P889" s="145" t="inlineStr">
        <is>
          <t>General</t>
        </is>
      </c>
      <c r="Q889" s="145" t="inlineStr">
        <is>
          <t>General</t>
        </is>
      </c>
      <c r="R889" s="145" t="n"/>
      <c r="S889" s="145" t="n"/>
      <c r="T889" s="145" t="n"/>
      <c r="U889" s="145" t="n"/>
      <c r="V889" s="145" t="n"/>
      <c r="W889" s="145" t="n"/>
      <c r="X889" s="145" t="inlineStr">
        <is>
          <t>Detailed format sample from top 5 used rows</t>
        </is>
      </c>
    </row>
    <row r="890" ht="23.85" customHeight="1" s="79">
      <c r="A890" s="145" t="inlineStr">
        <is>
          <t>WINTER_ART</t>
        </is>
      </c>
      <c r="B890" s="145" t="inlineStr">
        <is>
          <t>Top-Row Cell Format</t>
        </is>
      </c>
      <c r="C890" s="145" t="inlineStr">
        <is>
          <t>AA4</t>
        </is>
      </c>
      <c r="D890" s="145" t="inlineStr">
        <is>
          <t>WINTER_ART!A1:AB82</t>
        </is>
      </c>
      <c r="E890" s="145" t="inlineStr">
        <is>
          <t>Normal</t>
        </is>
      </c>
      <c r="F890" s="145" t="inlineStr">
        <is>
          <t>#F8CBAD</t>
        </is>
      </c>
      <c r="G890" s="145" t="inlineStr">
        <is>
          <t>Aptos</t>
        </is>
      </c>
      <c r="H890" s="145" t="n">
        <v>8</v>
      </c>
      <c r="I890" s="145" t="inlineStr">
        <is>
          <t>No</t>
        </is>
      </c>
      <c r="J890" s="145" t="inlineStr">
        <is>
          <t>No</t>
        </is>
      </c>
      <c r="K890" s="145" t="inlineStr">
        <is>
          <t>None</t>
        </is>
      </c>
      <c r="L890" s="145" t="inlineStr">
        <is>
          <t>#000000</t>
        </is>
      </c>
      <c r="M890" s="145" t="inlineStr">
        <is>
          <t>Center</t>
        </is>
      </c>
      <c r="N890" s="145" t="inlineStr">
        <is>
          <t>Center</t>
        </is>
      </c>
      <c r="O890" s="145" t="inlineStr">
        <is>
          <t>No</t>
        </is>
      </c>
      <c r="P890" s="145" t="inlineStr">
        <is>
          <t>General</t>
        </is>
      </c>
      <c r="Q890" s="145" t="inlineStr">
        <is>
          <t>General</t>
        </is>
      </c>
      <c r="R890" s="145" t="n"/>
      <c r="S890" s="145" t="n"/>
      <c r="T890" s="145" t="n"/>
      <c r="U890" s="145" t="n"/>
      <c r="V890" s="145" t="n"/>
      <c r="W890" s="145" t="n"/>
      <c r="X890" s="145" t="inlineStr">
        <is>
          <t>Detailed format sample from top 5 used rows</t>
        </is>
      </c>
    </row>
    <row r="891" ht="23.85" customHeight="1" s="79">
      <c r="A891" s="145" t="inlineStr">
        <is>
          <t>WINTER_ART</t>
        </is>
      </c>
      <c r="B891" s="145" t="inlineStr">
        <is>
          <t>Top-Row Cell Format</t>
        </is>
      </c>
      <c r="C891" s="145" t="inlineStr">
        <is>
          <t>AA5</t>
        </is>
      </c>
      <c r="D891" s="145" t="inlineStr">
        <is>
          <t>WINTER_ART!A1:AB82</t>
        </is>
      </c>
      <c r="E891" s="145" t="inlineStr">
        <is>
          <t>Comma</t>
        </is>
      </c>
      <c r="F891" s="145" t="n"/>
      <c r="G891" s="145" t="inlineStr">
        <is>
          <t>Aptos</t>
        </is>
      </c>
      <c r="H891" s="145" t="n">
        <v>8</v>
      </c>
      <c r="I891" s="145" t="inlineStr">
        <is>
          <t>No</t>
        </is>
      </c>
      <c r="J891" s="145" t="inlineStr">
        <is>
          <t>No</t>
        </is>
      </c>
      <c r="K891" s="145" t="inlineStr">
        <is>
          <t>None</t>
        </is>
      </c>
      <c r="L891" s="145" t="inlineStr">
        <is>
          <t>#000000</t>
        </is>
      </c>
      <c r="M891" s="145" t="inlineStr">
        <is>
          <t>General</t>
        </is>
      </c>
      <c r="N891" s="145" t="inlineStr">
        <is>
          <t>Center</t>
        </is>
      </c>
      <c r="O891" s="145" t="inlineStr">
        <is>
          <t>No</t>
        </is>
      </c>
      <c r="P891" s="145" t="inlineStr">
        <is>
          <t xml:space="preserve">_ * #,##0_ ;_ * -#,##0_ ;_ * "-"??_ ;_ @_ </t>
        </is>
      </c>
      <c r="Q891" s="145" t="inlineStr">
        <is>
          <t>Text</t>
        </is>
      </c>
      <c r="R891" s="145" t="n"/>
      <c r="S891" s="145" t="n"/>
      <c r="T891" s="145" t="n"/>
      <c r="U891" s="145" t="n"/>
      <c r="V891" s="145" t="n"/>
      <c r="W891" s="145" t="n"/>
      <c r="X891" s="145" t="inlineStr">
        <is>
          <t>Detailed format sample from top 5 used rows</t>
        </is>
      </c>
    </row>
    <row r="892" ht="23.85" customHeight="1" s="79">
      <c r="A892" s="145" t="inlineStr">
        <is>
          <t>WINTER_ART</t>
        </is>
      </c>
      <c r="B892" s="145" t="inlineStr">
        <is>
          <t>Column Format</t>
        </is>
      </c>
      <c r="C892" s="145" t="inlineStr">
        <is>
          <t>AB:AB</t>
        </is>
      </c>
      <c r="D892" s="145" t="inlineStr">
        <is>
          <t>WINTER_ART!A1:AB82</t>
        </is>
      </c>
      <c r="E892" s="145" t="inlineStr">
        <is>
          <t>Mixed</t>
        </is>
      </c>
      <c r="F892" s="145" t="inlineStr">
        <is>
          <t>Mixed</t>
        </is>
      </c>
      <c r="G892" s="145" t="inlineStr">
        <is>
          <t>Aptos</t>
        </is>
      </c>
      <c r="H892" s="145" t="n">
        <v>8</v>
      </c>
      <c r="I892" s="145" t="inlineStr">
        <is>
          <t>Mixed</t>
        </is>
      </c>
      <c r="J892" s="145" t="inlineStr">
        <is>
          <t>No</t>
        </is>
      </c>
      <c r="K892" s="145" t="inlineStr">
        <is>
          <t>None</t>
        </is>
      </c>
      <c r="L892" s="145" t="inlineStr">
        <is>
          <t>#000000</t>
        </is>
      </c>
      <c r="M892" s="145" t="inlineStr">
        <is>
          <t>Mixed</t>
        </is>
      </c>
      <c r="N892" s="145" t="inlineStr">
        <is>
          <t>Center</t>
        </is>
      </c>
      <c r="O892" s="145" t="inlineStr">
        <is>
          <t>Mixed</t>
        </is>
      </c>
      <c r="P892" s="145" t="n"/>
      <c r="Q892" s="145" t="n"/>
      <c r="R892" s="145" t="inlineStr">
        <is>
          <t>EdgeBottom:Continuous/Thin/#000000; EdgeRight:Continuous/Thin/#000000</t>
        </is>
      </c>
      <c r="S892" s="145" t="n">
        <v>66.08955223880599</v>
      </c>
      <c r="T892" s="145" t="n"/>
      <c r="U892" s="145" t="inlineStr">
        <is>
          <t>No</t>
        </is>
      </c>
      <c r="V892" s="145" t="inlineStr">
        <is>
          <t>Visible</t>
        </is>
      </c>
      <c r="W892" s="145" t="n"/>
      <c r="X892" s="145" t="inlineStr">
        <is>
          <t>Mixed styles within used column</t>
        </is>
      </c>
    </row>
    <row r="893" ht="23.85" customHeight="1" s="79">
      <c r="A893" s="145" t="inlineStr">
        <is>
          <t>WINTER_ART</t>
        </is>
      </c>
      <c r="B893" s="145" t="inlineStr">
        <is>
          <t>Top-Row Cell Format</t>
        </is>
      </c>
      <c r="C893" s="145" t="inlineStr">
        <is>
          <t>AB1</t>
        </is>
      </c>
      <c r="D893" s="145" t="inlineStr">
        <is>
          <t>WINTER_ART!A1:AB82</t>
        </is>
      </c>
      <c r="E893" s="145" t="inlineStr">
        <is>
          <t>Normal</t>
        </is>
      </c>
      <c r="F893" s="145" t="n"/>
      <c r="G893" s="145" t="inlineStr">
        <is>
          <t>Aptos</t>
        </is>
      </c>
      <c r="H893" s="145" t="n">
        <v>8</v>
      </c>
      <c r="I893" s="145" t="inlineStr">
        <is>
          <t>No</t>
        </is>
      </c>
      <c r="J893" s="145" t="inlineStr">
        <is>
          <t>No</t>
        </is>
      </c>
      <c r="K893" s="145" t="inlineStr">
        <is>
          <t>None</t>
        </is>
      </c>
      <c r="L893" s="145" t="inlineStr">
        <is>
          <t>#000000</t>
        </is>
      </c>
      <c r="M893" s="145" t="inlineStr">
        <is>
          <t>General</t>
        </is>
      </c>
      <c r="N893" s="145" t="inlineStr">
        <is>
          <t>Center</t>
        </is>
      </c>
      <c r="O893" s="145" t="inlineStr">
        <is>
          <t>No</t>
        </is>
      </c>
      <c r="P893" s="145" t="inlineStr">
        <is>
          <t>General</t>
        </is>
      </c>
      <c r="Q893" s="145" t="inlineStr">
        <is>
          <t>General</t>
        </is>
      </c>
      <c r="R893" s="145" t="n"/>
      <c r="S893" s="145" t="n"/>
      <c r="T893" s="145" t="n"/>
      <c r="U893" s="145" t="n"/>
      <c r="V893" s="145" t="n"/>
      <c r="W893" s="145" t="n"/>
      <c r="X893" s="145" t="inlineStr">
        <is>
          <t>Detailed format sample from top 5 used rows</t>
        </is>
      </c>
    </row>
    <row r="894" ht="23.85" customHeight="1" s="79">
      <c r="A894" s="145" t="inlineStr">
        <is>
          <t>WINTER_ART</t>
        </is>
      </c>
      <c r="B894" s="145" t="inlineStr">
        <is>
          <t>Top-Row Cell Format</t>
        </is>
      </c>
      <c r="C894" s="145" t="inlineStr">
        <is>
          <t>AB2</t>
        </is>
      </c>
      <c r="D894" s="145" t="inlineStr">
        <is>
          <t>WINTER_ART!A1:AB82</t>
        </is>
      </c>
      <c r="E894" s="145" t="inlineStr">
        <is>
          <t>Normal</t>
        </is>
      </c>
      <c r="F894" s="145" t="n"/>
      <c r="G894" s="145" t="inlineStr">
        <is>
          <t>Aptos</t>
        </is>
      </c>
      <c r="H894" s="145" t="n">
        <v>8</v>
      </c>
      <c r="I894" s="145" t="inlineStr">
        <is>
          <t>No</t>
        </is>
      </c>
      <c r="J894" s="145" t="inlineStr">
        <is>
          <t>No</t>
        </is>
      </c>
      <c r="K894" s="145" t="inlineStr">
        <is>
          <t>None</t>
        </is>
      </c>
      <c r="L894" s="145" t="inlineStr">
        <is>
          <t>#000000</t>
        </is>
      </c>
      <c r="M894" s="145" t="inlineStr">
        <is>
          <t>General</t>
        </is>
      </c>
      <c r="N894" s="145" t="inlineStr">
        <is>
          <t>Center</t>
        </is>
      </c>
      <c r="O894" s="145" t="inlineStr">
        <is>
          <t>No</t>
        </is>
      </c>
      <c r="P894" s="145" t="inlineStr">
        <is>
          <t>General</t>
        </is>
      </c>
      <c r="Q894" s="145" t="inlineStr">
        <is>
          <t>General</t>
        </is>
      </c>
      <c r="R894" s="145" t="n"/>
      <c r="S894" s="145" t="n"/>
      <c r="T894" s="145" t="n"/>
      <c r="U894" s="145" t="n"/>
      <c r="V894" s="145" t="n"/>
      <c r="W894" s="145" t="n"/>
      <c r="X894" s="145" t="inlineStr">
        <is>
          <t>Detailed format sample from top 5 used rows</t>
        </is>
      </c>
    </row>
    <row r="895" ht="23.85" customHeight="1" s="79">
      <c r="A895" s="145" t="inlineStr">
        <is>
          <t>WINTER_ART</t>
        </is>
      </c>
      <c r="B895" s="145" t="inlineStr">
        <is>
          <t>Top-Row Cell Format</t>
        </is>
      </c>
      <c r="C895" s="145" t="inlineStr">
        <is>
          <t>AB3</t>
        </is>
      </c>
      <c r="D895" s="145" t="inlineStr">
        <is>
          <t>WINTER_ART!A1:AB82</t>
        </is>
      </c>
      <c r="E895" s="145" t="inlineStr">
        <is>
          <t>Normal</t>
        </is>
      </c>
      <c r="F895" s="145" t="inlineStr">
        <is>
          <t>#F8CBAD</t>
        </is>
      </c>
      <c r="G895" s="145" t="inlineStr">
        <is>
          <t>Aptos</t>
        </is>
      </c>
      <c r="H895" s="145" t="n">
        <v>8</v>
      </c>
      <c r="I895" s="145" t="inlineStr">
        <is>
          <t>Yes</t>
        </is>
      </c>
      <c r="J895" s="145" t="inlineStr">
        <is>
          <t>No</t>
        </is>
      </c>
      <c r="K895" s="145" t="inlineStr">
        <is>
          <t>None</t>
        </is>
      </c>
      <c r="L895" s="145" t="inlineStr">
        <is>
          <t>#000000</t>
        </is>
      </c>
      <c r="M895" s="145" t="inlineStr">
        <is>
          <t>Center</t>
        </is>
      </c>
      <c r="N895" s="145" t="inlineStr">
        <is>
          <t>Center</t>
        </is>
      </c>
      <c r="O895" s="145" t="inlineStr">
        <is>
          <t>Yes</t>
        </is>
      </c>
      <c r="P895" s="145" t="inlineStr">
        <is>
          <t>General</t>
        </is>
      </c>
      <c r="Q895" s="145" t="inlineStr">
        <is>
          <t>General</t>
        </is>
      </c>
      <c r="R895" s="145" t="n"/>
      <c r="S895" s="145" t="n"/>
      <c r="T895" s="145" t="n"/>
      <c r="U895" s="145" t="n"/>
      <c r="V895" s="145" t="n"/>
      <c r="W895" s="145" t="n"/>
      <c r="X895" s="145" t="inlineStr">
        <is>
          <t>Detailed format sample from top 5 used rows</t>
        </is>
      </c>
    </row>
    <row r="896" ht="23.85" customHeight="1" s="79">
      <c r="A896" s="145" t="inlineStr">
        <is>
          <t>WINTER_ART</t>
        </is>
      </c>
      <c r="B896" s="145" t="inlineStr">
        <is>
          <t>Top-Row Cell Format</t>
        </is>
      </c>
      <c r="C896" s="145" t="inlineStr">
        <is>
          <t>AB4</t>
        </is>
      </c>
      <c r="D896" s="145" t="inlineStr">
        <is>
          <t>WINTER_ART!A1:AB82</t>
        </is>
      </c>
      <c r="E896" s="145" t="inlineStr">
        <is>
          <t>Normal</t>
        </is>
      </c>
      <c r="F896" s="145" t="inlineStr">
        <is>
          <t>#F8CBAD</t>
        </is>
      </c>
      <c r="G896" s="145" t="inlineStr">
        <is>
          <t>Aptos</t>
        </is>
      </c>
      <c r="H896" s="145" t="n">
        <v>8</v>
      </c>
      <c r="I896" s="145" t="inlineStr">
        <is>
          <t>No</t>
        </is>
      </c>
      <c r="J896" s="145" t="inlineStr">
        <is>
          <t>No</t>
        </is>
      </c>
      <c r="K896" s="145" t="inlineStr">
        <is>
          <t>None</t>
        </is>
      </c>
      <c r="L896" s="145" t="inlineStr">
        <is>
          <t>#000000</t>
        </is>
      </c>
      <c r="M896" s="145" t="inlineStr">
        <is>
          <t>Center</t>
        </is>
      </c>
      <c r="N896" s="145" t="inlineStr">
        <is>
          <t>Center</t>
        </is>
      </c>
      <c r="O896" s="145" t="inlineStr">
        <is>
          <t>No</t>
        </is>
      </c>
      <c r="P896" s="145" t="inlineStr">
        <is>
          <t>General</t>
        </is>
      </c>
      <c r="Q896" s="145" t="inlineStr">
        <is>
          <t>General</t>
        </is>
      </c>
      <c r="R896" s="145" t="n"/>
      <c r="S896" s="145" t="n"/>
      <c r="T896" s="145" t="n"/>
      <c r="U896" s="145" t="n"/>
      <c r="V896" s="145" t="n"/>
      <c r="W896" s="145" t="n"/>
      <c r="X896" s="145" t="inlineStr">
        <is>
          <t>Detailed format sample from top 5 used rows</t>
        </is>
      </c>
    </row>
    <row r="897" ht="23.85" customHeight="1" s="79">
      <c r="A897" s="145" t="inlineStr">
        <is>
          <t>WINTER_ART</t>
        </is>
      </c>
      <c r="B897" s="145" t="inlineStr">
        <is>
          <t>Top-Row Cell Format</t>
        </is>
      </c>
      <c r="C897" s="145" t="inlineStr">
        <is>
          <t>AB5</t>
        </is>
      </c>
      <c r="D897" s="145" t="inlineStr">
        <is>
          <t>WINTER_ART!A1:AB82</t>
        </is>
      </c>
      <c r="E897" s="145" t="inlineStr">
        <is>
          <t>Comma</t>
        </is>
      </c>
      <c r="F897" s="145" t="n"/>
      <c r="G897" s="145" t="inlineStr">
        <is>
          <t>Aptos</t>
        </is>
      </c>
      <c r="H897" s="145" t="n">
        <v>8</v>
      </c>
      <c r="I897" s="145" t="inlineStr">
        <is>
          <t>No</t>
        </is>
      </c>
      <c r="J897" s="145" t="inlineStr">
        <is>
          <t>No</t>
        </is>
      </c>
      <c r="K897" s="145" t="inlineStr">
        <is>
          <t>None</t>
        </is>
      </c>
      <c r="L897" s="145" t="inlineStr">
        <is>
          <t>#000000</t>
        </is>
      </c>
      <c r="M897" s="145" t="inlineStr">
        <is>
          <t>General</t>
        </is>
      </c>
      <c r="N897" s="145" t="inlineStr">
        <is>
          <t>Center</t>
        </is>
      </c>
      <c r="O897" s="145" t="inlineStr">
        <is>
          <t>No</t>
        </is>
      </c>
      <c r="P897" s="145" t="inlineStr">
        <is>
          <t>General</t>
        </is>
      </c>
      <c r="Q897" s="145" t="inlineStr">
        <is>
          <t>General</t>
        </is>
      </c>
      <c r="R897" s="145" t="n"/>
      <c r="S897" s="145" t="n"/>
      <c r="T897" s="145" t="n"/>
      <c r="U897" s="145" t="n"/>
      <c r="V897" s="145" t="n"/>
      <c r="W897" s="145" t="n"/>
      <c r="X897" s="145" t="inlineStr">
        <is>
          <t>Detailed format sample from top 5 used rows</t>
        </is>
      </c>
    </row>
    <row r="898" ht="23.85" customHeight="1" s="79">
      <c r="A898" s="145" t="inlineStr">
        <is>
          <t>WINTER_ART</t>
        </is>
      </c>
      <c r="B898" s="145" t="inlineStr">
        <is>
          <t>Row Dimensions</t>
        </is>
      </c>
      <c r="C898" s="147" t="n">
        <v>0.04305555555555556</v>
      </c>
      <c r="D898" s="145" t="inlineStr">
        <is>
          <t>WINTER_ART!A1:AB82</t>
        </is>
      </c>
      <c r="E898" s="145" t="n"/>
      <c r="F898" s="145" t="n"/>
      <c r="G898" s="145" t="n"/>
      <c r="H898" s="145" t="n"/>
      <c r="I898" s="145" t="n"/>
      <c r="J898" s="145" t="n"/>
      <c r="K898" s="145" t="n"/>
      <c r="L898" s="145" t="n"/>
      <c r="M898" s="145" t="n"/>
      <c r="N898" s="145" t="n"/>
      <c r="O898" s="145" t="n"/>
      <c r="P898" s="145" t="n"/>
      <c r="Q898" s="145" t="n"/>
      <c r="R898" s="145" t="n"/>
      <c r="S898" s="145" t="n"/>
      <c r="T898" s="145" t="n">
        <v>10.75</v>
      </c>
      <c r="U898" s="145" t="inlineStr">
        <is>
          <t>No</t>
        </is>
      </c>
      <c r="V898" s="145" t="inlineStr">
        <is>
          <t>Visible</t>
        </is>
      </c>
      <c r="W898" s="145" t="n"/>
      <c r="X898" s="145" t="inlineStr">
        <is>
          <t>Contiguous rows share height/hidden status</t>
        </is>
      </c>
    </row>
    <row r="899" ht="23.85" customHeight="1" s="79">
      <c r="A899" s="145" t="inlineStr">
        <is>
          <t>WINTER_ART</t>
        </is>
      </c>
      <c r="B899" s="145" t="inlineStr">
        <is>
          <t>Row Dimensions</t>
        </is>
      </c>
      <c r="C899" s="147" t="n">
        <v>0.1270833333333333</v>
      </c>
      <c r="D899" s="145" t="inlineStr">
        <is>
          <t>WINTER_ART!A1:AB82</t>
        </is>
      </c>
      <c r="E899" s="145" t="n"/>
      <c r="F899" s="145" t="n"/>
      <c r="G899" s="145" t="n"/>
      <c r="H899" s="145" t="n"/>
      <c r="I899" s="145" t="n"/>
      <c r="J899" s="145" t="n"/>
      <c r="K899" s="145" t="n"/>
      <c r="L899" s="145" t="n"/>
      <c r="M899" s="145" t="n"/>
      <c r="N899" s="145" t="n"/>
      <c r="O899" s="145" t="n"/>
      <c r="P899" s="145" t="n"/>
      <c r="Q899" s="145" t="n"/>
      <c r="R899" s="145" t="n"/>
      <c r="S899" s="145" t="n"/>
      <c r="T899" s="145" t="n">
        <v>25</v>
      </c>
      <c r="U899" s="145" t="inlineStr">
        <is>
          <t>No</t>
        </is>
      </c>
      <c r="V899" s="145" t="inlineStr">
        <is>
          <t>Visible</t>
        </is>
      </c>
      <c r="W899" s="145" t="n"/>
      <c r="X899" s="145" t="inlineStr">
        <is>
          <t>Single row</t>
        </is>
      </c>
    </row>
    <row r="900" ht="23.85" customHeight="1" s="79">
      <c r="A900" s="145" t="inlineStr">
        <is>
          <t>WINTER_ART</t>
        </is>
      </c>
      <c r="B900" s="145" t="inlineStr">
        <is>
          <t>Row Dimensions</t>
        </is>
      </c>
      <c r="C900" s="147" t="n">
        <v>0.1694444444444445</v>
      </c>
      <c r="D900" s="145" t="inlineStr">
        <is>
          <t>WINTER_ART!A1:AB82</t>
        </is>
      </c>
      <c r="E900" s="145" t="n"/>
      <c r="F900" s="145" t="n"/>
      <c r="G900" s="145" t="n"/>
      <c r="H900" s="145" t="n"/>
      <c r="I900" s="145" t="n"/>
      <c r="J900" s="145" t="n"/>
      <c r="K900" s="145" t="n"/>
      <c r="L900" s="145" t="n"/>
      <c r="M900" s="145" t="n"/>
      <c r="N900" s="145" t="n"/>
      <c r="O900" s="145" t="n"/>
      <c r="P900" s="145" t="n"/>
      <c r="Q900" s="145" t="n"/>
      <c r="R900" s="145" t="n"/>
      <c r="S900" s="145" t="n"/>
      <c r="T900" s="145" t="n">
        <v>11.25</v>
      </c>
      <c r="U900" s="145" t="inlineStr">
        <is>
          <t>No</t>
        </is>
      </c>
      <c r="V900" s="145" t="inlineStr">
        <is>
          <t>Visible</t>
        </is>
      </c>
      <c r="W900" s="145" t="n"/>
      <c r="X900" s="145" t="inlineStr">
        <is>
          <t>Single row</t>
        </is>
      </c>
    </row>
    <row r="901" ht="23.85" customHeight="1" s="79">
      <c r="A901" s="145" t="inlineStr">
        <is>
          <t>WINTER_ART</t>
        </is>
      </c>
      <c r="B901" s="145" t="inlineStr">
        <is>
          <t>Row Dimensions</t>
        </is>
      </c>
      <c r="C901" s="145" t="n">
        <v>0.265277777777778</v>
      </c>
      <c r="D901" s="145" t="inlineStr">
        <is>
          <t>WINTER_ART!A1:AB82</t>
        </is>
      </c>
      <c r="E901" s="145" t="n"/>
      <c r="F901" s="145" t="n"/>
      <c r="G901" s="145" t="n"/>
      <c r="H901" s="145" t="n"/>
      <c r="I901" s="145" t="n"/>
      <c r="J901" s="145" t="n"/>
      <c r="K901" s="145" t="n"/>
      <c r="L901" s="145" t="n"/>
      <c r="M901" s="145" t="n"/>
      <c r="N901" s="145" t="n"/>
      <c r="O901" s="145" t="n"/>
      <c r="P901" s="145" t="n"/>
      <c r="Q901" s="145" t="n"/>
      <c r="R901" s="145" t="n"/>
      <c r="S901" s="145" t="n"/>
      <c r="T901" s="145" t="n">
        <v>10.75</v>
      </c>
      <c r="U901" s="145" t="inlineStr">
        <is>
          <t>No</t>
        </is>
      </c>
      <c r="V901" s="145" t="inlineStr">
        <is>
          <t>Visible</t>
        </is>
      </c>
      <c r="W901" s="145" t="n"/>
      <c r="X901" s="145" t="inlineStr">
        <is>
          <t>Contiguous rows share height/hidden status</t>
        </is>
      </c>
    </row>
    <row r="902" ht="23.85" customHeight="1" s="79">
      <c r="A902" s="145" t="inlineStr">
        <is>
          <t>GRC_DATA</t>
        </is>
      </c>
      <c r="B902" s="145" t="inlineStr">
        <is>
          <t>Sheet Summary</t>
        </is>
      </c>
      <c r="C902" s="145" t="inlineStr">
        <is>
          <t>GRC_DATA</t>
        </is>
      </c>
      <c r="D902" s="145" t="inlineStr">
        <is>
          <t>GRC_DATA!A1:AH3310</t>
        </is>
      </c>
      <c r="E902" s="145" t="n"/>
      <c r="F902" s="145" t="n"/>
      <c r="G902" s="145" t="n"/>
      <c r="H902" s="145" t="n"/>
      <c r="I902" s="145" t="n"/>
      <c r="J902" s="145" t="n"/>
      <c r="K902" s="145" t="n"/>
      <c r="L902" s="145" t="n"/>
      <c r="M902" s="145" t="n"/>
      <c r="N902" s="145" t="n"/>
      <c r="O902" s="145" t="n"/>
      <c r="P902" s="145" t="n"/>
      <c r="Q902" s="145" t="n"/>
      <c r="R902" s="145" t="n"/>
      <c r="S902" s="145" t="n"/>
      <c r="T902" s="145" t="n"/>
      <c r="U902" s="145" t="inlineStr">
        <is>
          <t>No</t>
        </is>
      </c>
      <c r="V902" s="145" t="inlineStr">
        <is>
          <t>Visible</t>
        </is>
      </c>
      <c r="W902" s="145" t="inlineStr">
        <is>
          <t>No worksheet AutoFilter</t>
        </is>
      </c>
      <c r="X902" s="145" t="inlineStr">
        <is>
          <t>Used rows: 3310; used columns: 34</t>
        </is>
      </c>
    </row>
    <row r="903" ht="23.85" customHeight="1" s="79">
      <c r="A903" s="145" t="inlineStr">
        <is>
          <t>GRC_DATA</t>
        </is>
      </c>
      <c r="B903" s="145" t="inlineStr">
        <is>
          <t>Column Format</t>
        </is>
      </c>
      <c r="C903" s="145" t="inlineStr">
        <is>
          <t>A:A</t>
        </is>
      </c>
      <c r="D903" s="145" t="inlineStr">
        <is>
          <t>GRC_DATA!A1:AH3310</t>
        </is>
      </c>
      <c r="E903" s="145" t="inlineStr">
        <is>
          <t>Normal</t>
        </is>
      </c>
      <c r="F903" s="145" t="inlineStr">
        <is>
          <t>Mixed</t>
        </is>
      </c>
      <c r="G903" s="145" t="inlineStr">
        <is>
          <t>Aptos</t>
        </is>
      </c>
      <c r="H903" s="145" t="n">
        <v>8</v>
      </c>
      <c r="I903" s="145" t="inlineStr">
        <is>
          <t>Mixed</t>
        </is>
      </c>
      <c r="J903" s="145" t="inlineStr">
        <is>
          <t>No</t>
        </is>
      </c>
      <c r="K903" s="145" t="inlineStr">
        <is>
          <t>None</t>
        </is>
      </c>
      <c r="L903" s="145" t="inlineStr">
        <is>
          <t>Mixed</t>
        </is>
      </c>
      <c r="M903" s="145" t="inlineStr">
        <is>
          <t>General</t>
        </is>
      </c>
      <c r="N903" s="145" t="inlineStr">
        <is>
          <t>Center</t>
        </is>
      </c>
      <c r="O903" s="145" t="inlineStr">
        <is>
          <t>No</t>
        </is>
      </c>
      <c r="P903" s="145" t="n"/>
      <c r="Q903" s="145" t="n"/>
      <c r="R903" s="145" t="n"/>
      <c r="S903" s="145" t="n">
        <v>54.8059701492537</v>
      </c>
      <c r="T903" s="145" t="n"/>
      <c r="U903" s="145" t="inlineStr">
        <is>
          <t>No</t>
        </is>
      </c>
      <c r="V903" s="145" t="inlineStr">
        <is>
          <t>Visible</t>
        </is>
      </c>
      <c r="W903" s="145" t="n"/>
      <c r="X903" s="145" t="inlineStr">
        <is>
          <t>Mixed styles within used column</t>
        </is>
      </c>
    </row>
    <row r="904" ht="23.85" customHeight="1" s="79">
      <c r="A904" s="145" t="inlineStr">
        <is>
          <t>GRC_DATA</t>
        </is>
      </c>
      <c r="B904" s="145" t="inlineStr">
        <is>
          <t>Top-Row Cell Format</t>
        </is>
      </c>
      <c r="C904" s="145" t="inlineStr">
        <is>
          <t>A1</t>
        </is>
      </c>
      <c r="D904" s="145" t="inlineStr">
        <is>
          <t>GRC_DATA!A1:AH3310</t>
        </is>
      </c>
      <c r="E904" s="145" t="inlineStr">
        <is>
          <t>Normal</t>
        </is>
      </c>
      <c r="F904" s="145" t="inlineStr">
        <is>
          <t>#ED7D31</t>
        </is>
      </c>
      <c r="G904" s="145" t="inlineStr">
        <is>
          <t>Aptos</t>
        </is>
      </c>
      <c r="H904" s="145" t="n">
        <v>8</v>
      </c>
      <c r="I904" s="145" t="inlineStr">
        <is>
          <t>Yes</t>
        </is>
      </c>
      <c r="J904" s="145" t="inlineStr">
        <is>
          <t>No</t>
        </is>
      </c>
      <c r="K904" s="145" t="inlineStr">
        <is>
          <t>None</t>
        </is>
      </c>
      <c r="L904" s="145" t="inlineStr">
        <is>
          <t>#FFFFFF</t>
        </is>
      </c>
      <c r="M904" s="145" t="inlineStr">
        <is>
          <t>General</t>
        </is>
      </c>
      <c r="N904" s="145" t="inlineStr">
        <is>
          <t>Center</t>
        </is>
      </c>
      <c r="O904" s="145" t="inlineStr">
        <is>
          <t>No</t>
        </is>
      </c>
      <c r="P904" s="145" t="inlineStr">
        <is>
          <t>General</t>
        </is>
      </c>
      <c r="Q904" s="145" t="inlineStr">
        <is>
          <t>General</t>
        </is>
      </c>
      <c r="R904" s="145" t="n"/>
      <c r="S904" s="145" t="n"/>
      <c r="T904" s="145" t="n"/>
      <c r="U904" s="145" t="n"/>
      <c r="V904" s="145" t="n"/>
      <c r="W904" s="145" t="n"/>
      <c r="X904" s="145" t="inlineStr">
        <is>
          <t>Detailed format sample from top 5 used rows</t>
        </is>
      </c>
    </row>
    <row r="905" ht="23.85" customHeight="1" s="79">
      <c r="A905" s="145" t="inlineStr">
        <is>
          <t>GRC_DATA</t>
        </is>
      </c>
      <c r="B905" s="145" t="inlineStr">
        <is>
          <t>Top-Row Cell Format</t>
        </is>
      </c>
      <c r="C905" s="145" t="inlineStr">
        <is>
          <t>A2</t>
        </is>
      </c>
      <c r="D905" s="145" t="inlineStr">
        <is>
          <t>GRC_DATA!A1:AH3310</t>
        </is>
      </c>
      <c r="E905" s="145" t="inlineStr">
        <is>
          <t>Normal</t>
        </is>
      </c>
      <c r="F905" s="145" t="n"/>
      <c r="G905" s="145" t="inlineStr">
        <is>
          <t>Aptos</t>
        </is>
      </c>
      <c r="H905" s="145" t="n">
        <v>8</v>
      </c>
      <c r="I905" s="145" t="inlineStr">
        <is>
          <t>No</t>
        </is>
      </c>
      <c r="J905" s="145" t="inlineStr">
        <is>
          <t>No</t>
        </is>
      </c>
      <c r="K905" s="145" t="inlineStr">
        <is>
          <t>None</t>
        </is>
      </c>
      <c r="L905" s="145" t="inlineStr">
        <is>
          <t>#000000</t>
        </is>
      </c>
      <c r="M905" s="145" t="inlineStr">
        <is>
          <t>General</t>
        </is>
      </c>
      <c r="N905" s="145" t="inlineStr">
        <is>
          <t>Center</t>
        </is>
      </c>
      <c r="O905" s="145" t="inlineStr">
        <is>
          <t>No</t>
        </is>
      </c>
      <c r="P905" s="145" t="inlineStr">
        <is>
          <t>d-mmm-yy</t>
        </is>
      </c>
      <c r="Q905" s="145" t="inlineStr">
        <is>
          <t>Date / Time</t>
        </is>
      </c>
      <c r="R905" s="145" t="n"/>
      <c r="S905" s="145" t="n"/>
      <c r="T905" s="145" t="n"/>
      <c r="U905" s="145" t="n"/>
      <c r="V905" s="145" t="n"/>
      <c r="W905" s="145" t="n"/>
      <c r="X905" s="145" t="inlineStr">
        <is>
          <t>Detailed format sample from top 5 used rows</t>
        </is>
      </c>
    </row>
    <row r="906" ht="23.85" customHeight="1" s="79">
      <c r="A906" s="145" t="inlineStr">
        <is>
          <t>GRC_DATA</t>
        </is>
      </c>
      <c r="B906" s="145" t="inlineStr">
        <is>
          <t>Top-Row Cell Format</t>
        </is>
      </c>
      <c r="C906" s="145" t="inlineStr">
        <is>
          <t>A3</t>
        </is>
      </c>
      <c r="D906" s="145" t="inlineStr">
        <is>
          <t>GRC_DATA!A1:AH3310</t>
        </is>
      </c>
      <c r="E906" s="145" t="inlineStr">
        <is>
          <t>Normal</t>
        </is>
      </c>
      <c r="F906" s="145" t="n"/>
      <c r="G906" s="145" t="inlineStr">
        <is>
          <t>Aptos</t>
        </is>
      </c>
      <c r="H906" s="145" t="n">
        <v>8</v>
      </c>
      <c r="I906" s="145" t="inlineStr">
        <is>
          <t>No</t>
        </is>
      </c>
      <c r="J906" s="145" t="inlineStr">
        <is>
          <t>No</t>
        </is>
      </c>
      <c r="K906" s="145" t="inlineStr">
        <is>
          <t>None</t>
        </is>
      </c>
      <c r="L906" s="145" t="inlineStr">
        <is>
          <t>#000000</t>
        </is>
      </c>
      <c r="M906" s="145" t="inlineStr">
        <is>
          <t>General</t>
        </is>
      </c>
      <c r="N906" s="145" t="inlineStr">
        <is>
          <t>Center</t>
        </is>
      </c>
      <c r="O906" s="145" t="inlineStr">
        <is>
          <t>No</t>
        </is>
      </c>
      <c r="P906" s="145" t="inlineStr">
        <is>
          <t>d-mmm-yy</t>
        </is>
      </c>
      <c r="Q906" s="145" t="inlineStr">
        <is>
          <t>Date / Time</t>
        </is>
      </c>
      <c r="R906" s="145" t="n"/>
      <c r="S906" s="145" t="n"/>
      <c r="T906" s="145" t="n"/>
      <c r="U906" s="145" t="n"/>
      <c r="V906" s="145" t="n"/>
      <c r="W906" s="145" t="n"/>
      <c r="X906" s="145" t="inlineStr">
        <is>
          <t>Detailed format sample from top 5 used rows</t>
        </is>
      </c>
    </row>
    <row r="907" ht="23.85" customHeight="1" s="79">
      <c r="A907" s="145" t="inlineStr">
        <is>
          <t>GRC_DATA</t>
        </is>
      </c>
      <c r="B907" s="145" t="inlineStr">
        <is>
          <t>Top-Row Cell Format</t>
        </is>
      </c>
      <c r="C907" s="145" t="inlineStr">
        <is>
          <t>A4</t>
        </is>
      </c>
      <c r="D907" s="145" t="inlineStr">
        <is>
          <t>GRC_DATA!A1:AH3310</t>
        </is>
      </c>
      <c r="E907" s="145" t="inlineStr">
        <is>
          <t>Normal</t>
        </is>
      </c>
      <c r="F907" s="145" t="n"/>
      <c r="G907" s="145" t="inlineStr">
        <is>
          <t>Aptos</t>
        </is>
      </c>
      <c r="H907" s="145" t="n">
        <v>8</v>
      </c>
      <c r="I907" s="145" t="inlineStr">
        <is>
          <t>No</t>
        </is>
      </c>
      <c r="J907" s="145" t="inlineStr">
        <is>
          <t>No</t>
        </is>
      </c>
      <c r="K907" s="145" t="inlineStr">
        <is>
          <t>None</t>
        </is>
      </c>
      <c r="L907" s="145" t="inlineStr">
        <is>
          <t>#000000</t>
        </is>
      </c>
      <c r="M907" s="145" t="inlineStr">
        <is>
          <t>General</t>
        </is>
      </c>
      <c r="N907" s="145" t="inlineStr">
        <is>
          <t>Center</t>
        </is>
      </c>
      <c r="O907" s="145" t="inlineStr">
        <is>
          <t>No</t>
        </is>
      </c>
      <c r="P907" s="145" t="inlineStr">
        <is>
          <t>d-mmm-yy</t>
        </is>
      </c>
      <c r="Q907" s="145" t="inlineStr">
        <is>
          <t>Date / Time</t>
        </is>
      </c>
      <c r="R907" s="145" t="n"/>
      <c r="S907" s="145" t="n"/>
      <c r="T907" s="145" t="n"/>
      <c r="U907" s="145" t="n"/>
      <c r="V907" s="145" t="n"/>
      <c r="W907" s="145" t="n"/>
      <c r="X907" s="145" t="inlineStr">
        <is>
          <t>Detailed format sample from top 5 used rows</t>
        </is>
      </c>
    </row>
    <row r="908" ht="23.85" customHeight="1" s="79">
      <c r="A908" s="145" t="inlineStr">
        <is>
          <t>GRC_DATA</t>
        </is>
      </c>
      <c r="B908" s="145" t="inlineStr">
        <is>
          <t>Top-Row Cell Format</t>
        </is>
      </c>
      <c r="C908" s="145" t="inlineStr">
        <is>
          <t>A5</t>
        </is>
      </c>
      <c r="D908" s="145" t="inlineStr">
        <is>
          <t>GRC_DATA!A1:AH3310</t>
        </is>
      </c>
      <c r="E908" s="145" t="inlineStr">
        <is>
          <t>Normal</t>
        </is>
      </c>
      <c r="F908" s="145" t="n"/>
      <c r="G908" s="145" t="inlineStr">
        <is>
          <t>Aptos</t>
        </is>
      </c>
      <c r="H908" s="145" t="n">
        <v>8</v>
      </c>
      <c r="I908" s="145" t="inlineStr">
        <is>
          <t>No</t>
        </is>
      </c>
      <c r="J908" s="145" t="inlineStr">
        <is>
          <t>No</t>
        </is>
      </c>
      <c r="K908" s="145" t="inlineStr">
        <is>
          <t>None</t>
        </is>
      </c>
      <c r="L908" s="145" t="inlineStr">
        <is>
          <t>#000000</t>
        </is>
      </c>
      <c r="M908" s="145" t="inlineStr">
        <is>
          <t>General</t>
        </is>
      </c>
      <c r="N908" s="145" t="inlineStr">
        <is>
          <t>Center</t>
        </is>
      </c>
      <c r="O908" s="145" t="inlineStr">
        <is>
          <t>No</t>
        </is>
      </c>
      <c r="P908" s="145" t="inlineStr">
        <is>
          <t>d-mmm-yy</t>
        </is>
      </c>
      <c r="Q908" s="145" t="inlineStr">
        <is>
          <t>Date / Time</t>
        </is>
      </c>
      <c r="R908" s="145" t="n"/>
      <c r="S908" s="145" t="n"/>
      <c r="T908" s="145" t="n"/>
      <c r="U908" s="145" t="n"/>
      <c r="V908" s="145" t="n"/>
      <c r="W908" s="145" t="n"/>
      <c r="X908" s="145" t="inlineStr">
        <is>
          <t>Detailed format sample from top 5 used rows</t>
        </is>
      </c>
    </row>
    <row r="909" ht="23.85" customHeight="1" s="79">
      <c r="A909" s="145" t="inlineStr">
        <is>
          <t>GRC_DATA</t>
        </is>
      </c>
      <c r="B909" s="145" t="inlineStr">
        <is>
          <t>Column Format</t>
        </is>
      </c>
      <c r="C909" s="145" t="inlineStr">
        <is>
          <t>B:B</t>
        </is>
      </c>
      <c r="D909" s="145" t="inlineStr">
        <is>
          <t>GRC_DATA!A1:AH3310</t>
        </is>
      </c>
      <c r="E909" s="145" t="inlineStr">
        <is>
          <t>Normal</t>
        </is>
      </c>
      <c r="F909" s="145" t="inlineStr">
        <is>
          <t>Mixed</t>
        </is>
      </c>
      <c r="G909" s="145" t="inlineStr">
        <is>
          <t>Aptos</t>
        </is>
      </c>
      <c r="H909" s="145" t="n">
        <v>8</v>
      </c>
      <c r="I909" s="145" t="inlineStr">
        <is>
          <t>Mixed</t>
        </is>
      </c>
      <c r="J909" s="145" t="inlineStr">
        <is>
          <t>No</t>
        </is>
      </c>
      <c r="K909" s="145" t="inlineStr">
        <is>
          <t>None</t>
        </is>
      </c>
      <c r="L909" s="145" t="inlineStr">
        <is>
          <t>Mixed</t>
        </is>
      </c>
      <c r="M909" s="145" t="inlineStr">
        <is>
          <t>General</t>
        </is>
      </c>
      <c r="N909" s="145" t="inlineStr">
        <is>
          <t>Center</t>
        </is>
      </c>
      <c r="O909" s="145" t="inlineStr">
        <is>
          <t>No</t>
        </is>
      </c>
      <c r="P909" s="145" t="n"/>
      <c r="Q909" s="145" t="n"/>
      <c r="R909" s="145" t="n"/>
      <c r="S909" s="145" t="n">
        <v>42.9850746268657</v>
      </c>
      <c r="T909" s="145" t="n"/>
      <c r="U909" s="145" t="inlineStr">
        <is>
          <t>No</t>
        </is>
      </c>
      <c r="V909" s="145" t="inlineStr">
        <is>
          <t>Visible</t>
        </is>
      </c>
      <c r="W909" s="145" t="n"/>
      <c r="X909" s="145" t="inlineStr">
        <is>
          <t>Mixed styles within used column</t>
        </is>
      </c>
    </row>
    <row r="910" ht="23.85" customHeight="1" s="79">
      <c r="A910" s="145" t="inlineStr">
        <is>
          <t>GRC_DATA</t>
        </is>
      </c>
      <c r="B910" s="145" t="inlineStr">
        <is>
          <t>Top-Row Cell Format</t>
        </is>
      </c>
      <c r="C910" s="145" t="inlineStr">
        <is>
          <t>B1</t>
        </is>
      </c>
      <c r="D910" s="145" t="inlineStr">
        <is>
          <t>GRC_DATA!A1:AH3310</t>
        </is>
      </c>
      <c r="E910" s="145" t="inlineStr">
        <is>
          <t>Normal</t>
        </is>
      </c>
      <c r="F910" s="145" t="inlineStr">
        <is>
          <t>#ED7D31</t>
        </is>
      </c>
      <c r="G910" s="145" t="inlineStr">
        <is>
          <t>Aptos</t>
        </is>
      </c>
      <c r="H910" s="145" t="n">
        <v>8</v>
      </c>
      <c r="I910" s="145" t="inlineStr">
        <is>
          <t>Yes</t>
        </is>
      </c>
      <c r="J910" s="145" t="inlineStr">
        <is>
          <t>No</t>
        </is>
      </c>
      <c r="K910" s="145" t="inlineStr">
        <is>
          <t>None</t>
        </is>
      </c>
      <c r="L910" s="145" t="inlineStr">
        <is>
          <t>#FFFFFF</t>
        </is>
      </c>
      <c r="M910" s="145" t="inlineStr">
        <is>
          <t>General</t>
        </is>
      </c>
      <c r="N910" s="145" t="inlineStr">
        <is>
          <t>Center</t>
        </is>
      </c>
      <c r="O910" s="145" t="inlineStr">
        <is>
          <t>No</t>
        </is>
      </c>
      <c r="P910" s="145" t="inlineStr">
        <is>
          <t>General</t>
        </is>
      </c>
      <c r="Q910" s="145" t="inlineStr">
        <is>
          <t>General</t>
        </is>
      </c>
      <c r="R910" s="145" t="n"/>
      <c r="S910" s="145" t="n"/>
      <c r="T910" s="145" t="n"/>
      <c r="U910" s="145" t="n"/>
      <c r="V910" s="145" t="n"/>
      <c r="W910" s="145" t="n"/>
      <c r="X910" s="145" t="inlineStr">
        <is>
          <t>Detailed format sample from top 5 used rows</t>
        </is>
      </c>
    </row>
    <row r="911" ht="23.85" customHeight="1" s="79">
      <c r="A911" s="145" t="inlineStr">
        <is>
          <t>GRC_DATA</t>
        </is>
      </c>
      <c r="B911" s="145" t="inlineStr">
        <is>
          <t>Top-Row Cell Format</t>
        </is>
      </c>
      <c r="C911" s="145" t="inlineStr">
        <is>
          <t>B2</t>
        </is>
      </c>
      <c r="D911" s="145" t="inlineStr">
        <is>
          <t>GRC_DATA!A1:AH3310</t>
        </is>
      </c>
      <c r="E911" s="145" t="inlineStr">
        <is>
          <t>Normal</t>
        </is>
      </c>
      <c r="F911" s="145" t="n"/>
      <c r="G911" s="145" t="inlineStr">
        <is>
          <t>Aptos</t>
        </is>
      </c>
      <c r="H911" s="145" t="n">
        <v>8</v>
      </c>
      <c r="I911" s="145" t="inlineStr">
        <is>
          <t>No</t>
        </is>
      </c>
      <c r="J911" s="145" t="inlineStr">
        <is>
          <t>No</t>
        </is>
      </c>
      <c r="K911" s="145" t="inlineStr">
        <is>
          <t>None</t>
        </is>
      </c>
      <c r="L911" s="145" t="inlineStr">
        <is>
          <t>#000000</t>
        </is>
      </c>
      <c r="M911" s="145" t="inlineStr">
        <is>
          <t>General</t>
        </is>
      </c>
      <c r="N911" s="145" t="inlineStr">
        <is>
          <t>Center</t>
        </is>
      </c>
      <c r="O911" s="145" t="inlineStr">
        <is>
          <t>No</t>
        </is>
      </c>
      <c r="P911" s="145" t="inlineStr">
        <is>
          <t>General</t>
        </is>
      </c>
      <c r="Q911" s="145" t="inlineStr">
        <is>
          <t>General</t>
        </is>
      </c>
      <c r="R911" s="145" t="n"/>
      <c r="S911" s="145" t="n"/>
      <c r="T911" s="145" t="n"/>
      <c r="U911" s="145" t="n"/>
      <c r="V911" s="145" t="n"/>
      <c r="W911" s="145" t="n"/>
      <c r="X911" s="145" t="inlineStr">
        <is>
          <t>Detailed format sample from top 5 used rows</t>
        </is>
      </c>
    </row>
    <row r="912" ht="23.85" customHeight="1" s="79">
      <c r="A912" s="145" t="inlineStr">
        <is>
          <t>GRC_DATA</t>
        </is>
      </c>
      <c r="B912" s="145" t="inlineStr">
        <is>
          <t>Top-Row Cell Format</t>
        </is>
      </c>
      <c r="C912" s="145" t="inlineStr">
        <is>
          <t>B3</t>
        </is>
      </c>
      <c r="D912" s="145" t="inlineStr">
        <is>
          <t>GRC_DATA!A1:AH3310</t>
        </is>
      </c>
      <c r="E912" s="145" t="inlineStr">
        <is>
          <t>Normal</t>
        </is>
      </c>
      <c r="F912" s="145" t="n"/>
      <c r="G912" s="145" t="inlineStr">
        <is>
          <t>Aptos</t>
        </is>
      </c>
      <c r="H912" s="145" t="n">
        <v>8</v>
      </c>
      <c r="I912" s="145" t="inlineStr">
        <is>
          <t>No</t>
        </is>
      </c>
      <c r="J912" s="145" t="inlineStr">
        <is>
          <t>No</t>
        </is>
      </c>
      <c r="K912" s="145" t="inlineStr">
        <is>
          <t>None</t>
        </is>
      </c>
      <c r="L912" s="145" t="inlineStr">
        <is>
          <t>#000000</t>
        </is>
      </c>
      <c r="M912" s="145" t="inlineStr">
        <is>
          <t>General</t>
        </is>
      </c>
      <c r="N912" s="145" t="inlineStr">
        <is>
          <t>Center</t>
        </is>
      </c>
      <c r="O912" s="145" t="inlineStr">
        <is>
          <t>No</t>
        </is>
      </c>
      <c r="P912" s="145" t="inlineStr">
        <is>
          <t>General</t>
        </is>
      </c>
      <c r="Q912" s="145" t="inlineStr">
        <is>
          <t>General</t>
        </is>
      </c>
      <c r="R912" s="145" t="n"/>
      <c r="S912" s="145" t="n"/>
      <c r="T912" s="145" t="n"/>
      <c r="U912" s="145" t="n"/>
      <c r="V912" s="145" t="n"/>
      <c r="W912" s="145" t="n"/>
      <c r="X912" s="145" t="inlineStr">
        <is>
          <t>Detailed format sample from top 5 used rows</t>
        </is>
      </c>
    </row>
    <row r="913" ht="23.85" customHeight="1" s="79">
      <c r="A913" s="145" t="inlineStr">
        <is>
          <t>GRC_DATA</t>
        </is>
      </c>
      <c r="B913" s="145" t="inlineStr">
        <is>
          <t>Top-Row Cell Format</t>
        </is>
      </c>
      <c r="C913" s="145" t="inlineStr">
        <is>
          <t>B4</t>
        </is>
      </c>
      <c r="D913" s="145" t="inlineStr">
        <is>
          <t>GRC_DATA!A1:AH3310</t>
        </is>
      </c>
      <c r="E913" s="145" t="inlineStr">
        <is>
          <t>Normal</t>
        </is>
      </c>
      <c r="F913" s="145" t="n"/>
      <c r="G913" s="145" t="inlineStr">
        <is>
          <t>Aptos</t>
        </is>
      </c>
      <c r="H913" s="145" t="n">
        <v>8</v>
      </c>
      <c r="I913" s="145" t="inlineStr">
        <is>
          <t>No</t>
        </is>
      </c>
      <c r="J913" s="145" t="inlineStr">
        <is>
          <t>No</t>
        </is>
      </c>
      <c r="K913" s="145" t="inlineStr">
        <is>
          <t>None</t>
        </is>
      </c>
      <c r="L913" s="145" t="inlineStr">
        <is>
          <t>#000000</t>
        </is>
      </c>
      <c r="M913" s="145" t="inlineStr">
        <is>
          <t>General</t>
        </is>
      </c>
      <c r="N913" s="145" t="inlineStr">
        <is>
          <t>Center</t>
        </is>
      </c>
      <c r="O913" s="145" t="inlineStr">
        <is>
          <t>No</t>
        </is>
      </c>
      <c r="P913" s="145" t="inlineStr">
        <is>
          <t>General</t>
        </is>
      </c>
      <c r="Q913" s="145" t="inlineStr">
        <is>
          <t>General</t>
        </is>
      </c>
      <c r="R913" s="145" t="n"/>
      <c r="S913" s="145" t="n"/>
      <c r="T913" s="145" t="n"/>
      <c r="U913" s="145" t="n"/>
      <c r="V913" s="145" t="n"/>
      <c r="W913" s="145" t="n"/>
      <c r="X913" s="145" t="inlineStr">
        <is>
          <t>Detailed format sample from top 5 used rows</t>
        </is>
      </c>
    </row>
    <row r="914" ht="23.85" customHeight="1" s="79">
      <c r="A914" s="145" t="inlineStr">
        <is>
          <t>GRC_DATA</t>
        </is>
      </c>
      <c r="B914" s="145" t="inlineStr">
        <is>
          <t>Top-Row Cell Format</t>
        </is>
      </c>
      <c r="C914" s="145" t="inlineStr">
        <is>
          <t>B5</t>
        </is>
      </c>
      <c r="D914" s="145" t="inlineStr">
        <is>
          <t>GRC_DATA!A1:AH3310</t>
        </is>
      </c>
      <c r="E914" s="145" t="inlineStr">
        <is>
          <t>Normal</t>
        </is>
      </c>
      <c r="F914" s="145" t="n"/>
      <c r="G914" s="145" t="inlineStr">
        <is>
          <t>Aptos</t>
        </is>
      </c>
      <c r="H914" s="145" t="n">
        <v>8</v>
      </c>
      <c r="I914" s="145" t="inlineStr">
        <is>
          <t>No</t>
        </is>
      </c>
      <c r="J914" s="145" t="inlineStr">
        <is>
          <t>No</t>
        </is>
      </c>
      <c r="K914" s="145" t="inlineStr">
        <is>
          <t>None</t>
        </is>
      </c>
      <c r="L914" s="145" t="inlineStr">
        <is>
          <t>#000000</t>
        </is>
      </c>
      <c r="M914" s="145" t="inlineStr">
        <is>
          <t>General</t>
        </is>
      </c>
      <c r="N914" s="145" t="inlineStr">
        <is>
          <t>Center</t>
        </is>
      </c>
      <c r="O914" s="145" t="inlineStr">
        <is>
          <t>No</t>
        </is>
      </c>
      <c r="P914" s="145" t="inlineStr">
        <is>
          <t>General</t>
        </is>
      </c>
      <c r="Q914" s="145" t="inlineStr">
        <is>
          <t>General</t>
        </is>
      </c>
      <c r="R914" s="145" t="n"/>
      <c r="S914" s="145" t="n"/>
      <c r="T914" s="145" t="n"/>
      <c r="U914" s="145" t="n"/>
      <c r="V914" s="145" t="n"/>
      <c r="W914" s="145" t="n"/>
      <c r="X914" s="145" t="inlineStr">
        <is>
          <t>Detailed format sample from top 5 used rows</t>
        </is>
      </c>
    </row>
    <row r="915" ht="23.85" customHeight="1" s="79">
      <c r="A915" s="145" t="inlineStr">
        <is>
          <t>GRC_DATA</t>
        </is>
      </c>
      <c r="B915" s="145" t="inlineStr">
        <is>
          <t>Column Format</t>
        </is>
      </c>
      <c r="C915" s="145" t="inlineStr">
        <is>
          <t>C:C</t>
        </is>
      </c>
      <c r="D915" s="145" t="inlineStr">
        <is>
          <t>GRC_DATA!A1:AH3310</t>
        </is>
      </c>
      <c r="E915" s="145" t="inlineStr">
        <is>
          <t>Normal</t>
        </is>
      </c>
      <c r="F915" s="145" t="inlineStr">
        <is>
          <t>Mixed</t>
        </is>
      </c>
      <c r="G915" s="145" t="inlineStr">
        <is>
          <t>Aptos</t>
        </is>
      </c>
      <c r="H915" s="145" t="n">
        <v>8</v>
      </c>
      <c r="I915" s="145" t="inlineStr">
        <is>
          <t>Mixed</t>
        </is>
      </c>
      <c r="J915" s="145" t="inlineStr">
        <is>
          <t>No</t>
        </is>
      </c>
      <c r="K915" s="145" t="inlineStr">
        <is>
          <t>None</t>
        </is>
      </c>
      <c r="L915" s="145" t="inlineStr">
        <is>
          <t>Mixed</t>
        </is>
      </c>
      <c r="M915" s="145" t="inlineStr">
        <is>
          <t>General</t>
        </is>
      </c>
      <c r="N915" s="145" t="inlineStr">
        <is>
          <t>Center</t>
        </is>
      </c>
      <c r="O915" s="145" t="inlineStr">
        <is>
          <t>No</t>
        </is>
      </c>
      <c r="P915" s="145" t="n"/>
      <c r="Q915" s="145" t="n"/>
      <c r="R915" s="145" t="n"/>
      <c r="S915" s="145" t="n">
        <v>49.4328358208955</v>
      </c>
      <c r="T915" s="145" t="n"/>
      <c r="U915" s="145" t="inlineStr">
        <is>
          <t>No</t>
        </is>
      </c>
      <c r="V915" s="145" t="inlineStr">
        <is>
          <t>Visible</t>
        </is>
      </c>
      <c r="W915" s="145" t="n"/>
      <c r="X915" s="145" t="inlineStr">
        <is>
          <t>Mixed styles within used column</t>
        </is>
      </c>
    </row>
    <row r="916" ht="23.85" customHeight="1" s="79">
      <c r="A916" s="145" t="inlineStr">
        <is>
          <t>GRC_DATA</t>
        </is>
      </c>
      <c r="B916" s="145" t="inlineStr">
        <is>
          <t>Top-Row Cell Format</t>
        </is>
      </c>
      <c r="C916" s="145" t="inlineStr">
        <is>
          <t>C1</t>
        </is>
      </c>
      <c r="D916" s="145" t="inlineStr">
        <is>
          <t>GRC_DATA!A1:AH3310</t>
        </is>
      </c>
      <c r="E916" s="145" t="inlineStr">
        <is>
          <t>Normal</t>
        </is>
      </c>
      <c r="F916" s="145" t="inlineStr">
        <is>
          <t>#ED7D31</t>
        </is>
      </c>
      <c r="G916" s="145" t="inlineStr">
        <is>
          <t>Aptos</t>
        </is>
      </c>
      <c r="H916" s="145" t="n">
        <v>8</v>
      </c>
      <c r="I916" s="145" t="inlineStr">
        <is>
          <t>Yes</t>
        </is>
      </c>
      <c r="J916" s="145" t="inlineStr">
        <is>
          <t>No</t>
        </is>
      </c>
      <c r="K916" s="145" t="inlineStr">
        <is>
          <t>None</t>
        </is>
      </c>
      <c r="L916" s="145" t="inlineStr">
        <is>
          <t>#FFFFFF</t>
        </is>
      </c>
      <c r="M916" s="145" t="inlineStr">
        <is>
          <t>General</t>
        </is>
      </c>
      <c r="N916" s="145" t="inlineStr">
        <is>
          <t>Center</t>
        </is>
      </c>
      <c r="O916" s="145" t="inlineStr">
        <is>
          <t>No</t>
        </is>
      </c>
      <c r="P916" s="145" t="inlineStr">
        <is>
          <t>General</t>
        </is>
      </c>
      <c r="Q916" s="145" t="inlineStr">
        <is>
          <t>General</t>
        </is>
      </c>
      <c r="R916" s="145" t="n"/>
      <c r="S916" s="145" t="n"/>
      <c r="T916" s="145" t="n"/>
      <c r="U916" s="145" t="n"/>
      <c r="V916" s="145" t="n"/>
      <c r="W916" s="145" t="n"/>
      <c r="X916" s="145" t="inlineStr">
        <is>
          <t>Detailed format sample from top 5 used rows</t>
        </is>
      </c>
    </row>
    <row r="917" ht="23.85" customHeight="1" s="79">
      <c r="A917" s="145" t="inlineStr">
        <is>
          <t>GRC_DATA</t>
        </is>
      </c>
      <c r="B917" s="145" t="inlineStr">
        <is>
          <t>Top-Row Cell Format</t>
        </is>
      </c>
      <c r="C917" s="145" t="inlineStr">
        <is>
          <t>C2</t>
        </is>
      </c>
      <c r="D917" s="145" t="inlineStr">
        <is>
          <t>GRC_DATA!A1:AH3310</t>
        </is>
      </c>
      <c r="E917" s="145" t="inlineStr">
        <is>
          <t>Normal</t>
        </is>
      </c>
      <c r="F917" s="145" t="n"/>
      <c r="G917" s="145" t="inlineStr">
        <is>
          <t>Aptos</t>
        </is>
      </c>
      <c r="H917" s="145" t="n">
        <v>8</v>
      </c>
      <c r="I917" s="145" t="inlineStr">
        <is>
          <t>No</t>
        </is>
      </c>
      <c r="J917" s="145" t="inlineStr">
        <is>
          <t>No</t>
        </is>
      </c>
      <c r="K917" s="145" t="inlineStr">
        <is>
          <t>None</t>
        </is>
      </c>
      <c r="L917" s="145" t="inlineStr">
        <is>
          <t>#000000</t>
        </is>
      </c>
      <c r="M917" s="145" t="inlineStr">
        <is>
          <t>General</t>
        </is>
      </c>
      <c r="N917" s="145" t="inlineStr">
        <is>
          <t>Center</t>
        </is>
      </c>
      <c r="O917" s="145" t="inlineStr">
        <is>
          <t>No</t>
        </is>
      </c>
      <c r="P917" s="145" t="inlineStr">
        <is>
          <t>General</t>
        </is>
      </c>
      <c r="Q917" s="145" t="inlineStr">
        <is>
          <t>General</t>
        </is>
      </c>
      <c r="R917" s="145" t="n"/>
      <c r="S917" s="145" t="n"/>
      <c r="T917" s="145" t="n"/>
      <c r="U917" s="145" t="n"/>
      <c r="V917" s="145" t="n"/>
      <c r="W917" s="145" t="n"/>
      <c r="X917" s="145" t="inlineStr">
        <is>
          <t>Detailed format sample from top 5 used rows</t>
        </is>
      </c>
    </row>
    <row r="918" ht="23.85" customHeight="1" s="79">
      <c r="A918" s="145" t="inlineStr">
        <is>
          <t>GRC_DATA</t>
        </is>
      </c>
      <c r="B918" s="145" t="inlineStr">
        <is>
          <t>Top-Row Cell Format</t>
        </is>
      </c>
      <c r="C918" s="145" t="inlineStr">
        <is>
          <t>C3</t>
        </is>
      </c>
      <c r="D918" s="145" t="inlineStr">
        <is>
          <t>GRC_DATA!A1:AH3310</t>
        </is>
      </c>
      <c r="E918" s="145" t="inlineStr">
        <is>
          <t>Normal</t>
        </is>
      </c>
      <c r="F918" s="145" t="n"/>
      <c r="G918" s="145" t="inlineStr">
        <is>
          <t>Aptos</t>
        </is>
      </c>
      <c r="H918" s="145" t="n">
        <v>8</v>
      </c>
      <c r="I918" s="145" t="inlineStr">
        <is>
          <t>No</t>
        </is>
      </c>
      <c r="J918" s="145" t="inlineStr">
        <is>
          <t>No</t>
        </is>
      </c>
      <c r="K918" s="145" t="inlineStr">
        <is>
          <t>None</t>
        </is>
      </c>
      <c r="L918" s="145" t="inlineStr">
        <is>
          <t>#000000</t>
        </is>
      </c>
      <c r="M918" s="145" t="inlineStr">
        <is>
          <t>General</t>
        </is>
      </c>
      <c r="N918" s="145" t="inlineStr">
        <is>
          <t>Center</t>
        </is>
      </c>
      <c r="O918" s="145" t="inlineStr">
        <is>
          <t>No</t>
        </is>
      </c>
      <c r="P918" s="145" t="inlineStr">
        <is>
          <t>General</t>
        </is>
      </c>
      <c r="Q918" s="145" t="inlineStr">
        <is>
          <t>General</t>
        </is>
      </c>
      <c r="R918" s="145" t="n"/>
      <c r="S918" s="145" t="n"/>
      <c r="T918" s="145" t="n"/>
      <c r="U918" s="145" t="n"/>
      <c r="V918" s="145" t="n"/>
      <c r="W918" s="145" t="n"/>
      <c r="X918" s="145" t="inlineStr">
        <is>
          <t>Detailed format sample from top 5 used rows</t>
        </is>
      </c>
    </row>
    <row r="919" ht="23.85" customHeight="1" s="79">
      <c r="A919" s="145" t="inlineStr">
        <is>
          <t>GRC_DATA</t>
        </is>
      </c>
      <c r="B919" s="145" t="inlineStr">
        <is>
          <t>Top-Row Cell Format</t>
        </is>
      </c>
      <c r="C919" s="145" t="inlineStr">
        <is>
          <t>C4</t>
        </is>
      </c>
      <c r="D919" s="145" t="inlineStr">
        <is>
          <t>GRC_DATA!A1:AH3310</t>
        </is>
      </c>
      <c r="E919" s="145" t="inlineStr">
        <is>
          <t>Normal</t>
        </is>
      </c>
      <c r="F919" s="145" t="n"/>
      <c r="G919" s="145" t="inlineStr">
        <is>
          <t>Aptos</t>
        </is>
      </c>
      <c r="H919" s="145" t="n">
        <v>8</v>
      </c>
      <c r="I919" s="145" t="inlineStr">
        <is>
          <t>No</t>
        </is>
      </c>
      <c r="J919" s="145" t="inlineStr">
        <is>
          <t>No</t>
        </is>
      </c>
      <c r="K919" s="145" t="inlineStr">
        <is>
          <t>None</t>
        </is>
      </c>
      <c r="L919" s="145" t="inlineStr">
        <is>
          <t>#000000</t>
        </is>
      </c>
      <c r="M919" s="145" t="inlineStr">
        <is>
          <t>General</t>
        </is>
      </c>
      <c r="N919" s="145" t="inlineStr">
        <is>
          <t>Center</t>
        </is>
      </c>
      <c r="O919" s="145" t="inlineStr">
        <is>
          <t>No</t>
        </is>
      </c>
      <c r="P919" s="145" t="inlineStr">
        <is>
          <t>General</t>
        </is>
      </c>
      <c r="Q919" s="145" t="inlineStr">
        <is>
          <t>General</t>
        </is>
      </c>
      <c r="R919" s="145" t="n"/>
      <c r="S919" s="145" t="n"/>
      <c r="T919" s="145" t="n"/>
      <c r="U919" s="145" t="n"/>
      <c r="V919" s="145" t="n"/>
      <c r="W919" s="145" t="n"/>
      <c r="X919" s="145" t="inlineStr">
        <is>
          <t>Detailed format sample from top 5 used rows</t>
        </is>
      </c>
    </row>
    <row r="920" ht="23.85" customHeight="1" s="79">
      <c r="A920" s="145" t="inlineStr">
        <is>
          <t>GRC_DATA</t>
        </is>
      </c>
      <c r="B920" s="145" t="inlineStr">
        <is>
          <t>Top-Row Cell Format</t>
        </is>
      </c>
      <c r="C920" s="145" t="inlineStr">
        <is>
          <t>C5</t>
        </is>
      </c>
      <c r="D920" s="145" t="inlineStr">
        <is>
          <t>GRC_DATA!A1:AH3310</t>
        </is>
      </c>
      <c r="E920" s="145" t="inlineStr">
        <is>
          <t>Normal</t>
        </is>
      </c>
      <c r="F920" s="145" t="n"/>
      <c r="G920" s="145" t="inlineStr">
        <is>
          <t>Aptos</t>
        </is>
      </c>
      <c r="H920" s="145" t="n">
        <v>8</v>
      </c>
      <c r="I920" s="145" t="inlineStr">
        <is>
          <t>No</t>
        </is>
      </c>
      <c r="J920" s="145" t="inlineStr">
        <is>
          <t>No</t>
        </is>
      </c>
      <c r="K920" s="145" t="inlineStr">
        <is>
          <t>None</t>
        </is>
      </c>
      <c r="L920" s="145" t="inlineStr">
        <is>
          <t>#000000</t>
        </is>
      </c>
      <c r="M920" s="145" t="inlineStr">
        <is>
          <t>General</t>
        </is>
      </c>
      <c r="N920" s="145" t="inlineStr">
        <is>
          <t>Center</t>
        </is>
      </c>
      <c r="O920" s="145" t="inlineStr">
        <is>
          <t>No</t>
        </is>
      </c>
      <c r="P920" s="145" t="inlineStr">
        <is>
          <t>General</t>
        </is>
      </c>
      <c r="Q920" s="145" t="inlineStr">
        <is>
          <t>General</t>
        </is>
      </c>
      <c r="R920" s="145" t="n"/>
      <c r="S920" s="145" t="n"/>
      <c r="T920" s="145" t="n"/>
      <c r="U920" s="145" t="n"/>
      <c r="V920" s="145" t="n"/>
      <c r="W920" s="145" t="n"/>
      <c r="X920" s="145" t="inlineStr">
        <is>
          <t>Detailed format sample from top 5 used rows</t>
        </is>
      </c>
    </row>
    <row r="921" ht="23.85" customHeight="1" s="79">
      <c r="A921" s="145" t="inlineStr">
        <is>
          <t>GRC_DATA</t>
        </is>
      </c>
      <c r="B921" s="145" t="inlineStr">
        <is>
          <t>Column Format</t>
        </is>
      </c>
      <c r="C921" s="145" t="inlineStr">
        <is>
          <t>D:D</t>
        </is>
      </c>
      <c r="D921" s="145" t="inlineStr">
        <is>
          <t>GRC_DATA!A1:AH3310</t>
        </is>
      </c>
      <c r="E921" s="145" t="inlineStr">
        <is>
          <t>Normal</t>
        </is>
      </c>
      <c r="F921" s="145" t="inlineStr">
        <is>
          <t>Mixed</t>
        </is>
      </c>
      <c r="G921" s="145" t="inlineStr">
        <is>
          <t>Aptos</t>
        </is>
      </c>
      <c r="H921" s="145" t="n">
        <v>8</v>
      </c>
      <c r="I921" s="145" t="inlineStr">
        <is>
          <t>Mixed</t>
        </is>
      </c>
      <c r="J921" s="145" t="inlineStr">
        <is>
          <t>No</t>
        </is>
      </c>
      <c r="K921" s="145" t="inlineStr">
        <is>
          <t>None</t>
        </is>
      </c>
      <c r="L921" s="145" t="inlineStr">
        <is>
          <t>Mixed</t>
        </is>
      </c>
      <c r="M921" s="145" t="inlineStr">
        <is>
          <t>General</t>
        </is>
      </c>
      <c r="N921" s="145" t="inlineStr">
        <is>
          <t>Center</t>
        </is>
      </c>
      <c r="O921" s="145" t="inlineStr">
        <is>
          <t>No</t>
        </is>
      </c>
      <c r="P921" s="145" t="n"/>
      <c r="Q921" s="145" t="n"/>
      <c r="R921" s="145" t="n"/>
      <c r="S921" s="145" t="n">
        <v>52.1194029850746</v>
      </c>
      <c r="T921" s="145" t="n"/>
      <c r="U921" s="145" t="inlineStr">
        <is>
          <t>No</t>
        </is>
      </c>
      <c r="V921" s="145" t="inlineStr">
        <is>
          <t>Visible</t>
        </is>
      </c>
      <c r="W921" s="145" t="n"/>
      <c r="X921" s="145" t="inlineStr">
        <is>
          <t>Mixed styles within used column</t>
        </is>
      </c>
    </row>
    <row r="922" ht="23.85" customHeight="1" s="79">
      <c r="A922" s="145" t="inlineStr">
        <is>
          <t>GRC_DATA</t>
        </is>
      </c>
      <c r="B922" s="145" t="inlineStr">
        <is>
          <t>Top-Row Cell Format</t>
        </is>
      </c>
      <c r="C922" s="145" t="inlineStr">
        <is>
          <t>D1</t>
        </is>
      </c>
      <c r="D922" s="145" t="inlineStr">
        <is>
          <t>GRC_DATA!A1:AH3310</t>
        </is>
      </c>
      <c r="E922" s="145" t="inlineStr">
        <is>
          <t>Normal</t>
        </is>
      </c>
      <c r="F922" s="145" t="inlineStr">
        <is>
          <t>#ED7D31</t>
        </is>
      </c>
      <c r="G922" s="145" t="inlineStr">
        <is>
          <t>Aptos</t>
        </is>
      </c>
      <c r="H922" s="145" t="n">
        <v>8</v>
      </c>
      <c r="I922" s="145" t="inlineStr">
        <is>
          <t>Yes</t>
        </is>
      </c>
      <c r="J922" s="145" t="inlineStr">
        <is>
          <t>No</t>
        </is>
      </c>
      <c r="K922" s="145" t="inlineStr">
        <is>
          <t>None</t>
        </is>
      </c>
      <c r="L922" s="145" t="inlineStr">
        <is>
          <t>#FFFFFF</t>
        </is>
      </c>
      <c r="M922" s="145" t="inlineStr">
        <is>
          <t>General</t>
        </is>
      </c>
      <c r="N922" s="145" t="inlineStr">
        <is>
          <t>Center</t>
        </is>
      </c>
      <c r="O922" s="145" t="inlineStr">
        <is>
          <t>No</t>
        </is>
      </c>
      <c r="P922" s="145" t="inlineStr">
        <is>
          <t>General</t>
        </is>
      </c>
      <c r="Q922" s="145" t="inlineStr">
        <is>
          <t>General</t>
        </is>
      </c>
      <c r="R922" s="145" t="n"/>
      <c r="S922" s="145" t="n"/>
      <c r="T922" s="145" t="n"/>
      <c r="U922" s="145" t="n"/>
      <c r="V922" s="145" t="n"/>
      <c r="W922" s="145" t="n"/>
      <c r="X922" s="145" t="inlineStr">
        <is>
          <t>Detailed format sample from top 5 used rows</t>
        </is>
      </c>
    </row>
    <row r="923" ht="23.85" customHeight="1" s="79">
      <c r="A923" s="145" t="inlineStr">
        <is>
          <t>GRC_DATA</t>
        </is>
      </c>
      <c r="B923" s="145" t="inlineStr">
        <is>
          <t>Top-Row Cell Format</t>
        </is>
      </c>
      <c r="C923" s="145" t="inlineStr">
        <is>
          <t>D2</t>
        </is>
      </c>
      <c r="D923" s="145" t="inlineStr">
        <is>
          <t>GRC_DATA!A1:AH3310</t>
        </is>
      </c>
      <c r="E923" s="145" t="inlineStr">
        <is>
          <t>Normal</t>
        </is>
      </c>
      <c r="F923" s="145" t="n"/>
      <c r="G923" s="145" t="inlineStr">
        <is>
          <t>Aptos</t>
        </is>
      </c>
      <c r="H923" s="145" t="n">
        <v>8</v>
      </c>
      <c r="I923" s="145" t="inlineStr">
        <is>
          <t>No</t>
        </is>
      </c>
      <c r="J923" s="145" t="inlineStr">
        <is>
          <t>No</t>
        </is>
      </c>
      <c r="K923" s="145" t="inlineStr">
        <is>
          <t>None</t>
        </is>
      </c>
      <c r="L923" s="145" t="inlineStr">
        <is>
          <t>#000000</t>
        </is>
      </c>
      <c r="M923" s="145" t="inlineStr">
        <is>
          <t>General</t>
        </is>
      </c>
      <c r="N923" s="145" t="inlineStr">
        <is>
          <t>Center</t>
        </is>
      </c>
      <c r="O923" s="145" t="inlineStr">
        <is>
          <t>No</t>
        </is>
      </c>
      <c r="P923" s="145" t="inlineStr">
        <is>
          <t>General</t>
        </is>
      </c>
      <c r="Q923" s="145" t="inlineStr">
        <is>
          <t>General</t>
        </is>
      </c>
      <c r="R923" s="145" t="n"/>
      <c r="S923" s="145" t="n"/>
      <c r="T923" s="145" t="n"/>
      <c r="U923" s="145" t="n"/>
      <c r="V923" s="145" t="n"/>
      <c r="W923" s="145" t="n"/>
      <c r="X923" s="145" t="inlineStr">
        <is>
          <t>Detailed format sample from top 5 used rows</t>
        </is>
      </c>
    </row>
    <row r="924" ht="23.85" customHeight="1" s="79">
      <c r="A924" s="145" t="inlineStr">
        <is>
          <t>GRC_DATA</t>
        </is>
      </c>
      <c r="B924" s="145" t="inlineStr">
        <is>
          <t>Top-Row Cell Format</t>
        </is>
      </c>
      <c r="C924" s="145" t="inlineStr">
        <is>
          <t>D3</t>
        </is>
      </c>
      <c r="D924" s="145" t="inlineStr">
        <is>
          <t>GRC_DATA!A1:AH3310</t>
        </is>
      </c>
      <c r="E924" s="145" t="inlineStr">
        <is>
          <t>Normal</t>
        </is>
      </c>
      <c r="F924" s="145" t="n"/>
      <c r="G924" s="145" t="inlineStr">
        <is>
          <t>Aptos</t>
        </is>
      </c>
      <c r="H924" s="145" t="n">
        <v>8</v>
      </c>
      <c r="I924" s="145" t="inlineStr">
        <is>
          <t>No</t>
        </is>
      </c>
      <c r="J924" s="145" t="inlineStr">
        <is>
          <t>No</t>
        </is>
      </c>
      <c r="K924" s="145" t="inlineStr">
        <is>
          <t>None</t>
        </is>
      </c>
      <c r="L924" s="145" t="inlineStr">
        <is>
          <t>#000000</t>
        </is>
      </c>
      <c r="M924" s="145" t="inlineStr">
        <is>
          <t>General</t>
        </is>
      </c>
      <c r="N924" s="145" t="inlineStr">
        <is>
          <t>Center</t>
        </is>
      </c>
      <c r="O924" s="145" t="inlineStr">
        <is>
          <t>No</t>
        </is>
      </c>
      <c r="P924" s="145" t="inlineStr">
        <is>
          <t>General</t>
        </is>
      </c>
      <c r="Q924" s="145" t="inlineStr">
        <is>
          <t>General</t>
        </is>
      </c>
      <c r="R924" s="145" t="n"/>
      <c r="S924" s="145" t="n"/>
      <c r="T924" s="145" t="n"/>
      <c r="U924" s="145" t="n"/>
      <c r="V924" s="145" t="n"/>
      <c r="W924" s="145" t="n"/>
      <c r="X924" s="145" t="inlineStr">
        <is>
          <t>Detailed format sample from top 5 used rows</t>
        </is>
      </c>
    </row>
    <row r="925" ht="23.85" customHeight="1" s="79">
      <c r="A925" s="145" t="inlineStr">
        <is>
          <t>GRC_DATA</t>
        </is>
      </c>
      <c r="B925" s="145" t="inlineStr">
        <is>
          <t>Top-Row Cell Format</t>
        </is>
      </c>
      <c r="C925" s="145" t="inlineStr">
        <is>
          <t>D4</t>
        </is>
      </c>
      <c r="D925" s="145" t="inlineStr">
        <is>
          <t>GRC_DATA!A1:AH3310</t>
        </is>
      </c>
      <c r="E925" s="145" t="inlineStr">
        <is>
          <t>Normal</t>
        </is>
      </c>
      <c r="F925" s="145" t="n"/>
      <c r="G925" s="145" t="inlineStr">
        <is>
          <t>Aptos</t>
        </is>
      </c>
      <c r="H925" s="145" t="n">
        <v>8</v>
      </c>
      <c r="I925" s="145" t="inlineStr">
        <is>
          <t>No</t>
        </is>
      </c>
      <c r="J925" s="145" t="inlineStr">
        <is>
          <t>No</t>
        </is>
      </c>
      <c r="K925" s="145" t="inlineStr">
        <is>
          <t>None</t>
        </is>
      </c>
      <c r="L925" s="145" t="inlineStr">
        <is>
          <t>#000000</t>
        </is>
      </c>
      <c r="M925" s="145" t="inlineStr">
        <is>
          <t>General</t>
        </is>
      </c>
      <c r="N925" s="145" t="inlineStr">
        <is>
          <t>Center</t>
        </is>
      </c>
      <c r="O925" s="145" t="inlineStr">
        <is>
          <t>No</t>
        </is>
      </c>
      <c r="P925" s="145" t="inlineStr">
        <is>
          <t>General</t>
        </is>
      </c>
      <c r="Q925" s="145" t="inlineStr">
        <is>
          <t>General</t>
        </is>
      </c>
      <c r="R925" s="145" t="n"/>
      <c r="S925" s="145" t="n"/>
      <c r="T925" s="145" t="n"/>
      <c r="U925" s="145" t="n"/>
      <c r="V925" s="145" t="n"/>
      <c r="W925" s="145" t="n"/>
      <c r="X925" s="145" t="inlineStr">
        <is>
          <t>Detailed format sample from top 5 used rows</t>
        </is>
      </c>
    </row>
    <row r="926" ht="23.85" customHeight="1" s="79">
      <c r="A926" s="145" t="inlineStr">
        <is>
          <t>GRC_DATA</t>
        </is>
      </c>
      <c r="B926" s="145" t="inlineStr">
        <is>
          <t>Top-Row Cell Format</t>
        </is>
      </c>
      <c r="C926" s="145" t="inlineStr">
        <is>
          <t>D5</t>
        </is>
      </c>
      <c r="D926" s="145" t="inlineStr">
        <is>
          <t>GRC_DATA!A1:AH3310</t>
        </is>
      </c>
      <c r="E926" s="145" t="inlineStr">
        <is>
          <t>Normal</t>
        </is>
      </c>
      <c r="F926" s="145" t="n"/>
      <c r="G926" s="145" t="inlineStr">
        <is>
          <t>Aptos</t>
        </is>
      </c>
      <c r="H926" s="145" t="n">
        <v>8</v>
      </c>
      <c r="I926" s="145" t="inlineStr">
        <is>
          <t>No</t>
        </is>
      </c>
      <c r="J926" s="145" t="inlineStr">
        <is>
          <t>No</t>
        </is>
      </c>
      <c r="K926" s="145" t="inlineStr">
        <is>
          <t>None</t>
        </is>
      </c>
      <c r="L926" s="145" t="inlineStr">
        <is>
          <t>#000000</t>
        </is>
      </c>
      <c r="M926" s="145" t="inlineStr">
        <is>
          <t>General</t>
        </is>
      </c>
      <c r="N926" s="145" t="inlineStr">
        <is>
          <t>Center</t>
        </is>
      </c>
      <c r="O926" s="145" t="inlineStr">
        <is>
          <t>No</t>
        </is>
      </c>
      <c r="P926" s="145" t="inlineStr">
        <is>
          <t>General</t>
        </is>
      </c>
      <c r="Q926" s="145" t="inlineStr">
        <is>
          <t>General</t>
        </is>
      </c>
      <c r="R926" s="145" t="n"/>
      <c r="S926" s="145" t="n"/>
      <c r="T926" s="145" t="n"/>
      <c r="U926" s="145" t="n"/>
      <c r="V926" s="145" t="n"/>
      <c r="W926" s="145" t="n"/>
      <c r="X926" s="145" t="inlineStr">
        <is>
          <t>Detailed format sample from top 5 used rows</t>
        </is>
      </c>
    </row>
    <row r="927" ht="23.85" customHeight="1" s="79">
      <c r="A927" s="145" t="inlineStr">
        <is>
          <t>GRC_DATA</t>
        </is>
      </c>
      <c r="B927" s="145" t="inlineStr">
        <is>
          <t>Column Format</t>
        </is>
      </c>
      <c r="C927" s="145" t="inlineStr">
        <is>
          <t>E:E</t>
        </is>
      </c>
      <c r="D927" s="145" t="inlineStr">
        <is>
          <t>GRC_DATA!A1:AH3310</t>
        </is>
      </c>
      <c r="E927" s="145" t="inlineStr">
        <is>
          <t>Normal</t>
        </is>
      </c>
      <c r="F927" s="145" t="inlineStr">
        <is>
          <t>Mixed</t>
        </is>
      </c>
      <c r="G927" s="145" t="inlineStr">
        <is>
          <t>Aptos</t>
        </is>
      </c>
      <c r="H927" s="145" t="n">
        <v>8</v>
      </c>
      <c r="I927" s="145" t="inlineStr">
        <is>
          <t>Mixed</t>
        </is>
      </c>
      <c r="J927" s="145" t="inlineStr">
        <is>
          <t>No</t>
        </is>
      </c>
      <c r="K927" s="145" t="inlineStr">
        <is>
          <t>None</t>
        </is>
      </c>
      <c r="L927" s="145" t="inlineStr">
        <is>
          <t>Mixed</t>
        </is>
      </c>
      <c r="M927" s="145" t="inlineStr">
        <is>
          <t>General</t>
        </is>
      </c>
      <c r="N927" s="145" t="inlineStr">
        <is>
          <t>Center</t>
        </is>
      </c>
      <c r="O927" s="145" t="inlineStr">
        <is>
          <t>No</t>
        </is>
      </c>
      <c r="P927" s="145" t="n"/>
      <c r="Q927" s="145" t="n"/>
      <c r="R927" s="145" t="n"/>
      <c r="S927" s="145" t="n">
        <v>39.2238805970149</v>
      </c>
      <c r="T927" s="145" t="n"/>
      <c r="U927" s="145" t="inlineStr">
        <is>
          <t>No</t>
        </is>
      </c>
      <c r="V927" s="145" t="inlineStr">
        <is>
          <t>Visible</t>
        </is>
      </c>
      <c r="W927" s="145" t="n"/>
      <c r="X927" s="145" t="inlineStr">
        <is>
          <t>Mixed styles within used column</t>
        </is>
      </c>
    </row>
    <row r="928" ht="23.85" customHeight="1" s="79">
      <c r="A928" s="145" t="inlineStr">
        <is>
          <t>GRC_DATA</t>
        </is>
      </c>
      <c r="B928" s="145" t="inlineStr">
        <is>
          <t>Top-Row Cell Format</t>
        </is>
      </c>
      <c r="C928" s="145" t="inlineStr">
        <is>
          <t>E1</t>
        </is>
      </c>
      <c r="D928" s="145" t="inlineStr">
        <is>
          <t>GRC_DATA!A1:AH3310</t>
        </is>
      </c>
      <c r="E928" s="145" t="inlineStr">
        <is>
          <t>Normal</t>
        </is>
      </c>
      <c r="F928" s="145" t="inlineStr">
        <is>
          <t>#ED7D31</t>
        </is>
      </c>
      <c r="G928" s="145" t="inlineStr">
        <is>
          <t>Aptos</t>
        </is>
      </c>
      <c r="H928" s="145" t="n">
        <v>8</v>
      </c>
      <c r="I928" s="145" t="inlineStr">
        <is>
          <t>Yes</t>
        </is>
      </c>
      <c r="J928" s="145" t="inlineStr">
        <is>
          <t>No</t>
        </is>
      </c>
      <c r="K928" s="145" t="inlineStr">
        <is>
          <t>None</t>
        </is>
      </c>
      <c r="L928" s="145" t="inlineStr">
        <is>
          <t>#FFFFFF</t>
        </is>
      </c>
      <c r="M928" s="145" t="inlineStr">
        <is>
          <t>General</t>
        </is>
      </c>
      <c r="N928" s="145" t="inlineStr">
        <is>
          <t>Center</t>
        </is>
      </c>
      <c r="O928" s="145" t="inlineStr">
        <is>
          <t>No</t>
        </is>
      </c>
      <c r="P928" s="145" t="inlineStr">
        <is>
          <t>General</t>
        </is>
      </c>
      <c r="Q928" s="145" t="inlineStr">
        <is>
          <t>General</t>
        </is>
      </c>
      <c r="R928" s="145" t="n"/>
      <c r="S928" s="145" t="n"/>
      <c r="T928" s="145" t="n"/>
      <c r="U928" s="145" t="n"/>
      <c r="V928" s="145" t="n"/>
      <c r="W928" s="145" t="n"/>
      <c r="X928" s="145" t="inlineStr">
        <is>
          <t>Detailed format sample from top 5 used rows</t>
        </is>
      </c>
    </row>
    <row r="929" ht="23.85" customHeight="1" s="79">
      <c r="A929" s="145" t="inlineStr">
        <is>
          <t>GRC_DATA</t>
        </is>
      </c>
      <c r="B929" s="145" t="inlineStr">
        <is>
          <t>Top-Row Cell Format</t>
        </is>
      </c>
      <c r="C929" s="145" t="inlineStr">
        <is>
          <t>E2</t>
        </is>
      </c>
      <c r="D929" s="145" t="inlineStr">
        <is>
          <t>GRC_DATA!A1:AH3310</t>
        </is>
      </c>
      <c r="E929" s="145" t="inlineStr">
        <is>
          <t>Normal</t>
        </is>
      </c>
      <c r="F929" s="145" t="n"/>
      <c r="G929" s="145" t="inlineStr">
        <is>
          <t>Aptos</t>
        </is>
      </c>
      <c r="H929" s="145" t="n">
        <v>8</v>
      </c>
      <c r="I929" s="145" t="inlineStr">
        <is>
          <t>No</t>
        </is>
      </c>
      <c r="J929" s="145" t="inlineStr">
        <is>
          <t>No</t>
        </is>
      </c>
      <c r="K929" s="145" t="inlineStr">
        <is>
          <t>None</t>
        </is>
      </c>
      <c r="L929" s="145" t="inlineStr">
        <is>
          <t>#000000</t>
        </is>
      </c>
      <c r="M929" s="145" t="inlineStr">
        <is>
          <t>General</t>
        </is>
      </c>
      <c r="N929" s="145" t="inlineStr">
        <is>
          <t>Center</t>
        </is>
      </c>
      <c r="O929" s="145" t="inlineStr">
        <is>
          <t>No</t>
        </is>
      </c>
      <c r="P929" s="145" t="inlineStr">
        <is>
          <t>General</t>
        </is>
      </c>
      <c r="Q929" s="145" t="inlineStr">
        <is>
          <t>General</t>
        </is>
      </c>
      <c r="R929" s="145" t="n"/>
      <c r="S929" s="145" t="n"/>
      <c r="T929" s="145" t="n"/>
      <c r="U929" s="145" t="n"/>
      <c r="V929" s="145" t="n"/>
      <c r="W929" s="145" t="n"/>
      <c r="X929" s="145" t="inlineStr">
        <is>
          <t>Detailed format sample from top 5 used rows</t>
        </is>
      </c>
    </row>
    <row r="930" ht="23.85" customHeight="1" s="79">
      <c r="A930" s="145" t="inlineStr">
        <is>
          <t>GRC_DATA</t>
        </is>
      </c>
      <c r="B930" s="145" t="inlineStr">
        <is>
          <t>Top-Row Cell Format</t>
        </is>
      </c>
      <c r="C930" s="145" t="inlineStr">
        <is>
          <t>E3</t>
        </is>
      </c>
      <c r="D930" s="145" t="inlineStr">
        <is>
          <t>GRC_DATA!A1:AH3310</t>
        </is>
      </c>
      <c r="E930" s="145" t="inlineStr">
        <is>
          <t>Normal</t>
        </is>
      </c>
      <c r="F930" s="145" t="n"/>
      <c r="G930" s="145" t="inlineStr">
        <is>
          <t>Aptos</t>
        </is>
      </c>
      <c r="H930" s="145" t="n">
        <v>8</v>
      </c>
      <c r="I930" s="145" t="inlineStr">
        <is>
          <t>No</t>
        </is>
      </c>
      <c r="J930" s="145" t="inlineStr">
        <is>
          <t>No</t>
        </is>
      </c>
      <c r="K930" s="145" t="inlineStr">
        <is>
          <t>None</t>
        </is>
      </c>
      <c r="L930" s="145" t="inlineStr">
        <is>
          <t>#000000</t>
        </is>
      </c>
      <c r="M930" s="145" t="inlineStr">
        <is>
          <t>General</t>
        </is>
      </c>
      <c r="N930" s="145" t="inlineStr">
        <is>
          <t>Center</t>
        </is>
      </c>
      <c r="O930" s="145" t="inlineStr">
        <is>
          <t>No</t>
        </is>
      </c>
      <c r="P930" s="145" t="inlineStr">
        <is>
          <t>General</t>
        </is>
      </c>
      <c r="Q930" s="145" t="inlineStr">
        <is>
          <t>General</t>
        </is>
      </c>
      <c r="R930" s="145" t="n"/>
      <c r="S930" s="145" t="n"/>
      <c r="T930" s="145" t="n"/>
      <c r="U930" s="145" t="n"/>
      <c r="V930" s="145" t="n"/>
      <c r="W930" s="145" t="n"/>
      <c r="X930" s="145" t="inlineStr">
        <is>
          <t>Detailed format sample from top 5 used rows</t>
        </is>
      </c>
    </row>
    <row r="931" ht="23.85" customHeight="1" s="79">
      <c r="A931" s="145" t="inlineStr">
        <is>
          <t>GRC_DATA</t>
        </is>
      </c>
      <c r="B931" s="145" t="inlineStr">
        <is>
          <t>Top-Row Cell Format</t>
        </is>
      </c>
      <c r="C931" s="145" t="inlineStr">
        <is>
          <t>E4</t>
        </is>
      </c>
      <c r="D931" s="145" t="inlineStr">
        <is>
          <t>GRC_DATA!A1:AH3310</t>
        </is>
      </c>
      <c r="E931" s="145" t="inlineStr">
        <is>
          <t>Normal</t>
        </is>
      </c>
      <c r="F931" s="145" t="n"/>
      <c r="G931" s="145" t="inlineStr">
        <is>
          <t>Aptos</t>
        </is>
      </c>
      <c r="H931" s="145" t="n">
        <v>8</v>
      </c>
      <c r="I931" s="145" t="inlineStr">
        <is>
          <t>No</t>
        </is>
      </c>
      <c r="J931" s="145" t="inlineStr">
        <is>
          <t>No</t>
        </is>
      </c>
      <c r="K931" s="145" t="inlineStr">
        <is>
          <t>None</t>
        </is>
      </c>
      <c r="L931" s="145" t="inlineStr">
        <is>
          <t>#000000</t>
        </is>
      </c>
      <c r="M931" s="145" t="inlineStr">
        <is>
          <t>General</t>
        </is>
      </c>
      <c r="N931" s="145" t="inlineStr">
        <is>
          <t>Center</t>
        </is>
      </c>
      <c r="O931" s="145" t="inlineStr">
        <is>
          <t>No</t>
        </is>
      </c>
      <c r="P931" s="145" t="inlineStr">
        <is>
          <t>General</t>
        </is>
      </c>
      <c r="Q931" s="145" t="inlineStr">
        <is>
          <t>General</t>
        </is>
      </c>
      <c r="R931" s="145" t="n"/>
      <c r="S931" s="145" t="n"/>
      <c r="T931" s="145" t="n"/>
      <c r="U931" s="145" t="n"/>
      <c r="V931" s="145" t="n"/>
      <c r="W931" s="145" t="n"/>
      <c r="X931" s="145" t="inlineStr">
        <is>
          <t>Detailed format sample from top 5 used rows</t>
        </is>
      </c>
    </row>
    <row r="932" ht="23.85" customHeight="1" s="79">
      <c r="A932" s="145" t="inlineStr">
        <is>
          <t>GRC_DATA</t>
        </is>
      </c>
      <c r="B932" s="145" t="inlineStr">
        <is>
          <t>Top-Row Cell Format</t>
        </is>
      </c>
      <c r="C932" s="145" t="inlineStr">
        <is>
          <t>E5</t>
        </is>
      </c>
      <c r="D932" s="145" t="inlineStr">
        <is>
          <t>GRC_DATA!A1:AH3310</t>
        </is>
      </c>
      <c r="E932" s="145" t="inlineStr">
        <is>
          <t>Normal</t>
        </is>
      </c>
      <c r="F932" s="145" t="n"/>
      <c r="G932" s="145" t="inlineStr">
        <is>
          <t>Aptos</t>
        </is>
      </c>
      <c r="H932" s="145" t="n">
        <v>8</v>
      </c>
      <c r="I932" s="145" t="inlineStr">
        <is>
          <t>No</t>
        </is>
      </c>
      <c r="J932" s="145" t="inlineStr">
        <is>
          <t>No</t>
        </is>
      </c>
      <c r="K932" s="145" t="inlineStr">
        <is>
          <t>None</t>
        </is>
      </c>
      <c r="L932" s="145" t="inlineStr">
        <is>
          <t>#000000</t>
        </is>
      </c>
      <c r="M932" s="145" t="inlineStr">
        <is>
          <t>General</t>
        </is>
      </c>
      <c r="N932" s="145" t="inlineStr">
        <is>
          <t>Center</t>
        </is>
      </c>
      <c r="O932" s="145" t="inlineStr">
        <is>
          <t>No</t>
        </is>
      </c>
      <c r="P932" s="145" t="inlineStr">
        <is>
          <t>General</t>
        </is>
      </c>
      <c r="Q932" s="145" t="inlineStr">
        <is>
          <t>General</t>
        </is>
      </c>
      <c r="R932" s="145" t="n"/>
      <c r="S932" s="145" t="n"/>
      <c r="T932" s="145" t="n"/>
      <c r="U932" s="145" t="n"/>
      <c r="V932" s="145" t="n"/>
      <c r="W932" s="145" t="n"/>
      <c r="X932" s="145" t="inlineStr">
        <is>
          <t>Detailed format sample from top 5 used rows</t>
        </is>
      </c>
    </row>
    <row r="933" ht="23.85" customHeight="1" s="79">
      <c r="A933" s="145" t="inlineStr">
        <is>
          <t>GRC_DATA</t>
        </is>
      </c>
      <c r="B933" s="145" t="inlineStr">
        <is>
          <t>Column Format</t>
        </is>
      </c>
      <c r="C933" s="145" t="inlineStr">
        <is>
          <t>F:F</t>
        </is>
      </c>
      <c r="D933" s="145" t="inlineStr">
        <is>
          <t>GRC_DATA!A1:AH3310</t>
        </is>
      </c>
      <c r="E933" s="145" t="inlineStr">
        <is>
          <t>Normal</t>
        </is>
      </c>
      <c r="F933" s="145" t="inlineStr">
        <is>
          <t>Mixed</t>
        </is>
      </c>
      <c r="G933" s="145" t="inlineStr">
        <is>
          <t>Aptos</t>
        </is>
      </c>
      <c r="H933" s="145" t="n">
        <v>8</v>
      </c>
      <c r="I933" s="145" t="inlineStr">
        <is>
          <t>Mixed</t>
        </is>
      </c>
      <c r="J933" s="145" t="inlineStr">
        <is>
          <t>No</t>
        </is>
      </c>
      <c r="K933" s="145" t="inlineStr">
        <is>
          <t>None</t>
        </is>
      </c>
      <c r="L933" s="145" t="inlineStr">
        <is>
          <t>Mixed</t>
        </is>
      </c>
      <c r="M933" s="145" t="inlineStr">
        <is>
          <t>General</t>
        </is>
      </c>
      <c r="N933" s="145" t="inlineStr">
        <is>
          <t>Center</t>
        </is>
      </c>
      <c r="O933" s="145" t="inlineStr">
        <is>
          <t>No</t>
        </is>
      </c>
      <c r="P933" s="145" t="n"/>
      <c r="Q933" s="145" t="n"/>
      <c r="R933" s="145" t="n"/>
      <c r="S933" s="145" t="n">
        <v>37.6119402985075</v>
      </c>
      <c r="T933" s="145" t="n"/>
      <c r="U933" s="145" t="inlineStr">
        <is>
          <t>No</t>
        </is>
      </c>
      <c r="V933" s="145" t="inlineStr">
        <is>
          <t>Visible</t>
        </is>
      </c>
      <c r="W933" s="145" t="n"/>
      <c r="X933" s="145" t="inlineStr">
        <is>
          <t>Mixed styles within used column</t>
        </is>
      </c>
    </row>
    <row r="934" ht="23.85" customHeight="1" s="79">
      <c r="A934" s="145" t="inlineStr">
        <is>
          <t>GRC_DATA</t>
        </is>
      </c>
      <c r="B934" s="145" t="inlineStr">
        <is>
          <t>Top-Row Cell Format</t>
        </is>
      </c>
      <c r="C934" s="145" t="inlineStr">
        <is>
          <t>F1</t>
        </is>
      </c>
      <c r="D934" s="145" t="inlineStr">
        <is>
          <t>GRC_DATA!A1:AH3310</t>
        </is>
      </c>
      <c r="E934" s="145" t="inlineStr">
        <is>
          <t>Normal</t>
        </is>
      </c>
      <c r="F934" s="145" t="inlineStr">
        <is>
          <t>#ED7D31</t>
        </is>
      </c>
      <c r="G934" s="145" t="inlineStr">
        <is>
          <t>Aptos</t>
        </is>
      </c>
      <c r="H934" s="145" t="n">
        <v>8</v>
      </c>
      <c r="I934" s="145" t="inlineStr">
        <is>
          <t>Yes</t>
        </is>
      </c>
      <c r="J934" s="145" t="inlineStr">
        <is>
          <t>No</t>
        </is>
      </c>
      <c r="K934" s="145" t="inlineStr">
        <is>
          <t>None</t>
        </is>
      </c>
      <c r="L934" s="145" t="inlineStr">
        <is>
          <t>#FFFFFF</t>
        </is>
      </c>
      <c r="M934" s="145" t="inlineStr">
        <is>
          <t>General</t>
        </is>
      </c>
      <c r="N934" s="145" t="inlineStr">
        <is>
          <t>Center</t>
        </is>
      </c>
      <c r="O934" s="145" t="inlineStr">
        <is>
          <t>No</t>
        </is>
      </c>
      <c r="P934" s="145" t="inlineStr">
        <is>
          <t>General</t>
        </is>
      </c>
      <c r="Q934" s="145" t="inlineStr">
        <is>
          <t>General</t>
        </is>
      </c>
      <c r="R934" s="145" t="n"/>
      <c r="S934" s="145" t="n"/>
      <c r="T934" s="145" t="n"/>
      <c r="U934" s="145" t="n"/>
      <c r="V934" s="145" t="n"/>
      <c r="W934" s="145" t="n"/>
      <c r="X934" s="145" t="inlineStr">
        <is>
          <t>Detailed format sample from top 5 used rows</t>
        </is>
      </c>
    </row>
    <row r="935" ht="23.85" customHeight="1" s="79">
      <c r="A935" s="145" t="inlineStr">
        <is>
          <t>GRC_DATA</t>
        </is>
      </c>
      <c r="B935" s="145" t="inlineStr">
        <is>
          <t>Top-Row Cell Format</t>
        </is>
      </c>
      <c r="C935" s="145" t="inlineStr">
        <is>
          <t>F2</t>
        </is>
      </c>
      <c r="D935" s="145" t="inlineStr">
        <is>
          <t>GRC_DATA!A1:AH3310</t>
        </is>
      </c>
      <c r="E935" s="145" t="inlineStr">
        <is>
          <t>Normal</t>
        </is>
      </c>
      <c r="F935" s="145" t="n"/>
      <c r="G935" s="145" t="inlineStr">
        <is>
          <t>Aptos</t>
        </is>
      </c>
      <c r="H935" s="145" t="n">
        <v>8</v>
      </c>
      <c r="I935" s="145" t="inlineStr">
        <is>
          <t>No</t>
        </is>
      </c>
      <c r="J935" s="145" t="inlineStr">
        <is>
          <t>No</t>
        </is>
      </c>
      <c r="K935" s="145" t="inlineStr">
        <is>
          <t>None</t>
        </is>
      </c>
      <c r="L935" s="145" t="inlineStr">
        <is>
          <t>#000000</t>
        </is>
      </c>
      <c r="M935" s="145" t="inlineStr">
        <is>
          <t>General</t>
        </is>
      </c>
      <c r="N935" s="145" t="inlineStr">
        <is>
          <t>Center</t>
        </is>
      </c>
      <c r="O935" s="145" t="inlineStr">
        <is>
          <t>No</t>
        </is>
      </c>
      <c r="P935" s="145" t="inlineStr">
        <is>
          <t>General</t>
        </is>
      </c>
      <c r="Q935" s="145" t="inlineStr">
        <is>
          <t>General</t>
        </is>
      </c>
      <c r="R935" s="145" t="n"/>
      <c r="S935" s="145" t="n"/>
      <c r="T935" s="145" t="n"/>
      <c r="U935" s="145" t="n"/>
      <c r="V935" s="145" t="n"/>
      <c r="W935" s="145" t="n"/>
      <c r="X935" s="145" t="inlineStr">
        <is>
          <t>Detailed format sample from top 5 used rows</t>
        </is>
      </c>
    </row>
    <row r="936" ht="23.85" customHeight="1" s="79">
      <c r="A936" s="145" t="inlineStr">
        <is>
          <t>GRC_DATA</t>
        </is>
      </c>
      <c r="B936" s="145" t="inlineStr">
        <is>
          <t>Top-Row Cell Format</t>
        </is>
      </c>
      <c r="C936" s="145" t="inlineStr">
        <is>
          <t>F3</t>
        </is>
      </c>
      <c r="D936" s="145" t="inlineStr">
        <is>
          <t>GRC_DATA!A1:AH3310</t>
        </is>
      </c>
      <c r="E936" s="145" t="inlineStr">
        <is>
          <t>Normal</t>
        </is>
      </c>
      <c r="F936" s="145" t="n"/>
      <c r="G936" s="145" t="inlineStr">
        <is>
          <t>Aptos</t>
        </is>
      </c>
      <c r="H936" s="145" t="n">
        <v>8</v>
      </c>
      <c r="I936" s="145" t="inlineStr">
        <is>
          <t>No</t>
        </is>
      </c>
      <c r="J936" s="145" t="inlineStr">
        <is>
          <t>No</t>
        </is>
      </c>
      <c r="K936" s="145" t="inlineStr">
        <is>
          <t>None</t>
        </is>
      </c>
      <c r="L936" s="145" t="inlineStr">
        <is>
          <t>#000000</t>
        </is>
      </c>
      <c r="M936" s="145" t="inlineStr">
        <is>
          <t>General</t>
        </is>
      </c>
      <c r="N936" s="145" t="inlineStr">
        <is>
          <t>Center</t>
        </is>
      </c>
      <c r="O936" s="145" t="inlineStr">
        <is>
          <t>No</t>
        </is>
      </c>
      <c r="P936" s="145" t="inlineStr">
        <is>
          <t>General</t>
        </is>
      </c>
      <c r="Q936" s="145" t="inlineStr">
        <is>
          <t>General</t>
        </is>
      </c>
      <c r="R936" s="145" t="n"/>
      <c r="S936" s="145" t="n"/>
      <c r="T936" s="145" t="n"/>
      <c r="U936" s="145" t="n"/>
      <c r="V936" s="145" t="n"/>
      <c r="W936" s="145" t="n"/>
      <c r="X936" s="145" t="inlineStr">
        <is>
          <t>Detailed format sample from top 5 used rows</t>
        </is>
      </c>
    </row>
    <row r="937" ht="23.85" customHeight="1" s="79">
      <c r="A937" s="145" t="inlineStr">
        <is>
          <t>GRC_DATA</t>
        </is>
      </c>
      <c r="B937" s="145" t="inlineStr">
        <is>
          <t>Top-Row Cell Format</t>
        </is>
      </c>
      <c r="C937" s="145" t="inlineStr">
        <is>
          <t>F4</t>
        </is>
      </c>
      <c r="D937" s="145" t="inlineStr">
        <is>
          <t>GRC_DATA!A1:AH3310</t>
        </is>
      </c>
      <c r="E937" s="145" t="inlineStr">
        <is>
          <t>Normal</t>
        </is>
      </c>
      <c r="F937" s="145" t="n"/>
      <c r="G937" s="145" t="inlineStr">
        <is>
          <t>Aptos</t>
        </is>
      </c>
      <c r="H937" s="145" t="n">
        <v>8</v>
      </c>
      <c r="I937" s="145" t="inlineStr">
        <is>
          <t>No</t>
        </is>
      </c>
      <c r="J937" s="145" t="inlineStr">
        <is>
          <t>No</t>
        </is>
      </c>
      <c r="K937" s="145" t="inlineStr">
        <is>
          <t>None</t>
        </is>
      </c>
      <c r="L937" s="145" t="inlineStr">
        <is>
          <t>#000000</t>
        </is>
      </c>
      <c r="M937" s="145" t="inlineStr">
        <is>
          <t>General</t>
        </is>
      </c>
      <c r="N937" s="145" t="inlineStr">
        <is>
          <t>Center</t>
        </is>
      </c>
      <c r="O937" s="145" t="inlineStr">
        <is>
          <t>No</t>
        </is>
      </c>
      <c r="P937" s="145" t="inlineStr">
        <is>
          <t>General</t>
        </is>
      </c>
      <c r="Q937" s="145" t="inlineStr">
        <is>
          <t>General</t>
        </is>
      </c>
      <c r="R937" s="145" t="n"/>
      <c r="S937" s="145" t="n"/>
      <c r="T937" s="145" t="n"/>
      <c r="U937" s="145" t="n"/>
      <c r="V937" s="145" t="n"/>
      <c r="W937" s="145" t="n"/>
      <c r="X937" s="145" t="inlineStr">
        <is>
          <t>Detailed format sample from top 5 used rows</t>
        </is>
      </c>
    </row>
    <row r="938" ht="23.85" customHeight="1" s="79">
      <c r="A938" s="145" t="inlineStr">
        <is>
          <t>GRC_DATA</t>
        </is>
      </c>
      <c r="B938" s="145" t="inlineStr">
        <is>
          <t>Top-Row Cell Format</t>
        </is>
      </c>
      <c r="C938" s="145" t="inlineStr">
        <is>
          <t>F5</t>
        </is>
      </c>
      <c r="D938" s="145" t="inlineStr">
        <is>
          <t>GRC_DATA!A1:AH3310</t>
        </is>
      </c>
      <c r="E938" s="145" t="inlineStr">
        <is>
          <t>Normal</t>
        </is>
      </c>
      <c r="F938" s="145" t="n"/>
      <c r="G938" s="145" t="inlineStr">
        <is>
          <t>Aptos</t>
        </is>
      </c>
      <c r="H938" s="145" t="n">
        <v>8</v>
      </c>
      <c r="I938" s="145" t="inlineStr">
        <is>
          <t>No</t>
        </is>
      </c>
      <c r="J938" s="145" t="inlineStr">
        <is>
          <t>No</t>
        </is>
      </c>
      <c r="K938" s="145" t="inlineStr">
        <is>
          <t>None</t>
        </is>
      </c>
      <c r="L938" s="145" t="inlineStr">
        <is>
          <t>#000000</t>
        </is>
      </c>
      <c r="M938" s="145" t="inlineStr">
        <is>
          <t>General</t>
        </is>
      </c>
      <c r="N938" s="145" t="inlineStr">
        <is>
          <t>Center</t>
        </is>
      </c>
      <c r="O938" s="145" t="inlineStr">
        <is>
          <t>No</t>
        </is>
      </c>
      <c r="P938" s="145" t="inlineStr">
        <is>
          <t>General</t>
        </is>
      </c>
      <c r="Q938" s="145" t="inlineStr">
        <is>
          <t>General</t>
        </is>
      </c>
      <c r="R938" s="145" t="n"/>
      <c r="S938" s="145" t="n"/>
      <c r="T938" s="145" t="n"/>
      <c r="U938" s="145" t="n"/>
      <c r="V938" s="145" t="n"/>
      <c r="W938" s="145" t="n"/>
      <c r="X938" s="145" t="inlineStr">
        <is>
          <t>Detailed format sample from top 5 used rows</t>
        </is>
      </c>
    </row>
    <row r="939" ht="23.85" customHeight="1" s="79">
      <c r="A939" s="145" t="inlineStr">
        <is>
          <t>GRC_DATA</t>
        </is>
      </c>
      <c r="B939" s="145" t="inlineStr">
        <is>
          <t>Column Format</t>
        </is>
      </c>
      <c r="C939" s="145" t="inlineStr">
        <is>
          <t>G:G</t>
        </is>
      </c>
      <c r="D939" s="145" t="inlineStr">
        <is>
          <t>GRC_DATA!A1:AH3310</t>
        </is>
      </c>
      <c r="E939" s="145" t="inlineStr">
        <is>
          <t>Normal</t>
        </is>
      </c>
      <c r="F939" s="145" t="inlineStr">
        <is>
          <t>Mixed</t>
        </is>
      </c>
      <c r="G939" s="145" t="inlineStr">
        <is>
          <t>Aptos</t>
        </is>
      </c>
      <c r="H939" s="145" t="n">
        <v>8</v>
      </c>
      <c r="I939" s="145" t="inlineStr">
        <is>
          <t>Mixed</t>
        </is>
      </c>
      <c r="J939" s="145" t="inlineStr">
        <is>
          <t>No</t>
        </is>
      </c>
      <c r="K939" s="145" t="inlineStr">
        <is>
          <t>None</t>
        </is>
      </c>
      <c r="L939" s="145" t="inlineStr">
        <is>
          <t>Mixed</t>
        </is>
      </c>
      <c r="M939" s="145" t="inlineStr">
        <is>
          <t>General</t>
        </is>
      </c>
      <c r="N939" s="145" t="inlineStr">
        <is>
          <t>Center</t>
        </is>
      </c>
      <c r="O939" s="145" t="inlineStr">
        <is>
          <t>No</t>
        </is>
      </c>
      <c r="P939" s="145" t="n"/>
      <c r="Q939" s="145" t="n"/>
      <c r="R939" s="145" t="n"/>
      <c r="S939" s="145" t="n">
        <v>59.1044776119403</v>
      </c>
      <c r="T939" s="145" t="n"/>
      <c r="U939" s="145" t="inlineStr">
        <is>
          <t>No</t>
        </is>
      </c>
      <c r="V939" s="145" t="inlineStr">
        <is>
          <t>Visible</t>
        </is>
      </c>
      <c r="W939" s="145" t="n"/>
      <c r="X939" s="145" t="inlineStr">
        <is>
          <t>Mixed styles within used column</t>
        </is>
      </c>
    </row>
    <row r="940" ht="23.85" customHeight="1" s="79">
      <c r="A940" s="145" t="inlineStr">
        <is>
          <t>GRC_DATA</t>
        </is>
      </c>
      <c r="B940" s="145" t="inlineStr">
        <is>
          <t>Top-Row Cell Format</t>
        </is>
      </c>
      <c r="C940" s="145" t="inlineStr">
        <is>
          <t>G1</t>
        </is>
      </c>
      <c r="D940" s="145" t="inlineStr">
        <is>
          <t>GRC_DATA!A1:AH3310</t>
        </is>
      </c>
      <c r="E940" s="145" t="inlineStr">
        <is>
          <t>Normal</t>
        </is>
      </c>
      <c r="F940" s="145" t="inlineStr">
        <is>
          <t>#ED7D31</t>
        </is>
      </c>
      <c r="G940" s="145" t="inlineStr">
        <is>
          <t>Aptos</t>
        </is>
      </c>
      <c r="H940" s="145" t="n">
        <v>8</v>
      </c>
      <c r="I940" s="145" t="inlineStr">
        <is>
          <t>Yes</t>
        </is>
      </c>
      <c r="J940" s="145" t="inlineStr">
        <is>
          <t>No</t>
        </is>
      </c>
      <c r="K940" s="145" t="inlineStr">
        <is>
          <t>None</t>
        </is>
      </c>
      <c r="L940" s="145" t="inlineStr">
        <is>
          <t>#FFFFFF</t>
        </is>
      </c>
      <c r="M940" s="145" t="inlineStr">
        <is>
          <t>General</t>
        </is>
      </c>
      <c r="N940" s="145" t="inlineStr">
        <is>
          <t>Center</t>
        </is>
      </c>
      <c r="O940" s="145" t="inlineStr">
        <is>
          <t>No</t>
        </is>
      </c>
      <c r="P940" s="145" t="inlineStr">
        <is>
          <t>General</t>
        </is>
      </c>
      <c r="Q940" s="145" t="inlineStr">
        <is>
          <t>General</t>
        </is>
      </c>
      <c r="R940" s="145" t="n"/>
      <c r="S940" s="145" t="n"/>
      <c r="T940" s="145" t="n"/>
      <c r="U940" s="145" t="n"/>
      <c r="V940" s="145" t="n"/>
      <c r="W940" s="145" t="n"/>
      <c r="X940" s="145" t="inlineStr">
        <is>
          <t>Detailed format sample from top 5 used rows</t>
        </is>
      </c>
    </row>
    <row r="941" ht="23.85" customHeight="1" s="79">
      <c r="A941" s="145" t="inlineStr">
        <is>
          <t>GRC_DATA</t>
        </is>
      </c>
      <c r="B941" s="145" t="inlineStr">
        <is>
          <t>Top-Row Cell Format</t>
        </is>
      </c>
      <c r="C941" s="145" t="inlineStr">
        <is>
          <t>G2</t>
        </is>
      </c>
      <c r="D941" s="145" t="inlineStr">
        <is>
          <t>GRC_DATA!A1:AH3310</t>
        </is>
      </c>
      <c r="E941" s="145" t="inlineStr">
        <is>
          <t>Normal</t>
        </is>
      </c>
      <c r="F941" s="145" t="n"/>
      <c r="G941" s="145" t="inlineStr">
        <is>
          <t>Aptos</t>
        </is>
      </c>
      <c r="H941" s="145" t="n">
        <v>8</v>
      </c>
      <c r="I941" s="145" t="inlineStr">
        <is>
          <t>No</t>
        </is>
      </c>
      <c r="J941" s="145" t="inlineStr">
        <is>
          <t>No</t>
        </is>
      </c>
      <c r="K941" s="145" t="inlineStr">
        <is>
          <t>None</t>
        </is>
      </c>
      <c r="L941" s="145" t="inlineStr">
        <is>
          <t>#000000</t>
        </is>
      </c>
      <c r="M941" s="145" t="inlineStr">
        <is>
          <t>General</t>
        </is>
      </c>
      <c r="N941" s="145" t="inlineStr">
        <is>
          <t>Center</t>
        </is>
      </c>
      <c r="O941" s="145" t="inlineStr">
        <is>
          <t>No</t>
        </is>
      </c>
      <c r="P941" s="145" t="inlineStr">
        <is>
          <t>General</t>
        </is>
      </c>
      <c r="Q941" s="145" t="inlineStr">
        <is>
          <t>General</t>
        </is>
      </c>
      <c r="R941" s="145" t="n"/>
      <c r="S941" s="145" t="n"/>
      <c r="T941" s="145" t="n"/>
      <c r="U941" s="145" t="n"/>
      <c r="V941" s="145" t="n"/>
      <c r="W941" s="145" t="n"/>
      <c r="X941" s="145" t="inlineStr">
        <is>
          <t>Detailed format sample from top 5 used rows</t>
        </is>
      </c>
    </row>
    <row r="942" ht="23.85" customHeight="1" s="79">
      <c r="A942" s="145" t="inlineStr">
        <is>
          <t>GRC_DATA</t>
        </is>
      </c>
      <c r="B942" s="145" t="inlineStr">
        <is>
          <t>Top-Row Cell Format</t>
        </is>
      </c>
      <c r="C942" s="145" t="inlineStr">
        <is>
          <t>G3</t>
        </is>
      </c>
      <c r="D942" s="145" t="inlineStr">
        <is>
          <t>GRC_DATA!A1:AH3310</t>
        </is>
      </c>
      <c r="E942" s="145" t="inlineStr">
        <is>
          <t>Normal</t>
        </is>
      </c>
      <c r="F942" s="145" t="n"/>
      <c r="G942" s="145" t="inlineStr">
        <is>
          <t>Aptos</t>
        </is>
      </c>
      <c r="H942" s="145" t="n">
        <v>8</v>
      </c>
      <c r="I942" s="145" t="inlineStr">
        <is>
          <t>No</t>
        </is>
      </c>
      <c r="J942" s="145" t="inlineStr">
        <is>
          <t>No</t>
        </is>
      </c>
      <c r="K942" s="145" t="inlineStr">
        <is>
          <t>None</t>
        </is>
      </c>
      <c r="L942" s="145" t="inlineStr">
        <is>
          <t>#000000</t>
        </is>
      </c>
      <c r="M942" s="145" t="inlineStr">
        <is>
          <t>General</t>
        </is>
      </c>
      <c r="N942" s="145" t="inlineStr">
        <is>
          <t>Center</t>
        </is>
      </c>
      <c r="O942" s="145" t="inlineStr">
        <is>
          <t>No</t>
        </is>
      </c>
      <c r="P942" s="145" t="inlineStr">
        <is>
          <t>General</t>
        </is>
      </c>
      <c r="Q942" s="145" t="inlineStr">
        <is>
          <t>General</t>
        </is>
      </c>
      <c r="R942" s="145" t="n"/>
      <c r="S942" s="145" t="n"/>
      <c r="T942" s="145" t="n"/>
      <c r="U942" s="145" t="n"/>
      <c r="V942" s="145" t="n"/>
      <c r="W942" s="145" t="n"/>
      <c r="X942" s="145" t="inlineStr">
        <is>
          <t>Detailed format sample from top 5 used rows</t>
        </is>
      </c>
    </row>
    <row r="943" ht="23.85" customHeight="1" s="79">
      <c r="A943" s="145" t="inlineStr">
        <is>
          <t>GRC_DATA</t>
        </is>
      </c>
      <c r="B943" s="145" t="inlineStr">
        <is>
          <t>Top-Row Cell Format</t>
        </is>
      </c>
      <c r="C943" s="145" t="inlineStr">
        <is>
          <t>G4</t>
        </is>
      </c>
      <c r="D943" s="145" t="inlineStr">
        <is>
          <t>GRC_DATA!A1:AH3310</t>
        </is>
      </c>
      <c r="E943" s="145" t="inlineStr">
        <is>
          <t>Normal</t>
        </is>
      </c>
      <c r="F943" s="145" t="n"/>
      <c r="G943" s="145" t="inlineStr">
        <is>
          <t>Aptos</t>
        </is>
      </c>
      <c r="H943" s="145" t="n">
        <v>8</v>
      </c>
      <c r="I943" s="145" t="inlineStr">
        <is>
          <t>No</t>
        </is>
      </c>
      <c r="J943" s="145" t="inlineStr">
        <is>
          <t>No</t>
        </is>
      </c>
      <c r="K943" s="145" t="inlineStr">
        <is>
          <t>None</t>
        </is>
      </c>
      <c r="L943" s="145" t="inlineStr">
        <is>
          <t>#000000</t>
        </is>
      </c>
      <c r="M943" s="145" t="inlineStr">
        <is>
          <t>General</t>
        </is>
      </c>
      <c r="N943" s="145" t="inlineStr">
        <is>
          <t>Center</t>
        </is>
      </c>
      <c r="O943" s="145" t="inlineStr">
        <is>
          <t>No</t>
        </is>
      </c>
      <c r="P943" s="145" t="inlineStr">
        <is>
          <t>General</t>
        </is>
      </c>
      <c r="Q943" s="145" t="inlineStr">
        <is>
          <t>General</t>
        </is>
      </c>
      <c r="R943" s="145" t="n"/>
      <c r="S943" s="145" t="n"/>
      <c r="T943" s="145" t="n"/>
      <c r="U943" s="145" t="n"/>
      <c r="V943" s="145" t="n"/>
      <c r="W943" s="145" t="n"/>
      <c r="X943" s="145" t="inlineStr">
        <is>
          <t>Detailed format sample from top 5 used rows</t>
        </is>
      </c>
    </row>
    <row r="944" ht="23.85" customHeight="1" s="79">
      <c r="A944" s="145" t="inlineStr">
        <is>
          <t>GRC_DATA</t>
        </is>
      </c>
      <c r="B944" s="145" t="inlineStr">
        <is>
          <t>Top-Row Cell Format</t>
        </is>
      </c>
      <c r="C944" s="145" t="inlineStr">
        <is>
          <t>G5</t>
        </is>
      </c>
      <c r="D944" s="145" t="inlineStr">
        <is>
          <t>GRC_DATA!A1:AH3310</t>
        </is>
      </c>
      <c r="E944" s="145" t="inlineStr">
        <is>
          <t>Normal</t>
        </is>
      </c>
      <c r="F944" s="145" t="n"/>
      <c r="G944" s="145" t="inlineStr">
        <is>
          <t>Aptos</t>
        </is>
      </c>
      <c r="H944" s="145" t="n">
        <v>8</v>
      </c>
      <c r="I944" s="145" t="inlineStr">
        <is>
          <t>No</t>
        </is>
      </c>
      <c r="J944" s="145" t="inlineStr">
        <is>
          <t>No</t>
        </is>
      </c>
      <c r="K944" s="145" t="inlineStr">
        <is>
          <t>None</t>
        </is>
      </c>
      <c r="L944" s="145" t="inlineStr">
        <is>
          <t>#000000</t>
        </is>
      </c>
      <c r="M944" s="145" t="inlineStr">
        <is>
          <t>General</t>
        </is>
      </c>
      <c r="N944" s="145" t="inlineStr">
        <is>
          <t>Center</t>
        </is>
      </c>
      <c r="O944" s="145" t="inlineStr">
        <is>
          <t>No</t>
        </is>
      </c>
      <c r="P944" s="145" t="inlineStr">
        <is>
          <t>General</t>
        </is>
      </c>
      <c r="Q944" s="145" t="inlineStr">
        <is>
          <t>General</t>
        </is>
      </c>
      <c r="R944" s="145" t="n"/>
      <c r="S944" s="145" t="n"/>
      <c r="T944" s="145" t="n"/>
      <c r="U944" s="145" t="n"/>
      <c r="V944" s="145" t="n"/>
      <c r="W944" s="145" t="n"/>
      <c r="X944" s="145" t="inlineStr">
        <is>
          <t>Detailed format sample from top 5 used rows</t>
        </is>
      </c>
    </row>
    <row r="945" ht="23.85" customHeight="1" s="79">
      <c r="A945" s="145" t="inlineStr">
        <is>
          <t>GRC_DATA</t>
        </is>
      </c>
      <c r="B945" s="145" t="inlineStr">
        <is>
          <t>Column Format</t>
        </is>
      </c>
      <c r="C945" s="145" t="inlineStr">
        <is>
          <t>H:H</t>
        </is>
      </c>
      <c r="D945" s="145" t="inlineStr">
        <is>
          <t>GRC_DATA!A1:AH3310</t>
        </is>
      </c>
      <c r="E945" s="145" t="inlineStr">
        <is>
          <t>Normal</t>
        </is>
      </c>
      <c r="F945" s="145" t="inlineStr">
        <is>
          <t>Mixed</t>
        </is>
      </c>
      <c r="G945" s="145" t="inlineStr">
        <is>
          <t>Aptos</t>
        </is>
      </c>
      <c r="H945" s="145" t="n">
        <v>8</v>
      </c>
      <c r="I945" s="145" t="inlineStr">
        <is>
          <t>Mixed</t>
        </is>
      </c>
      <c r="J945" s="145" t="inlineStr">
        <is>
          <t>No</t>
        </is>
      </c>
      <c r="K945" s="145" t="inlineStr">
        <is>
          <t>None</t>
        </is>
      </c>
      <c r="L945" s="145" t="inlineStr">
        <is>
          <t>Mixed</t>
        </is>
      </c>
      <c r="M945" s="145" t="inlineStr">
        <is>
          <t>General</t>
        </is>
      </c>
      <c r="N945" s="145" t="inlineStr">
        <is>
          <t>Center</t>
        </is>
      </c>
      <c r="O945" s="145" t="inlineStr">
        <is>
          <t>No</t>
        </is>
      </c>
      <c r="P945" s="145" t="n"/>
      <c r="Q945" s="145" t="n"/>
      <c r="R945" s="145" t="n"/>
      <c r="S945" s="145" t="n">
        <v>61.7910447761194</v>
      </c>
      <c r="T945" s="145" t="n"/>
      <c r="U945" s="145" t="inlineStr">
        <is>
          <t>No</t>
        </is>
      </c>
      <c r="V945" s="145" t="inlineStr">
        <is>
          <t>Visible</t>
        </is>
      </c>
      <c r="W945" s="145" t="n"/>
      <c r="X945" s="145" t="inlineStr">
        <is>
          <t>Mixed styles within used column</t>
        </is>
      </c>
    </row>
    <row r="946" ht="23.85" customHeight="1" s="79">
      <c r="A946" s="145" t="inlineStr">
        <is>
          <t>GRC_DATA</t>
        </is>
      </c>
      <c r="B946" s="145" t="inlineStr">
        <is>
          <t>Top-Row Cell Format</t>
        </is>
      </c>
      <c r="C946" s="145" t="inlineStr">
        <is>
          <t>H1</t>
        </is>
      </c>
      <c r="D946" s="145" t="inlineStr">
        <is>
          <t>GRC_DATA!A1:AH3310</t>
        </is>
      </c>
      <c r="E946" s="145" t="inlineStr">
        <is>
          <t>Normal</t>
        </is>
      </c>
      <c r="F946" s="145" t="inlineStr">
        <is>
          <t>#ED7D31</t>
        </is>
      </c>
      <c r="G946" s="145" t="inlineStr">
        <is>
          <t>Aptos</t>
        </is>
      </c>
      <c r="H946" s="145" t="n">
        <v>8</v>
      </c>
      <c r="I946" s="145" t="inlineStr">
        <is>
          <t>Yes</t>
        </is>
      </c>
      <c r="J946" s="145" t="inlineStr">
        <is>
          <t>No</t>
        </is>
      </c>
      <c r="K946" s="145" t="inlineStr">
        <is>
          <t>None</t>
        </is>
      </c>
      <c r="L946" s="145" t="inlineStr">
        <is>
          <t>#FFFFFF</t>
        </is>
      </c>
      <c r="M946" s="145" t="inlineStr">
        <is>
          <t>General</t>
        </is>
      </c>
      <c r="N946" s="145" t="inlineStr">
        <is>
          <t>Center</t>
        </is>
      </c>
      <c r="O946" s="145" t="inlineStr">
        <is>
          <t>No</t>
        </is>
      </c>
      <c r="P946" s="145" t="inlineStr">
        <is>
          <t>General</t>
        </is>
      </c>
      <c r="Q946" s="145" t="inlineStr">
        <is>
          <t>General</t>
        </is>
      </c>
      <c r="R946" s="145" t="n"/>
      <c r="S946" s="145" t="n"/>
      <c r="T946" s="145" t="n"/>
      <c r="U946" s="145" t="n"/>
      <c r="V946" s="145" t="n"/>
      <c r="W946" s="145" t="n"/>
      <c r="X946" s="145" t="inlineStr">
        <is>
          <t>Detailed format sample from top 5 used rows</t>
        </is>
      </c>
    </row>
    <row r="947" ht="23.85" customHeight="1" s="79">
      <c r="A947" s="145" t="inlineStr">
        <is>
          <t>GRC_DATA</t>
        </is>
      </c>
      <c r="B947" s="145" t="inlineStr">
        <is>
          <t>Top-Row Cell Format</t>
        </is>
      </c>
      <c r="C947" s="145" t="inlineStr">
        <is>
          <t>H2</t>
        </is>
      </c>
      <c r="D947" s="145" t="inlineStr">
        <is>
          <t>GRC_DATA!A1:AH3310</t>
        </is>
      </c>
      <c r="E947" s="145" t="inlineStr">
        <is>
          <t>Normal</t>
        </is>
      </c>
      <c r="F947" s="145" t="n"/>
      <c r="G947" s="145" t="inlineStr">
        <is>
          <t>Aptos</t>
        </is>
      </c>
      <c r="H947" s="145" t="n">
        <v>8</v>
      </c>
      <c r="I947" s="145" t="inlineStr">
        <is>
          <t>No</t>
        </is>
      </c>
      <c r="J947" s="145" t="inlineStr">
        <is>
          <t>No</t>
        </is>
      </c>
      <c r="K947" s="145" t="inlineStr">
        <is>
          <t>None</t>
        </is>
      </c>
      <c r="L947" s="145" t="inlineStr">
        <is>
          <t>#000000</t>
        </is>
      </c>
      <c r="M947" s="145" t="inlineStr">
        <is>
          <t>General</t>
        </is>
      </c>
      <c r="N947" s="145" t="inlineStr">
        <is>
          <t>Center</t>
        </is>
      </c>
      <c r="O947" s="145" t="inlineStr">
        <is>
          <t>No</t>
        </is>
      </c>
      <c r="P947" s="145" t="inlineStr">
        <is>
          <t>General</t>
        </is>
      </c>
      <c r="Q947" s="145" t="inlineStr">
        <is>
          <t>General</t>
        </is>
      </c>
      <c r="R947" s="145" t="n"/>
      <c r="S947" s="145" t="n"/>
      <c r="T947" s="145" t="n"/>
      <c r="U947" s="145" t="n"/>
      <c r="V947" s="145" t="n"/>
      <c r="W947" s="145" t="n"/>
      <c r="X947" s="145" t="inlineStr">
        <is>
          <t>Detailed format sample from top 5 used rows</t>
        </is>
      </c>
    </row>
    <row r="948" ht="23.85" customHeight="1" s="79">
      <c r="A948" s="145" t="inlineStr">
        <is>
          <t>GRC_DATA</t>
        </is>
      </c>
      <c r="B948" s="145" t="inlineStr">
        <is>
          <t>Top-Row Cell Format</t>
        </is>
      </c>
      <c r="C948" s="145" t="inlineStr">
        <is>
          <t>H3</t>
        </is>
      </c>
      <c r="D948" s="145" t="inlineStr">
        <is>
          <t>GRC_DATA!A1:AH3310</t>
        </is>
      </c>
      <c r="E948" s="145" t="inlineStr">
        <is>
          <t>Normal</t>
        </is>
      </c>
      <c r="F948" s="145" t="n"/>
      <c r="G948" s="145" t="inlineStr">
        <is>
          <t>Aptos</t>
        </is>
      </c>
      <c r="H948" s="145" t="n">
        <v>8</v>
      </c>
      <c r="I948" s="145" t="inlineStr">
        <is>
          <t>No</t>
        </is>
      </c>
      <c r="J948" s="145" t="inlineStr">
        <is>
          <t>No</t>
        </is>
      </c>
      <c r="K948" s="145" t="inlineStr">
        <is>
          <t>None</t>
        </is>
      </c>
      <c r="L948" s="145" t="inlineStr">
        <is>
          <t>#000000</t>
        </is>
      </c>
      <c r="M948" s="145" t="inlineStr">
        <is>
          <t>General</t>
        </is>
      </c>
      <c r="N948" s="145" t="inlineStr">
        <is>
          <t>Center</t>
        </is>
      </c>
      <c r="O948" s="145" t="inlineStr">
        <is>
          <t>No</t>
        </is>
      </c>
      <c r="P948" s="145" t="inlineStr">
        <is>
          <t>General</t>
        </is>
      </c>
      <c r="Q948" s="145" t="inlineStr">
        <is>
          <t>General</t>
        </is>
      </c>
      <c r="R948" s="145" t="n"/>
      <c r="S948" s="145" t="n"/>
      <c r="T948" s="145" t="n"/>
      <c r="U948" s="145" t="n"/>
      <c r="V948" s="145" t="n"/>
      <c r="W948" s="145" t="n"/>
      <c r="X948" s="145" t="inlineStr">
        <is>
          <t>Detailed format sample from top 5 used rows</t>
        </is>
      </c>
    </row>
    <row r="949" ht="23.85" customHeight="1" s="79">
      <c r="A949" s="145" t="inlineStr">
        <is>
          <t>GRC_DATA</t>
        </is>
      </c>
      <c r="B949" s="145" t="inlineStr">
        <is>
          <t>Top-Row Cell Format</t>
        </is>
      </c>
      <c r="C949" s="145" t="inlineStr">
        <is>
          <t>H4</t>
        </is>
      </c>
      <c r="D949" s="145" t="inlineStr">
        <is>
          <t>GRC_DATA!A1:AH3310</t>
        </is>
      </c>
      <c r="E949" s="145" t="inlineStr">
        <is>
          <t>Normal</t>
        </is>
      </c>
      <c r="F949" s="145" t="n"/>
      <c r="G949" s="145" t="inlineStr">
        <is>
          <t>Aptos</t>
        </is>
      </c>
      <c r="H949" s="145" t="n">
        <v>8</v>
      </c>
      <c r="I949" s="145" t="inlineStr">
        <is>
          <t>No</t>
        </is>
      </c>
      <c r="J949" s="145" t="inlineStr">
        <is>
          <t>No</t>
        </is>
      </c>
      <c r="K949" s="145" t="inlineStr">
        <is>
          <t>None</t>
        </is>
      </c>
      <c r="L949" s="145" t="inlineStr">
        <is>
          <t>#000000</t>
        </is>
      </c>
      <c r="M949" s="145" t="inlineStr">
        <is>
          <t>General</t>
        </is>
      </c>
      <c r="N949" s="145" t="inlineStr">
        <is>
          <t>Center</t>
        </is>
      </c>
      <c r="O949" s="145" t="inlineStr">
        <is>
          <t>No</t>
        </is>
      </c>
      <c r="P949" s="145" t="inlineStr">
        <is>
          <t>General</t>
        </is>
      </c>
      <c r="Q949" s="145" t="inlineStr">
        <is>
          <t>General</t>
        </is>
      </c>
      <c r="R949" s="145" t="n"/>
      <c r="S949" s="145" t="n"/>
      <c r="T949" s="145" t="n"/>
      <c r="U949" s="145" t="n"/>
      <c r="V949" s="145" t="n"/>
      <c r="W949" s="145" t="n"/>
      <c r="X949" s="145" t="inlineStr">
        <is>
          <t>Detailed format sample from top 5 used rows</t>
        </is>
      </c>
    </row>
    <row r="950" ht="23.85" customHeight="1" s="79">
      <c r="A950" s="145" t="inlineStr">
        <is>
          <t>GRC_DATA</t>
        </is>
      </c>
      <c r="B950" s="145" t="inlineStr">
        <is>
          <t>Top-Row Cell Format</t>
        </is>
      </c>
      <c r="C950" s="145" t="inlineStr">
        <is>
          <t>H5</t>
        </is>
      </c>
      <c r="D950" s="145" t="inlineStr">
        <is>
          <t>GRC_DATA!A1:AH3310</t>
        </is>
      </c>
      <c r="E950" s="145" t="inlineStr">
        <is>
          <t>Normal</t>
        </is>
      </c>
      <c r="F950" s="145" t="n"/>
      <c r="G950" s="145" t="inlineStr">
        <is>
          <t>Aptos</t>
        </is>
      </c>
      <c r="H950" s="145" t="n">
        <v>8</v>
      </c>
      <c r="I950" s="145" t="inlineStr">
        <is>
          <t>No</t>
        </is>
      </c>
      <c r="J950" s="145" t="inlineStr">
        <is>
          <t>No</t>
        </is>
      </c>
      <c r="K950" s="145" t="inlineStr">
        <is>
          <t>None</t>
        </is>
      </c>
      <c r="L950" s="145" t="inlineStr">
        <is>
          <t>#000000</t>
        </is>
      </c>
      <c r="M950" s="145" t="inlineStr">
        <is>
          <t>General</t>
        </is>
      </c>
      <c r="N950" s="145" t="inlineStr">
        <is>
          <t>Center</t>
        </is>
      </c>
      <c r="O950" s="145" t="inlineStr">
        <is>
          <t>No</t>
        </is>
      </c>
      <c r="P950" s="145" t="inlineStr">
        <is>
          <t>General</t>
        </is>
      </c>
      <c r="Q950" s="145" t="inlineStr">
        <is>
          <t>General</t>
        </is>
      </c>
      <c r="R950" s="145" t="n"/>
      <c r="S950" s="145" t="n"/>
      <c r="T950" s="145" t="n"/>
      <c r="U950" s="145" t="n"/>
      <c r="V950" s="145" t="n"/>
      <c r="W950" s="145" t="n"/>
      <c r="X950" s="145" t="inlineStr">
        <is>
          <t>Detailed format sample from top 5 used rows</t>
        </is>
      </c>
    </row>
    <row r="951" ht="23.85" customHeight="1" s="79">
      <c r="A951" s="145" t="inlineStr">
        <is>
          <t>GRC_DATA</t>
        </is>
      </c>
      <c r="B951" s="145" t="inlineStr">
        <is>
          <t>Column Format</t>
        </is>
      </c>
      <c r="C951" s="145" t="inlineStr">
        <is>
          <t>I:I</t>
        </is>
      </c>
      <c r="D951" s="145" t="inlineStr">
        <is>
          <t>GRC_DATA!A1:AH3310</t>
        </is>
      </c>
      <c r="E951" s="145" t="inlineStr">
        <is>
          <t>Normal</t>
        </is>
      </c>
      <c r="F951" s="145" t="inlineStr">
        <is>
          <t>Mixed</t>
        </is>
      </c>
      <c r="G951" s="145" t="inlineStr">
        <is>
          <t>Aptos</t>
        </is>
      </c>
      <c r="H951" s="145" t="n">
        <v>8</v>
      </c>
      <c r="I951" s="145" t="inlineStr">
        <is>
          <t>Mixed</t>
        </is>
      </c>
      <c r="J951" s="145" t="inlineStr">
        <is>
          <t>No</t>
        </is>
      </c>
      <c r="K951" s="145" t="inlineStr">
        <is>
          <t>None</t>
        </is>
      </c>
      <c r="L951" s="145" t="inlineStr">
        <is>
          <t>Mixed</t>
        </is>
      </c>
      <c r="M951" s="145" t="inlineStr">
        <is>
          <t>General</t>
        </is>
      </c>
      <c r="N951" s="145" t="inlineStr">
        <is>
          <t>Center</t>
        </is>
      </c>
      <c r="O951" s="145" t="inlineStr">
        <is>
          <t>No</t>
        </is>
      </c>
      <c r="P951" s="145" t="n"/>
      <c r="Q951" s="145" t="n"/>
      <c r="R951" s="145" t="n"/>
      <c r="S951" s="145" t="n">
        <v>54.8059701492537</v>
      </c>
      <c r="T951" s="145" t="n"/>
      <c r="U951" s="145" t="inlineStr">
        <is>
          <t>No</t>
        </is>
      </c>
      <c r="V951" s="145" t="inlineStr">
        <is>
          <t>Visible</t>
        </is>
      </c>
      <c r="W951" s="145" t="n"/>
      <c r="X951" s="145" t="inlineStr">
        <is>
          <t>Mixed styles within used column</t>
        </is>
      </c>
    </row>
    <row r="952" ht="23.85" customHeight="1" s="79">
      <c r="A952" s="145" t="inlineStr">
        <is>
          <t>GRC_DATA</t>
        </is>
      </c>
      <c r="B952" s="145" t="inlineStr">
        <is>
          <t>Top-Row Cell Format</t>
        </is>
      </c>
      <c r="C952" s="145" t="inlineStr">
        <is>
          <t>I1</t>
        </is>
      </c>
      <c r="D952" s="145" t="inlineStr">
        <is>
          <t>GRC_DATA!A1:AH3310</t>
        </is>
      </c>
      <c r="E952" s="145" t="inlineStr">
        <is>
          <t>Normal</t>
        </is>
      </c>
      <c r="F952" s="145" t="inlineStr">
        <is>
          <t>#ED7D31</t>
        </is>
      </c>
      <c r="G952" s="145" t="inlineStr">
        <is>
          <t>Aptos</t>
        </is>
      </c>
      <c r="H952" s="145" t="n">
        <v>8</v>
      </c>
      <c r="I952" s="145" t="inlineStr">
        <is>
          <t>Yes</t>
        </is>
      </c>
      <c r="J952" s="145" t="inlineStr">
        <is>
          <t>No</t>
        </is>
      </c>
      <c r="K952" s="145" t="inlineStr">
        <is>
          <t>None</t>
        </is>
      </c>
      <c r="L952" s="145" t="inlineStr">
        <is>
          <t>#FFFFFF</t>
        </is>
      </c>
      <c r="M952" s="145" t="inlineStr">
        <is>
          <t>General</t>
        </is>
      </c>
      <c r="N952" s="145" t="inlineStr">
        <is>
          <t>Center</t>
        </is>
      </c>
      <c r="O952" s="145" t="inlineStr">
        <is>
          <t>No</t>
        </is>
      </c>
      <c r="P952" s="145" t="inlineStr">
        <is>
          <t>General</t>
        </is>
      </c>
      <c r="Q952" s="145" t="inlineStr">
        <is>
          <t>General</t>
        </is>
      </c>
      <c r="R952" s="145" t="n"/>
      <c r="S952" s="145" t="n"/>
      <c r="T952" s="145" t="n"/>
      <c r="U952" s="145" t="n"/>
      <c r="V952" s="145" t="n"/>
      <c r="W952" s="145" t="n"/>
      <c r="X952" s="145" t="inlineStr">
        <is>
          <t>Detailed format sample from top 5 used rows</t>
        </is>
      </c>
    </row>
    <row r="953" ht="23.85" customHeight="1" s="79">
      <c r="A953" s="145" t="inlineStr">
        <is>
          <t>GRC_DATA</t>
        </is>
      </c>
      <c r="B953" s="145" t="inlineStr">
        <is>
          <t>Top-Row Cell Format</t>
        </is>
      </c>
      <c r="C953" s="145" t="inlineStr">
        <is>
          <t>I2</t>
        </is>
      </c>
      <c r="D953" s="145" t="inlineStr">
        <is>
          <t>GRC_DATA!A1:AH3310</t>
        </is>
      </c>
      <c r="E953" s="145" t="inlineStr">
        <is>
          <t>Normal</t>
        </is>
      </c>
      <c r="F953" s="145" t="n"/>
      <c r="G953" s="145" t="inlineStr">
        <is>
          <t>Aptos</t>
        </is>
      </c>
      <c r="H953" s="145" t="n">
        <v>8</v>
      </c>
      <c r="I953" s="145" t="inlineStr">
        <is>
          <t>No</t>
        </is>
      </c>
      <c r="J953" s="145" t="inlineStr">
        <is>
          <t>No</t>
        </is>
      </c>
      <c r="K953" s="145" t="inlineStr">
        <is>
          <t>None</t>
        </is>
      </c>
      <c r="L953" s="145" t="inlineStr">
        <is>
          <t>#000000</t>
        </is>
      </c>
      <c r="M953" s="145" t="inlineStr">
        <is>
          <t>General</t>
        </is>
      </c>
      <c r="N953" s="145" t="inlineStr">
        <is>
          <t>Center</t>
        </is>
      </c>
      <c r="O953" s="145" t="inlineStr">
        <is>
          <t>No</t>
        </is>
      </c>
      <c r="P953" s="145" t="inlineStr">
        <is>
          <t>General</t>
        </is>
      </c>
      <c r="Q953" s="145" t="inlineStr">
        <is>
          <t>General</t>
        </is>
      </c>
      <c r="R953" s="145" t="n"/>
      <c r="S953" s="145" t="n"/>
      <c r="T953" s="145" t="n"/>
      <c r="U953" s="145" t="n"/>
      <c r="V953" s="145" t="n"/>
      <c r="W953" s="145" t="n"/>
      <c r="X953" s="145" t="inlineStr">
        <is>
          <t>Detailed format sample from top 5 used rows</t>
        </is>
      </c>
    </row>
    <row r="954" ht="23.85" customHeight="1" s="79">
      <c r="A954" s="145" t="inlineStr">
        <is>
          <t>GRC_DATA</t>
        </is>
      </c>
      <c r="B954" s="145" t="inlineStr">
        <is>
          <t>Top-Row Cell Format</t>
        </is>
      </c>
      <c r="C954" s="145" t="inlineStr">
        <is>
          <t>I3</t>
        </is>
      </c>
      <c r="D954" s="145" t="inlineStr">
        <is>
          <t>GRC_DATA!A1:AH3310</t>
        </is>
      </c>
      <c r="E954" s="145" t="inlineStr">
        <is>
          <t>Normal</t>
        </is>
      </c>
      <c r="F954" s="145" t="n"/>
      <c r="G954" s="145" t="inlineStr">
        <is>
          <t>Aptos</t>
        </is>
      </c>
      <c r="H954" s="145" t="n">
        <v>8</v>
      </c>
      <c r="I954" s="145" t="inlineStr">
        <is>
          <t>No</t>
        </is>
      </c>
      <c r="J954" s="145" t="inlineStr">
        <is>
          <t>No</t>
        </is>
      </c>
      <c r="K954" s="145" t="inlineStr">
        <is>
          <t>None</t>
        </is>
      </c>
      <c r="L954" s="145" t="inlineStr">
        <is>
          <t>#000000</t>
        </is>
      </c>
      <c r="M954" s="145" t="inlineStr">
        <is>
          <t>General</t>
        </is>
      </c>
      <c r="N954" s="145" t="inlineStr">
        <is>
          <t>Center</t>
        </is>
      </c>
      <c r="O954" s="145" t="inlineStr">
        <is>
          <t>No</t>
        </is>
      </c>
      <c r="P954" s="145" t="inlineStr">
        <is>
          <t>General</t>
        </is>
      </c>
      <c r="Q954" s="145" t="inlineStr">
        <is>
          <t>General</t>
        </is>
      </c>
      <c r="R954" s="145" t="n"/>
      <c r="S954" s="145" t="n"/>
      <c r="T954" s="145" t="n"/>
      <c r="U954" s="145" t="n"/>
      <c r="V954" s="145" t="n"/>
      <c r="W954" s="145" t="n"/>
      <c r="X954" s="145" t="inlineStr">
        <is>
          <t>Detailed format sample from top 5 used rows</t>
        </is>
      </c>
    </row>
    <row r="955" ht="23.85" customHeight="1" s="79">
      <c r="A955" s="145" t="inlineStr">
        <is>
          <t>GRC_DATA</t>
        </is>
      </c>
      <c r="B955" s="145" t="inlineStr">
        <is>
          <t>Top-Row Cell Format</t>
        </is>
      </c>
      <c r="C955" s="145" t="inlineStr">
        <is>
          <t>I4</t>
        </is>
      </c>
      <c r="D955" s="145" t="inlineStr">
        <is>
          <t>GRC_DATA!A1:AH3310</t>
        </is>
      </c>
      <c r="E955" s="145" t="inlineStr">
        <is>
          <t>Normal</t>
        </is>
      </c>
      <c r="F955" s="145" t="n"/>
      <c r="G955" s="145" t="inlineStr">
        <is>
          <t>Aptos</t>
        </is>
      </c>
      <c r="H955" s="145" t="n">
        <v>8</v>
      </c>
      <c r="I955" s="145" t="inlineStr">
        <is>
          <t>No</t>
        </is>
      </c>
      <c r="J955" s="145" t="inlineStr">
        <is>
          <t>No</t>
        </is>
      </c>
      <c r="K955" s="145" t="inlineStr">
        <is>
          <t>None</t>
        </is>
      </c>
      <c r="L955" s="145" t="inlineStr">
        <is>
          <t>#000000</t>
        </is>
      </c>
      <c r="M955" s="145" t="inlineStr">
        <is>
          <t>General</t>
        </is>
      </c>
      <c r="N955" s="145" t="inlineStr">
        <is>
          <t>Center</t>
        </is>
      </c>
      <c r="O955" s="145" t="inlineStr">
        <is>
          <t>No</t>
        </is>
      </c>
      <c r="P955" s="145" t="inlineStr">
        <is>
          <t>General</t>
        </is>
      </c>
      <c r="Q955" s="145" t="inlineStr">
        <is>
          <t>General</t>
        </is>
      </c>
      <c r="R955" s="145" t="n"/>
      <c r="S955" s="145" t="n"/>
      <c r="T955" s="145" t="n"/>
      <c r="U955" s="145" t="n"/>
      <c r="V955" s="145" t="n"/>
      <c r="W955" s="145" t="n"/>
      <c r="X955" s="145" t="inlineStr">
        <is>
          <t>Detailed format sample from top 5 used rows</t>
        </is>
      </c>
    </row>
    <row r="956" ht="23.85" customHeight="1" s="79">
      <c r="A956" s="145" t="inlineStr">
        <is>
          <t>GRC_DATA</t>
        </is>
      </c>
      <c r="B956" s="145" t="inlineStr">
        <is>
          <t>Top-Row Cell Format</t>
        </is>
      </c>
      <c r="C956" s="145" t="inlineStr">
        <is>
          <t>I5</t>
        </is>
      </c>
      <c r="D956" s="145" t="inlineStr">
        <is>
          <t>GRC_DATA!A1:AH3310</t>
        </is>
      </c>
      <c r="E956" s="145" t="inlineStr">
        <is>
          <t>Normal</t>
        </is>
      </c>
      <c r="F956" s="145" t="n"/>
      <c r="G956" s="145" t="inlineStr">
        <is>
          <t>Aptos</t>
        </is>
      </c>
      <c r="H956" s="145" t="n">
        <v>8</v>
      </c>
      <c r="I956" s="145" t="inlineStr">
        <is>
          <t>No</t>
        </is>
      </c>
      <c r="J956" s="145" t="inlineStr">
        <is>
          <t>No</t>
        </is>
      </c>
      <c r="K956" s="145" t="inlineStr">
        <is>
          <t>None</t>
        </is>
      </c>
      <c r="L956" s="145" t="inlineStr">
        <is>
          <t>#000000</t>
        </is>
      </c>
      <c r="M956" s="145" t="inlineStr">
        <is>
          <t>General</t>
        </is>
      </c>
      <c r="N956" s="145" t="inlineStr">
        <is>
          <t>Center</t>
        </is>
      </c>
      <c r="O956" s="145" t="inlineStr">
        <is>
          <t>No</t>
        </is>
      </c>
      <c r="P956" s="145" t="inlineStr">
        <is>
          <t>General</t>
        </is>
      </c>
      <c r="Q956" s="145" t="inlineStr">
        <is>
          <t>General</t>
        </is>
      </c>
      <c r="R956" s="145" t="n"/>
      <c r="S956" s="145" t="n"/>
      <c r="T956" s="145" t="n"/>
      <c r="U956" s="145" t="n"/>
      <c r="V956" s="145" t="n"/>
      <c r="W956" s="145" t="n"/>
      <c r="X956" s="145" t="inlineStr">
        <is>
          <t>Detailed format sample from top 5 used rows</t>
        </is>
      </c>
    </row>
    <row r="957" ht="23.85" customHeight="1" s="79">
      <c r="A957" s="145" t="inlineStr">
        <is>
          <t>GRC_DATA</t>
        </is>
      </c>
      <c r="B957" s="145" t="inlineStr">
        <is>
          <t>Column Format</t>
        </is>
      </c>
      <c r="C957" s="145" t="inlineStr">
        <is>
          <t>J:J</t>
        </is>
      </c>
      <c r="D957" s="145" t="inlineStr">
        <is>
          <t>GRC_DATA!A1:AH3310</t>
        </is>
      </c>
      <c r="E957" s="145" t="inlineStr">
        <is>
          <t>Normal</t>
        </is>
      </c>
      <c r="F957" s="145" t="inlineStr">
        <is>
          <t>Mixed</t>
        </is>
      </c>
      <c r="G957" s="145" t="inlineStr">
        <is>
          <t>Aptos</t>
        </is>
      </c>
      <c r="H957" s="145" t="n">
        <v>8</v>
      </c>
      <c r="I957" s="145" t="inlineStr">
        <is>
          <t>Mixed</t>
        </is>
      </c>
      <c r="J957" s="145" t="inlineStr">
        <is>
          <t>No</t>
        </is>
      </c>
      <c r="K957" s="145" t="inlineStr">
        <is>
          <t>None</t>
        </is>
      </c>
      <c r="L957" s="145" t="inlineStr">
        <is>
          <t>Mixed</t>
        </is>
      </c>
      <c r="M957" s="145" t="inlineStr">
        <is>
          <t>General</t>
        </is>
      </c>
      <c r="N957" s="145" t="inlineStr">
        <is>
          <t>Center</t>
        </is>
      </c>
      <c r="O957" s="145" t="inlineStr">
        <is>
          <t>No</t>
        </is>
      </c>
      <c r="P957" s="145" t="n"/>
      <c r="Q957" s="145" t="n"/>
      <c r="R957" s="145" t="n"/>
      <c r="S957" s="145" t="n">
        <v>28.4776119402985</v>
      </c>
      <c r="T957" s="145" t="n"/>
      <c r="U957" s="145" t="inlineStr">
        <is>
          <t>No</t>
        </is>
      </c>
      <c r="V957" s="145" t="inlineStr">
        <is>
          <t>Visible</t>
        </is>
      </c>
      <c r="W957" s="145" t="n"/>
      <c r="X957" s="145" t="inlineStr">
        <is>
          <t>Mixed styles within used column</t>
        </is>
      </c>
    </row>
    <row r="958" ht="23.85" customHeight="1" s="79">
      <c r="A958" s="145" t="inlineStr">
        <is>
          <t>GRC_DATA</t>
        </is>
      </c>
      <c r="B958" s="145" t="inlineStr">
        <is>
          <t>Top-Row Cell Format</t>
        </is>
      </c>
      <c r="C958" s="145" t="inlineStr">
        <is>
          <t>J1</t>
        </is>
      </c>
      <c r="D958" s="145" t="inlineStr">
        <is>
          <t>GRC_DATA!A1:AH3310</t>
        </is>
      </c>
      <c r="E958" s="145" t="inlineStr">
        <is>
          <t>Normal</t>
        </is>
      </c>
      <c r="F958" s="145" t="inlineStr">
        <is>
          <t>#ED7D31</t>
        </is>
      </c>
      <c r="G958" s="145" t="inlineStr">
        <is>
          <t>Aptos</t>
        </is>
      </c>
      <c r="H958" s="145" t="n">
        <v>8</v>
      </c>
      <c r="I958" s="145" t="inlineStr">
        <is>
          <t>Yes</t>
        </is>
      </c>
      <c r="J958" s="145" t="inlineStr">
        <is>
          <t>No</t>
        </is>
      </c>
      <c r="K958" s="145" t="inlineStr">
        <is>
          <t>None</t>
        </is>
      </c>
      <c r="L958" s="145" t="inlineStr">
        <is>
          <t>#FFFFFF</t>
        </is>
      </c>
      <c r="M958" s="145" t="inlineStr">
        <is>
          <t>General</t>
        </is>
      </c>
      <c r="N958" s="145" t="inlineStr">
        <is>
          <t>Center</t>
        </is>
      </c>
      <c r="O958" s="145" t="inlineStr">
        <is>
          <t>No</t>
        </is>
      </c>
      <c r="P958" s="145" t="inlineStr">
        <is>
          <t>General</t>
        </is>
      </c>
      <c r="Q958" s="145" t="inlineStr">
        <is>
          <t>General</t>
        </is>
      </c>
      <c r="R958" s="145" t="n"/>
      <c r="S958" s="145" t="n"/>
      <c r="T958" s="145" t="n"/>
      <c r="U958" s="145" t="n"/>
      <c r="V958" s="145" t="n"/>
      <c r="W958" s="145" t="n"/>
      <c r="X958" s="145" t="inlineStr">
        <is>
          <t>Detailed format sample from top 5 used rows</t>
        </is>
      </c>
    </row>
    <row r="959" ht="23.85" customHeight="1" s="79">
      <c r="A959" s="145" t="inlineStr">
        <is>
          <t>GRC_DATA</t>
        </is>
      </c>
      <c r="B959" s="145" t="inlineStr">
        <is>
          <t>Top-Row Cell Format</t>
        </is>
      </c>
      <c r="C959" s="145" t="inlineStr">
        <is>
          <t>J2</t>
        </is>
      </c>
      <c r="D959" s="145" t="inlineStr">
        <is>
          <t>GRC_DATA!A1:AH3310</t>
        </is>
      </c>
      <c r="E959" s="145" t="inlineStr">
        <is>
          <t>Normal</t>
        </is>
      </c>
      <c r="F959" s="145" t="n"/>
      <c r="G959" s="145" t="inlineStr">
        <is>
          <t>Aptos</t>
        </is>
      </c>
      <c r="H959" s="145" t="n">
        <v>8</v>
      </c>
      <c r="I959" s="145" t="inlineStr">
        <is>
          <t>No</t>
        </is>
      </c>
      <c r="J959" s="145" t="inlineStr">
        <is>
          <t>No</t>
        </is>
      </c>
      <c r="K959" s="145" t="inlineStr">
        <is>
          <t>None</t>
        </is>
      </c>
      <c r="L959" s="145" t="inlineStr">
        <is>
          <t>#000000</t>
        </is>
      </c>
      <c r="M959" s="145" t="inlineStr">
        <is>
          <t>General</t>
        </is>
      </c>
      <c r="N959" s="145" t="inlineStr">
        <is>
          <t>Center</t>
        </is>
      </c>
      <c r="O959" s="145" t="inlineStr">
        <is>
          <t>No</t>
        </is>
      </c>
      <c r="P959" s="145" t="inlineStr">
        <is>
          <t>General</t>
        </is>
      </c>
      <c r="Q959" s="145" t="inlineStr">
        <is>
          <t>General</t>
        </is>
      </c>
      <c r="R959" s="145" t="n"/>
      <c r="S959" s="145" t="n"/>
      <c r="T959" s="145" t="n"/>
      <c r="U959" s="145" t="n"/>
      <c r="V959" s="145" t="n"/>
      <c r="W959" s="145" t="n"/>
      <c r="X959" s="145" t="inlineStr">
        <is>
          <t>Detailed format sample from top 5 used rows</t>
        </is>
      </c>
    </row>
    <row r="960" ht="23.85" customHeight="1" s="79">
      <c r="A960" s="145" t="inlineStr">
        <is>
          <t>GRC_DATA</t>
        </is>
      </c>
      <c r="B960" s="145" t="inlineStr">
        <is>
          <t>Top-Row Cell Format</t>
        </is>
      </c>
      <c r="C960" s="145" t="inlineStr">
        <is>
          <t>J3</t>
        </is>
      </c>
      <c r="D960" s="145" t="inlineStr">
        <is>
          <t>GRC_DATA!A1:AH3310</t>
        </is>
      </c>
      <c r="E960" s="145" t="inlineStr">
        <is>
          <t>Normal</t>
        </is>
      </c>
      <c r="F960" s="145" t="n"/>
      <c r="G960" s="145" t="inlineStr">
        <is>
          <t>Aptos</t>
        </is>
      </c>
      <c r="H960" s="145" t="n">
        <v>8</v>
      </c>
      <c r="I960" s="145" t="inlineStr">
        <is>
          <t>No</t>
        </is>
      </c>
      <c r="J960" s="145" t="inlineStr">
        <is>
          <t>No</t>
        </is>
      </c>
      <c r="K960" s="145" t="inlineStr">
        <is>
          <t>None</t>
        </is>
      </c>
      <c r="L960" s="145" t="inlineStr">
        <is>
          <t>#000000</t>
        </is>
      </c>
      <c r="M960" s="145" t="inlineStr">
        <is>
          <t>General</t>
        </is>
      </c>
      <c r="N960" s="145" t="inlineStr">
        <is>
          <t>Center</t>
        </is>
      </c>
      <c r="O960" s="145" t="inlineStr">
        <is>
          <t>No</t>
        </is>
      </c>
      <c r="P960" s="145" t="inlineStr">
        <is>
          <t>General</t>
        </is>
      </c>
      <c r="Q960" s="145" t="inlineStr">
        <is>
          <t>General</t>
        </is>
      </c>
      <c r="R960" s="145" t="n"/>
      <c r="S960" s="145" t="n"/>
      <c r="T960" s="145" t="n"/>
      <c r="U960" s="145" t="n"/>
      <c r="V960" s="145" t="n"/>
      <c r="W960" s="145" t="n"/>
      <c r="X960" s="145" t="inlineStr">
        <is>
          <t>Detailed format sample from top 5 used rows</t>
        </is>
      </c>
    </row>
    <row r="961" ht="23.85" customHeight="1" s="79">
      <c r="A961" s="145" t="inlineStr">
        <is>
          <t>GRC_DATA</t>
        </is>
      </c>
      <c r="B961" s="145" t="inlineStr">
        <is>
          <t>Top-Row Cell Format</t>
        </is>
      </c>
      <c r="C961" s="145" t="inlineStr">
        <is>
          <t>J4</t>
        </is>
      </c>
      <c r="D961" s="145" t="inlineStr">
        <is>
          <t>GRC_DATA!A1:AH3310</t>
        </is>
      </c>
      <c r="E961" s="145" t="inlineStr">
        <is>
          <t>Normal</t>
        </is>
      </c>
      <c r="F961" s="145" t="n"/>
      <c r="G961" s="145" t="inlineStr">
        <is>
          <t>Aptos</t>
        </is>
      </c>
      <c r="H961" s="145" t="n">
        <v>8</v>
      </c>
      <c r="I961" s="145" t="inlineStr">
        <is>
          <t>No</t>
        </is>
      </c>
      <c r="J961" s="145" t="inlineStr">
        <is>
          <t>No</t>
        </is>
      </c>
      <c r="K961" s="145" t="inlineStr">
        <is>
          <t>None</t>
        </is>
      </c>
      <c r="L961" s="145" t="inlineStr">
        <is>
          <t>#000000</t>
        </is>
      </c>
      <c r="M961" s="145" t="inlineStr">
        <is>
          <t>General</t>
        </is>
      </c>
      <c r="N961" s="145" t="inlineStr">
        <is>
          <t>Center</t>
        </is>
      </c>
      <c r="O961" s="145" t="inlineStr">
        <is>
          <t>No</t>
        </is>
      </c>
      <c r="P961" s="145" t="inlineStr">
        <is>
          <t>General</t>
        </is>
      </c>
      <c r="Q961" s="145" t="inlineStr">
        <is>
          <t>General</t>
        </is>
      </c>
      <c r="R961" s="145" t="n"/>
      <c r="S961" s="145" t="n"/>
      <c r="T961" s="145" t="n"/>
      <c r="U961" s="145" t="n"/>
      <c r="V961" s="145" t="n"/>
      <c r="W961" s="145" t="n"/>
      <c r="X961" s="145" t="inlineStr">
        <is>
          <t>Detailed format sample from top 5 used rows</t>
        </is>
      </c>
    </row>
    <row r="962" ht="23.85" customHeight="1" s="79">
      <c r="A962" s="145" t="inlineStr">
        <is>
          <t>GRC_DATA</t>
        </is>
      </c>
      <c r="B962" s="145" t="inlineStr">
        <is>
          <t>Top-Row Cell Format</t>
        </is>
      </c>
      <c r="C962" s="145" t="inlineStr">
        <is>
          <t>J5</t>
        </is>
      </c>
      <c r="D962" s="145" t="inlineStr">
        <is>
          <t>GRC_DATA!A1:AH3310</t>
        </is>
      </c>
      <c r="E962" s="145" t="inlineStr">
        <is>
          <t>Normal</t>
        </is>
      </c>
      <c r="F962" s="145" t="n"/>
      <c r="G962" s="145" t="inlineStr">
        <is>
          <t>Aptos</t>
        </is>
      </c>
      <c r="H962" s="145" t="n">
        <v>8</v>
      </c>
      <c r="I962" s="145" t="inlineStr">
        <is>
          <t>No</t>
        </is>
      </c>
      <c r="J962" s="145" t="inlineStr">
        <is>
          <t>No</t>
        </is>
      </c>
      <c r="K962" s="145" t="inlineStr">
        <is>
          <t>None</t>
        </is>
      </c>
      <c r="L962" s="145" t="inlineStr">
        <is>
          <t>#000000</t>
        </is>
      </c>
      <c r="M962" s="145" t="inlineStr">
        <is>
          <t>General</t>
        </is>
      </c>
      <c r="N962" s="145" t="inlineStr">
        <is>
          <t>Center</t>
        </is>
      </c>
      <c r="O962" s="145" t="inlineStr">
        <is>
          <t>No</t>
        </is>
      </c>
      <c r="P962" s="145" t="inlineStr">
        <is>
          <t>General</t>
        </is>
      </c>
      <c r="Q962" s="145" t="inlineStr">
        <is>
          <t>General</t>
        </is>
      </c>
      <c r="R962" s="145" t="n"/>
      <c r="S962" s="145" t="n"/>
      <c r="T962" s="145" t="n"/>
      <c r="U962" s="145" t="n"/>
      <c r="V962" s="145" t="n"/>
      <c r="W962" s="145" t="n"/>
      <c r="X962" s="145" t="inlineStr">
        <is>
          <t>Detailed format sample from top 5 used rows</t>
        </is>
      </c>
    </row>
    <row r="963" ht="23.85" customHeight="1" s="79">
      <c r="A963" s="145" t="inlineStr">
        <is>
          <t>GRC_DATA</t>
        </is>
      </c>
      <c r="B963" s="145" t="inlineStr">
        <is>
          <t>Column Format</t>
        </is>
      </c>
      <c r="C963" s="145" t="inlineStr">
        <is>
          <t>K:K</t>
        </is>
      </c>
      <c r="D963" s="145" t="inlineStr">
        <is>
          <t>GRC_DATA!A1:AH3310</t>
        </is>
      </c>
      <c r="E963" s="145" t="inlineStr">
        <is>
          <t>Normal</t>
        </is>
      </c>
      <c r="F963" s="145" t="inlineStr">
        <is>
          <t>Mixed</t>
        </is>
      </c>
      <c r="G963" s="145" t="inlineStr">
        <is>
          <t>Aptos</t>
        </is>
      </c>
      <c r="H963" s="145" t="n">
        <v>8</v>
      </c>
      <c r="I963" s="145" t="inlineStr">
        <is>
          <t>Mixed</t>
        </is>
      </c>
      <c r="J963" s="145" t="inlineStr">
        <is>
          <t>No</t>
        </is>
      </c>
      <c r="K963" s="145" t="inlineStr">
        <is>
          <t>None</t>
        </is>
      </c>
      <c r="L963" s="145" t="inlineStr">
        <is>
          <t>Mixed</t>
        </is>
      </c>
      <c r="M963" s="145" t="inlineStr">
        <is>
          <t>General</t>
        </is>
      </c>
      <c r="N963" s="145" t="inlineStr">
        <is>
          <t>Center</t>
        </is>
      </c>
      <c r="O963" s="145" t="inlineStr">
        <is>
          <t>No</t>
        </is>
      </c>
      <c r="P963" s="145" t="n"/>
      <c r="Q963" s="145" t="n"/>
      <c r="R963" s="145" t="n"/>
      <c r="S963" s="145" t="n">
        <v>27.9402985074627</v>
      </c>
      <c r="T963" s="145" t="n"/>
      <c r="U963" s="145" t="inlineStr">
        <is>
          <t>No</t>
        </is>
      </c>
      <c r="V963" s="145" t="inlineStr">
        <is>
          <t>Visible</t>
        </is>
      </c>
      <c r="W963" s="145" t="n"/>
      <c r="X963" s="145" t="inlineStr">
        <is>
          <t>Mixed styles within used column</t>
        </is>
      </c>
    </row>
    <row r="964" ht="23.85" customHeight="1" s="79">
      <c r="A964" s="145" t="inlineStr">
        <is>
          <t>GRC_DATA</t>
        </is>
      </c>
      <c r="B964" s="145" t="inlineStr">
        <is>
          <t>Top-Row Cell Format</t>
        </is>
      </c>
      <c r="C964" s="145" t="inlineStr">
        <is>
          <t>K1</t>
        </is>
      </c>
      <c r="D964" s="145" t="inlineStr">
        <is>
          <t>GRC_DATA!A1:AH3310</t>
        </is>
      </c>
      <c r="E964" s="145" t="inlineStr">
        <is>
          <t>Normal</t>
        </is>
      </c>
      <c r="F964" s="145" t="inlineStr">
        <is>
          <t>#ED7D31</t>
        </is>
      </c>
      <c r="G964" s="145" t="inlineStr">
        <is>
          <t>Aptos</t>
        </is>
      </c>
      <c r="H964" s="145" t="n">
        <v>8</v>
      </c>
      <c r="I964" s="145" t="inlineStr">
        <is>
          <t>Yes</t>
        </is>
      </c>
      <c r="J964" s="145" t="inlineStr">
        <is>
          <t>No</t>
        </is>
      </c>
      <c r="K964" s="145" t="inlineStr">
        <is>
          <t>None</t>
        </is>
      </c>
      <c r="L964" s="145" t="inlineStr">
        <is>
          <t>#FFFFFF</t>
        </is>
      </c>
      <c r="M964" s="145" t="inlineStr">
        <is>
          <t>General</t>
        </is>
      </c>
      <c r="N964" s="145" t="inlineStr">
        <is>
          <t>Center</t>
        </is>
      </c>
      <c r="O964" s="145" t="inlineStr">
        <is>
          <t>No</t>
        </is>
      </c>
      <c r="P964" s="145" t="inlineStr">
        <is>
          <t>General</t>
        </is>
      </c>
      <c r="Q964" s="145" t="inlineStr">
        <is>
          <t>General</t>
        </is>
      </c>
      <c r="R964" s="145" t="n"/>
      <c r="S964" s="145" t="n"/>
      <c r="T964" s="145" t="n"/>
      <c r="U964" s="145" t="n"/>
      <c r="V964" s="145" t="n"/>
      <c r="W964" s="145" t="n"/>
      <c r="X964" s="145" t="inlineStr">
        <is>
          <t>Detailed format sample from top 5 used rows</t>
        </is>
      </c>
    </row>
    <row r="965" ht="23.85" customHeight="1" s="79">
      <c r="A965" s="145" t="inlineStr">
        <is>
          <t>GRC_DATA</t>
        </is>
      </c>
      <c r="B965" s="145" t="inlineStr">
        <is>
          <t>Top-Row Cell Format</t>
        </is>
      </c>
      <c r="C965" s="145" t="inlineStr">
        <is>
          <t>K2</t>
        </is>
      </c>
      <c r="D965" s="145" t="inlineStr">
        <is>
          <t>GRC_DATA!A1:AH3310</t>
        </is>
      </c>
      <c r="E965" s="145" t="inlineStr">
        <is>
          <t>Normal</t>
        </is>
      </c>
      <c r="F965" s="145" t="n"/>
      <c r="G965" s="145" t="inlineStr">
        <is>
          <t>Aptos</t>
        </is>
      </c>
      <c r="H965" s="145" t="n">
        <v>8</v>
      </c>
      <c r="I965" s="145" t="inlineStr">
        <is>
          <t>No</t>
        </is>
      </c>
      <c r="J965" s="145" t="inlineStr">
        <is>
          <t>No</t>
        </is>
      </c>
      <c r="K965" s="145" t="inlineStr">
        <is>
          <t>None</t>
        </is>
      </c>
      <c r="L965" s="145" t="inlineStr">
        <is>
          <t>#000000</t>
        </is>
      </c>
      <c r="M965" s="145" t="inlineStr">
        <is>
          <t>General</t>
        </is>
      </c>
      <c r="N965" s="145" t="inlineStr">
        <is>
          <t>Center</t>
        </is>
      </c>
      <c r="O965" s="145" t="inlineStr">
        <is>
          <t>No</t>
        </is>
      </c>
      <c r="P965" s="145" t="inlineStr">
        <is>
          <t>General</t>
        </is>
      </c>
      <c r="Q965" s="145" t="inlineStr">
        <is>
          <t>General</t>
        </is>
      </c>
      <c r="R965" s="145" t="n"/>
      <c r="S965" s="145" t="n"/>
      <c r="T965" s="145" t="n"/>
      <c r="U965" s="145" t="n"/>
      <c r="V965" s="145" t="n"/>
      <c r="W965" s="145" t="n"/>
      <c r="X965" s="145" t="inlineStr">
        <is>
          <t>Detailed format sample from top 5 used rows</t>
        </is>
      </c>
    </row>
    <row r="966" ht="23.85" customHeight="1" s="79">
      <c r="A966" s="145" t="inlineStr">
        <is>
          <t>GRC_DATA</t>
        </is>
      </c>
      <c r="B966" s="145" t="inlineStr">
        <is>
          <t>Top-Row Cell Format</t>
        </is>
      </c>
      <c r="C966" s="145" t="inlineStr">
        <is>
          <t>K3</t>
        </is>
      </c>
      <c r="D966" s="145" t="inlineStr">
        <is>
          <t>GRC_DATA!A1:AH3310</t>
        </is>
      </c>
      <c r="E966" s="145" t="inlineStr">
        <is>
          <t>Normal</t>
        </is>
      </c>
      <c r="F966" s="145" t="n"/>
      <c r="G966" s="145" t="inlineStr">
        <is>
          <t>Aptos</t>
        </is>
      </c>
      <c r="H966" s="145" t="n">
        <v>8</v>
      </c>
      <c r="I966" s="145" t="inlineStr">
        <is>
          <t>No</t>
        </is>
      </c>
      <c r="J966" s="145" t="inlineStr">
        <is>
          <t>No</t>
        </is>
      </c>
      <c r="K966" s="145" t="inlineStr">
        <is>
          <t>None</t>
        </is>
      </c>
      <c r="L966" s="145" t="inlineStr">
        <is>
          <t>#000000</t>
        </is>
      </c>
      <c r="M966" s="145" t="inlineStr">
        <is>
          <t>General</t>
        </is>
      </c>
      <c r="N966" s="145" t="inlineStr">
        <is>
          <t>Center</t>
        </is>
      </c>
      <c r="O966" s="145" t="inlineStr">
        <is>
          <t>No</t>
        </is>
      </c>
      <c r="P966" s="145" t="inlineStr">
        <is>
          <t>General</t>
        </is>
      </c>
      <c r="Q966" s="145" t="inlineStr">
        <is>
          <t>General</t>
        </is>
      </c>
      <c r="R966" s="145" t="n"/>
      <c r="S966" s="145" t="n"/>
      <c r="T966" s="145" t="n"/>
      <c r="U966" s="145" t="n"/>
      <c r="V966" s="145" t="n"/>
      <c r="W966" s="145" t="n"/>
      <c r="X966" s="145" t="inlineStr">
        <is>
          <t>Detailed format sample from top 5 used rows</t>
        </is>
      </c>
    </row>
    <row r="967" ht="23.85" customHeight="1" s="79">
      <c r="A967" s="145" t="inlineStr">
        <is>
          <t>GRC_DATA</t>
        </is>
      </c>
      <c r="B967" s="145" t="inlineStr">
        <is>
          <t>Top-Row Cell Format</t>
        </is>
      </c>
      <c r="C967" s="145" t="inlineStr">
        <is>
          <t>K4</t>
        </is>
      </c>
      <c r="D967" s="145" t="inlineStr">
        <is>
          <t>GRC_DATA!A1:AH3310</t>
        </is>
      </c>
      <c r="E967" s="145" t="inlineStr">
        <is>
          <t>Normal</t>
        </is>
      </c>
      <c r="F967" s="145" t="n"/>
      <c r="G967" s="145" t="inlineStr">
        <is>
          <t>Aptos</t>
        </is>
      </c>
      <c r="H967" s="145" t="n">
        <v>8</v>
      </c>
      <c r="I967" s="145" t="inlineStr">
        <is>
          <t>No</t>
        </is>
      </c>
      <c r="J967" s="145" t="inlineStr">
        <is>
          <t>No</t>
        </is>
      </c>
      <c r="K967" s="145" t="inlineStr">
        <is>
          <t>None</t>
        </is>
      </c>
      <c r="L967" s="145" t="inlineStr">
        <is>
          <t>#000000</t>
        </is>
      </c>
      <c r="M967" s="145" t="inlineStr">
        <is>
          <t>General</t>
        </is>
      </c>
      <c r="N967" s="145" t="inlineStr">
        <is>
          <t>Center</t>
        </is>
      </c>
      <c r="O967" s="145" t="inlineStr">
        <is>
          <t>No</t>
        </is>
      </c>
      <c r="P967" s="145" t="inlineStr">
        <is>
          <t>General</t>
        </is>
      </c>
      <c r="Q967" s="145" t="inlineStr">
        <is>
          <t>General</t>
        </is>
      </c>
      <c r="R967" s="145" t="n"/>
      <c r="S967" s="145" t="n"/>
      <c r="T967" s="145" t="n"/>
      <c r="U967" s="145" t="n"/>
      <c r="V967" s="145" t="n"/>
      <c r="W967" s="145" t="n"/>
      <c r="X967" s="145" t="inlineStr">
        <is>
          <t>Detailed format sample from top 5 used rows</t>
        </is>
      </c>
    </row>
    <row r="968" ht="23.85" customHeight="1" s="79">
      <c r="A968" s="145" t="inlineStr">
        <is>
          <t>GRC_DATA</t>
        </is>
      </c>
      <c r="B968" s="145" t="inlineStr">
        <is>
          <t>Top-Row Cell Format</t>
        </is>
      </c>
      <c r="C968" s="145" t="inlineStr">
        <is>
          <t>K5</t>
        </is>
      </c>
      <c r="D968" s="145" t="inlineStr">
        <is>
          <t>GRC_DATA!A1:AH3310</t>
        </is>
      </c>
      <c r="E968" s="145" t="inlineStr">
        <is>
          <t>Normal</t>
        </is>
      </c>
      <c r="F968" s="145" t="n"/>
      <c r="G968" s="145" t="inlineStr">
        <is>
          <t>Aptos</t>
        </is>
      </c>
      <c r="H968" s="145" t="n">
        <v>8</v>
      </c>
      <c r="I968" s="145" t="inlineStr">
        <is>
          <t>No</t>
        </is>
      </c>
      <c r="J968" s="145" t="inlineStr">
        <is>
          <t>No</t>
        </is>
      </c>
      <c r="K968" s="145" t="inlineStr">
        <is>
          <t>None</t>
        </is>
      </c>
      <c r="L968" s="145" t="inlineStr">
        <is>
          <t>#000000</t>
        </is>
      </c>
      <c r="M968" s="145" t="inlineStr">
        <is>
          <t>General</t>
        </is>
      </c>
      <c r="N968" s="145" t="inlineStr">
        <is>
          <t>Center</t>
        </is>
      </c>
      <c r="O968" s="145" t="inlineStr">
        <is>
          <t>No</t>
        </is>
      </c>
      <c r="P968" s="145" t="inlineStr">
        <is>
          <t>General</t>
        </is>
      </c>
      <c r="Q968" s="145" t="inlineStr">
        <is>
          <t>General</t>
        </is>
      </c>
      <c r="R968" s="145" t="n"/>
      <c r="S968" s="145" t="n"/>
      <c r="T968" s="145" t="n"/>
      <c r="U968" s="145" t="n"/>
      <c r="V968" s="145" t="n"/>
      <c r="W968" s="145" t="n"/>
      <c r="X968" s="145" t="inlineStr">
        <is>
          <t>Detailed format sample from top 5 used rows</t>
        </is>
      </c>
    </row>
    <row r="969" ht="23.85" customHeight="1" s="79">
      <c r="A969" s="145" t="inlineStr">
        <is>
          <t>GRC_DATA</t>
        </is>
      </c>
      <c r="B969" s="145" t="inlineStr">
        <is>
          <t>Column Format</t>
        </is>
      </c>
      <c r="C969" s="145" t="inlineStr">
        <is>
          <t>L:L</t>
        </is>
      </c>
      <c r="D969" s="145" t="inlineStr">
        <is>
          <t>GRC_DATA!A1:AH3310</t>
        </is>
      </c>
      <c r="E969" s="145" t="inlineStr">
        <is>
          <t>Normal</t>
        </is>
      </c>
      <c r="F969" s="145" t="inlineStr">
        <is>
          <t>Mixed</t>
        </is>
      </c>
      <c r="G969" s="145" t="inlineStr">
        <is>
          <t>Aptos</t>
        </is>
      </c>
      <c r="H969" s="145" t="n">
        <v>8</v>
      </c>
      <c r="I969" s="145" t="inlineStr">
        <is>
          <t>Mixed</t>
        </is>
      </c>
      <c r="J969" s="145" t="inlineStr">
        <is>
          <t>No</t>
        </is>
      </c>
      <c r="K969" s="145" t="inlineStr">
        <is>
          <t>None</t>
        </is>
      </c>
      <c r="L969" s="145" t="inlineStr">
        <is>
          <t>Mixed</t>
        </is>
      </c>
      <c r="M969" s="145" t="inlineStr">
        <is>
          <t>General</t>
        </is>
      </c>
      <c r="N969" s="145" t="inlineStr">
        <is>
          <t>Center</t>
        </is>
      </c>
      <c r="O969" s="145" t="inlineStr">
        <is>
          <t>No</t>
        </is>
      </c>
      <c r="P969" s="145" t="n"/>
      <c r="Q969" s="145" t="n"/>
      <c r="R969" s="145" t="n"/>
      <c r="S969" s="145" t="n">
        <v>27.9402985074627</v>
      </c>
      <c r="T969" s="145" t="n"/>
      <c r="U969" s="145" t="inlineStr">
        <is>
          <t>No</t>
        </is>
      </c>
      <c r="V969" s="145" t="inlineStr">
        <is>
          <t>Visible</t>
        </is>
      </c>
      <c r="W969" s="145" t="n"/>
      <c r="X969" s="145" t="inlineStr">
        <is>
          <t>Mixed styles within used column</t>
        </is>
      </c>
    </row>
    <row r="970" ht="23.85" customHeight="1" s="79">
      <c r="A970" s="145" t="inlineStr">
        <is>
          <t>GRC_DATA</t>
        </is>
      </c>
      <c r="B970" s="145" t="inlineStr">
        <is>
          <t>Top-Row Cell Format</t>
        </is>
      </c>
      <c r="C970" s="145" t="inlineStr">
        <is>
          <t>L1</t>
        </is>
      </c>
      <c r="D970" s="145" t="inlineStr">
        <is>
          <t>GRC_DATA!A1:AH3310</t>
        </is>
      </c>
      <c r="E970" s="145" t="inlineStr">
        <is>
          <t>Normal</t>
        </is>
      </c>
      <c r="F970" s="145" t="inlineStr">
        <is>
          <t>#ED7D31</t>
        </is>
      </c>
      <c r="G970" s="145" t="inlineStr">
        <is>
          <t>Aptos</t>
        </is>
      </c>
      <c r="H970" s="145" t="n">
        <v>8</v>
      </c>
      <c r="I970" s="145" t="inlineStr">
        <is>
          <t>Yes</t>
        </is>
      </c>
      <c r="J970" s="145" t="inlineStr">
        <is>
          <t>No</t>
        </is>
      </c>
      <c r="K970" s="145" t="inlineStr">
        <is>
          <t>None</t>
        </is>
      </c>
      <c r="L970" s="145" t="inlineStr">
        <is>
          <t>#FFFFFF</t>
        </is>
      </c>
      <c r="M970" s="145" t="inlineStr">
        <is>
          <t>General</t>
        </is>
      </c>
      <c r="N970" s="145" t="inlineStr">
        <is>
          <t>Center</t>
        </is>
      </c>
      <c r="O970" s="145" t="inlineStr">
        <is>
          <t>No</t>
        </is>
      </c>
      <c r="P970" s="145" t="inlineStr">
        <is>
          <t>General</t>
        </is>
      </c>
      <c r="Q970" s="145" t="inlineStr">
        <is>
          <t>General</t>
        </is>
      </c>
      <c r="R970" s="145" t="n"/>
      <c r="S970" s="145" t="n"/>
      <c r="T970" s="145" t="n"/>
      <c r="U970" s="145" t="n"/>
      <c r="V970" s="145" t="n"/>
      <c r="W970" s="145" t="n"/>
      <c r="X970" s="145" t="inlineStr">
        <is>
          <t>Detailed format sample from top 5 used rows</t>
        </is>
      </c>
    </row>
    <row r="971" ht="23.85" customHeight="1" s="79">
      <c r="A971" s="145" t="inlineStr">
        <is>
          <t>GRC_DATA</t>
        </is>
      </c>
      <c r="B971" s="145" t="inlineStr">
        <is>
          <t>Top-Row Cell Format</t>
        </is>
      </c>
      <c r="C971" s="145" t="inlineStr">
        <is>
          <t>L2</t>
        </is>
      </c>
      <c r="D971" s="145" t="inlineStr">
        <is>
          <t>GRC_DATA!A1:AH3310</t>
        </is>
      </c>
      <c r="E971" s="145" t="inlineStr">
        <is>
          <t>Normal</t>
        </is>
      </c>
      <c r="F971" s="145" t="n"/>
      <c r="G971" s="145" t="inlineStr">
        <is>
          <t>Aptos</t>
        </is>
      </c>
      <c r="H971" s="145" t="n">
        <v>8</v>
      </c>
      <c r="I971" s="145" t="inlineStr">
        <is>
          <t>No</t>
        </is>
      </c>
      <c r="J971" s="145" t="inlineStr">
        <is>
          <t>No</t>
        </is>
      </c>
      <c r="K971" s="145" t="inlineStr">
        <is>
          <t>None</t>
        </is>
      </c>
      <c r="L971" s="145" t="inlineStr">
        <is>
          <t>#000000</t>
        </is>
      </c>
      <c r="M971" s="145" t="inlineStr">
        <is>
          <t>General</t>
        </is>
      </c>
      <c r="N971" s="145" t="inlineStr">
        <is>
          <t>Center</t>
        </is>
      </c>
      <c r="O971" s="145" t="inlineStr">
        <is>
          <t>No</t>
        </is>
      </c>
      <c r="P971" s="145" t="inlineStr">
        <is>
          <t>General</t>
        </is>
      </c>
      <c r="Q971" s="145" t="inlineStr">
        <is>
          <t>General</t>
        </is>
      </c>
      <c r="R971" s="145" t="n"/>
      <c r="S971" s="145" t="n"/>
      <c r="T971" s="145" t="n"/>
      <c r="U971" s="145" t="n"/>
      <c r="V971" s="145" t="n"/>
      <c r="W971" s="145" t="n"/>
      <c r="X971" s="145" t="inlineStr">
        <is>
          <t>Detailed format sample from top 5 used rows</t>
        </is>
      </c>
    </row>
    <row r="972" ht="23.85" customHeight="1" s="79">
      <c r="A972" s="145" t="inlineStr">
        <is>
          <t>GRC_DATA</t>
        </is>
      </c>
      <c r="B972" s="145" t="inlineStr">
        <is>
          <t>Top-Row Cell Format</t>
        </is>
      </c>
      <c r="C972" s="145" t="inlineStr">
        <is>
          <t>L3</t>
        </is>
      </c>
      <c r="D972" s="145" t="inlineStr">
        <is>
          <t>GRC_DATA!A1:AH3310</t>
        </is>
      </c>
      <c r="E972" s="145" t="inlineStr">
        <is>
          <t>Normal</t>
        </is>
      </c>
      <c r="F972" s="145" t="n"/>
      <c r="G972" s="145" t="inlineStr">
        <is>
          <t>Aptos</t>
        </is>
      </c>
      <c r="H972" s="145" t="n">
        <v>8</v>
      </c>
      <c r="I972" s="145" t="inlineStr">
        <is>
          <t>No</t>
        </is>
      </c>
      <c r="J972" s="145" t="inlineStr">
        <is>
          <t>No</t>
        </is>
      </c>
      <c r="K972" s="145" t="inlineStr">
        <is>
          <t>None</t>
        </is>
      </c>
      <c r="L972" s="145" t="inlineStr">
        <is>
          <t>#000000</t>
        </is>
      </c>
      <c r="M972" s="145" t="inlineStr">
        <is>
          <t>General</t>
        </is>
      </c>
      <c r="N972" s="145" t="inlineStr">
        <is>
          <t>Center</t>
        </is>
      </c>
      <c r="O972" s="145" t="inlineStr">
        <is>
          <t>No</t>
        </is>
      </c>
      <c r="P972" s="145" t="inlineStr">
        <is>
          <t>General</t>
        </is>
      </c>
      <c r="Q972" s="145" t="inlineStr">
        <is>
          <t>General</t>
        </is>
      </c>
      <c r="R972" s="145" t="n"/>
      <c r="S972" s="145" t="n"/>
      <c r="T972" s="145" t="n"/>
      <c r="U972" s="145" t="n"/>
      <c r="V972" s="145" t="n"/>
      <c r="W972" s="145" t="n"/>
      <c r="X972" s="145" t="inlineStr">
        <is>
          <t>Detailed format sample from top 5 used rows</t>
        </is>
      </c>
    </row>
    <row r="973" ht="23.85" customHeight="1" s="79">
      <c r="A973" s="145" t="inlineStr">
        <is>
          <t>GRC_DATA</t>
        </is>
      </c>
      <c r="B973" s="145" t="inlineStr">
        <is>
          <t>Top-Row Cell Format</t>
        </is>
      </c>
      <c r="C973" s="145" t="inlineStr">
        <is>
          <t>L4</t>
        </is>
      </c>
      <c r="D973" s="145" t="inlineStr">
        <is>
          <t>GRC_DATA!A1:AH3310</t>
        </is>
      </c>
      <c r="E973" s="145" t="inlineStr">
        <is>
          <t>Normal</t>
        </is>
      </c>
      <c r="F973" s="145" t="n"/>
      <c r="G973" s="145" t="inlineStr">
        <is>
          <t>Aptos</t>
        </is>
      </c>
      <c r="H973" s="145" t="n">
        <v>8</v>
      </c>
      <c r="I973" s="145" t="inlineStr">
        <is>
          <t>No</t>
        </is>
      </c>
      <c r="J973" s="145" t="inlineStr">
        <is>
          <t>No</t>
        </is>
      </c>
      <c r="K973" s="145" t="inlineStr">
        <is>
          <t>None</t>
        </is>
      </c>
      <c r="L973" s="145" t="inlineStr">
        <is>
          <t>#000000</t>
        </is>
      </c>
      <c r="M973" s="145" t="inlineStr">
        <is>
          <t>General</t>
        </is>
      </c>
      <c r="N973" s="145" t="inlineStr">
        <is>
          <t>Center</t>
        </is>
      </c>
      <c r="O973" s="145" t="inlineStr">
        <is>
          <t>No</t>
        </is>
      </c>
      <c r="P973" s="145" t="inlineStr">
        <is>
          <t>General</t>
        </is>
      </c>
      <c r="Q973" s="145" t="inlineStr">
        <is>
          <t>General</t>
        </is>
      </c>
      <c r="R973" s="145" t="n"/>
      <c r="S973" s="145" t="n"/>
      <c r="T973" s="145" t="n"/>
      <c r="U973" s="145" t="n"/>
      <c r="V973" s="145" t="n"/>
      <c r="W973" s="145" t="n"/>
      <c r="X973" s="145" t="inlineStr">
        <is>
          <t>Detailed format sample from top 5 used rows</t>
        </is>
      </c>
    </row>
    <row r="974" ht="23.85" customHeight="1" s="79">
      <c r="A974" s="145" t="inlineStr">
        <is>
          <t>GRC_DATA</t>
        </is>
      </c>
      <c r="B974" s="145" t="inlineStr">
        <is>
          <t>Top-Row Cell Format</t>
        </is>
      </c>
      <c r="C974" s="145" t="inlineStr">
        <is>
          <t>L5</t>
        </is>
      </c>
      <c r="D974" s="145" t="inlineStr">
        <is>
          <t>GRC_DATA!A1:AH3310</t>
        </is>
      </c>
      <c r="E974" s="145" t="inlineStr">
        <is>
          <t>Normal</t>
        </is>
      </c>
      <c r="F974" s="145" t="n"/>
      <c r="G974" s="145" t="inlineStr">
        <is>
          <t>Aptos</t>
        </is>
      </c>
      <c r="H974" s="145" t="n">
        <v>8</v>
      </c>
      <c r="I974" s="145" t="inlineStr">
        <is>
          <t>No</t>
        </is>
      </c>
      <c r="J974" s="145" t="inlineStr">
        <is>
          <t>No</t>
        </is>
      </c>
      <c r="K974" s="145" t="inlineStr">
        <is>
          <t>None</t>
        </is>
      </c>
      <c r="L974" s="145" t="inlineStr">
        <is>
          <t>#000000</t>
        </is>
      </c>
      <c r="M974" s="145" t="inlineStr">
        <is>
          <t>General</t>
        </is>
      </c>
      <c r="N974" s="145" t="inlineStr">
        <is>
          <t>Center</t>
        </is>
      </c>
      <c r="O974" s="145" t="inlineStr">
        <is>
          <t>No</t>
        </is>
      </c>
      <c r="P974" s="145" t="inlineStr">
        <is>
          <t>General</t>
        </is>
      </c>
      <c r="Q974" s="145" t="inlineStr">
        <is>
          <t>General</t>
        </is>
      </c>
      <c r="R974" s="145" t="n"/>
      <c r="S974" s="145" t="n"/>
      <c r="T974" s="145" t="n"/>
      <c r="U974" s="145" t="n"/>
      <c r="V974" s="145" t="n"/>
      <c r="W974" s="145" t="n"/>
      <c r="X974" s="145" t="inlineStr">
        <is>
          <t>Detailed format sample from top 5 used rows</t>
        </is>
      </c>
    </row>
    <row r="975" ht="23.85" customHeight="1" s="79">
      <c r="A975" s="145" t="inlineStr">
        <is>
          <t>GRC_DATA</t>
        </is>
      </c>
      <c r="B975" s="145" t="inlineStr">
        <is>
          <t>Column Format</t>
        </is>
      </c>
      <c r="C975" s="145" t="inlineStr">
        <is>
          <t>M:M</t>
        </is>
      </c>
      <c r="D975" s="145" t="inlineStr">
        <is>
          <t>GRC_DATA!A1:AH3310</t>
        </is>
      </c>
      <c r="E975" s="145" t="inlineStr">
        <is>
          <t>Normal</t>
        </is>
      </c>
      <c r="F975" s="145" t="inlineStr">
        <is>
          <t>Mixed</t>
        </is>
      </c>
      <c r="G975" s="145" t="inlineStr">
        <is>
          <t>Aptos</t>
        </is>
      </c>
      <c r="H975" s="145" t="n">
        <v>8</v>
      </c>
      <c r="I975" s="145" t="inlineStr">
        <is>
          <t>Mixed</t>
        </is>
      </c>
      <c r="J975" s="145" t="inlineStr">
        <is>
          <t>No</t>
        </is>
      </c>
      <c r="K975" s="145" t="inlineStr">
        <is>
          <t>None</t>
        </is>
      </c>
      <c r="L975" s="145" t="inlineStr">
        <is>
          <t>Mixed</t>
        </is>
      </c>
      <c r="M975" s="145" t="inlineStr">
        <is>
          <t>General</t>
        </is>
      </c>
      <c r="N975" s="145" t="inlineStr">
        <is>
          <t>Center</t>
        </is>
      </c>
      <c r="O975" s="145" t="inlineStr">
        <is>
          <t>No</t>
        </is>
      </c>
      <c r="P975" s="145" t="n"/>
      <c r="Q975" s="145" t="n"/>
      <c r="R975" s="145" t="n"/>
      <c r="S975" s="145" t="n">
        <v>27.9402985074627</v>
      </c>
      <c r="T975" s="145" t="n"/>
      <c r="U975" s="145" t="inlineStr">
        <is>
          <t>No</t>
        </is>
      </c>
      <c r="V975" s="145" t="inlineStr">
        <is>
          <t>Visible</t>
        </is>
      </c>
      <c r="W975" s="145" t="n"/>
      <c r="X975" s="145" t="inlineStr">
        <is>
          <t>Mixed styles within used column</t>
        </is>
      </c>
    </row>
    <row r="976" ht="23.85" customHeight="1" s="79">
      <c r="A976" s="145" t="inlineStr">
        <is>
          <t>GRC_DATA</t>
        </is>
      </c>
      <c r="B976" s="145" t="inlineStr">
        <is>
          <t>Top-Row Cell Format</t>
        </is>
      </c>
      <c r="C976" s="145" t="inlineStr">
        <is>
          <t>M1</t>
        </is>
      </c>
      <c r="D976" s="145" t="inlineStr">
        <is>
          <t>GRC_DATA!A1:AH3310</t>
        </is>
      </c>
      <c r="E976" s="145" t="inlineStr">
        <is>
          <t>Normal</t>
        </is>
      </c>
      <c r="F976" s="145" t="inlineStr">
        <is>
          <t>#ED7D31</t>
        </is>
      </c>
      <c r="G976" s="145" t="inlineStr">
        <is>
          <t>Aptos</t>
        </is>
      </c>
      <c r="H976" s="145" t="n">
        <v>8</v>
      </c>
      <c r="I976" s="145" t="inlineStr">
        <is>
          <t>Yes</t>
        </is>
      </c>
      <c r="J976" s="145" t="inlineStr">
        <is>
          <t>No</t>
        </is>
      </c>
      <c r="K976" s="145" t="inlineStr">
        <is>
          <t>None</t>
        </is>
      </c>
      <c r="L976" s="145" t="inlineStr">
        <is>
          <t>#FFFFFF</t>
        </is>
      </c>
      <c r="M976" s="145" t="inlineStr">
        <is>
          <t>General</t>
        </is>
      </c>
      <c r="N976" s="145" t="inlineStr">
        <is>
          <t>Center</t>
        </is>
      </c>
      <c r="O976" s="145" t="inlineStr">
        <is>
          <t>No</t>
        </is>
      </c>
      <c r="P976" s="145" t="inlineStr">
        <is>
          <t>General</t>
        </is>
      </c>
      <c r="Q976" s="145" t="inlineStr">
        <is>
          <t>General</t>
        </is>
      </c>
      <c r="R976" s="145" t="n"/>
      <c r="S976" s="145" t="n"/>
      <c r="T976" s="145" t="n"/>
      <c r="U976" s="145" t="n"/>
      <c r="V976" s="145" t="n"/>
      <c r="W976" s="145" t="n"/>
      <c r="X976" s="145" t="inlineStr">
        <is>
          <t>Detailed format sample from top 5 used rows</t>
        </is>
      </c>
    </row>
    <row r="977" ht="23.85" customHeight="1" s="79">
      <c r="A977" s="145" t="inlineStr">
        <is>
          <t>GRC_DATA</t>
        </is>
      </c>
      <c r="B977" s="145" t="inlineStr">
        <is>
          <t>Top-Row Cell Format</t>
        </is>
      </c>
      <c r="C977" s="145" t="inlineStr">
        <is>
          <t>M2</t>
        </is>
      </c>
      <c r="D977" s="145" t="inlineStr">
        <is>
          <t>GRC_DATA!A1:AH3310</t>
        </is>
      </c>
      <c r="E977" s="145" t="inlineStr">
        <is>
          <t>Normal</t>
        </is>
      </c>
      <c r="F977" s="145" t="n"/>
      <c r="G977" s="145" t="inlineStr">
        <is>
          <t>Aptos</t>
        </is>
      </c>
      <c r="H977" s="145" t="n">
        <v>8</v>
      </c>
      <c r="I977" s="145" t="inlineStr">
        <is>
          <t>No</t>
        </is>
      </c>
      <c r="J977" s="145" t="inlineStr">
        <is>
          <t>No</t>
        </is>
      </c>
      <c r="K977" s="145" t="inlineStr">
        <is>
          <t>None</t>
        </is>
      </c>
      <c r="L977" s="145" t="inlineStr">
        <is>
          <t>#000000</t>
        </is>
      </c>
      <c r="M977" s="145" t="inlineStr">
        <is>
          <t>General</t>
        </is>
      </c>
      <c r="N977" s="145" t="inlineStr">
        <is>
          <t>Center</t>
        </is>
      </c>
      <c r="O977" s="145" t="inlineStr">
        <is>
          <t>No</t>
        </is>
      </c>
      <c r="P977" s="145" t="inlineStr">
        <is>
          <t>General</t>
        </is>
      </c>
      <c r="Q977" s="145" t="inlineStr">
        <is>
          <t>General</t>
        </is>
      </c>
      <c r="R977" s="145" t="n"/>
      <c r="S977" s="145" t="n"/>
      <c r="T977" s="145" t="n"/>
      <c r="U977" s="145" t="n"/>
      <c r="V977" s="145" t="n"/>
      <c r="W977" s="145" t="n"/>
      <c r="X977" s="145" t="inlineStr">
        <is>
          <t>Detailed format sample from top 5 used rows</t>
        </is>
      </c>
    </row>
    <row r="978" ht="23.85" customHeight="1" s="79">
      <c r="A978" s="145" t="inlineStr">
        <is>
          <t>GRC_DATA</t>
        </is>
      </c>
      <c r="B978" s="145" t="inlineStr">
        <is>
          <t>Top-Row Cell Format</t>
        </is>
      </c>
      <c r="C978" s="145" t="inlineStr">
        <is>
          <t>M3</t>
        </is>
      </c>
      <c r="D978" s="145" t="inlineStr">
        <is>
          <t>GRC_DATA!A1:AH3310</t>
        </is>
      </c>
      <c r="E978" s="145" t="inlineStr">
        <is>
          <t>Normal</t>
        </is>
      </c>
      <c r="F978" s="145" t="n"/>
      <c r="G978" s="145" t="inlineStr">
        <is>
          <t>Aptos</t>
        </is>
      </c>
      <c r="H978" s="145" t="n">
        <v>8</v>
      </c>
      <c r="I978" s="145" t="inlineStr">
        <is>
          <t>No</t>
        </is>
      </c>
      <c r="J978" s="145" t="inlineStr">
        <is>
          <t>No</t>
        </is>
      </c>
      <c r="K978" s="145" t="inlineStr">
        <is>
          <t>None</t>
        </is>
      </c>
      <c r="L978" s="145" t="inlineStr">
        <is>
          <t>#000000</t>
        </is>
      </c>
      <c r="M978" s="145" t="inlineStr">
        <is>
          <t>General</t>
        </is>
      </c>
      <c r="N978" s="145" t="inlineStr">
        <is>
          <t>Center</t>
        </is>
      </c>
      <c r="O978" s="145" t="inlineStr">
        <is>
          <t>No</t>
        </is>
      </c>
      <c r="P978" s="145" t="inlineStr">
        <is>
          <t>General</t>
        </is>
      </c>
      <c r="Q978" s="145" t="inlineStr">
        <is>
          <t>General</t>
        </is>
      </c>
      <c r="R978" s="145" t="n"/>
      <c r="S978" s="145" t="n"/>
      <c r="T978" s="145" t="n"/>
      <c r="U978" s="145" t="n"/>
      <c r="V978" s="145" t="n"/>
      <c r="W978" s="145" t="n"/>
      <c r="X978" s="145" t="inlineStr">
        <is>
          <t>Detailed format sample from top 5 used rows</t>
        </is>
      </c>
    </row>
    <row r="979" ht="23.85" customHeight="1" s="79">
      <c r="A979" s="145" t="inlineStr">
        <is>
          <t>GRC_DATA</t>
        </is>
      </c>
      <c r="B979" s="145" t="inlineStr">
        <is>
          <t>Top-Row Cell Format</t>
        </is>
      </c>
      <c r="C979" s="145" t="inlineStr">
        <is>
          <t>M4</t>
        </is>
      </c>
      <c r="D979" s="145" t="inlineStr">
        <is>
          <t>GRC_DATA!A1:AH3310</t>
        </is>
      </c>
      <c r="E979" s="145" t="inlineStr">
        <is>
          <t>Normal</t>
        </is>
      </c>
      <c r="F979" s="145" t="n"/>
      <c r="G979" s="145" t="inlineStr">
        <is>
          <t>Aptos</t>
        </is>
      </c>
      <c r="H979" s="145" t="n">
        <v>8</v>
      </c>
      <c r="I979" s="145" t="inlineStr">
        <is>
          <t>No</t>
        </is>
      </c>
      <c r="J979" s="145" t="inlineStr">
        <is>
          <t>No</t>
        </is>
      </c>
      <c r="K979" s="145" t="inlineStr">
        <is>
          <t>None</t>
        </is>
      </c>
      <c r="L979" s="145" t="inlineStr">
        <is>
          <t>#000000</t>
        </is>
      </c>
      <c r="M979" s="145" t="inlineStr">
        <is>
          <t>General</t>
        </is>
      </c>
      <c r="N979" s="145" t="inlineStr">
        <is>
          <t>Center</t>
        </is>
      </c>
      <c r="O979" s="145" t="inlineStr">
        <is>
          <t>No</t>
        </is>
      </c>
      <c r="P979" s="145" t="inlineStr">
        <is>
          <t>General</t>
        </is>
      </c>
      <c r="Q979" s="145" t="inlineStr">
        <is>
          <t>General</t>
        </is>
      </c>
      <c r="R979" s="145" t="n"/>
      <c r="S979" s="145" t="n"/>
      <c r="T979" s="145" t="n"/>
      <c r="U979" s="145" t="n"/>
      <c r="V979" s="145" t="n"/>
      <c r="W979" s="145" t="n"/>
      <c r="X979" s="145" t="inlineStr">
        <is>
          <t>Detailed format sample from top 5 used rows</t>
        </is>
      </c>
    </row>
    <row r="980" ht="23.85" customHeight="1" s="79">
      <c r="A980" s="145" t="inlineStr">
        <is>
          <t>GRC_DATA</t>
        </is>
      </c>
      <c r="B980" s="145" t="inlineStr">
        <is>
          <t>Top-Row Cell Format</t>
        </is>
      </c>
      <c r="C980" s="145" t="inlineStr">
        <is>
          <t>M5</t>
        </is>
      </c>
      <c r="D980" s="145" t="inlineStr">
        <is>
          <t>GRC_DATA!A1:AH3310</t>
        </is>
      </c>
      <c r="E980" s="145" t="inlineStr">
        <is>
          <t>Normal</t>
        </is>
      </c>
      <c r="F980" s="145" t="n"/>
      <c r="G980" s="145" t="inlineStr">
        <is>
          <t>Aptos</t>
        </is>
      </c>
      <c r="H980" s="145" t="n">
        <v>8</v>
      </c>
      <c r="I980" s="145" t="inlineStr">
        <is>
          <t>No</t>
        </is>
      </c>
      <c r="J980" s="145" t="inlineStr">
        <is>
          <t>No</t>
        </is>
      </c>
      <c r="K980" s="145" t="inlineStr">
        <is>
          <t>None</t>
        </is>
      </c>
      <c r="L980" s="145" t="inlineStr">
        <is>
          <t>#000000</t>
        </is>
      </c>
      <c r="M980" s="145" t="inlineStr">
        <is>
          <t>General</t>
        </is>
      </c>
      <c r="N980" s="145" t="inlineStr">
        <is>
          <t>Center</t>
        </is>
      </c>
      <c r="O980" s="145" t="inlineStr">
        <is>
          <t>No</t>
        </is>
      </c>
      <c r="P980" s="145" t="inlineStr">
        <is>
          <t>General</t>
        </is>
      </c>
      <c r="Q980" s="145" t="inlineStr">
        <is>
          <t>General</t>
        </is>
      </c>
      <c r="R980" s="145" t="n"/>
      <c r="S980" s="145" t="n"/>
      <c r="T980" s="145" t="n"/>
      <c r="U980" s="145" t="n"/>
      <c r="V980" s="145" t="n"/>
      <c r="W980" s="145" t="n"/>
      <c r="X980" s="145" t="inlineStr">
        <is>
          <t>Detailed format sample from top 5 used rows</t>
        </is>
      </c>
    </row>
    <row r="981" ht="23.85" customHeight="1" s="79">
      <c r="A981" s="145" t="inlineStr">
        <is>
          <t>GRC_DATA</t>
        </is>
      </c>
      <c r="B981" s="145" t="inlineStr">
        <is>
          <t>Column Format</t>
        </is>
      </c>
      <c r="C981" s="145" t="inlineStr">
        <is>
          <t>N:N</t>
        </is>
      </c>
      <c r="D981" s="145" t="inlineStr">
        <is>
          <t>GRC_DATA!A1:AH3310</t>
        </is>
      </c>
      <c r="E981" s="145" t="inlineStr">
        <is>
          <t>Normal</t>
        </is>
      </c>
      <c r="F981" s="145" t="inlineStr">
        <is>
          <t>Mixed</t>
        </is>
      </c>
      <c r="G981" s="145" t="inlineStr">
        <is>
          <t>Aptos</t>
        </is>
      </c>
      <c r="H981" s="145" t="n">
        <v>8</v>
      </c>
      <c r="I981" s="145" t="inlineStr">
        <is>
          <t>Mixed</t>
        </is>
      </c>
      <c r="J981" s="145" t="inlineStr">
        <is>
          <t>No</t>
        </is>
      </c>
      <c r="K981" s="145" t="inlineStr">
        <is>
          <t>None</t>
        </is>
      </c>
      <c r="L981" s="145" t="inlineStr">
        <is>
          <t>Mixed</t>
        </is>
      </c>
      <c r="M981" s="145" t="inlineStr">
        <is>
          <t>General</t>
        </is>
      </c>
      <c r="N981" s="145" t="inlineStr">
        <is>
          <t>Center</t>
        </is>
      </c>
      <c r="O981" s="145" t="inlineStr">
        <is>
          <t>No</t>
        </is>
      </c>
      <c r="P981" s="145" t="n"/>
      <c r="Q981" s="145" t="n"/>
      <c r="R981" s="145" t="n"/>
      <c r="S981" s="145" t="n">
        <v>27.9402985074627</v>
      </c>
      <c r="T981" s="145" t="n"/>
      <c r="U981" s="145" t="inlineStr">
        <is>
          <t>No</t>
        </is>
      </c>
      <c r="V981" s="145" t="inlineStr">
        <is>
          <t>Visible</t>
        </is>
      </c>
      <c r="W981" s="145" t="n"/>
      <c r="X981" s="145" t="inlineStr">
        <is>
          <t>Mixed styles within used column</t>
        </is>
      </c>
    </row>
    <row r="982" ht="23.85" customHeight="1" s="79">
      <c r="A982" s="145" t="inlineStr">
        <is>
          <t>GRC_DATA</t>
        </is>
      </c>
      <c r="B982" s="145" t="inlineStr">
        <is>
          <t>Top-Row Cell Format</t>
        </is>
      </c>
      <c r="C982" s="145" t="inlineStr">
        <is>
          <t>N1</t>
        </is>
      </c>
      <c r="D982" s="145" t="inlineStr">
        <is>
          <t>GRC_DATA!A1:AH3310</t>
        </is>
      </c>
      <c r="E982" s="145" t="inlineStr">
        <is>
          <t>Normal</t>
        </is>
      </c>
      <c r="F982" s="145" t="inlineStr">
        <is>
          <t>#ED7D31</t>
        </is>
      </c>
      <c r="G982" s="145" t="inlineStr">
        <is>
          <t>Aptos</t>
        </is>
      </c>
      <c r="H982" s="145" t="n">
        <v>8</v>
      </c>
      <c r="I982" s="145" t="inlineStr">
        <is>
          <t>Yes</t>
        </is>
      </c>
      <c r="J982" s="145" t="inlineStr">
        <is>
          <t>No</t>
        </is>
      </c>
      <c r="K982" s="145" t="inlineStr">
        <is>
          <t>None</t>
        </is>
      </c>
      <c r="L982" s="145" t="inlineStr">
        <is>
          <t>#FFFFFF</t>
        </is>
      </c>
      <c r="M982" s="145" t="inlineStr">
        <is>
          <t>General</t>
        </is>
      </c>
      <c r="N982" s="145" t="inlineStr">
        <is>
          <t>Center</t>
        </is>
      </c>
      <c r="O982" s="145" t="inlineStr">
        <is>
          <t>No</t>
        </is>
      </c>
      <c r="P982" s="145" t="inlineStr">
        <is>
          <t>General</t>
        </is>
      </c>
      <c r="Q982" s="145" t="inlineStr">
        <is>
          <t>General</t>
        </is>
      </c>
      <c r="R982" s="145" t="n"/>
      <c r="S982" s="145" t="n"/>
      <c r="T982" s="145" t="n"/>
      <c r="U982" s="145" t="n"/>
      <c r="V982" s="145" t="n"/>
      <c r="W982" s="145" t="n"/>
      <c r="X982" s="145" t="inlineStr">
        <is>
          <t>Detailed format sample from top 5 used rows</t>
        </is>
      </c>
    </row>
    <row r="983" ht="23.85" customHeight="1" s="79">
      <c r="A983" s="145" t="inlineStr">
        <is>
          <t>GRC_DATA</t>
        </is>
      </c>
      <c r="B983" s="145" t="inlineStr">
        <is>
          <t>Top-Row Cell Format</t>
        </is>
      </c>
      <c r="C983" s="145" t="inlineStr">
        <is>
          <t>N2</t>
        </is>
      </c>
      <c r="D983" s="145" t="inlineStr">
        <is>
          <t>GRC_DATA!A1:AH3310</t>
        </is>
      </c>
      <c r="E983" s="145" t="inlineStr">
        <is>
          <t>Normal</t>
        </is>
      </c>
      <c r="F983" s="145" t="n"/>
      <c r="G983" s="145" t="inlineStr">
        <is>
          <t>Aptos</t>
        </is>
      </c>
      <c r="H983" s="145" t="n">
        <v>8</v>
      </c>
      <c r="I983" s="145" t="inlineStr">
        <is>
          <t>No</t>
        </is>
      </c>
      <c r="J983" s="145" t="inlineStr">
        <is>
          <t>No</t>
        </is>
      </c>
      <c r="K983" s="145" t="inlineStr">
        <is>
          <t>None</t>
        </is>
      </c>
      <c r="L983" s="145" t="inlineStr">
        <is>
          <t>#000000</t>
        </is>
      </c>
      <c r="M983" s="145" t="inlineStr">
        <is>
          <t>General</t>
        </is>
      </c>
      <c r="N983" s="145" t="inlineStr">
        <is>
          <t>Center</t>
        </is>
      </c>
      <c r="O983" s="145" t="inlineStr">
        <is>
          <t>No</t>
        </is>
      </c>
      <c r="P983" s="145" t="inlineStr">
        <is>
          <t>General</t>
        </is>
      </c>
      <c r="Q983" s="145" t="inlineStr">
        <is>
          <t>General</t>
        </is>
      </c>
      <c r="R983" s="145" t="n"/>
      <c r="S983" s="145" t="n"/>
      <c r="T983" s="145" t="n"/>
      <c r="U983" s="145" t="n"/>
      <c r="V983" s="145" t="n"/>
      <c r="W983" s="145" t="n"/>
      <c r="X983" s="145" t="inlineStr">
        <is>
          <t>Detailed format sample from top 5 used rows</t>
        </is>
      </c>
    </row>
    <row r="984" ht="23.85" customHeight="1" s="79">
      <c r="A984" s="145" t="inlineStr">
        <is>
          <t>GRC_DATA</t>
        </is>
      </c>
      <c r="B984" s="145" t="inlineStr">
        <is>
          <t>Top-Row Cell Format</t>
        </is>
      </c>
      <c r="C984" s="145" t="inlineStr">
        <is>
          <t>N3</t>
        </is>
      </c>
      <c r="D984" s="145" t="inlineStr">
        <is>
          <t>GRC_DATA!A1:AH3310</t>
        </is>
      </c>
      <c r="E984" s="145" t="inlineStr">
        <is>
          <t>Normal</t>
        </is>
      </c>
      <c r="F984" s="145" t="n"/>
      <c r="G984" s="145" t="inlineStr">
        <is>
          <t>Aptos</t>
        </is>
      </c>
      <c r="H984" s="145" t="n">
        <v>8</v>
      </c>
      <c r="I984" s="145" t="inlineStr">
        <is>
          <t>No</t>
        </is>
      </c>
      <c r="J984" s="145" t="inlineStr">
        <is>
          <t>No</t>
        </is>
      </c>
      <c r="K984" s="145" t="inlineStr">
        <is>
          <t>None</t>
        </is>
      </c>
      <c r="L984" s="145" t="inlineStr">
        <is>
          <t>#000000</t>
        </is>
      </c>
      <c r="M984" s="145" t="inlineStr">
        <is>
          <t>General</t>
        </is>
      </c>
      <c r="N984" s="145" t="inlineStr">
        <is>
          <t>Center</t>
        </is>
      </c>
      <c r="O984" s="145" t="inlineStr">
        <is>
          <t>No</t>
        </is>
      </c>
      <c r="P984" s="145" t="inlineStr">
        <is>
          <t>General</t>
        </is>
      </c>
      <c r="Q984" s="145" t="inlineStr">
        <is>
          <t>General</t>
        </is>
      </c>
      <c r="R984" s="145" t="n"/>
      <c r="S984" s="145" t="n"/>
      <c r="T984" s="145" t="n"/>
      <c r="U984" s="145" t="n"/>
      <c r="V984" s="145" t="n"/>
      <c r="W984" s="145" t="n"/>
      <c r="X984" s="145" t="inlineStr">
        <is>
          <t>Detailed format sample from top 5 used rows</t>
        </is>
      </c>
    </row>
    <row r="985" ht="23.85" customHeight="1" s="79">
      <c r="A985" s="145" t="inlineStr">
        <is>
          <t>GRC_DATA</t>
        </is>
      </c>
      <c r="B985" s="145" t="inlineStr">
        <is>
          <t>Top-Row Cell Format</t>
        </is>
      </c>
      <c r="C985" s="145" t="inlineStr">
        <is>
          <t>N4</t>
        </is>
      </c>
      <c r="D985" s="145" t="inlineStr">
        <is>
          <t>GRC_DATA!A1:AH3310</t>
        </is>
      </c>
      <c r="E985" s="145" t="inlineStr">
        <is>
          <t>Normal</t>
        </is>
      </c>
      <c r="F985" s="145" t="n"/>
      <c r="G985" s="145" t="inlineStr">
        <is>
          <t>Aptos</t>
        </is>
      </c>
      <c r="H985" s="145" t="n">
        <v>8</v>
      </c>
      <c r="I985" s="145" t="inlineStr">
        <is>
          <t>No</t>
        </is>
      </c>
      <c r="J985" s="145" t="inlineStr">
        <is>
          <t>No</t>
        </is>
      </c>
      <c r="K985" s="145" t="inlineStr">
        <is>
          <t>None</t>
        </is>
      </c>
      <c r="L985" s="145" t="inlineStr">
        <is>
          <t>#000000</t>
        </is>
      </c>
      <c r="M985" s="145" t="inlineStr">
        <is>
          <t>General</t>
        </is>
      </c>
      <c r="N985" s="145" t="inlineStr">
        <is>
          <t>Center</t>
        </is>
      </c>
      <c r="O985" s="145" t="inlineStr">
        <is>
          <t>No</t>
        </is>
      </c>
      <c r="P985" s="145" t="inlineStr">
        <is>
          <t>General</t>
        </is>
      </c>
      <c r="Q985" s="145" t="inlineStr">
        <is>
          <t>General</t>
        </is>
      </c>
      <c r="R985" s="145" t="n"/>
      <c r="S985" s="145" t="n"/>
      <c r="T985" s="145" t="n"/>
      <c r="U985" s="145" t="n"/>
      <c r="V985" s="145" t="n"/>
      <c r="W985" s="145" t="n"/>
      <c r="X985" s="145" t="inlineStr">
        <is>
          <t>Detailed format sample from top 5 used rows</t>
        </is>
      </c>
    </row>
    <row r="986" ht="23.85" customHeight="1" s="79">
      <c r="A986" s="145" t="inlineStr">
        <is>
          <t>GRC_DATA</t>
        </is>
      </c>
      <c r="B986" s="145" t="inlineStr">
        <is>
          <t>Top-Row Cell Format</t>
        </is>
      </c>
      <c r="C986" s="145" t="inlineStr">
        <is>
          <t>N5</t>
        </is>
      </c>
      <c r="D986" s="145" t="inlineStr">
        <is>
          <t>GRC_DATA!A1:AH3310</t>
        </is>
      </c>
      <c r="E986" s="145" t="inlineStr">
        <is>
          <t>Normal</t>
        </is>
      </c>
      <c r="F986" s="145" t="n"/>
      <c r="G986" s="145" t="inlineStr">
        <is>
          <t>Aptos</t>
        </is>
      </c>
      <c r="H986" s="145" t="n">
        <v>8</v>
      </c>
      <c r="I986" s="145" t="inlineStr">
        <is>
          <t>No</t>
        </is>
      </c>
      <c r="J986" s="145" t="inlineStr">
        <is>
          <t>No</t>
        </is>
      </c>
      <c r="K986" s="145" t="inlineStr">
        <is>
          <t>None</t>
        </is>
      </c>
      <c r="L986" s="145" t="inlineStr">
        <is>
          <t>#000000</t>
        </is>
      </c>
      <c r="M986" s="145" t="inlineStr">
        <is>
          <t>General</t>
        </is>
      </c>
      <c r="N986" s="145" t="inlineStr">
        <is>
          <t>Center</t>
        </is>
      </c>
      <c r="O986" s="145" t="inlineStr">
        <is>
          <t>No</t>
        </is>
      </c>
      <c r="P986" s="145" t="inlineStr">
        <is>
          <t>General</t>
        </is>
      </c>
      <c r="Q986" s="145" t="inlineStr">
        <is>
          <t>General</t>
        </is>
      </c>
      <c r="R986" s="145" t="n"/>
      <c r="S986" s="145" t="n"/>
      <c r="T986" s="145" t="n"/>
      <c r="U986" s="145" t="n"/>
      <c r="V986" s="145" t="n"/>
      <c r="W986" s="145" t="n"/>
      <c r="X986" s="145" t="inlineStr">
        <is>
          <t>Detailed format sample from top 5 used rows</t>
        </is>
      </c>
    </row>
    <row r="987" ht="23.85" customHeight="1" s="79">
      <c r="A987" s="145" t="inlineStr">
        <is>
          <t>GRC_DATA</t>
        </is>
      </c>
      <c r="B987" s="145" t="inlineStr">
        <is>
          <t>Column Format</t>
        </is>
      </c>
      <c r="C987" s="145" t="inlineStr">
        <is>
          <t>O:O</t>
        </is>
      </c>
      <c r="D987" s="145" t="inlineStr">
        <is>
          <t>GRC_DATA!A1:AH3310</t>
        </is>
      </c>
      <c r="E987" s="145" t="inlineStr">
        <is>
          <t>Normal</t>
        </is>
      </c>
      <c r="F987" s="145" t="inlineStr">
        <is>
          <t>Mixed</t>
        </is>
      </c>
      <c r="G987" s="145" t="inlineStr">
        <is>
          <t>Aptos</t>
        </is>
      </c>
      <c r="H987" s="145" t="n">
        <v>8</v>
      </c>
      <c r="I987" s="145" t="inlineStr">
        <is>
          <t>Mixed</t>
        </is>
      </c>
      <c r="J987" s="145" t="inlineStr">
        <is>
          <t>No</t>
        </is>
      </c>
      <c r="K987" s="145" t="inlineStr">
        <is>
          <t>None</t>
        </is>
      </c>
      <c r="L987" s="145" t="inlineStr">
        <is>
          <t>Mixed</t>
        </is>
      </c>
      <c r="M987" s="145" t="inlineStr">
        <is>
          <t>General</t>
        </is>
      </c>
      <c r="N987" s="145" t="inlineStr">
        <is>
          <t>Center</t>
        </is>
      </c>
      <c r="O987" s="145" t="inlineStr">
        <is>
          <t>No</t>
        </is>
      </c>
      <c r="P987" s="145" t="n"/>
      <c r="Q987" s="145" t="n"/>
      <c r="R987" s="145" t="n"/>
      <c r="S987" s="145" t="n">
        <v>27.9402985074627</v>
      </c>
      <c r="T987" s="145" t="n"/>
      <c r="U987" s="145" t="inlineStr">
        <is>
          <t>No</t>
        </is>
      </c>
      <c r="V987" s="145" t="inlineStr">
        <is>
          <t>Visible</t>
        </is>
      </c>
      <c r="W987" s="145" t="n"/>
      <c r="X987" s="145" t="inlineStr">
        <is>
          <t>Mixed styles within used column</t>
        </is>
      </c>
    </row>
    <row r="988" ht="23.85" customHeight="1" s="79">
      <c r="A988" s="145" t="inlineStr">
        <is>
          <t>GRC_DATA</t>
        </is>
      </c>
      <c r="B988" s="145" t="inlineStr">
        <is>
          <t>Top-Row Cell Format</t>
        </is>
      </c>
      <c r="C988" s="145" t="inlineStr">
        <is>
          <t>O1</t>
        </is>
      </c>
      <c r="D988" s="145" t="inlineStr">
        <is>
          <t>GRC_DATA!A1:AH3310</t>
        </is>
      </c>
      <c r="E988" s="145" t="inlineStr">
        <is>
          <t>Normal</t>
        </is>
      </c>
      <c r="F988" s="145" t="inlineStr">
        <is>
          <t>#ED7D31</t>
        </is>
      </c>
      <c r="G988" s="145" t="inlineStr">
        <is>
          <t>Aptos</t>
        </is>
      </c>
      <c r="H988" s="145" t="n">
        <v>8</v>
      </c>
      <c r="I988" s="145" t="inlineStr">
        <is>
          <t>Yes</t>
        </is>
      </c>
      <c r="J988" s="145" t="inlineStr">
        <is>
          <t>No</t>
        </is>
      </c>
      <c r="K988" s="145" t="inlineStr">
        <is>
          <t>None</t>
        </is>
      </c>
      <c r="L988" s="145" t="inlineStr">
        <is>
          <t>#FFFFFF</t>
        </is>
      </c>
      <c r="M988" s="145" t="inlineStr">
        <is>
          <t>General</t>
        </is>
      </c>
      <c r="N988" s="145" t="inlineStr">
        <is>
          <t>Center</t>
        </is>
      </c>
      <c r="O988" s="145" t="inlineStr">
        <is>
          <t>No</t>
        </is>
      </c>
      <c r="P988" s="145" t="inlineStr">
        <is>
          <t>General</t>
        </is>
      </c>
      <c r="Q988" s="145" t="inlineStr">
        <is>
          <t>General</t>
        </is>
      </c>
      <c r="R988" s="145" t="n"/>
      <c r="S988" s="145" t="n"/>
      <c r="T988" s="145" t="n"/>
      <c r="U988" s="145" t="n"/>
      <c r="V988" s="145" t="n"/>
      <c r="W988" s="145" t="n"/>
      <c r="X988" s="145" t="inlineStr">
        <is>
          <t>Detailed format sample from top 5 used rows</t>
        </is>
      </c>
    </row>
    <row r="989" ht="23.85" customHeight="1" s="79">
      <c r="A989" s="145" t="inlineStr">
        <is>
          <t>GRC_DATA</t>
        </is>
      </c>
      <c r="B989" s="145" t="inlineStr">
        <is>
          <t>Top-Row Cell Format</t>
        </is>
      </c>
      <c r="C989" s="145" t="inlineStr">
        <is>
          <t>O2</t>
        </is>
      </c>
      <c r="D989" s="145" t="inlineStr">
        <is>
          <t>GRC_DATA!A1:AH3310</t>
        </is>
      </c>
      <c r="E989" s="145" t="inlineStr">
        <is>
          <t>Normal</t>
        </is>
      </c>
      <c r="F989" s="145" t="n"/>
      <c r="G989" s="145" t="inlineStr">
        <is>
          <t>Aptos</t>
        </is>
      </c>
      <c r="H989" s="145" t="n">
        <v>8</v>
      </c>
      <c r="I989" s="145" t="inlineStr">
        <is>
          <t>No</t>
        </is>
      </c>
      <c r="J989" s="145" t="inlineStr">
        <is>
          <t>No</t>
        </is>
      </c>
      <c r="K989" s="145" t="inlineStr">
        <is>
          <t>None</t>
        </is>
      </c>
      <c r="L989" s="145" t="inlineStr">
        <is>
          <t>#000000</t>
        </is>
      </c>
      <c r="M989" s="145" t="inlineStr">
        <is>
          <t>General</t>
        </is>
      </c>
      <c r="N989" s="145" t="inlineStr">
        <is>
          <t>Center</t>
        </is>
      </c>
      <c r="O989" s="145" t="inlineStr">
        <is>
          <t>No</t>
        </is>
      </c>
      <c r="P989" s="145" t="inlineStr">
        <is>
          <t>General</t>
        </is>
      </c>
      <c r="Q989" s="145" t="inlineStr">
        <is>
          <t>General</t>
        </is>
      </c>
      <c r="R989" s="145" t="n"/>
      <c r="S989" s="145" t="n"/>
      <c r="T989" s="145" t="n"/>
      <c r="U989" s="145" t="n"/>
      <c r="V989" s="145" t="n"/>
      <c r="W989" s="145" t="n"/>
      <c r="X989" s="145" t="inlineStr">
        <is>
          <t>Detailed format sample from top 5 used rows</t>
        </is>
      </c>
    </row>
    <row r="990" ht="23.85" customHeight="1" s="79">
      <c r="A990" s="145" t="inlineStr">
        <is>
          <t>GRC_DATA</t>
        </is>
      </c>
      <c r="B990" s="145" t="inlineStr">
        <is>
          <t>Top-Row Cell Format</t>
        </is>
      </c>
      <c r="C990" s="145" t="inlineStr">
        <is>
          <t>O3</t>
        </is>
      </c>
      <c r="D990" s="145" t="inlineStr">
        <is>
          <t>GRC_DATA!A1:AH3310</t>
        </is>
      </c>
      <c r="E990" s="145" t="inlineStr">
        <is>
          <t>Normal</t>
        </is>
      </c>
      <c r="F990" s="145" t="n"/>
      <c r="G990" s="145" t="inlineStr">
        <is>
          <t>Aptos</t>
        </is>
      </c>
      <c r="H990" s="145" t="n">
        <v>8</v>
      </c>
      <c r="I990" s="145" t="inlineStr">
        <is>
          <t>No</t>
        </is>
      </c>
      <c r="J990" s="145" t="inlineStr">
        <is>
          <t>No</t>
        </is>
      </c>
      <c r="K990" s="145" t="inlineStr">
        <is>
          <t>None</t>
        </is>
      </c>
      <c r="L990" s="145" t="inlineStr">
        <is>
          <t>#000000</t>
        </is>
      </c>
      <c r="M990" s="145" t="inlineStr">
        <is>
          <t>General</t>
        </is>
      </c>
      <c r="N990" s="145" t="inlineStr">
        <is>
          <t>Center</t>
        </is>
      </c>
      <c r="O990" s="145" t="inlineStr">
        <is>
          <t>No</t>
        </is>
      </c>
      <c r="P990" s="145" t="inlineStr">
        <is>
          <t>General</t>
        </is>
      </c>
      <c r="Q990" s="145" t="inlineStr">
        <is>
          <t>General</t>
        </is>
      </c>
      <c r="R990" s="145" t="n"/>
      <c r="S990" s="145" t="n"/>
      <c r="T990" s="145" t="n"/>
      <c r="U990" s="145" t="n"/>
      <c r="V990" s="145" t="n"/>
      <c r="W990" s="145" t="n"/>
      <c r="X990" s="145" t="inlineStr">
        <is>
          <t>Detailed format sample from top 5 used rows</t>
        </is>
      </c>
    </row>
    <row r="991" ht="23.85" customHeight="1" s="79">
      <c r="A991" s="145" t="inlineStr">
        <is>
          <t>GRC_DATA</t>
        </is>
      </c>
      <c r="B991" s="145" t="inlineStr">
        <is>
          <t>Top-Row Cell Format</t>
        </is>
      </c>
      <c r="C991" s="145" t="inlineStr">
        <is>
          <t>O4</t>
        </is>
      </c>
      <c r="D991" s="145" t="inlineStr">
        <is>
          <t>GRC_DATA!A1:AH3310</t>
        </is>
      </c>
      <c r="E991" s="145" t="inlineStr">
        <is>
          <t>Normal</t>
        </is>
      </c>
      <c r="F991" s="145" t="n"/>
      <c r="G991" s="145" t="inlineStr">
        <is>
          <t>Aptos</t>
        </is>
      </c>
      <c r="H991" s="145" t="n">
        <v>8</v>
      </c>
      <c r="I991" s="145" t="inlineStr">
        <is>
          <t>No</t>
        </is>
      </c>
      <c r="J991" s="145" t="inlineStr">
        <is>
          <t>No</t>
        </is>
      </c>
      <c r="K991" s="145" t="inlineStr">
        <is>
          <t>None</t>
        </is>
      </c>
      <c r="L991" s="145" t="inlineStr">
        <is>
          <t>#000000</t>
        </is>
      </c>
      <c r="M991" s="145" t="inlineStr">
        <is>
          <t>General</t>
        </is>
      </c>
      <c r="N991" s="145" t="inlineStr">
        <is>
          <t>Center</t>
        </is>
      </c>
      <c r="O991" s="145" t="inlineStr">
        <is>
          <t>No</t>
        </is>
      </c>
      <c r="P991" s="145" t="inlineStr">
        <is>
          <t>General</t>
        </is>
      </c>
      <c r="Q991" s="145" t="inlineStr">
        <is>
          <t>General</t>
        </is>
      </c>
      <c r="R991" s="145" t="n"/>
      <c r="S991" s="145" t="n"/>
      <c r="T991" s="145" t="n"/>
      <c r="U991" s="145" t="n"/>
      <c r="V991" s="145" t="n"/>
      <c r="W991" s="145" t="n"/>
      <c r="X991" s="145" t="inlineStr">
        <is>
          <t>Detailed format sample from top 5 used rows</t>
        </is>
      </c>
    </row>
    <row r="992" ht="23.85" customHeight="1" s="79">
      <c r="A992" s="145" t="inlineStr">
        <is>
          <t>GRC_DATA</t>
        </is>
      </c>
      <c r="B992" s="145" t="inlineStr">
        <is>
          <t>Top-Row Cell Format</t>
        </is>
      </c>
      <c r="C992" s="145" t="inlineStr">
        <is>
          <t>O5</t>
        </is>
      </c>
      <c r="D992" s="145" t="inlineStr">
        <is>
          <t>GRC_DATA!A1:AH3310</t>
        </is>
      </c>
      <c r="E992" s="145" t="inlineStr">
        <is>
          <t>Normal</t>
        </is>
      </c>
      <c r="F992" s="145" t="n"/>
      <c r="G992" s="145" t="inlineStr">
        <is>
          <t>Aptos</t>
        </is>
      </c>
      <c r="H992" s="145" t="n">
        <v>8</v>
      </c>
      <c r="I992" s="145" t="inlineStr">
        <is>
          <t>No</t>
        </is>
      </c>
      <c r="J992" s="145" t="inlineStr">
        <is>
          <t>No</t>
        </is>
      </c>
      <c r="K992" s="145" t="inlineStr">
        <is>
          <t>None</t>
        </is>
      </c>
      <c r="L992" s="145" t="inlineStr">
        <is>
          <t>#000000</t>
        </is>
      </c>
      <c r="M992" s="145" t="inlineStr">
        <is>
          <t>General</t>
        </is>
      </c>
      <c r="N992" s="145" t="inlineStr">
        <is>
          <t>Center</t>
        </is>
      </c>
      <c r="O992" s="145" t="inlineStr">
        <is>
          <t>No</t>
        </is>
      </c>
      <c r="P992" s="145" t="inlineStr">
        <is>
          <t>General</t>
        </is>
      </c>
      <c r="Q992" s="145" t="inlineStr">
        <is>
          <t>General</t>
        </is>
      </c>
      <c r="R992" s="145" t="n"/>
      <c r="S992" s="145" t="n"/>
      <c r="T992" s="145" t="n"/>
      <c r="U992" s="145" t="n"/>
      <c r="V992" s="145" t="n"/>
      <c r="W992" s="145" t="n"/>
      <c r="X992" s="145" t="inlineStr">
        <is>
          <t>Detailed format sample from top 5 used rows</t>
        </is>
      </c>
    </row>
    <row r="993" ht="23.85" customHeight="1" s="79">
      <c r="A993" s="145" t="inlineStr">
        <is>
          <t>GRC_DATA</t>
        </is>
      </c>
      <c r="B993" s="145" t="inlineStr">
        <is>
          <t>Column Format</t>
        </is>
      </c>
      <c r="C993" s="145" t="inlineStr">
        <is>
          <t>P:P</t>
        </is>
      </c>
      <c r="D993" s="145" t="inlineStr">
        <is>
          <t>GRC_DATA!A1:AH3310</t>
        </is>
      </c>
      <c r="E993" s="145" t="inlineStr">
        <is>
          <t>Normal</t>
        </is>
      </c>
      <c r="F993" s="145" t="inlineStr">
        <is>
          <t>Mixed</t>
        </is>
      </c>
      <c r="G993" s="145" t="inlineStr">
        <is>
          <t>Aptos</t>
        </is>
      </c>
      <c r="H993" s="145" t="n">
        <v>8</v>
      </c>
      <c r="I993" s="145" t="inlineStr">
        <is>
          <t>Mixed</t>
        </is>
      </c>
      <c r="J993" s="145" t="inlineStr">
        <is>
          <t>No</t>
        </is>
      </c>
      <c r="K993" s="145" t="inlineStr">
        <is>
          <t>None</t>
        </is>
      </c>
      <c r="L993" s="145" t="inlineStr">
        <is>
          <t>Mixed</t>
        </is>
      </c>
      <c r="M993" s="145" t="inlineStr">
        <is>
          <t>General</t>
        </is>
      </c>
      <c r="N993" s="145" t="inlineStr">
        <is>
          <t>Center</t>
        </is>
      </c>
      <c r="O993" s="145" t="inlineStr">
        <is>
          <t>No</t>
        </is>
      </c>
      <c r="P993" s="145" t="n"/>
      <c r="Q993" s="145" t="n"/>
      <c r="R993" s="145" t="n"/>
      <c r="S993" s="145" t="n">
        <v>51.044776119403</v>
      </c>
      <c r="T993" s="145" t="n"/>
      <c r="U993" s="145" t="inlineStr">
        <is>
          <t>No</t>
        </is>
      </c>
      <c r="V993" s="145" t="inlineStr">
        <is>
          <t>Visible</t>
        </is>
      </c>
      <c r="W993" s="145" t="n"/>
      <c r="X993" s="145" t="inlineStr">
        <is>
          <t>Mixed styles within used column</t>
        </is>
      </c>
    </row>
    <row r="994" ht="23.85" customHeight="1" s="79">
      <c r="A994" s="145" t="inlineStr">
        <is>
          <t>GRC_DATA</t>
        </is>
      </c>
      <c r="B994" s="145" t="inlineStr">
        <is>
          <t>Top-Row Cell Format</t>
        </is>
      </c>
      <c r="C994" s="145" t="inlineStr">
        <is>
          <t>P1</t>
        </is>
      </c>
      <c r="D994" s="145" t="inlineStr">
        <is>
          <t>GRC_DATA!A1:AH3310</t>
        </is>
      </c>
      <c r="E994" s="145" t="inlineStr">
        <is>
          <t>Normal</t>
        </is>
      </c>
      <c r="F994" s="145" t="inlineStr">
        <is>
          <t>#ED7D31</t>
        </is>
      </c>
      <c r="G994" s="145" t="inlineStr">
        <is>
          <t>Aptos</t>
        </is>
      </c>
      <c r="H994" s="145" t="n">
        <v>8</v>
      </c>
      <c r="I994" s="145" t="inlineStr">
        <is>
          <t>Yes</t>
        </is>
      </c>
      <c r="J994" s="145" t="inlineStr">
        <is>
          <t>No</t>
        </is>
      </c>
      <c r="K994" s="145" t="inlineStr">
        <is>
          <t>None</t>
        </is>
      </c>
      <c r="L994" s="145" t="inlineStr">
        <is>
          <t>#FFFFFF</t>
        </is>
      </c>
      <c r="M994" s="145" t="inlineStr">
        <is>
          <t>General</t>
        </is>
      </c>
      <c r="N994" s="145" t="inlineStr">
        <is>
          <t>Center</t>
        </is>
      </c>
      <c r="O994" s="145" t="inlineStr">
        <is>
          <t>No</t>
        </is>
      </c>
      <c r="P994" s="145" t="inlineStr">
        <is>
          <t>General</t>
        </is>
      </c>
      <c r="Q994" s="145" t="inlineStr">
        <is>
          <t>General</t>
        </is>
      </c>
      <c r="R994" s="145" t="n"/>
      <c r="S994" s="145" t="n"/>
      <c r="T994" s="145" t="n"/>
      <c r="U994" s="145" t="n"/>
      <c r="V994" s="145" t="n"/>
      <c r="W994" s="145" t="n"/>
      <c r="X994" s="145" t="inlineStr">
        <is>
          <t>Detailed format sample from top 5 used rows</t>
        </is>
      </c>
    </row>
    <row r="995" ht="23.85" customHeight="1" s="79">
      <c r="A995" s="145" t="inlineStr">
        <is>
          <t>GRC_DATA</t>
        </is>
      </c>
      <c r="B995" s="145" t="inlineStr">
        <is>
          <t>Top-Row Cell Format</t>
        </is>
      </c>
      <c r="C995" s="145" t="inlineStr">
        <is>
          <t>P2</t>
        </is>
      </c>
      <c r="D995" s="145" t="inlineStr">
        <is>
          <t>GRC_DATA!A1:AH3310</t>
        </is>
      </c>
      <c r="E995" s="145" t="inlineStr">
        <is>
          <t>Normal</t>
        </is>
      </c>
      <c r="F995" s="145" t="n"/>
      <c r="G995" s="145" t="inlineStr">
        <is>
          <t>Aptos</t>
        </is>
      </c>
      <c r="H995" s="145" t="n">
        <v>8</v>
      </c>
      <c r="I995" s="145" t="inlineStr">
        <is>
          <t>No</t>
        </is>
      </c>
      <c r="J995" s="145" t="inlineStr">
        <is>
          <t>No</t>
        </is>
      </c>
      <c r="K995" s="145" t="inlineStr">
        <is>
          <t>None</t>
        </is>
      </c>
      <c r="L995" s="145" t="inlineStr">
        <is>
          <t>#000000</t>
        </is>
      </c>
      <c r="M995" s="145" t="inlineStr">
        <is>
          <t>General</t>
        </is>
      </c>
      <c r="N995" s="145" t="inlineStr">
        <is>
          <t>Center</t>
        </is>
      </c>
      <c r="O995" s="145" t="inlineStr">
        <is>
          <t>No</t>
        </is>
      </c>
      <c r="P995" s="145" t="inlineStr">
        <is>
          <t>General</t>
        </is>
      </c>
      <c r="Q995" s="145" t="inlineStr">
        <is>
          <t>General</t>
        </is>
      </c>
      <c r="R995" s="145" t="n"/>
      <c r="S995" s="145" t="n"/>
      <c r="T995" s="145" t="n"/>
      <c r="U995" s="145" t="n"/>
      <c r="V995" s="145" t="n"/>
      <c r="W995" s="145" t="n"/>
      <c r="X995" s="145" t="inlineStr">
        <is>
          <t>Detailed format sample from top 5 used rows</t>
        </is>
      </c>
    </row>
    <row r="996" ht="23.85" customHeight="1" s="79">
      <c r="A996" s="145" t="inlineStr">
        <is>
          <t>GRC_DATA</t>
        </is>
      </c>
      <c r="B996" s="145" t="inlineStr">
        <is>
          <t>Top-Row Cell Format</t>
        </is>
      </c>
      <c r="C996" s="145" t="inlineStr">
        <is>
          <t>P3</t>
        </is>
      </c>
      <c r="D996" s="145" t="inlineStr">
        <is>
          <t>GRC_DATA!A1:AH3310</t>
        </is>
      </c>
      <c r="E996" s="145" t="inlineStr">
        <is>
          <t>Normal</t>
        </is>
      </c>
      <c r="F996" s="145" t="n"/>
      <c r="G996" s="145" t="inlineStr">
        <is>
          <t>Aptos</t>
        </is>
      </c>
      <c r="H996" s="145" t="n">
        <v>8</v>
      </c>
      <c r="I996" s="145" t="inlineStr">
        <is>
          <t>No</t>
        </is>
      </c>
      <c r="J996" s="145" t="inlineStr">
        <is>
          <t>No</t>
        </is>
      </c>
      <c r="K996" s="145" t="inlineStr">
        <is>
          <t>None</t>
        </is>
      </c>
      <c r="L996" s="145" t="inlineStr">
        <is>
          <t>#000000</t>
        </is>
      </c>
      <c r="M996" s="145" t="inlineStr">
        <is>
          <t>General</t>
        </is>
      </c>
      <c r="N996" s="145" t="inlineStr">
        <is>
          <t>Center</t>
        </is>
      </c>
      <c r="O996" s="145" t="inlineStr">
        <is>
          <t>No</t>
        </is>
      </c>
      <c r="P996" s="145" t="inlineStr">
        <is>
          <t>General</t>
        </is>
      </c>
      <c r="Q996" s="145" t="inlineStr">
        <is>
          <t>General</t>
        </is>
      </c>
      <c r="R996" s="145" t="n"/>
      <c r="S996" s="145" t="n"/>
      <c r="T996" s="145" t="n"/>
      <c r="U996" s="145" t="n"/>
      <c r="V996" s="145" t="n"/>
      <c r="W996" s="145" t="n"/>
      <c r="X996" s="145" t="inlineStr">
        <is>
          <t>Detailed format sample from top 5 used rows</t>
        </is>
      </c>
    </row>
    <row r="997" ht="23.85" customHeight="1" s="79">
      <c r="A997" s="145" t="inlineStr">
        <is>
          <t>GRC_DATA</t>
        </is>
      </c>
      <c r="B997" s="145" t="inlineStr">
        <is>
          <t>Top-Row Cell Format</t>
        </is>
      </c>
      <c r="C997" s="145" t="inlineStr">
        <is>
          <t>P4</t>
        </is>
      </c>
      <c r="D997" s="145" t="inlineStr">
        <is>
          <t>GRC_DATA!A1:AH3310</t>
        </is>
      </c>
      <c r="E997" s="145" t="inlineStr">
        <is>
          <t>Normal</t>
        </is>
      </c>
      <c r="F997" s="145" t="n"/>
      <c r="G997" s="145" t="inlineStr">
        <is>
          <t>Aptos</t>
        </is>
      </c>
      <c r="H997" s="145" t="n">
        <v>8</v>
      </c>
      <c r="I997" s="145" t="inlineStr">
        <is>
          <t>No</t>
        </is>
      </c>
      <c r="J997" s="145" t="inlineStr">
        <is>
          <t>No</t>
        </is>
      </c>
      <c r="K997" s="145" t="inlineStr">
        <is>
          <t>None</t>
        </is>
      </c>
      <c r="L997" s="145" t="inlineStr">
        <is>
          <t>#000000</t>
        </is>
      </c>
      <c r="M997" s="145" t="inlineStr">
        <is>
          <t>General</t>
        </is>
      </c>
      <c r="N997" s="145" t="inlineStr">
        <is>
          <t>Center</t>
        </is>
      </c>
      <c r="O997" s="145" t="inlineStr">
        <is>
          <t>No</t>
        </is>
      </c>
      <c r="P997" s="145" t="inlineStr">
        <is>
          <t>General</t>
        </is>
      </c>
      <c r="Q997" s="145" t="inlineStr">
        <is>
          <t>General</t>
        </is>
      </c>
      <c r="R997" s="145" t="n"/>
      <c r="S997" s="145" t="n"/>
      <c r="T997" s="145" t="n"/>
      <c r="U997" s="145" t="n"/>
      <c r="V997" s="145" t="n"/>
      <c r="W997" s="145" t="n"/>
      <c r="X997" s="145" t="inlineStr">
        <is>
          <t>Detailed format sample from top 5 used rows</t>
        </is>
      </c>
    </row>
    <row r="998" ht="23.85" customHeight="1" s="79">
      <c r="A998" s="145" t="inlineStr">
        <is>
          <t>GRC_DATA</t>
        </is>
      </c>
      <c r="B998" s="145" t="inlineStr">
        <is>
          <t>Top-Row Cell Format</t>
        </is>
      </c>
      <c r="C998" s="145" t="inlineStr">
        <is>
          <t>P5</t>
        </is>
      </c>
      <c r="D998" s="145" t="inlineStr">
        <is>
          <t>GRC_DATA!A1:AH3310</t>
        </is>
      </c>
      <c r="E998" s="145" t="inlineStr">
        <is>
          <t>Normal</t>
        </is>
      </c>
      <c r="F998" s="145" t="n"/>
      <c r="G998" s="145" t="inlineStr">
        <is>
          <t>Aptos</t>
        </is>
      </c>
      <c r="H998" s="145" t="n">
        <v>8</v>
      </c>
      <c r="I998" s="145" t="inlineStr">
        <is>
          <t>No</t>
        </is>
      </c>
      <c r="J998" s="145" t="inlineStr">
        <is>
          <t>No</t>
        </is>
      </c>
      <c r="K998" s="145" t="inlineStr">
        <is>
          <t>None</t>
        </is>
      </c>
      <c r="L998" s="145" t="inlineStr">
        <is>
          <t>#000000</t>
        </is>
      </c>
      <c r="M998" s="145" t="inlineStr">
        <is>
          <t>General</t>
        </is>
      </c>
      <c r="N998" s="145" t="inlineStr">
        <is>
          <t>Center</t>
        </is>
      </c>
      <c r="O998" s="145" t="inlineStr">
        <is>
          <t>No</t>
        </is>
      </c>
      <c r="P998" s="145" t="inlineStr">
        <is>
          <t>General</t>
        </is>
      </c>
      <c r="Q998" s="145" t="inlineStr">
        <is>
          <t>General</t>
        </is>
      </c>
      <c r="R998" s="145" t="n"/>
      <c r="S998" s="145" t="n"/>
      <c r="T998" s="145" t="n"/>
      <c r="U998" s="145" t="n"/>
      <c r="V998" s="145" t="n"/>
      <c r="W998" s="145" t="n"/>
      <c r="X998" s="145" t="inlineStr">
        <is>
          <t>Detailed format sample from top 5 used rows</t>
        </is>
      </c>
    </row>
    <row r="999" ht="23.85" customHeight="1" s="79">
      <c r="A999" s="145" t="inlineStr">
        <is>
          <t>GRC_DATA</t>
        </is>
      </c>
      <c r="B999" s="145" t="inlineStr">
        <is>
          <t>Column Format</t>
        </is>
      </c>
      <c r="C999" s="145" t="inlineStr">
        <is>
          <t>Q:Q</t>
        </is>
      </c>
      <c r="D999" s="145" t="inlineStr">
        <is>
          <t>GRC_DATA!A1:AH3310</t>
        </is>
      </c>
      <c r="E999" s="145" t="inlineStr">
        <is>
          <t>Normal</t>
        </is>
      </c>
      <c r="F999" s="145" t="inlineStr">
        <is>
          <t>Mixed</t>
        </is>
      </c>
      <c r="G999" s="145" t="inlineStr">
        <is>
          <t>Aptos</t>
        </is>
      </c>
      <c r="H999" s="145" t="n">
        <v>8</v>
      </c>
      <c r="I999" s="145" t="inlineStr">
        <is>
          <t>Mixed</t>
        </is>
      </c>
      <c r="J999" s="145" t="inlineStr">
        <is>
          <t>No</t>
        </is>
      </c>
      <c r="K999" s="145" t="inlineStr">
        <is>
          <t>None</t>
        </is>
      </c>
      <c r="L999" s="145" t="inlineStr">
        <is>
          <t>Mixed</t>
        </is>
      </c>
      <c r="M999" s="145" t="inlineStr">
        <is>
          <t>General</t>
        </is>
      </c>
      <c r="N999" s="145" t="inlineStr">
        <is>
          <t>Center</t>
        </is>
      </c>
      <c r="O999" s="145" t="inlineStr">
        <is>
          <t>No</t>
        </is>
      </c>
      <c r="P999" s="145" t="n"/>
      <c r="Q999" s="145" t="n"/>
      <c r="R999" s="145" t="n"/>
      <c r="S999" s="145" t="n">
        <v>29.5522388059701</v>
      </c>
      <c r="T999" s="145" t="n"/>
      <c r="U999" s="145" t="inlineStr">
        <is>
          <t>No</t>
        </is>
      </c>
      <c r="V999" s="145" t="inlineStr">
        <is>
          <t>Visible</t>
        </is>
      </c>
      <c r="W999" s="145" t="n"/>
      <c r="X999" s="145" t="inlineStr">
        <is>
          <t>Mixed styles within used column</t>
        </is>
      </c>
    </row>
    <row r="1000" ht="23.85" customHeight="1" s="79">
      <c r="A1000" s="145" t="inlineStr">
        <is>
          <t>GRC_DATA</t>
        </is>
      </c>
      <c r="B1000" s="145" t="inlineStr">
        <is>
          <t>Top-Row Cell Format</t>
        </is>
      </c>
      <c r="C1000" s="145" t="inlineStr">
        <is>
          <t>Q1</t>
        </is>
      </c>
      <c r="D1000" s="145" t="inlineStr">
        <is>
          <t>GRC_DATA!A1:AH3310</t>
        </is>
      </c>
      <c r="E1000" s="145" t="inlineStr">
        <is>
          <t>Normal</t>
        </is>
      </c>
      <c r="F1000" s="145" t="inlineStr">
        <is>
          <t>#ED7D31</t>
        </is>
      </c>
      <c r="G1000" s="145" t="inlineStr">
        <is>
          <t>Aptos</t>
        </is>
      </c>
      <c r="H1000" s="145" t="n">
        <v>8</v>
      </c>
      <c r="I1000" s="145" t="inlineStr">
        <is>
          <t>Yes</t>
        </is>
      </c>
      <c r="J1000" s="145" t="inlineStr">
        <is>
          <t>No</t>
        </is>
      </c>
      <c r="K1000" s="145" t="inlineStr">
        <is>
          <t>None</t>
        </is>
      </c>
      <c r="L1000" s="145" t="inlineStr">
        <is>
          <t>#FFFFFF</t>
        </is>
      </c>
      <c r="M1000" s="145" t="inlineStr">
        <is>
          <t>General</t>
        </is>
      </c>
      <c r="N1000" s="145" t="inlineStr">
        <is>
          <t>Center</t>
        </is>
      </c>
      <c r="O1000" s="145" t="inlineStr">
        <is>
          <t>No</t>
        </is>
      </c>
      <c r="P1000" s="145" t="inlineStr">
        <is>
          <t>General</t>
        </is>
      </c>
      <c r="Q1000" s="145" t="inlineStr">
        <is>
          <t>General</t>
        </is>
      </c>
      <c r="R1000" s="145" t="n"/>
      <c r="S1000" s="145" t="n"/>
      <c r="T1000" s="145" t="n"/>
      <c r="U1000" s="145" t="n"/>
      <c r="V1000" s="145" t="n"/>
      <c r="W1000" s="145" t="n"/>
      <c r="X1000" s="145" t="inlineStr">
        <is>
          <t>Detailed format sample from top 5 used rows</t>
        </is>
      </c>
    </row>
    <row r="1001" ht="23.85" customHeight="1" s="79">
      <c r="A1001" s="145" t="inlineStr">
        <is>
          <t>GRC_DATA</t>
        </is>
      </c>
      <c r="B1001" s="145" t="inlineStr">
        <is>
          <t>Top-Row Cell Format</t>
        </is>
      </c>
      <c r="C1001" s="145" t="inlineStr">
        <is>
          <t>Q2</t>
        </is>
      </c>
      <c r="D1001" s="145" t="inlineStr">
        <is>
          <t>GRC_DATA!A1:AH3310</t>
        </is>
      </c>
      <c r="E1001" s="145" t="inlineStr">
        <is>
          <t>Normal</t>
        </is>
      </c>
      <c r="F1001" s="145" t="n"/>
      <c r="G1001" s="145" t="inlineStr">
        <is>
          <t>Aptos</t>
        </is>
      </c>
      <c r="H1001" s="145" t="n">
        <v>8</v>
      </c>
      <c r="I1001" s="145" t="inlineStr">
        <is>
          <t>No</t>
        </is>
      </c>
      <c r="J1001" s="145" t="inlineStr">
        <is>
          <t>No</t>
        </is>
      </c>
      <c r="K1001" s="145" t="inlineStr">
        <is>
          <t>None</t>
        </is>
      </c>
      <c r="L1001" s="145" t="inlineStr">
        <is>
          <t>#000000</t>
        </is>
      </c>
      <c r="M1001" s="145" t="inlineStr">
        <is>
          <t>General</t>
        </is>
      </c>
      <c r="N1001" s="145" t="inlineStr">
        <is>
          <t>Center</t>
        </is>
      </c>
      <c r="O1001" s="145" t="inlineStr">
        <is>
          <t>No</t>
        </is>
      </c>
      <c r="P1001" s="145" t="inlineStr">
        <is>
          <t>General</t>
        </is>
      </c>
      <c r="Q1001" s="145" t="inlineStr">
        <is>
          <t>General</t>
        </is>
      </c>
      <c r="R1001" s="145" t="n"/>
      <c r="S1001" s="145" t="n"/>
      <c r="T1001" s="145" t="n"/>
      <c r="U1001" s="145" t="n"/>
      <c r="V1001" s="145" t="n"/>
      <c r="W1001" s="145" t="n"/>
      <c r="X1001" s="145" t="inlineStr">
        <is>
          <t>Detailed format sample from top 5 used rows</t>
        </is>
      </c>
    </row>
    <row r="1002" ht="23.85" customHeight="1" s="79">
      <c r="A1002" s="145" t="inlineStr">
        <is>
          <t>GRC_DATA</t>
        </is>
      </c>
      <c r="B1002" s="145" t="inlineStr">
        <is>
          <t>Top-Row Cell Format</t>
        </is>
      </c>
      <c r="C1002" s="145" t="inlineStr">
        <is>
          <t>Q3</t>
        </is>
      </c>
      <c r="D1002" s="145" t="inlineStr">
        <is>
          <t>GRC_DATA!A1:AH3310</t>
        </is>
      </c>
      <c r="E1002" s="145" t="inlineStr">
        <is>
          <t>Normal</t>
        </is>
      </c>
      <c r="F1002" s="145" t="n"/>
      <c r="G1002" s="145" t="inlineStr">
        <is>
          <t>Aptos</t>
        </is>
      </c>
      <c r="H1002" s="145" t="n">
        <v>8</v>
      </c>
      <c r="I1002" s="145" t="inlineStr">
        <is>
          <t>No</t>
        </is>
      </c>
      <c r="J1002" s="145" t="inlineStr">
        <is>
          <t>No</t>
        </is>
      </c>
      <c r="K1002" s="145" t="inlineStr">
        <is>
          <t>None</t>
        </is>
      </c>
      <c r="L1002" s="145" t="inlineStr">
        <is>
          <t>#000000</t>
        </is>
      </c>
      <c r="M1002" s="145" t="inlineStr">
        <is>
          <t>General</t>
        </is>
      </c>
      <c r="N1002" s="145" t="inlineStr">
        <is>
          <t>Center</t>
        </is>
      </c>
      <c r="O1002" s="145" t="inlineStr">
        <is>
          <t>No</t>
        </is>
      </c>
      <c r="P1002" s="145" t="inlineStr">
        <is>
          <t>General</t>
        </is>
      </c>
      <c r="Q1002" s="145" t="inlineStr">
        <is>
          <t>General</t>
        </is>
      </c>
      <c r="R1002" s="145" t="n"/>
      <c r="S1002" s="145" t="n"/>
      <c r="T1002" s="145" t="n"/>
      <c r="U1002" s="145" t="n"/>
      <c r="V1002" s="145" t="n"/>
      <c r="W1002" s="145" t="n"/>
      <c r="X1002" s="145" t="inlineStr">
        <is>
          <t>Detailed format sample from top 5 used rows</t>
        </is>
      </c>
    </row>
    <row r="1003" ht="23.85" customHeight="1" s="79">
      <c r="A1003" s="145" t="inlineStr">
        <is>
          <t>GRC_DATA</t>
        </is>
      </c>
      <c r="B1003" s="145" t="inlineStr">
        <is>
          <t>Top-Row Cell Format</t>
        </is>
      </c>
      <c r="C1003" s="145" t="inlineStr">
        <is>
          <t>Q4</t>
        </is>
      </c>
      <c r="D1003" s="145" t="inlineStr">
        <is>
          <t>GRC_DATA!A1:AH3310</t>
        </is>
      </c>
      <c r="E1003" s="145" t="inlineStr">
        <is>
          <t>Normal</t>
        </is>
      </c>
      <c r="F1003" s="145" t="n"/>
      <c r="G1003" s="145" t="inlineStr">
        <is>
          <t>Aptos</t>
        </is>
      </c>
      <c r="H1003" s="145" t="n">
        <v>8</v>
      </c>
      <c r="I1003" s="145" t="inlineStr">
        <is>
          <t>No</t>
        </is>
      </c>
      <c r="J1003" s="145" t="inlineStr">
        <is>
          <t>No</t>
        </is>
      </c>
      <c r="K1003" s="145" t="inlineStr">
        <is>
          <t>None</t>
        </is>
      </c>
      <c r="L1003" s="145" t="inlineStr">
        <is>
          <t>#000000</t>
        </is>
      </c>
      <c r="M1003" s="145" t="inlineStr">
        <is>
          <t>General</t>
        </is>
      </c>
      <c r="N1003" s="145" t="inlineStr">
        <is>
          <t>Center</t>
        </is>
      </c>
      <c r="O1003" s="145" t="inlineStr">
        <is>
          <t>No</t>
        </is>
      </c>
      <c r="P1003" s="145" t="inlineStr">
        <is>
          <t>General</t>
        </is>
      </c>
      <c r="Q1003" s="145" t="inlineStr">
        <is>
          <t>General</t>
        </is>
      </c>
      <c r="R1003" s="145" t="n"/>
      <c r="S1003" s="145" t="n"/>
      <c r="T1003" s="145" t="n"/>
      <c r="U1003" s="145" t="n"/>
      <c r="V1003" s="145" t="n"/>
      <c r="W1003" s="145" t="n"/>
      <c r="X1003" s="145" t="inlineStr">
        <is>
          <t>Detailed format sample from top 5 used rows</t>
        </is>
      </c>
    </row>
    <row r="1004" ht="23.85" customHeight="1" s="79">
      <c r="A1004" s="145" t="inlineStr">
        <is>
          <t>GRC_DATA</t>
        </is>
      </c>
      <c r="B1004" s="145" t="inlineStr">
        <is>
          <t>Top-Row Cell Format</t>
        </is>
      </c>
      <c r="C1004" s="145" t="inlineStr">
        <is>
          <t>Q5</t>
        </is>
      </c>
      <c r="D1004" s="145" t="inlineStr">
        <is>
          <t>GRC_DATA!A1:AH3310</t>
        </is>
      </c>
      <c r="E1004" s="145" t="inlineStr">
        <is>
          <t>Normal</t>
        </is>
      </c>
      <c r="F1004" s="145" t="n"/>
      <c r="G1004" s="145" t="inlineStr">
        <is>
          <t>Aptos</t>
        </is>
      </c>
      <c r="H1004" s="145" t="n">
        <v>8</v>
      </c>
      <c r="I1004" s="145" t="inlineStr">
        <is>
          <t>No</t>
        </is>
      </c>
      <c r="J1004" s="145" t="inlineStr">
        <is>
          <t>No</t>
        </is>
      </c>
      <c r="K1004" s="145" t="inlineStr">
        <is>
          <t>None</t>
        </is>
      </c>
      <c r="L1004" s="145" t="inlineStr">
        <is>
          <t>#000000</t>
        </is>
      </c>
      <c r="M1004" s="145" t="inlineStr">
        <is>
          <t>General</t>
        </is>
      </c>
      <c r="N1004" s="145" t="inlineStr">
        <is>
          <t>Center</t>
        </is>
      </c>
      <c r="O1004" s="145" t="inlineStr">
        <is>
          <t>No</t>
        </is>
      </c>
      <c r="P1004" s="145" t="inlineStr">
        <is>
          <t>General</t>
        </is>
      </c>
      <c r="Q1004" s="145" t="inlineStr">
        <is>
          <t>General</t>
        </is>
      </c>
      <c r="R1004" s="145" t="n"/>
      <c r="S1004" s="145" t="n"/>
      <c r="T1004" s="145" t="n"/>
      <c r="U1004" s="145" t="n"/>
      <c r="V1004" s="145" t="n"/>
      <c r="W1004" s="145" t="n"/>
      <c r="X1004" s="145" t="inlineStr">
        <is>
          <t>Detailed format sample from top 5 used rows</t>
        </is>
      </c>
    </row>
    <row r="1005" ht="23.85" customHeight="1" s="79">
      <c r="A1005" s="145" t="inlineStr">
        <is>
          <t>GRC_DATA</t>
        </is>
      </c>
      <c r="B1005" s="145" t="inlineStr">
        <is>
          <t>Column Format</t>
        </is>
      </c>
      <c r="C1005" s="145" t="inlineStr">
        <is>
          <t>R:R</t>
        </is>
      </c>
      <c r="D1005" s="145" t="inlineStr">
        <is>
          <t>GRC_DATA!A1:AH3310</t>
        </is>
      </c>
      <c r="E1005" s="145" t="inlineStr">
        <is>
          <t>Normal</t>
        </is>
      </c>
      <c r="F1005" s="145" t="inlineStr">
        <is>
          <t>Mixed</t>
        </is>
      </c>
      <c r="G1005" s="145" t="inlineStr">
        <is>
          <t>Aptos</t>
        </is>
      </c>
      <c r="H1005" s="145" t="n">
        <v>8</v>
      </c>
      <c r="I1005" s="145" t="inlineStr">
        <is>
          <t>Mixed</t>
        </is>
      </c>
      <c r="J1005" s="145" t="inlineStr">
        <is>
          <t>No</t>
        </is>
      </c>
      <c r="K1005" s="145" t="inlineStr">
        <is>
          <t>None</t>
        </is>
      </c>
      <c r="L1005" s="145" t="inlineStr">
        <is>
          <t>Mixed</t>
        </is>
      </c>
      <c r="M1005" s="145" t="inlineStr">
        <is>
          <t>General</t>
        </is>
      </c>
      <c r="N1005" s="145" t="inlineStr">
        <is>
          <t>Center</t>
        </is>
      </c>
      <c r="O1005" s="145" t="inlineStr">
        <is>
          <t>No</t>
        </is>
      </c>
      <c r="P1005" s="145" t="n"/>
      <c r="Q1005" s="145" t="n"/>
      <c r="R1005" s="145" t="n"/>
      <c r="S1005" s="145" t="n">
        <v>29.5522388059701</v>
      </c>
      <c r="T1005" s="145" t="n"/>
      <c r="U1005" s="145" t="inlineStr">
        <is>
          <t>No</t>
        </is>
      </c>
      <c r="V1005" s="145" t="inlineStr">
        <is>
          <t>Visible</t>
        </is>
      </c>
      <c r="W1005" s="145" t="n"/>
      <c r="X1005" s="145" t="inlineStr">
        <is>
          <t>Mixed styles within used column</t>
        </is>
      </c>
    </row>
    <row r="1006" ht="23.85" customHeight="1" s="79">
      <c r="A1006" s="145" t="inlineStr">
        <is>
          <t>GRC_DATA</t>
        </is>
      </c>
      <c r="B1006" s="145" t="inlineStr">
        <is>
          <t>Top-Row Cell Format</t>
        </is>
      </c>
      <c r="C1006" s="145" t="inlineStr">
        <is>
          <t>R1</t>
        </is>
      </c>
      <c r="D1006" s="145" t="inlineStr">
        <is>
          <t>GRC_DATA!A1:AH3310</t>
        </is>
      </c>
      <c r="E1006" s="145" t="inlineStr">
        <is>
          <t>Normal</t>
        </is>
      </c>
      <c r="F1006" s="145" t="inlineStr">
        <is>
          <t>#ED7D31</t>
        </is>
      </c>
      <c r="G1006" s="145" t="inlineStr">
        <is>
          <t>Aptos</t>
        </is>
      </c>
      <c r="H1006" s="145" t="n">
        <v>8</v>
      </c>
      <c r="I1006" s="145" t="inlineStr">
        <is>
          <t>Yes</t>
        </is>
      </c>
      <c r="J1006" s="145" t="inlineStr">
        <is>
          <t>No</t>
        </is>
      </c>
      <c r="K1006" s="145" t="inlineStr">
        <is>
          <t>None</t>
        </is>
      </c>
      <c r="L1006" s="145" t="inlineStr">
        <is>
          <t>#FFFFFF</t>
        </is>
      </c>
      <c r="M1006" s="145" t="inlineStr">
        <is>
          <t>General</t>
        </is>
      </c>
      <c r="N1006" s="145" t="inlineStr">
        <is>
          <t>Center</t>
        </is>
      </c>
      <c r="O1006" s="145" t="inlineStr">
        <is>
          <t>No</t>
        </is>
      </c>
      <c r="P1006" s="145" t="inlineStr">
        <is>
          <t>General</t>
        </is>
      </c>
      <c r="Q1006" s="145" t="inlineStr">
        <is>
          <t>General</t>
        </is>
      </c>
      <c r="R1006" s="145" t="n"/>
      <c r="S1006" s="145" t="n"/>
      <c r="T1006" s="145" t="n"/>
      <c r="U1006" s="145" t="n"/>
      <c r="V1006" s="145" t="n"/>
      <c r="W1006" s="145" t="n"/>
      <c r="X1006" s="145" t="inlineStr">
        <is>
          <t>Detailed format sample from top 5 used rows</t>
        </is>
      </c>
    </row>
    <row r="1007" ht="23.85" customHeight="1" s="79">
      <c r="A1007" s="145" t="inlineStr">
        <is>
          <t>GRC_DATA</t>
        </is>
      </c>
      <c r="B1007" s="145" t="inlineStr">
        <is>
          <t>Top-Row Cell Format</t>
        </is>
      </c>
      <c r="C1007" s="145" t="inlineStr">
        <is>
          <t>R2</t>
        </is>
      </c>
      <c r="D1007" s="145" t="inlineStr">
        <is>
          <t>GRC_DATA!A1:AH3310</t>
        </is>
      </c>
      <c r="E1007" s="145" t="inlineStr">
        <is>
          <t>Normal</t>
        </is>
      </c>
      <c r="F1007" s="145" t="n"/>
      <c r="G1007" s="145" t="inlineStr">
        <is>
          <t>Aptos</t>
        </is>
      </c>
      <c r="H1007" s="145" t="n">
        <v>8</v>
      </c>
      <c r="I1007" s="145" t="inlineStr">
        <is>
          <t>No</t>
        </is>
      </c>
      <c r="J1007" s="145" t="inlineStr">
        <is>
          <t>No</t>
        </is>
      </c>
      <c r="K1007" s="145" t="inlineStr">
        <is>
          <t>None</t>
        </is>
      </c>
      <c r="L1007" s="145" t="inlineStr">
        <is>
          <t>#000000</t>
        </is>
      </c>
      <c r="M1007" s="145" t="inlineStr">
        <is>
          <t>General</t>
        </is>
      </c>
      <c r="N1007" s="145" t="inlineStr">
        <is>
          <t>Center</t>
        </is>
      </c>
      <c r="O1007" s="145" t="inlineStr">
        <is>
          <t>No</t>
        </is>
      </c>
      <c r="P1007" s="145" t="inlineStr">
        <is>
          <t>General</t>
        </is>
      </c>
      <c r="Q1007" s="145" t="inlineStr">
        <is>
          <t>General</t>
        </is>
      </c>
      <c r="R1007" s="145" t="n"/>
      <c r="S1007" s="145" t="n"/>
      <c r="T1007" s="145" t="n"/>
      <c r="U1007" s="145" t="n"/>
      <c r="V1007" s="145" t="n"/>
      <c r="W1007" s="145" t="n"/>
      <c r="X1007" s="145" t="inlineStr">
        <is>
          <t>Detailed format sample from top 5 used rows</t>
        </is>
      </c>
    </row>
    <row r="1008" ht="23.85" customHeight="1" s="79">
      <c r="A1008" s="145" t="inlineStr">
        <is>
          <t>GRC_DATA</t>
        </is>
      </c>
      <c r="B1008" s="145" t="inlineStr">
        <is>
          <t>Top-Row Cell Format</t>
        </is>
      </c>
      <c r="C1008" s="145" t="inlineStr">
        <is>
          <t>R3</t>
        </is>
      </c>
      <c r="D1008" s="145" t="inlineStr">
        <is>
          <t>GRC_DATA!A1:AH3310</t>
        </is>
      </c>
      <c r="E1008" s="145" t="inlineStr">
        <is>
          <t>Normal</t>
        </is>
      </c>
      <c r="F1008" s="145" t="n"/>
      <c r="G1008" s="145" t="inlineStr">
        <is>
          <t>Aptos</t>
        </is>
      </c>
      <c r="H1008" s="145" t="n">
        <v>8</v>
      </c>
      <c r="I1008" s="145" t="inlineStr">
        <is>
          <t>No</t>
        </is>
      </c>
      <c r="J1008" s="145" t="inlineStr">
        <is>
          <t>No</t>
        </is>
      </c>
      <c r="K1008" s="145" t="inlineStr">
        <is>
          <t>None</t>
        </is>
      </c>
      <c r="L1008" s="145" t="inlineStr">
        <is>
          <t>#000000</t>
        </is>
      </c>
      <c r="M1008" s="145" t="inlineStr">
        <is>
          <t>General</t>
        </is>
      </c>
      <c r="N1008" s="145" t="inlineStr">
        <is>
          <t>Center</t>
        </is>
      </c>
      <c r="O1008" s="145" t="inlineStr">
        <is>
          <t>No</t>
        </is>
      </c>
      <c r="P1008" s="145" t="inlineStr">
        <is>
          <t>General</t>
        </is>
      </c>
      <c r="Q1008" s="145" t="inlineStr">
        <is>
          <t>General</t>
        </is>
      </c>
      <c r="R1008" s="145" t="n"/>
      <c r="S1008" s="145" t="n"/>
      <c r="T1008" s="145" t="n"/>
      <c r="U1008" s="145" t="n"/>
      <c r="V1008" s="145" t="n"/>
      <c r="W1008" s="145" t="n"/>
      <c r="X1008" s="145" t="inlineStr">
        <is>
          <t>Detailed format sample from top 5 used rows</t>
        </is>
      </c>
    </row>
    <row r="1009" ht="23.85" customHeight="1" s="79">
      <c r="A1009" s="145" t="inlineStr">
        <is>
          <t>GRC_DATA</t>
        </is>
      </c>
      <c r="B1009" s="145" t="inlineStr">
        <is>
          <t>Top-Row Cell Format</t>
        </is>
      </c>
      <c r="C1009" s="145" t="inlineStr">
        <is>
          <t>R4</t>
        </is>
      </c>
      <c r="D1009" s="145" t="inlineStr">
        <is>
          <t>GRC_DATA!A1:AH3310</t>
        </is>
      </c>
      <c r="E1009" s="145" t="inlineStr">
        <is>
          <t>Normal</t>
        </is>
      </c>
      <c r="F1009" s="145" t="n"/>
      <c r="G1009" s="145" t="inlineStr">
        <is>
          <t>Aptos</t>
        </is>
      </c>
      <c r="H1009" s="145" t="n">
        <v>8</v>
      </c>
      <c r="I1009" s="145" t="inlineStr">
        <is>
          <t>No</t>
        </is>
      </c>
      <c r="J1009" s="145" t="inlineStr">
        <is>
          <t>No</t>
        </is>
      </c>
      <c r="K1009" s="145" t="inlineStr">
        <is>
          <t>None</t>
        </is>
      </c>
      <c r="L1009" s="145" t="inlineStr">
        <is>
          <t>#000000</t>
        </is>
      </c>
      <c r="M1009" s="145" t="inlineStr">
        <is>
          <t>General</t>
        </is>
      </c>
      <c r="N1009" s="145" t="inlineStr">
        <is>
          <t>Center</t>
        </is>
      </c>
      <c r="O1009" s="145" t="inlineStr">
        <is>
          <t>No</t>
        </is>
      </c>
      <c r="P1009" s="145" t="inlineStr">
        <is>
          <t>General</t>
        </is>
      </c>
      <c r="Q1009" s="145" t="inlineStr">
        <is>
          <t>General</t>
        </is>
      </c>
      <c r="R1009" s="145" t="n"/>
      <c r="S1009" s="145" t="n"/>
      <c r="T1009" s="145" t="n"/>
      <c r="U1009" s="145" t="n"/>
      <c r="V1009" s="145" t="n"/>
      <c r="W1009" s="145" t="n"/>
      <c r="X1009" s="145" t="inlineStr">
        <is>
          <t>Detailed format sample from top 5 used rows</t>
        </is>
      </c>
    </row>
    <row r="1010" ht="23.85" customHeight="1" s="79">
      <c r="A1010" s="145" t="inlineStr">
        <is>
          <t>GRC_DATA</t>
        </is>
      </c>
      <c r="B1010" s="145" t="inlineStr">
        <is>
          <t>Top-Row Cell Format</t>
        </is>
      </c>
      <c r="C1010" s="145" t="inlineStr">
        <is>
          <t>R5</t>
        </is>
      </c>
      <c r="D1010" s="145" t="inlineStr">
        <is>
          <t>GRC_DATA!A1:AH3310</t>
        </is>
      </c>
      <c r="E1010" s="145" t="inlineStr">
        <is>
          <t>Normal</t>
        </is>
      </c>
      <c r="F1010" s="145" t="n"/>
      <c r="G1010" s="145" t="inlineStr">
        <is>
          <t>Aptos</t>
        </is>
      </c>
      <c r="H1010" s="145" t="n">
        <v>8</v>
      </c>
      <c r="I1010" s="145" t="inlineStr">
        <is>
          <t>No</t>
        </is>
      </c>
      <c r="J1010" s="145" t="inlineStr">
        <is>
          <t>No</t>
        </is>
      </c>
      <c r="K1010" s="145" t="inlineStr">
        <is>
          <t>None</t>
        </is>
      </c>
      <c r="L1010" s="145" t="inlineStr">
        <is>
          <t>#000000</t>
        </is>
      </c>
      <c r="M1010" s="145" t="inlineStr">
        <is>
          <t>General</t>
        </is>
      </c>
      <c r="N1010" s="145" t="inlineStr">
        <is>
          <t>Center</t>
        </is>
      </c>
      <c r="O1010" s="145" t="inlineStr">
        <is>
          <t>No</t>
        </is>
      </c>
      <c r="P1010" s="145" t="inlineStr">
        <is>
          <t>General</t>
        </is>
      </c>
      <c r="Q1010" s="145" t="inlineStr">
        <is>
          <t>General</t>
        </is>
      </c>
      <c r="R1010" s="145" t="n"/>
      <c r="S1010" s="145" t="n"/>
      <c r="T1010" s="145" t="n"/>
      <c r="U1010" s="145" t="n"/>
      <c r="V1010" s="145" t="n"/>
      <c r="W1010" s="145" t="n"/>
      <c r="X1010" s="145" t="inlineStr">
        <is>
          <t>Detailed format sample from top 5 used rows</t>
        </is>
      </c>
    </row>
    <row r="1011" ht="23.85" customHeight="1" s="79">
      <c r="A1011" s="145" t="inlineStr">
        <is>
          <t>GRC_DATA</t>
        </is>
      </c>
      <c r="B1011" s="145" t="inlineStr">
        <is>
          <t>Column Format</t>
        </is>
      </c>
      <c r="C1011" s="145" t="inlineStr">
        <is>
          <t>S:S</t>
        </is>
      </c>
      <c r="D1011" s="145" t="inlineStr">
        <is>
          <t>GRC_DATA!A1:AH3310</t>
        </is>
      </c>
      <c r="E1011" s="145" t="inlineStr">
        <is>
          <t>Normal</t>
        </is>
      </c>
      <c r="F1011" s="145" t="inlineStr">
        <is>
          <t>Mixed</t>
        </is>
      </c>
      <c r="G1011" s="145" t="inlineStr">
        <is>
          <t>Aptos</t>
        </is>
      </c>
      <c r="H1011" s="145" t="n">
        <v>8</v>
      </c>
      <c r="I1011" s="145" t="inlineStr">
        <is>
          <t>Mixed</t>
        </is>
      </c>
      <c r="J1011" s="145" t="inlineStr">
        <is>
          <t>No</t>
        </is>
      </c>
      <c r="K1011" s="145" t="inlineStr">
        <is>
          <t>None</t>
        </is>
      </c>
      <c r="L1011" s="145" t="inlineStr">
        <is>
          <t>Mixed</t>
        </is>
      </c>
      <c r="M1011" s="145" t="inlineStr">
        <is>
          <t>General</t>
        </is>
      </c>
      <c r="N1011" s="145" t="inlineStr">
        <is>
          <t>Center</t>
        </is>
      </c>
      <c r="O1011" s="145" t="inlineStr">
        <is>
          <t>No</t>
        </is>
      </c>
      <c r="P1011" s="145" t="n"/>
      <c r="Q1011" s="145" t="n"/>
      <c r="R1011" s="145" t="n"/>
      <c r="S1011" s="145" t="n">
        <v>29.5522388059701</v>
      </c>
      <c r="T1011" s="145" t="n"/>
      <c r="U1011" s="145" t="inlineStr">
        <is>
          <t>No</t>
        </is>
      </c>
      <c r="V1011" s="145" t="inlineStr">
        <is>
          <t>Visible</t>
        </is>
      </c>
      <c r="W1011" s="145" t="n"/>
      <c r="X1011" s="145" t="inlineStr">
        <is>
          <t>Mixed styles within used column</t>
        </is>
      </c>
    </row>
    <row r="1012" ht="23.85" customHeight="1" s="79">
      <c r="A1012" s="145" t="inlineStr">
        <is>
          <t>GRC_DATA</t>
        </is>
      </c>
      <c r="B1012" s="145" t="inlineStr">
        <is>
          <t>Top-Row Cell Format</t>
        </is>
      </c>
      <c r="C1012" s="145" t="inlineStr">
        <is>
          <t>S1</t>
        </is>
      </c>
      <c r="D1012" s="145" t="inlineStr">
        <is>
          <t>GRC_DATA!A1:AH3310</t>
        </is>
      </c>
      <c r="E1012" s="145" t="inlineStr">
        <is>
          <t>Normal</t>
        </is>
      </c>
      <c r="F1012" s="145" t="inlineStr">
        <is>
          <t>#ED7D31</t>
        </is>
      </c>
      <c r="G1012" s="145" t="inlineStr">
        <is>
          <t>Aptos</t>
        </is>
      </c>
      <c r="H1012" s="145" t="n">
        <v>8</v>
      </c>
      <c r="I1012" s="145" t="inlineStr">
        <is>
          <t>Yes</t>
        </is>
      </c>
      <c r="J1012" s="145" t="inlineStr">
        <is>
          <t>No</t>
        </is>
      </c>
      <c r="K1012" s="145" t="inlineStr">
        <is>
          <t>None</t>
        </is>
      </c>
      <c r="L1012" s="145" t="inlineStr">
        <is>
          <t>#FFFFFF</t>
        </is>
      </c>
      <c r="M1012" s="145" t="inlineStr">
        <is>
          <t>General</t>
        </is>
      </c>
      <c r="N1012" s="145" t="inlineStr">
        <is>
          <t>Center</t>
        </is>
      </c>
      <c r="O1012" s="145" t="inlineStr">
        <is>
          <t>No</t>
        </is>
      </c>
      <c r="P1012" s="145" t="inlineStr">
        <is>
          <t>General</t>
        </is>
      </c>
      <c r="Q1012" s="145" t="inlineStr">
        <is>
          <t>General</t>
        </is>
      </c>
      <c r="R1012" s="145" t="n"/>
      <c r="S1012" s="145" t="n"/>
      <c r="T1012" s="145" t="n"/>
      <c r="U1012" s="145" t="n"/>
      <c r="V1012" s="145" t="n"/>
      <c r="W1012" s="145" t="n"/>
      <c r="X1012" s="145" t="inlineStr">
        <is>
          <t>Detailed format sample from top 5 used rows</t>
        </is>
      </c>
    </row>
    <row r="1013" ht="23.85" customHeight="1" s="79">
      <c r="A1013" s="145" t="inlineStr">
        <is>
          <t>GRC_DATA</t>
        </is>
      </c>
      <c r="B1013" s="145" t="inlineStr">
        <is>
          <t>Top-Row Cell Format</t>
        </is>
      </c>
      <c r="C1013" s="145" t="inlineStr">
        <is>
          <t>S2</t>
        </is>
      </c>
      <c r="D1013" s="145" t="inlineStr">
        <is>
          <t>GRC_DATA!A1:AH3310</t>
        </is>
      </c>
      <c r="E1013" s="145" t="inlineStr">
        <is>
          <t>Normal</t>
        </is>
      </c>
      <c r="F1013" s="145" t="n"/>
      <c r="G1013" s="145" t="inlineStr">
        <is>
          <t>Aptos</t>
        </is>
      </c>
      <c r="H1013" s="145" t="n">
        <v>8</v>
      </c>
      <c r="I1013" s="145" t="inlineStr">
        <is>
          <t>No</t>
        </is>
      </c>
      <c r="J1013" s="145" t="inlineStr">
        <is>
          <t>No</t>
        </is>
      </c>
      <c r="K1013" s="145" t="inlineStr">
        <is>
          <t>None</t>
        </is>
      </c>
      <c r="L1013" s="145" t="inlineStr">
        <is>
          <t>#000000</t>
        </is>
      </c>
      <c r="M1013" s="145" t="inlineStr">
        <is>
          <t>General</t>
        </is>
      </c>
      <c r="N1013" s="145" t="inlineStr">
        <is>
          <t>Center</t>
        </is>
      </c>
      <c r="O1013" s="145" t="inlineStr">
        <is>
          <t>No</t>
        </is>
      </c>
      <c r="P1013" s="145" t="inlineStr">
        <is>
          <t>General</t>
        </is>
      </c>
      <c r="Q1013" s="145" t="inlineStr">
        <is>
          <t>General</t>
        </is>
      </c>
      <c r="R1013" s="145" t="n"/>
      <c r="S1013" s="145" t="n"/>
      <c r="T1013" s="145" t="n"/>
      <c r="U1013" s="145" t="n"/>
      <c r="V1013" s="145" t="n"/>
      <c r="W1013" s="145" t="n"/>
      <c r="X1013" s="145" t="inlineStr">
        <is>
          <t>Detailed format sample from top 5 used rows</t>
        </is>
      </c>
    </row>
    <row r="1014" ht="23.85" customHeight="1" s="79">
      <c r="A1014" s="145" t="inlineStr">
        <is>
          <t>GRC_DATA</t>
        </is>
      </c>
      <c r="B1014" s="145" t="inlineStr">
        <is>
          <t>Top-Row Cell Format</t>
        </is>
      </c>
      <c r="C1014" s="145" t="inlineStr">
        <is>
          <t>S3</t>
        </is>
      </c>
      <c r="D1014" s="145" t="inlineStr">
        <is>
          <t>GRC_DATA!A1:AH3310</t>
        </is>
      </c>
      <c r="E1014" s="145" t="inlineStr">
        <is>
          <t>Normal</t>
        </is>
      </c>
      <c r="F1014" s="145" t="n"/>
      <c r="G1014" s="145" t="inlineStr">
        <is>
          <t>Aptos</t>
        </is>
      </c>
      <c r="H1014" s="145" t="n">
        <v>8</v>
      </c>
      <c r="I1014" s="145" t="inlineStr">
        <is>
          <t>No</t>
        </is>
      </c>
      <c r="J1014" s="145" t="inlineStr">
        <is>
          <t>No</t>
        </is>
      </c>
      <c r="K1014" s="145" t="inlineStr">
        <is>
          <t>None</t>
        </is>
      </c>
      <c r="L1014" s="145" t="inlineStr">
        <is>
          <t>#000000</t>
        </is>
      </c>
      <c r="M1014" s="145" t="inlineStr">
        <is>
          <t>General</t>
        </is>
      </c>
      <c r="N1014" s="145" t="inlineStr">
        <is>
          <t>Center</t>
        </is>
      </c>
      <c r="O1014" s="145" t="inlineStr">
        <is>
          <t>No</t>
        </is>
      </c>
      <c r="P1014" s="145" t="inlineStr">
        <is>
          <t>General</t>
        </is>
      </c>
      <c r="Q1014" s="145" t="inlineStr">
        <is>
          <t>General</t>
        </is>
      </c>
      <c r="R1014" s="145" t="n"/>
      <c r="S1014" s="145" t="n"/>
      <c r="T1014" s="145" t="n"/>
      <c r="U1014" s="145" t="n"/>
      <c r="V1014" s="145" t="n"/>
      <c r="W1014" s="145" t="n"/>
      <c r="X1014" s="145" t="inlineStr">
        <is>
          <t>Detailed format sample from top 5 used rows</t>
        </is>
      </c>
    </row>
    <row r="1015" ht="23.85" customHeight="1" s="79">
      <c r="A1015" s="145" t="inlineStr">
        <is>
          <t>GRC_DATA</t>
        </is>
      </c>
      <c r="B1015" s="145" t="inlineStr">
        <is>
          <t>Top-Row Cell Format</t>
        </is>
      </c>
      <c r="C1015" s="145" t="inlineStr">
        <is>
          <t>S4</t>
        </is>
      </c>
      <c r="D1015" s="145" t="inlineStr">
        <is>
          <t>GRC_DATA!A1:AH3310</t>
        </is>
      </c>
      <c r="E1015" s="145" t="inlineStr">
        <is>
          <t>Normal</t>
        </is>
      </c>
      <c r="F1015" s="145" t="n"/>
      <c r="G1015" s="145" t="inlineStr">
        <is>
          <t>Aptos</t>
        </is>
      </c>
      <c r="H1015" s="145" t="n">
        <v>8</v>
      </c>
      <c r="I1015" s="145" t="inlineStr">
        <is>
          <t>No</t>
        </is>
      </c>
      <c r="J1015" s="145" t="inlineStr">
        <is>
          <t>No</t>
        </is>
      </c>
      <c r="K1015" s="145" t="inlineStr">
        <is>
          <t>None</t>
        </is>
      </c>
      <c r="L1015" s="145" t="inlineStr">
        <is>
          <t>#000000</t>
        </is>
      </c>
      <c r="M1015" s="145" t="inlineStr">
        <is>
          <t>General</t>
        </is>
      </c>
      <c r="N1015" s="145" t="inlineStr">
        <is>
          <t>Center</t>
        </is>
      </c>
      <c r="O1015" s="145" t="inlineStr">
        <is>
          <t>No</t>
        </is>
      </c>
      <c r="P1015" s="145" t="inlineStr">
        <is>
          <t>General</t>
        </is>
      </c>
      <c r="Q1015" s="145" t="inlineStr">
        <is>
          <t>General</t>
        </is>
      </c>
      <c r="R1015" s="145" t="n"/>
      <c r="S1015" s="145" t="n"/>
      <c r="T1015" s="145" t="n"/>
      <c r="U1015" s="145" t="n"/>
      <c r="V1015" s="145" t="n"/>
      <c r="W1015" s="145" t="n"/>
      <c r="X1015" s="145" t="inlineStr">
        <is>
          <t>Detailed format sample from top 5 used rows</t>
        </is>
      </c>
    </row>
    <row r="1016" ht="23.85" customHeight="1" s="79">
      <c r="A1016" s="145" t="inlineStr">
        <is>
          <t>GRC_DATA</t>
        </is>
      </c>
      <c r="B1016" s="145" t="inlineStr">
        <is>
          <t>Top-Row Cell Format</t>
        </is>
      </c>
      <c r="C1016" s="145" t="inlineStr">
        <is>
          <t>S5</t>
        </is>
      </c>
      <c r="D1016" s="145" t="inlineStr">
        <is>
          <t>GRC_DATA!A1:AH3310</t>
        </is>
      </c>
      <c r="E1016" s="145" t="inlineStr">
        <is>
          <t>Normal</t>
        </is>
      </c>
      <c r="F1016" s="145" t="n"/>
      <c r="G1016" s="145" t="inlineStr">
        <is>
          <t>Aptos</t>
        </is>
      </c>
      <c r="H1016" s="145" t="n">
        <v>8</v>
      </c>
      <c r="I1016" s="145" t="inlineStr">
        <is>
          <t>No</t>
        </is>
      </c>
      <c r="J1016" s="145" t="inlineStr">
        <is>
          <t>No</t>
        </is>
      </c>
      <c r="K1016" s="145" t="inlineStr">
        <is>
          <t>None</t>
        </is>
      </c>
      <c r="L1016" s="145" t="inlineStr">
        <is>
          <t>#000000</t>
        </is>
      </c>
      <c r="M1016" s="145" t="inlineStr">
        <is>
          <t>General</t>
        </is>
      </c>
      <c r="N1016" s="145" t="inlineStr">
        <is>
          <t>Center</t>
        </is>
      </c>
      <c r="O1016" s="145" t="inlineStr">
        <is>
          <t>No</t>
        </is>
      </c>
      <c r="P1016" s="145" t="inlineStr">
        <is>
          <t>General</t>
        </is>
      </c>
      <c r="Q1016" s="145" t="inlineStr">
        <is>
          <t>General</t>
        </is>
      </c>
      <c r="R1016" s="145" t="n"/>
      <c r="S1016" s="145" t="n"/>
      <c r="T1016" s="145" t="n"/>
      <c r="U1016" s="145" t="n"/>
      <c r="V1016" s="145" t="n"/>
      <c r="W1016" s="145" t="n"/>
      <c r="X1016" s="145" t="inlineStr">
        <is>
          <t>Detailed format sample from top 5 used rows</t>
        </is>
      </c>
    </row>
    <row r="1017" ht="23.85" customHeight="1" s="79">
      <c r="A1017" s="145" t="inlineStr">
        <is>
          <t>GRC_DATA</t>
        </is>
      </c>
      <c r="B1017" s="145" t="inlineStr">
        <is>
          <t>Column Format</t>
        </is>
      </c>
      <c r="C1017" s="145" t="inlineStr">
        <is>
          <t>T:T</t>
        </is>
      </c>
      <c r="D1017" s="145" t="inlineStr">
        <is>
          <t>GRC_DATA!A1:AH3310</t>
        </is>
      </c>
      <c r="E1017" s="145" t="inlineStr">
        <is>
          <t>Normal</t>
        </is>
      </c>
      <c r="F1017" s="145" t="inlineStr">
        <is>
          <t>Mixed</t>
        </is>
      </c>
      <c r="G1017" s="145" t="inlineStr">
        <is>
          <t>Aptos</t>
        </is>
      </c>
      <c r="H1017" s="145" t="n">
        <v>8</v>
      </c>
      <c r="I1017" s="145" t="inlineStr">
        <is>
          <t>Mixed</t>
        </is>
      </c>
      <c r="J1017" s="145" t="inlineStr">
        <is>
          <t>No</t>
        </is>
      </c>
      <c r="K1017" s="145" t="inlineStr">
        <is>
          <t>None</t>
        </is>
      </c>
      <c r="L1017" s="145" t="inlineStr">
        <is>
          <t>Mixed</t>
        </is>
      </c>
      <c r="M1017" s="145" t="inlineStr">
        <is>
          <t>General</t>
        </is>
      </c>
      <c r="N1017" s="145" t="inlineStr">
        <is>
          <t>Center</t>
        </is>
      </c>
      <c r="O1017" s="145" t="inlineStr">
        <is>
          <t>No</t>
        </is>
      </c>
      <c r="P1017" s="145" t="n"/>
      <c r="Q1017" s="145" t="n"/>
      <c r="R1017" s="145" t="n"/>
      <c r="S1017" s="145" t="n">
        <v>29.5522388059701</v>
      </c>
      <c r="T1017" s="145" t="n"/>
      <c r="U1017" s="145" t="inlineStr">
        <is>
          <t>No</t>
        </is>
      </c>
      <c r="V1017" s="145" t="inlineStr">
        <is>
          <t>Visible</t>
        </is>
      </c>
      <c r="W1017" s="145" t="n"/>
      <c r="X1017" s="145" t="inlineStr">
        <is>
          <t>Mixed styles within used column</t>
        </is>
      </c>
    </row>
    <row r="1018" ht="23.85" customHeight="1" s="79">
      <c r="A1018" s="145" t="inlineStr">
        <is>
          <t>GRC_DATA</t>
        </is>
      </c>
      <c r="B1018" s="145" t="inlineStr">
        <is>
          <t>Top-Row Cell Format</t>
        </is>
      </c>
      <c r="C1018" s="145" t="inlineStr">
        <is>
          <t>T1</t>
        </is>
      </c>
      <c r="D1018" s="145" t="inlineStr">
        <is>
          <t>GRC_DATA!A1:AH3310</t>
        </is>
      </c>
      <c r="E1018" s="145" t="inlineStr">
        <is>
          <t>Normal</t>
        </is>
      </c>
      <c r="F1018" s="145" t="inlineStr">
        <is>
          <t>#ED7D31</t>
        </is>
      </c>
      <c r="G1018" s="145" t="inlineStr">
        <is>
          <t>Aptos</t>
        </is>
      </c>
      <c r="H1018" s="145" t="n">
        <v>8</v>
      </c>
      <c r="I1018" s="145" t="inlineStr">
        <is>
          <t>Yes</t>
        </is>
      </c>
      <c r="J1018" s="145" t="inlineStr">
        <is>
          <t>No</t>
        </is>
      </c>
      <c r="K1018" s="145" t="inlineStr">
        <is>
          <t>None</t>
        </is>
      </c>
      <c r="L1018" s="145" t="inlineStr">
        <is>
          <t>#FFFFFF</t>
        </is>
      </c>
      <c r="M1018" s="145" t="inlineStr">
        <is>
          <t>General</t>
        </is>
      </c>
      <c r="N1018" s="145" t="inlineStr">
        <is>
          <t>Center</t>
        </is>
      </c>
      <c r="O1018" s="145" t="inlineStr">
        <is>
          <t>No</t>
        </is>
      </c>
      <c r="P1018" s="145" t="inlineStr">
        <is>
          <t>General</t>
        </is>
      </c>
      <c r="Q1018" s="145" t="inlineStr">
        <is>
          <t>General</t>
        </is>
      </c>
      <c r="R1018" s="145" t="n"/>
      <c r="S1018" s="145" t="n"/>
      <c r="T1018" s="145" t="n"/>
      <c r="U1018" s="145" t="n"/>
      <c r="V1018" s="145" t="n"/>
      <c r="W1018" s="145" t="n"/>
      <c r="X1018" s="145" t="inlineStr">
        <is>
          <t>Detailed format sample from top 5 used rows</t>
        </is>
      </c>
    </row>
    <row r="1019" ht="23.85" customHeight="1" s="79">
      <c r="A1019" s="145" t="inlineStr">
        <is>
          <t>GRC_DATA</t>
        </is>
      </c>
      <c r="B1019" s="145" t="inlineStr">
        <is>
          <t>Top-Row Cell Format</t>
        </is>
      </c>
      <c r="C1019" s="145" t="inlineStr">
        <is>
          <t>T2</t>
        </is>
      </c>
      <c r="D1019" s="145" t="inlineStr">
        <is>
          <t>GRC_DATA!A1:AH3310</t>
        </is>
      </c>
      <c r="E1019" s="145" t="inlineStr">
        <is>
          <t>Normal</t>
        </is>
      </c>
      <c r="F1019" s="145" t="n"/>
      <c r="G1019" s="145" t="inlineStr">
        <is>
          <t>Aptos</t>
        </is>
      </c>
      <c r="H1019" s="145" t="n">
        <v>8</v>
      </c>
      <c r="I1019" s="145" t="inlineStr">
        <is>
          <t>No</t>
        </is>
      </c>
      <c r="J1019" s="145" t="inlineStr">
        <is>
          <t>No</t>
        </is>
      </c>
      <c r="K1019" s="145" t="inlineStr">
        <is>
          <t>None</t>
        </is>
      </c>
      <c r="L1019" s="145" t="inlineStr">
        <is>
          <t>#000000</t>
        </is>
      </c>
      <c r="M1019" s="145" t="inlineStr">
        <is>
          <t>General</t>
        </is>
      </c>
      <c r="N1019" s="145" t="inlineStr">
        <is>
          <t>Center</t>
        </is>
      </c>
      <c r="O1019" s="145" t="inlineStr">
        <is>
          <t>No</t>
        </is>
      </c>
      <c r="P1019" s="145" t="inlineStr">
        <is>
          <t>General</t>
        </is>
      </c>
      <c r="Q1019" s="145" t="inlineStr">
        <is>
          <t>General</t>
        </is>
      </c>
      <c r="R1019" s="145" t="n"/>
      <c r="S1019" s="145" t="n"/>
      <c r="T1019" s="145" t="n"/>
      <c r="U1019" s="145" t="n"/>
      <c r="V1019" s="145" t="n"/>
      <c r="W1019" s="145" t="n"/>
      <c r="X1019" s="145" t="inlineStr">
        <is>
          <t>Detailed format sample from top 5 used rows</t>
        </is>
      </c>
    </row>
    <row r="1020" ht="23.85" customHeight="1" s="79">
      <c r="A1020" s="145" t="inlineStr">
        <is>
          <t>GRC_DATA</t>
        </is>
      </c>
      <c r="B1020" s="145" t="inlineStr">
        <is>
          <t>Top-Row Cell Format</t>
        </is>
      </c>
      <c r="C1020" s="145" t="inlineStr">
        <is>
          <t>T3</t>
        </is>
      </c>
      <c r="D1020" s="145" t="inlineStr">
        <is>
          <t>GRC_DATA!A1:AH3310</t>
        </is>
      </c>
      <c r="E1020" s="145" t="inlineStr">
        <is>
          <t>Normal</t>
        </is>
      </c>
      <c r="F1020" s="145" t="n"/>
      <c r="G1020" s="145" t="inlineStr">
        <is>
          <t>Aptos</t>
        </is>
      </c>
      <c r="H1020" s="145" t="n">
        <v>8</v>
      </c>
      <c r="I1020" s="145" t="inlineStr">
        <is>
          <t>No</t>
        </is>
      </c>
      <c r="J1020" s="145" t="inlineStr">
        <is>
          <t>No</t>
        </is>
      </c>
      <c r="K1020" s="145" t="inlineStr">
        <is>
          <t>None</t>
        </is>
      </c>
      <c r="L1020" s="145" t="inlineStr">
        <is>
          <t>#000000</t>
        </is>
      </c>
      <c r="M1020" s="145" t="inlineStr">
        <is>
          <t>General</t>
        </is>
      </c>
      <c r="N1020" s="145" t="inlineStr">
        <is>
          <t>Center</t>
        </is>
      </c>
      <c r="O1020" s="145" t="inlineStr">
        <is>
          <t>No</t>
        </is>
      </c>
      <c r="P1020" s="145" t="inlineStr">
        <is>
          <t>General</t>
        </is>
      </c>
      <c r="Q1020" s="145" t="inlineStr">
        <is>
          <t>General</t>
        </is>
      </c>
      <c r="R1020" s="145" t="n"/>
      <c r="S1020" s="145" t="n"/>
      <c r="T1020" s="145" t="n"/>
      <c r="U1020" s="145" t="n"/>
      <c r="V1020" s="145" t="n"/>
      <c r="W1020" s="145" t="n"/>
      <c r="X1020" s="145" t="inlineStr">
        <is>
          <t>Detailed format sample from top 5 used rows</t>
        </is>
      </c>
    </row>
    <row r="1021" ht="23.85" customHeight="1" s="79">
      <c r="A1021" s="145" t="inlineStr">
        <is>
          <t>GRC_DATA</t>
        </is>
      </c>
      <c r="B1021" s="145" t="inlineStr">
        <is>
          <t>Top-Row Cell Format</t>
        </is>
      </c>
      <c r="C1021" s="145" t="inlineStr">
        <is>
          <t>T4</t>
        </is>
      </c>
      <c r="D1021" s="145" t="inlineStr">
        <is>
          <t>GRC_DATA!A1:AH3310</t>
        </is>
      </c>
      <c r="E1021" s="145" t="inlineStr">
        <is>
          <t>Normal</t>
        </is>
      </c>
      <c r="F1021" s="145" t="n"/>
      <c r="G1021" s="145" t="inlineStr">
        <is>
          <t>Aptos</t>
        </is>
      </c>
      <c r="H1021" s="145" t="n">
        <v>8</v>
      </c>
      <c r="I1021" s="145" t="inlineStr">
        <is>
          <t>No</t>
        </is>
      </c>
      <c r="J1021" s="145" t="inlineStr">
        <is>
          <t>No</t>
        </is>
      </c>
      <c r="K1021" s="145" t="inlineStr">
        <is>
          <t>None</t>
        </is>
      </c>
      <c r="L1021" s="145" t="inlineStr">
        <is>
          <t>#000000</t>
        </is>
      </c>
      <c r="M1021" s="145" t="inlineStr">
        <is>
          <t>General</t>
        </is>
      </c>
      <c r="N1021" s="145" t="inlineStr">
        <is>
          <t>Center</t>
        </is>
      </c>
      <c r="O1021" s="145" t="inlineStr">
        <is>
          <t>No</t>
        </is>
      </c>
      <c r="P1021" s="145" t="inlineStr">
        <is>
          <t>General</t>
        </is>
      </c>
      <c r="Q1021" s="145" t="inlineStr">
        <is>
          <t>General</t>
        </is>
      </c>
      <c r="R1021" s="145" t="n"/>
      <c r="S1021" s="145" t="n"/>
      <c r="T1021" s="145" t="n"/>
      <c r="U1021" s="145" t="n"/>
      <c r="V1021" s="145" t="n"/>
      <c r="W1021" s="145" t="n"/>
      <c r="X1021" s="145" t="inlineStr">
        <is>
          <t>Detailed format sample from top 5 used rows</t>
        </is>
      </c>
    </row>
    <row r="1022" ht="23.85" customHeight="1" s="79">
      <c r="A1022" s="145" t="inlineStr">
        <is>
          <t>GRC_DATA</t>
        </is>
      </c>
      <c r="B1022" s="145" t="inlineStr">
        <is>
          <t>Top-Row Cell Format</t>
        </is>
      </c>
      <c r="C1022" s="145" t="inlineStr">
        <is>
          <t>T5</t>
        </is>
      </c>
      <c r="D1022" s="145" t="inlineStr">
        <is>
          <t>GRC_DATA!A1:AH3310</t>
        </is>
      </c>
      <c r="E1022" s="145" t="inlineStr">
        <is>
          <t>Normal</t>
        </is>
      </c>
      <c r="F1022" s="145" t="n"/>
      <c r="G1022" s="145" t="inlineStr">
        <is>
          <t>Aptos</t>
        </is>
      </c>
      <c r="H1022" s="145" t="n">
        <v>8</v>
      </c>
      <c r="I1022" s="145" t="inlineStr">
        <is>
          <t>No</t>
        </is>
      </c>
      <c r="J1022" s="145" t="inlineStr">
        <is>
          <t>No</t>
        </is>
      </c>
      <c r="K1022" s="145" t="inlineStr">
        <is>
          <t>None</t>
        </is>
      </c>
      <c r="L1022" s="145" t="inlineStr">
        <is>
          <t>#000000</t>
        </is>
      </c>
      <c r="M1022" s="145" t="inlineStr">
        <is>
          <t>General</t>
        </is>
      </c>
      <c r="N1022" s="145" t="inlineStr">
        <is>
          <t>Center</t>
        </is>
      </c>
      <c r="O1022" s="145" t="inlineStr">
        <is>
          <t>No</t>
        </is>
      </c>
      <c r="P1022" s="145" t="inlineStr">
        <is>
          <t>General</t>
        </is>
      </c>
      <c r="Q1022" s="145" t="inlineStr">
        <is>
          <t>General</t>
        </is>
      </c>
      <c r="R1022" s="145" t="n"/>
      <c r="S1022" s="145" t="n"/>
      <c r="T1022" s="145" t="n"/>
      <c r="U1022" s="145" t="n"/>
      <c r="V1022" s="145" t="n"/>
      <c r="W1022" s="145" t="n"/>
      <c r="X1022" s="145" t="inlineStr">
        <is>
          <t>Detailed format sample from top 5 used rows</t>
        </is>
      </c>
    </row>
    <row r="1023" ht="23.85" customHeight="1" s="79">
      <c r="A1023" s="145" t="inlineStr">
        <is>
          <t>GRC_DATA</t>
        </is>
      </c>
      <c r="B1023" s="145" t="inlineStr">
        <is>
          <t>Column Format</t>
        </is>
      </c>
      <c r="C1023" s="145" t="inlineStr">
        <is>
          <t>U:U</t>
        </is>
      </c>
      <c r="D1023" s="145" t="inlineStr">
        <is>
          <t>GRC_DATA!A1:AH3310</t>
        </is>
      </c>
      <c r="E1023" s="145" t="inlineStr">
        <is>
          <t>Normal</t>
        </is>
      </c>
      <c r="F1023" s="145" t="inlineStr">
        <is>
          <t>Mixed</t>
        </is>
      </c>
      <c r="G1023" s="145" t="inlineStr">
        <is>
          <t>Aptos</t>
        </is>
      </c>
      <c r="H1023" s="145" t="n">
        <v>8</v>
      </c>
      <c r="I1023" s="145" t="inlineStr">
        <is>
          <t>Mixed</t>
        </is>
      </c>
      <c r="J1023" s="145" t="inlineStr">
        <is>
          <t>No</t>
        </is>
      </c>
      <c r="K1023" s="145" t="inlineStr">
        <is>
          <t>None</t>
        </is>
      </c>
      <c r="L1023" s="145" t="inlineStr">
        <is>
          <t>Mixed</t>
        </is>
      </c>
      <c r="M1023" s="145" t="inlineStr">
        <is>
          <t>General</t>
        </is>
      </c>
      <c r="N1023" s="145" t="inlineStr">
        <is>
          <t>Center</t>
        </is>
      </c>
      <c r="O1023" s="145" t="inlineStr">
        <is>
          <t>No</t>
        </is>
      </c>
      <c r="P1023" s="145" t="n"/>
      <c r="Q1023" s="145" t="n"/>
      <c r="R1023" s="145" t="n"/>
      <c r="S1023" s="145" t="n">
        <v>29.5522388059701</v>
      </c>
      <c r="T1023" s="145" t="n"/>
      <c r="U1023" s="145" t="inlineStr">
        <is>
          <t>No</t>
        </is>
      </c>
      <c r="V1023" s="145" t="inlineStr">
        <is>
          <t>Visible</t>
        </is>
      </c>
      <c r="W1023" s="145" t="n"/>
      <c r="X1023" s="145" t="inlineStr">
        <is>
          <t>Mixed styles within used column</t>
        </is>
      </c>
    </row>
    <row r="1024" ht="23.85" customHeight="1" s="79">
      <c r="A1024" s="145" t="inlineStr">
        <is>
          <t>GRC_DATA</t>
        </is>
      </c>
      <c r="B1024" s="145" t="inlineStr">
        <is>
          <t>Top-Row Cell Format</t>
        </is>
      </c>
      <c r="C1024" s="145" t="inlineStr">
        <is>
          <t>U1</t>
        </is>
      </c>
      <c r="D1024" s="145" t="inlineStr">
        <is>
          <t>GRC_DATA!A1:AH3310</t>
        </is>
      </c>
      <c r="E1024" s="145" t="inlineStr">
        <is>
          <t>Normal</t>
        </is>
      </c>
      <c r="F1024" s="145" t="inlineStr">
        <is>
          <t>#ED7D31</t>
        </is>
      </c>
      <c r="G1024" s="145" t="inlineStr">
        <is>
          <t>Aptos</t>
        </is>
      </c>
      <c r="H1024" s="145" t="n">
        <v>8</v>
      </c>
      <c r="I1024" s="145" t="inlineStr">
        <is>
          <t>Yes</t>
        </is>
      </c>
      <c r="J1024" s="145" t="inlineStr">
        <is>
          <t>No</t>
        </is>
      </c>
      <c r="K1024" s="145" t="inlineStr">
        <is>
          <t>None</t>
        </is>
      </c>
      <c r="L1024" s="145" t="inlineStr">
        <is>
          <t>#FFFFFF</t>
        </is>
      </c>
      <c r="M1024" s="145" t="inlineStr">
        <is>
          <t>General</t>
        </is>
      </c>
      <c r="N1024" s="145" t="inlineStr">
        <is>
          <t>Center</t>
        </is>
      </c>
      <c r="O1024" s="145" t="inlineStr">
        <is>
          <t>No</t>
        </is>
      </c>
      <c r="P1024" s="145" t="inlineStr">
        <is>
          <t>General</t>
        </is>
      </c>
      <c r="Q1024" s="145" t="inlineStr">
        <is>
          <t>General</t>
        </is>
      </c>
      <c r="R1024" s="145" t="n"/>
      <c r="S1024" s="145" t="n"/>
      <c r="T1024" s="145" t="n"/>
      <c r="U1024" s="145" t="n"/>
      <c r="V1024" s="145" t="n"/>
      <c r="W1024" s="145" t="n"/>
      <c r="X1024" s="145" t="inlineStr">
        <is>
          <t>Detailed format sample from top 5 used rows</t>
        </is>
      </c>
    </row>
    <row r="1025" ht="23.85" customHeight="1" s="79">
      <c r="A1025" s="145" t="inlineStr">
        <is>
          <t>GRC_DATA</t>
        </is>
      </c>
      <c r="B1025" s="145" t="inlineStr">
        <is>
          <t>Top-Row Cell Format</t>
        </is>
      </c>
      <c r="C1025" s="145" t="inlineStr">
        <is>
          <t>U2</t>
        </is>
      </c>
      <c r="D1025" s="145" t="inlineStr">
        <is>
          <t>GRC_DATA!A1:AH3310</t>
        </is>
      </c>
      <c r="E1025" s="145" t="inlineStr">
        <is>
          <t>Normal</t>
        </is>
      </c>
      <c r="F1025" s="145" t="n"/>
      <c r="G1025" s="145" t="inlineStr">
        <is>
          <t>Aptos</t>
        </is>
      </c>
      <c r="H1025" s="145" t="n">
        <v>8</v>
      </c>
      <c r="I1025" s="145" t="inlineStr">
        <is>
          <t>No</t>
        </is>
      </c>
      <c r="J1025" s="145" t="inlineStr">
        <is>
          <t>No</t>
        </is>
      </c>
      <c r="K1025" s="145" t="inlineStr">
        <is>
          <t>None</t>
        </is>
      </c>
      <c r="L1025" s="145" t="inlineStr">
        <is>
          <t>#000000</t>
        </is>
      </c>
      <c r="M1025" s="145" t="inlineStr">
        <is>
          <t>General</t>
        </is>
      </c>
      <c r="N1025" s="145" t="inlineStr">
        <is>
          <t>Center</t>
        </is>
      </c>
      <c r="O1025" s="145" t="inlineStr">
        <is>
          <t>No</t>
        </is>
      </c>
      <c r="P1025" s="145" t="inlineStr">
        <is>
          <t>General</t>
        </is>
      </c>
      <c r="Q1025" s="145" t="inlineStr">
        <is>
          <t>General</t>
        </is>
      </c>
      <c r="R1025" s="145" t="n"/>
      <c r="S1025" s="145" t="n"/>
      <c r="T1025" s="145" t="n"/>
      <c r="U1025" s="145" t="n"/>
      <c r="V1025" s="145" t="n"/>
      <c r="W1025" s="145" t="n"/>
      <c r="X1025" s="145" t="inlineStr">
        <is>
          <t>Detailed format sample from top 5 used rows</t>
        </is>
      </c>
    </row>
    <row r="1026" ht="23.85" customHeight="1" s="79">
      <c r="A1026" s="145" t="inlineStr">
        <is>
          <t>GRC_DATA</t>
        </is>
      </c>
      <c r="B1026" s="145" t="inlineStr">
        <is>
          <t>Top-Row Cell Format</t>
        </is>
      </c>
      <c r="C1026" s="145" t="inlineStr">
        <is>
          <t>U3</t>
        </is>
      </c>
      <c r="D1026" s="145" t="inlineStr">
        <is>
          <t>GRC_DATA!A1:AH3310</t>
        </is>
      </c>
      <c r="E1026" s="145" t="inlineStr">
        <is>
          <t>Normal</t>
        </is>
      </c>
      <c r="F1026" s="145" t="n"/>
      <c r="G1026" s="145" t="inlineStr">
        <is>
          <t>Aptos</t>
        </is>
      </c>
      <c r="H1026" s="145" t="n">
        <v>8</v>
      </c>
      <c r="I1026" s="145" t="inlineStr">
        <is>
          <t>No</t>
        </is>
      </c>
      <c r="J1026" s="145" t="inlineStr">
        <is>
          <t>No</t>
        </is>
      </c>
      <c r="K1026" s="145" t="inlineStr">
        <is>
          <t>None</t>
        </is>
      </c>
      <c r="L1026" s="145" t="inlineStr">
        <is>
          <t>#000000</t>
        </is>
      </c>
      <c r="M1026" s="145" t="inlineStr">
        <is>
          <t>General</t>
        </is>
      </c>
      <c r="N1026" s="145" t="inlineStr">
        <is>
          <t>Center</t>
        </is>
      </c>
      <c r="O1026" s="145" t="inlineStr">
        <is>
          <t>No</t>
        </is>
      </c>
      <c r="P1026" s="145" t="inlineStr">
        <is>
          <t>General</t>
        </is>
      </c>
      <c r="Q1026" s="145" t="inlineStr">
        <is>
          <t>General</t>
        </is>
      </c>
      <c r="R1026" s="145" t="n"/>
      <c r="S1026" s="145" t="n"/>
      <c r="T1026" s="145" t="n"/>
      <c r="U1026" s="145" t="n"/>
      <c r="V1026" s="145" t="n"/>
      <c r="W1026" s="145" t="n"/>
      <c r="X1026" s="145" t="inlineStr">
        <is>
          <t>Detailed format sample from top 5 used rows</t>
        </is>
      </c>
    </row>
    <row r="1027" ht="23.85" customHeight="1" s="79">
      <c r="A1027" s="145" t="inlineStr">
        <is>
          <t>GRC_DATA</t>
        </is>
      </c>
      <c r="B1027" s="145" t="inlineStr">
        <is>
          <t>Top-Row Cell Format</t>
        </is>
      </c>
      <c r="C1027" s="145" t="inlineStr">
        <is>
          <t>U4</t>
        </is>
      </c>
      <c r="D1027" s="145" t="inlineStr">
        <is>
          <t>GRC_DATA!A1:AH3310</t>
        </is>
      </c>
      <c r="E1027" s="145" t="inlineStr">
        <is>
          <t>Normal</t>
        </is>
      </c>
      <c r="F1027" s="145" t="n"/>
      <c r="G1027" s="145" t="inlineStr">
        <is>
          <t>Aptos</t>
        </is>
      </c>
      <c r="H1027" s="145" t="n">
        <v>8</v>
      </c>
      <c r="I1027" s="145" t="inlineStr">
        <is>
          <t>No</t>
        </is>
      </c>
      <c r="J1027" s="145" t="inlineStr">
        <is>
          <t>No</t>
        </is>
      </c>
      <c r="K1027" s="145" t="inlineStr">
        <is>
          <t>None</t>
        </is>
      </c>
      <c r="L1027" s="145" t="inlineStr">
        <is>
          <t>#000000</t>
        </is>
      </c>
      <c r="M1027" s="145" t="inlineStr">
        <is>
          <t>General</t>
        </is>
      </c>
      <c r="N1027" s="145" t="inlineStr">
        <is>
          <t>Center</t>
        </is>
      </c>
      <c r="O1027" s="145" t="inlineStr">
        <is>
          <t>No</t>
        </is>
      </c>
      <c r="P1027" s="145" t="inlineStr">
        <is>
          <t>General</t>
        </is>
      </c>
      <c r="Q1027" s="145" t="inlineStr">
        <is>
          <t>General</t>
        </is>
      </c>
      <c r="R1027" s="145" t="n"/>
      <c r="S1027" s="145" t="n"/>
      <c r="T1027" s="145" t="n"/>
      <c r="U1027" s="145" t="n"/>
      <c r="V1027" s="145" t="n"/>
      <c r="W1027" s="145" t="n"/>
      <c r="X1027" s="145" t="inlineStr">
        <is>
          <t>Detailed format sample from top 5 used rows</t>
        </is>
      </c>
    </row>
    <row r="1028" ht="23.85" customHeight="1" s="79">
      <c r="A1028" s="145" t="inlineStr">
        <is>
          <t>GRC_DATA</t>
        </is>
      </c>
      <c r="B1028" s="145" t="inlineStr">
        <is>
          <t>Top-Row Cell Format</t>
        </is>
      </c>
      <c r="C1028" s="145" t="inlineStr">
        <is>
          <t>U5</t>
        </is>
      </c>
      <c r="D1028" s="145" t="inlineStr">
        <is>
          <t>GRC_DATA!A1:AH3310</t>
        </is>
      </c>
      <c r="E1028" s="145" t="inlineStr">
        <is>
          <t>Normal</t>
        </is>
      </c>
      <c r="F1028" s="145" t="n"/>
      <c r="G1028" s="145" t="inlineStr">
        <is>
          <t>Aptos</t>
        </is>
      </c>
      <c r="H1028" s="145" t="n">
        <v>8</v>
      </c>
      <c r="I1028" s="145" t="inlineStr">
        <is>
          <t>No</t>
        </is>
      </c>
      <c r="J1028" s="145" t="inlineStr">
        <is>
          <t>No</t>
        </is>
      </c>
      <c r="K1028" s="145" t="inlineStr">
        <is>
          <t>None</t>
        </is>
      </c>
      <c r="L1028" s="145" t="inlineStr">
        <is>
          <t>#000000</t>
        </is>
      </c>
      <c r="M1028" s="145" t="inlineStr">
        <is>
          <t>General</t>
        </is>
      </c>
      <c r="N1028" s="145" t="inlineStr">
        <is>
          <t>Center</t>
        </is>
      </c>
      <c r="O1028" s="145" t="inlineStr">
        <is>
          <t>No</t>
        </is>
      </c>
      <c r="P1028" s="145" t="inlineStr">
        <is>
          <t>General</t>
        </is>
      </c>
      <c r="Q1028" s="145" t="inlineStr">
        <is>
          <t>General</t>
        </is>
      </c>
      <c r="R1028" s="145" t="n"/>
      <c r="S1028" s="145" t="n"/>
      <c r="T1028" s="145" t="n"/>
      <c r="U1028" s="145" t="n"/>
      <c r="V1028" s="145" t="n"/>
      <c r="W1028" s="145" t="n"/>
      <c r="X1028" s="145" t="inlineStr">
        <is>
          <t>Detailed format sample from top 5 used rows</t>
        </is>
      </c>
    </row>
    <row r="1029" ht="23.85" customHeight="1" s="79">
      <c r="A1029" s="145" t="inlineStr">
        <is>
          <t>GRC_DATA</t>
        </is>
      </c>
      <c r="B1029" s="145" t="inlineStr">
        <is>
          <t>Column Format</t>
        </is>
      </c>
      <c r="C1029" s="145" t="inlineStr">
        <is>
          <t>V:V</t>
        </is>
      </c>
      <c r="D1029" s="145" t="inlineStr">
        <is>
          <t>GRC_DATA!A1:AH3310</t>
        </is>
      </c>
      <c r="E1029" s="145" t="inlineStr">
        <is>
          <t>Normal</t>
        </is>
      </c>
      <c r="F1029" s="145" t="inlineStr">
        <is>
          <t>Mixed</t>
        </is>
      </c>
      <c r="G1029" s="145" t="inlineStr">
        <is>
          <t>Aptos</t>
        </is>
      </c>
      <c r="H1029" s="145" t="n">
        <v>8</v>
      </c>
      <c r="I1029" s="145" t="inlineStr">
        <is>
          <t>Mixed</t>
        </is>
      </c>
      <c r="J1029" s="145" t="inlineStr">
        <is>
          <t>No</t>
        </is>
      </c>
      <c r="K1029" s="145" t="inlineStr">
        <is>
          <t>None</t>
        </is>
      </c>
      <c r="L1029" s="145" t="inlineStr">
        <is>
          <t>Mixed</t>
        </is>
      </c>
      <c r="M1029" s="145" t="inlineStr">
        <is>
          <t>General</t>
        </is>
      </c>
      <c r="N1029" s="145" t="inlineStr">
        <is>
          <t>Center</t>
        </is>
      </c>
      <c r="O1029" s="145" t="inlineStr">
        <is>
          <t>No</t>
        </is>
      </c>
      <c r="P1029" s="145" t="n"/>
      <c r="Q1029" s="145" t="n"/>
      <c r="R1029" s="145" t="n"/>
      <c r="S1029" s="145" t="n">
        <v>34.9253731343284</v>
      </c>
      <c r="T1029" s="145" t="n"/>
      <c r="U1029" s="145" t="inlineStr">
        <is>
          <t>No</t>
        </is>
      </c>
      <c r="V1029" s="145" t="inlineStr">
        <is>
          <t>Visible</t>
        </is>
      </c>
      <c r="W1029" s="145" t="n"/>
      <c r="X1029" s="145" t="inlineStr">
        <is>
          <t>Mixed styles within used column</t>
        </is>
      </c>
    </row>
    <row r="1030" ht="23.85" customHeight="1" s="79">
      <c r="A1030" s="145" t="inlineStr">
        <is>
          <t>GRC_DATA</t>
        </is>
      </c>
      <c r="B1030" s="145" t="inlineStr">
        <is>
          <t>Top-Row Cell Format</t>
        </is>
      </c>
      <c r="C1030" s="145" t="inlineStr">
        <is>
          <t>V1</t>
        </is>
      </c>
      <c r="D1030" s="145" t="inlineStr">
        <is>
          <t>GRC_DATA!A1:AH3310</t>
        </is>
      </c>
      <c r="E1030" s="145" t="inlineStr">
        <is>
          <t>Normal</t>
        </is>
      </c>
      <c r="F1030" s="145" t="inlineStr">
        <is>
          <t>#ED7D31</t>
        </is>
      </c>
      <c r="G1030" s="145" t="inlineStr">
        <is>
          <t>Aptos</t>
        </is>
      </c>
      <c r="H1030" s="145" t="n">
        <v>8</v>
      </c>
      <c r="I1030" s="145" t="inlineStr">
        <is>
          <t>Yes</t>
        </is>
      </c>
      <c r="J1030" s="145" t="inlineStr">
        <is>
          <t>No</t>
        </is>
      </c>
      <c r="K1030" s="145" t="inlineStr">
        <is>
          <t>None</t>
        </is>
      </c>
      <c r="L1030" s="145" t="inlineStr">
        <is>
          <t>#FFFFFF</t>
        </is>
      </c>
      <c r="M1030" s="145" t="inlineStr">
        <is>
          <t>General</t>
        </is>
      </c>
      <c r="N1030" s="145" t="inlineStr">
        <is>
          <t>Center</t>
        </is>
      </c>
      <c r="O1030" s="145" t="inlineStr">
        <is>
          <t>No</t>
        </is>
      </c>
      <c r="P1030" s="145" t="inlineStr">
        <is>
          <t>General</t>
        </is>
      </c>
      <c r="Q1030" s="145" t="inlineStr">
        <is>
          <t>General</t>
        </is>
      </c>
      <c r="R1030" s="145" t="n"/>
      <c r="S1030" s="145" t="n"/>
      <c r="T1030" s="145" t="n"/>
      <c r="U1030" s="145" t="n"/>
      <c r="V1030" s="145" t="n"/>
      <c r="W1030" s="145" t="n"/>
      <c r="X1030" s="145" t="inlineStr">
        <is>
          <t>Detailed format sample from top 5 used rows</t>
        </is>
      </c>
    </row>
    <row r="1031" ht="23.85" customHeight="1" s="79">
      <c r="A1031" s="145" t="inlineStr">
        <is>
          <t>GRC_DATA</t>
        </is>
      </c>
      <c r="B1031" s="145" t="inlineStr">
        <is>
          <t>Top-Row Cell Format</t>
        </is>
      </c>
      <c r="C1031" s="145" t="inlineStr">
        <is>
          <t>V2</t>
        </is>
      </c>
      <c r="D1031" s="145" t="inlineStr">
        <is>
          <t>GRC_DATA!A1:AH3310</t>
        </is>
      </c>
      <c r="E1031" s="145" t="inlineStr">
        <is>
          <t>Normal</t>
        </is>
      </c>
      <c r="F1031" s="145" t="n"/>
      <c r="G1031" s="145" t="inlineStr">
        <is>
          <t>Aptos</t>
        </is>
      </c>
      <c r="H1031" s="145" t="n">
        <v>8</v>
      </c>
      <c r="I1031" s="145" t="inlineStr">
        <is>
          <t>No</t>
        </is>
      </c>
      <c r="J1031" s="145" t="inlineStr">
        <is>
          <t>No</t>
        </is>
      </c>
      <c r="K1031" s="145" t="inlineStr">
        <is>
          <t>None</t>
        </is>
      </c>
      <c r="L1031" s="145" t="inlineStr">
        <is>
          <t>#000000</t>
        </is>
      </c>
      <c r="M1031" s="145" t="inlineStr">
        <is>
          <t>General</t>
        </is>
      </c>
      <c r="N1031" s="145" t="inlineStr">
        <is>
          <t>Center</t>
        </is>
      </c>
      <c r="O1031" s="145" t="inlineStr">
        <is>
          <t>No</t>
        </is>
      </c>
      <c r="P1031" s="145" t="inlineStr">
        <is>
          <t>General</t>
        </is>
      </c>
      <c r="Q1031" s="145" t="inlineStr">
        <is>
          <t>General</t>
        </is>
      </c>
      <c r="R1031" s="145" t="n"/>
      <c r="S1031" s="145" t="n"/>
      <c r="T1031" s="145" t="n"/>
      <c r="U1031" s="145" t="n"/>
      <c r="V1031" s="145" t="n"/>
      <c r="W1031" s="145" t="n"/>
      <c r="X1031" s="145" t="inlineStr">
        <is>
          <t>Detailed format sample from top 5 used rows</t>
        </is>
      </c>
    </row>
    <row r="1032" ht="23.85" customHeight="1" s="79">
      <c r="A1032" s="145" t="inlineStr">
        <is>
          <t>GRC_DATA</t>
        </is>
      </c>
      <c r="B1032" s="145" t="inlineStr">
        <is>
          <t>Top-Row Cell Format</t>
        </is>
      </c>
      <c r="C1032" s="145" t="inlineStr">
        <is>
          <t>V3</t>
        </is>
      </c>
      <c r="D1032" s="145" t="inlineStr">
        <is>
          <t>GRC_DATA!A1:AH3310</t>
        </is>
      </c>
      <c r="E1032" s="145" t="inlineStr">
        <is>
          <t>Normal</t>
        </is>
      </c>
      <c r="F1032" s="145" t="n"/>
      <c r="G1032" s="145" t="inlineStr">
        <is>
          <t>Aptos</t>
        </is>
      </c>
      <c r="H1032" s="145" t="n">
        <v>8</v>
      </c>
      <c r="I1032" s="145" t="inlineStr">
        <is>
          <t>No</t>
        </is>
      </c>
      <c r="J1032" s="145" t="inlineStr">
        <is>
          <t>No</t>
        </is>
      </c>
      <c r="K1032" s="145" t="inlineStr">
        <is>
          <t>None</t>
        </is>
      </c>
      <c r="L1032" s="145" t="inlineStr">
        <is>
          <t>#000000</t>
        </is>
      </c>
      <c r="M1032" s="145" t="inlineStr">
        <is>
          <t>General</t>
        </is>
      </c>
      <c r="N1032" s="145" t="inlineStr">
        <is>
          <t>Center</t>
        </is>
      </c>
      <c r="O1032" s="145" t="inlineStr">
        <is>
          <t>No</t>
        </is>
      </c>
      <c r="P1032" s="145" t="inlineStr">
        <is>
          <t>General</t>
        </is>
      </c>
      <c r="Q1032" s="145" t="inlineStr">
        <is>
          <t>General</t>
        </is>
      </c>
      <c r="R1032" s="145" t="n"/>
      <c r="S1032" s="145" t="n"/>
      <c r="T1032" s="145" t="n"/>
      <c r="U1032" s="145" t="n"/>
      <c r="V1032" s="145" t="n"/>
      <c r="W1032" s="145" t="n"/>
      <c r="X1032" s="145" t="inlineStr">
        <is>
          <t>Detailed format sample from top 5 used rows</t>
        </is>
      </c>
    </row>
    <row r="1033" ht="23.85" customHeight="1" s="79">
      <c r="A1033" s="145" t="inlineStr">
        <is>
          <t>GRC_DATA</t>
        </is>
      </c>
      <c r="B1033" s="145" t="inlineStr">
        <is>
          <t>Top-Row Cell Format</t>
        </is>
      </c>
      <c r="C1033" s="145" t="inlineStr">
        <is>
          <t>V4</t>
        </is>
      </c>
      <c r="D1033" s="145" t="inlineStr">
        <is>
          <t>GRC_DATA!A1:AH3310</t>
        </is>
      </c>
      <c r="E1033" s="145" t="inlineStr">
        <is>
          <t>Normal</t>
        </is>
      </c>
      <c r="F1033" s="145" t="n"/>
      <c r="G1033" s="145" t="inlineStr">
        <is>
          <t>Aptos</t>
        </is>
      </c>
      <c r="H1033" s="145" t="n">
        <v>8</v>
      </c>
      <c r="I1033" s="145" t="inlineStr">
        <is>
          <t>No</t>
        </is>
      </c>
      <c r="J1033" s="145" t="inlineStr">
        <is>
          <t>No</t>
        </is>
      </c>
      <c r="K1033" s="145" t="inlineStr">
        <is>
          <t>None</t>
        </is>
      </c>
      <c r="L1033" s="145" t="inlineStr">
        <is>
          <t>#000000</t>
        </is>
      </c>
      <c r="M1033" s="145" t="inlineStr">
        <is>
          <t>General</t>
        </is>
      </c>
      <c r="N1033" s="145" t="inlineStr">
        <is>
          <t>Center</t>
        </is>
      </c>
      <c r="O1033" s="145" t="inlineStr">
        <is>
          <t>No</t>
        </is>
      </c>
      <c r="P1033" s="145" t="inlineStr">
        <is>
          <t>General</t>
        </is>
      </c>
      <c r="Q1033" s="145" t="inlineStr">
        <is>
          <t>General</t>
        </is>
      </c>
      <c r="R1033" s="145" t="n"/>
      <c r="S1033" s="145" t="n"/>
      <c r="T1033" s="145" t="n"/>
      <c r="U1033" s="145" t="n"/>
      <c r="V1033" s="145" t="n"/>
      <c r="W1033" s="145" t="n"/>
      <c r="X1033" s="145" t="inlineStr">
        <is>
          <t>Detailed format sample from top 5 used rows</t>
        </is>
      </c>
    </row>
    <row r="1034" ht="23.85" customHeight="1" s="79">
      <c r="A1034" s="145" t="inlineStr">
        <is>
          <t>GRC_DATA</t>
        </is>
      </c>
      <c r="B1034" s="145" t="inlineStr">
        <is>
          <t>Top-Row Cell Format</t>
        </is>
      </c>
      <c r="C1034" s="145" t="inlineStr">
        <is>
          <t>V5</t>
        </is>
      </c>
      <c r="D1034" s="145" t="inlineStr">
        <is>
          <t>GRC_DATA!A1:AH3310</t>
        </is>
      </c>
      <c r="E1034" s="145" t="inlineStr">
        <is>
          <t>Normal</t>
        </is>
      </c>
      <c r="F1034" s="145" t="n"/>
      <c r="G1034" s="145" t="inlineStr">
        <is>
          <t>Aptos</t>
        </is>
      </c>
      <c r="H1034" s="145" t="n">
        <v>8</v>
      </c>
      <c r="I1034" s="145" t="inlineStr">
        <is>
          <t>No</t>
        </is>
      </c>
      <c r="J1034" s="145" t="inlineStr">
        <is>
          <t>No</t>
        </is>
      </c>
      <c r="K1034" s="145" t="inlineStr">
        <is>
          <t>None</t>
        </is>
      </c>
      <c r="L1034" s="145" t="inlineStr">
        <is>
          <t>#000000</t>
        </is>
      </c>
      <c r="M1034" s="145" t="inlineStr">
        <is>
          <t>General</t>
        </is>
      </c>
      <c r="N1034" s="145" t="inlineStr">
        <is>
          <t>Center</t>
        </is>
      </c>
      <c r="O1034" s="145" t="inlineStr">
        <is>
          <t>No</t>
        </is>
      </c>
      <c r="P1034" s="145" t="inlineStr">
        <is>
          <t>General</t>
        </is>
      </c>
      <c r="Q1034" s="145" t="inlineStr">
        <is>
          <t>General</t>
        </is>
      </c>
      <c r="R1034" s="145" t="n"/>
      <c r="S1034" s="145" t="n"/>
      <c r="T1034" s="145" t="n"/>
      <c r="U1034" s="145" t="n"/>
      <c r="V1034" s="145" t="n"/>
      <c r="W1034" s="145" t="n"/>
      <c r="X1034" s="145" t="inlineStr">
        <is>
          <t>Detailed format sample from top 5 used rows</t>
        </is>
      </c>
    </row>
    <row r="1035" ht="23.85" customHeight="1" s="79">
      <c r="A1035" s="145" t="inlineStr">
        <is>
          <t>GRC_DATA</t>
        </is>
      </c>
      <c r="B1035" s="145" t="inlineStr">
        <is>
          <t>Column Format</t>
        </is>
      </c>
      <c r="C1035" s="145" t="inlineStr">
        <is>
          <t>W:W</t>
        </is>
      </c>
      <c r="D1035" s="145" t="inlineStr">
        <is>
          <t>GRC_DATA!A1:AH3310</t>
        </is>
      </c>
      <c r="E1035" s="145" t="inlineStr">
        <is>
          <t>Normal</t>
        </is>
      </c>
      <c r="F1035" s="145" t="inlineStr">
        <is>
          <t>Mixed</t>
        </is>
      </c>
      <c r="G1035" s="145" t="inlineStr">
        <is>
          <t>Aptos</t>
        </is>
      </c>
      <c r="H1035" s="145" t="n">
        <v>8</v>
      </c>
      <c r="I1035" s="145" t="inlineStr">
        <is>
          <t>Mixed</t>
        </is>
      </c>
      <c r="J1035" s="145" t="inlineStr">
        <is>
          <t>No</t>
        </is>
      </c>
      <c r="K1035" s="145" t="inlineStr">
        <is>
          <t>None</t>
        </is>
      </c>
      <c r="L1035" s="145" t="inlineStr">
        <is>
          <t>Mixed</t>
        </is>
      </c>
      <c r="M1035" s="145" t="inlineStr">
        <is>
          <t>General</t>
        </is>
      </c>
      <c r="N1035" s="145" t="inlineStr">
        <is>
          <t>Center</t>
        </is>
      </c>
      <c r="O1035" s="145" t="inlineStr">
        <is>
          <t>No</t>
        </is>
      </c>
      <c r="P1035" s="145" t="n"/>
      <c r="Q1035" s="145" t="n"/>
      <c r="R1035" s="145" t="n"/>
      <c r="S1035" s="145" t="n">
        <v>53.7313432835821</v>
      </c>
      <c r="T1035" s="145" t="n"/>
      <c r="U1035" s="145" t="inlineStr">
        <is>
          <t>No</t>
        </is>
      </c>
      <c r="V1035" s="145" t="inlineStr">
        <is>
          <t>Visible</t>
        </is>
      </c>
      <c r="W1035" s="145" t="n"/>
      <c r="X1035" s="145" t="inlineStr">
        <is>
          <t>Mixed styles within used column</t>
        </is>
      </c>
    </row>
    <row r="1036" ht="23.85" customHeight="1" s="79">
      <c r="A1036" s="145" t="inlineStr">
        <is>
          <t>GRC_DATA</t>
        </is>
      </c>
      <c r="B1036" s="145" t="inlineStr">
        <is>
          <t>Top-Row Cell Format</t>
        </is>
      </c>
      <c r="C1036" s="145" t="inlineStr">
        <is>
          <t>W1</t>
        </is>
      </c>
      <c r="D1036" s="145" t="inlineStr">
        <is>
          <t>GRC_DATA!A1:AH3310</t>
        </is>
      </c>
      <c r="E1036" s="145" t="inlineStr">
        <is>
          <t>Normal</t>
        </is>
      </c>
      <c r="F1036" s="145" t="inlineStr">
        <is>
          <t>#ED7D31</t>
        </is>
      </c>
      <c r="G1036" s="145" t="inlineStr">
        <is>
          <t>Aptos</t>
        </is>
      </c>
      <c r="H1036" s="145" t="n">
        <v>8</v>
      </c>
      <c r="I1036" s="145" t="inlineStr">
        <is>
          <t>Yes</t>
        </is>
      </c>
      <c r="J1036" s="145" t="inlineStr">
        <is>
          <t>No</t>
        </is>
      </c>
      <c r="K1036" s="145" t="inlineStr">
        <is>
          <t>None</t>
        </is>
      </c>
      <c r="L1036" s="145" t="inlineStr">
        <is>
          <t>#FFFFFF</t>
        </is>
      </c>
      <c r="M1036" s="145" t="inlineStr">
        <is>
          <t>General</t>
        </is>
      </c>
      <c r="N1036" s="145" t="inlineStr">
        <is>
          <t>Center</t>
        </is>
      </c>
      <c r="O1036" s="145" t="inlineStr">
        <is>
          <t>No</t>
        </is>
      </c>
      <c r="P1036" s="145" t="inlineStr">
        <is>
          <t>General</t>
        </is>
      </c>
      <c r="Q1036" s="145" t="inlineStr">
        <is>
          <t>General</t>
        </is>
      </c>
      <c r="R1036" s="145" t="n"/>
      <c r="S1036" s="145" t="n"/>
      <c r="T1036" s="145" t="n"/>
      <c r="U1036" s="145" t="n"/>
      <c r="V1036" s="145" t="n"/>
      <c r="W1036" s="145" t="n"/>
      <c r="X1036" s="145" t="inlineStr">
        <is>
          <t>Detailed format sample from top 5 used rows</t>
        </is>
      </c>
    </row>
    <row r="1037" ht="23.85" customHeight="1" s="79">
      <c r="A1037" s="145" t="inlineStr">
        <is>
          <t>GRC_DATA</t>
        </is>
      </c>
      <c r="B1037" s="145" t="inlineStr">
        <is>
          <t>Top-Row Cell Format</t>
        </is>
      </c>
      <c r="C1037" s="145" t="inlineStr">
        <is>
          <t>W2</t>
        </is>
      </c>
      <c r="D1037" s="145" t="inlineStr">
        <is>
          <t>GRC_DATA!A1:AH3310</t>
        </is>
      </c>
      <c r="E1037" s="145" t="inlineStr">
        <is>
          <t>Normal</t>
        </is>
      </c>
      <c r="F1037" s="145" t="n"/>
      <c r="G1037" s="145" t="inlineStr">
        <is>
          <t>Aptos</t>
        </is>
      </c>
      <c r="H1037" s="145" t="n">
        <v>8</v>
      </c>
      <c r="I1037" s="145" t="inlineStr">
        <is>
          <t>No</t>
        </is>
      </c>
      <c r="J1037" s="145" t="inlineStr">
        <is>
          <t>No</t>
        </is>
      </c>
      <c r="K1037" s="145" t="inlineStr">
        <is>
          <t>None</t>
        </is>
      </c>
      <c r="L1037" s="145" t="inlineStr">
        <is>
          <t>#000000</t>
        </is>
      </c>
      <c r="M1037" s="145" t="inlineStr">
        <is>
          <t>General</t>
        </is>
      </c>
      <c r="N1037" s="145" t="inlineStr">
        <is>
          <t>Center</t>
        </is>
      </c>
      <c r="O1037" s="145" t="inlineStr">
        <is>
          <t>No</t>
        </is>
      </c>
      <c r="P1037" s="145" t="inlineStr">
        <is>
          <t>General</t>
        </is>
      </c>
      <c r="Q1037" s="145" t="inlineStr">
        <is>
          <t>General</t>
        </is>
      </c>
      <c r="R1037" s="145" t="n"/>
      <c r="S1037" s="145" t="n"/>
      <c r="T1037" s="145" t="n"/>
      <c r="U1037" s="145" t="n"/>
      <c r="V1037" s="145" t="n"/>
      <c r="W1037" s="145" t="n"/>
      <c r="X1037" s="145" t="inlineStr">
        <is>
          <t>Detailed format sample from top 5 used rows</t>
        </is>
      </c>
    </row>
    <row r="1038" ht="23.85" customHeight="1" s="79">
      <c r="A1038" s="145" t="inlineStr">
        <is>
          <t>GRC_DATA</t>
        </is>
      </c>
      <c r="B1038" s="145" t="inlineStr">
        <is>
          <t>Top-Row Cell Format</t>
        </is>
      </c>
      <c r="C1038" s="145" t="inlineStr">
        <is>
          <t>W3</t>
        </is>
      </c>
      <c r="D1038" s="145" t="inlineStr">
        <is>
          <t>GRC_DATA!A1:AH3310</t>
        </is>
      </c>
      <c r="E1038" s="145" t="inlineStr">
        <is>
          <t>Normal</t>
        </is>
      </c>
      <c r="F1038" s="145" t="n"/>
      <c r="G1038" s="145" t="inlineStr">
        <is>
          <t>Aptos</t>
        </is>
      </c>
      <c r="H1038" s="145" t="n">
        <v>8</v>
      </c>
      <c r="I1038" s="145" t="inlineStr">
        <is>
          <t>No</t>
        </is>
      </c>
      <c r="J1038" s="145" t="inlineStr">
        <is>
          <t>No</t>
        </is>
      </c>
      <c r="K1038" s="145" t="inlineStr">
        <is>
          <t>None</t>
        </is>
      </c>
      <c r="L1038" s="145" t="inlineStr">
        <is>
          <t>#000000</t>
        </is>
      </c>
      <c r="M1038" s="145" t="inlineStr">
        <is>
          <t>General</t>
        </is>
      </c>
      <c r="N1038" s="145" t="inlineStr">
        <is>
          <t>Center</t>
        </is>
      </c>
      <c r="O1038" s="145" t="inlineStr">
        <is>
          <t>No</t>
        </is>
      </c>
      <c r="P1038" s="145" t="inlineStr">
        <is>
          <t>General</t>
        </is>
      </c>
      <c r="Q1038" s="145" t="inlineStr">
        <is>
          <t>General</t>
        </is>
      </c>
      <c r="R1038" s="145" t="n"/>
      <c r="S1038" s="145" t="n"/>
      <c r="T1038" s="145" t="n"/>
      <c r="U1038" s="145" t="n"/>
      <c r="V1038" s="145" t="n"/>
      <c r="W1038" s="145" t="n"/>
      <c r="X1038" s="145" t="inlineStr">
        <is>
          <t>Detailed format sample from top 5 used rows</t>
        </is>
      </c>
    </row>
    <row r="1039" ht="23.85" customHeight="1" s="79">
      <c r="A1039" s="145" t="inlineStr">
        <is>
          <t>GRC_DATA</t>
        </is>
      </c>
      <c r="B1039" s="145" t="inlineStr">
        <is>
          <t>Top-Row Cell Format</t>
        </is>
      </c>
      <c r="C1039" s="145" t="inlineStr">
        <is>
          <t>W4</t>
        </is>
      </c>
      <c r="D1039" s="145" t="inlineStr">
        <is>
          <t>GRC_DATA!A1:AH3310</t>
        </is>
      </c>
      <c r="E1039" s="145" t="inlineStr">
        <is>
          <t>Normal</t>
        </is>
      </c>
      <c r="F1039" s="145" t="n"/>
      <c r="G1039" s="145" t="inlineStr">
        <is>
          <t>Aptos</t>
        </is>
      </c>
      <c r="H1039" s="145" t="n">
        <v>8</v>
      </c>
      <c r="I1039" s="145" t="inlineStr">
        <is>
          <t>No</t>
        </is>
      </c>
      <c r="J1039" s="145" t="inlineStr">
        <is>
          <t>No</t>
        </is>
      </c>
      <c r="K1039" s="145" t="inlineStr">
        <is>
          <t>None</t>
        </is>
      </c>
      <c r="L1039" s="145" t="inlineStr">
        <is>
          <t>#000000</t>
        </is>
      </c>
      <c r="M1039" s="145" t="inlineStr">
        <is>
          <t>General</t>
        </is>
      </c>
      <c r="N1039" s="145" t="inlineStr">
        <is>
          <t>Center</t>
        </is>
      </c>
      <c r="O1039" s="145" t="inlineStr">
        <is>
          <t>No</t>
        </is>
      </c>
      <c r="P1039" s="145" t="inlineStr">
        <is>
          <t>General</t>
        </is>
      </c>
      <c r="Q1039" s="145" t="inlineStr">
        <is>
          <t>General</t>
        </is>
      </c>
      <c r="R1039" s="145" t="n"/>
      <c r="S1039" s="145" t="n"/>
      <c r="T1039" s="145" t="n"/>
      <c r="U1039" s="145" t="n"/>
      <c r="V1039" s="145" t="n"/>
      <c r="W1039" s="145" t="n"/>
      <c r="X1039" s="145" t="inlineStr">
        <is>
          <t>Detailed format sample from top 5 used rows</t>
        </is>
      </c>
    </row>
    <row r="1040" ht="23.85" customHeight="1" s="79">
      <c r="A1040" s="145" t="inlineStr">
        <is>
          <t>GRC_DATA</t>
        </is>
      </c>
      <c r="B1040" s="145" t="inlineStr">
        <is>
          <t>Top-Row Cell Format</t>
        </is>
      </c>
      <c r="C1040" s="145" t="inlineStr">
        <is>
          <t>W5</t>
        </is>
      </c>
      <c r="D1040" s="145" t="inlineStr">
        <is>
          <t>GRC_DATA!A1:AH3310</t>
        </is>
      </c>
      <c r="E1040" s="145" t="inlineStr">
        <is>
          <t>Normal</t>
        </is>
      </c>
      <c r="F1040" s="145" t="n"/>
      <c r="G1040" s="145" t="inlineStr">
        <is>
          <t>Aptos</t>
        </is>
      </c>
      <c r="H1040" s="145" t="n">
        <v>8</v>
      </c>
      <c r="I1040" s="145" t="inlineStr">
        <is>
          <t>No</t>
        </is>
      </c>
      <c r="J1040" s="145" t="inlineStr">
        <is>
          <t>No</t>
        </is>
      </c>
      <c r="K1040" s="145" t="inlineStr">
        <is>
          <t>None</t>
        </is>
      </c>
      <c r="L1040" s="145" t="inlineStr">
        <is>
          <t>#000000</t>
        </is>
      </c>
      <c r="M1040" s="145" t="inlineStr">
        <is>
          <t>General</t>
        </is>
      </c>
      <c r="N1040" s="145" t="inlineStr">
        <is>
          <t>Center</t>
        </is>
      </c>
      <c r="O1040" s="145" t="inlineStr">
        <is>
          <t>No</t>
        </is>
      </c>
      <c r="P1040" s="145" t="inlineStr">
        <is>
          <t>General</t>
        </is>
      </c>
      <c r="Q1040" s="145" t="inlineStr">
        <is>
          <t>General</t>
        </is>
      </c>
      <c r="R1040" s="145" t="n"/>
      <c r="S1040" s="145" t="n"/>
      <c r="T1040" s="145" t="n"/>
      <c r="U1040" s="145" t="n"/>
      <c r="V1040" s="145" t="n"/>
      <c r="W1040" s="145" t="n"/>
      <c r="X1040" s="145" t="inlineStr">
        <is>
          <t>Detailed format sample from top 5 used rows</t>
        </is>
      </c>
    </row>
    <row r="1041" ht="23.85" customHeight="1" s="79">
      <c r="A1041" s="145" t="inlineStr">
        <is>
          <t>GRC_DATA</t>
        </is>
      </c>
      <c r="B1041" s="145" t="inlineStr">
        <is>
          <t>Column Format</t>
        </is>
      </c>
      <c r="C1041" s="145" t="inlineStr">
        <is>
          <t>X:X</t>
        </is>
      </c>
      <c r="D1041" s="145" t="inlineStr">
        <is>
          <t>GRC_DATA!A1:AH3310</t>
        </is>
      </c>
      <c r="E1041" s="145" t="inlineStr">
        <is>
          <t>Normal</t>
        </is>
      </c>
      <c r="F1041" s="145" t="inlineStr">
        <is>
          <t>Mixed</t>
        </is>
      </c>
      <c r="G1041" s="145" t="inlineStr">
        <is>
          <t>Aptos</t>
        </is>
      </c>
      <c r="H1041" s="145" t="n">
        <v>8</v>
      </c>
      <c r="I1041" s="145" t="inlineStr">
        <is>
          <t>Mixed</t>
        </is>
      </c>
      <c r="J1041" s="145" t="inlineStr">
        <is>
          <t>No</t>
        </is>
      </c>
      <c r="K1041" s="145" t="inlineStr">
        <is>
          <t>None</t>
        </is>
      </c>
      <c r="L1041" s="145" t="inlineStr">
        <is>
          <t>Mixed</t>
        </is>
      </c>
      <c r="M1041" s="145" t="inlineStr">
        <is>
          <t>General</t>
        </is>
      </c>
      <c r="N1041" s="145" t="inlineStr">
        <is>
          <t>Center</t>
        </is>
      </c>
      <c r="O1041" s="145" t="inlineStr">
        <is>
          <t>No</t>
        </is>
      </c>
      <c r="P1041" s="145" t="n"/>
      <c r="Q1041" s="145" t="n"/>
      <c r="R1041" s="145" t="n"/>
      <c r="S1041" s="145" t="n">
        <v>25.2537313432836</v>
      </c>
      <c r="T1041" s="145" t="n"/>
      <c r="U1041" s="145" t="inlineStr">
        <is>
          <t>No</t>
        </is>
      </c>
      <c r="V1041" s="145" t="inlineStr">
        <is>
          <t>Visible</t>
        </is>
      </c>
      <c r="W1041" s="145" t="n"/>
      <c r="X1041" s="145" t="inlineStr">
        <is>
          <t>Mixed styles within used column</t>
        </is>
      </c>
    </row>
    <row r="1042" ht="23.85" customHeight="1" s="79">
      <c r="A1042" s="145" t="inlineStr">
        <is>
          <t>GRC_DATA</t>
        </is>
      </c>
      <c r="B1042" s="145" t="inlineStr">
        <is>
          <t>Top-Row Cell Format</t>
        </is>
      </c>
      <c r="C1042" s="145" t="inlineStr">
        <is>
          <t>X1</t>
        </is>
      </c>
      <c r="D1042" s="145" t="inlineStr">
        <is>
          <t>GRC_DATA!A1:AH3310</t>
        </is>
      </c>
      <c r="E1042" s="145" t="inlineStr">
        <is>
          <t>Normal</t>
        </is>
      </c>
      <c r="F1042" s="145" t="inlineStr">
        <is>
          <t>#ED7D31</t>
        </is>
      </c>
      <c r="G1042" s="145" t="inlineStr">
        <is>
          <t>Aptos</t>
        </is>
      </c>
      <c r="H1042" s="145" t="n">
        <v>8</v>
      </c>
      <c r="I1042" s="145" t="inlineStr">
        <is>
          <t>Yes</t>
        </is>
      </c>
      <c r="J1042" s="145" t="inlineStr">
        <is>
          <t>No</t>
        </is>
      </c>
      <c r="K1042" s="145" t="inlineStr">
        <is>
          <t>None</t>
        </is>
      </c>
      <c r="L1042" s="145" t="inlineStr">
        <is>
          <t>#FFFFFF</t>
        </is>
      </c>
      <c r="M1042" s="145" t="inlineStr">
        <is>
          <t>General</t>
        </is>
      </c>
      <c r="N1042" s="145" t="inlineStr">
        <is>
          <t>Center</t>
        </is>
      </c>
      <c r="O1042" s="145" t="inlineStr">
        <is>
          <t>No</t>
        </is>
      </c>
      <c r="P1042" s="145" t="inlineStr">
        <is>
          <t>General</t>
        </is>
      </c>
      <c r="Q1042" s="145" t="inlineStr">
        <is>
          <t>General</t>
        </is>
      </c>
      <c r="R1042" s="145" t="n"/>
      <c r="S1042" s="145" t="n"/>
      <c r="T1042" s="145" t="n"/>
      <c r="U1042" s="145" t="n"/>
      <c r="V1042" s="145" t="n"/>
      <c r="W1042" s="145" t="n"/>
      <c r="X1042" s="145" t="inlineStr">
        <is>
          <t>Detailed format sample from top 5 used rows</t>
        </is>
      </c>
    </row>
    <row r="1043" ht="23.85" customHeight="1" s="79">
      <c r="A1043" s="145" t="inlineStr">
        <is>
          <t>GRC_DATA</t>
        </is>
      </c>
      <c r="B1043" s="145" t="inlineStr">
        <is>
          <t>Top-Row Cell Format</t>
        </is>
      </c>
      <c r="C1043" s="145" t="inlineStr">
        <is>
          <t>X2</t>
        </is>
      </c>
      <c r="D1043" s="145" t="inlineStr">
        <is>
          <t>GRC_DATA!A1:AH3310</t>
        </is>
      </c>
      <c r="E1043" s="145" t="inlineStr">
        <is>
          <t>Normal</t>
        </is>
      </c>
      <c r="F1043" s="145" t="n"/>
      <c r="G1043" s="145" t="inlineStr">
        <is>
          <t>Aptos</t>
        </is>
      </c>
      <c r="H1043" s="145" t="n">
        <v>8</v>
      </c>
      <c r="I1043" s="145" t="inlineStr">
        <is>
          <t>No</t>
        </is>
      </c>
      <c r="J1043" s="145" t="inlineStr">
        <is>
          <t>No</t>
        </is>
      </c>
      <c r="K1043" s="145" t="inlineStr">
        <is>
          <t>None</t>
        </is>
      </c>
      <c r="L1043" s="145" t="inlineStr">
        <is>
          <t>#000000</t>
        </is>
      </c>
      <c r="M1043" s="145" t="inlineStr">
        <is>
          <t>General</t>
        </is>
      </c>
      <c r="N1043" s="145" t="inlineStr">
        <is>
          <t>Center</t>
        </is>
      </c>
      <c r="O1043" s="145" t="inlineStr">
        <is>
          <t>No</t>
        </is>
      </c>
      <c r="P1043" s="145" t="inlineStr">
        <is>
          <t>General</t>
        </is>
      </c>
      <c r="Q1043" s="145" t="inlineStr">
        <is>
          <t>General</t>
        </is>
      </c>
      <c r="R1043" s="145" t="n"/>
      <c r="S1043" s="145" t="n"/>
      <c r="T1043" s="145" t="n"/>
      <c r="U1043" s="145" t="n"/>
      <c r="V1043" s="145" t="n"/>
      <c r="W1043" s="145" t="n"/>
      <c r="X1043" s="145" t="inlineStr">
        <is>
          <t>Detailed format sample from top 5 used rows</t>
        </is>
      </c>
    </row>
    <row r="1044" ht="23.85" customHeight="1" s="79">
      <c r="A1044" s="145" t="inlineStr">
        <is>
          <t>GRC_DATA</t>
        </is>
      </c>
      <c r="B1044" s="145" t="inlineStr">
        <is>
          <t>Top-Row Cell Format</t>
        </is>
      </c>
      <c r="C1044" s="145" t="inlineStr">
        <is>
          <t>X3</t>
        </is>
      </c>
      <c r="D1044" s="145" t="inlineStr">
        <is>
          <t>GRC_DATA!A1:AH3310</t>
        </is>
      </c>
      <c r="E1044" s="145" t="inlineStr">
        <is>
          <t>Normal</t>
        </is>
      </c>
      <c r="F1044" s="145" t="n"/>
      <c r="G1044" s="145" t="inlineStr">
        <is>
          <t>Aptos</t>
        </is>
      </c>
      <c r="H1044" s="145" t="n">
        <v>8</v>
      </c>
      <c r="I1044" s="145" t="inlineStr">
        <is>
          <t>No</t>
        </is>
      </c>
      <c r="J1044" s="145" t="inlineStr">
        <is>
          <t>No</t>
        </is>
      </c>
      <c r="K1044" s="145" t="inlineStr">
        <is>
          <t>None</t>
        </is>
      </c>
      <c r="L1044" s="145" t="inlineStr">
        <is>
          <t>#000000</t>
        </is>
      </c>
      <c r="M1044" s="145" t="inlineStr">
        <is>
          <t>General</t>
        </is>
      </c>
      <c r="N1044" s="145" t="inlineStr">
        <is>
          <t>Center</t>
        </is>
      </c>
      <c r="O1044" s="145" t="inlineStr">
        <is>
          <t>No</t>
        </is>
      </c>
      <c r="P1044" s="145" t="inlineStr">
        <is>
          <t>General</t>
        </is>
      </c>
      <c r="Q1044" s="145" t="inlineStr">
        <is>
          <t>General</t>
        </is>
      </c>
      <c r="R1044" s="145" t="n"/>
      <c r="S1044" s="145" t="n"/>
      <c r="T1044" s="145" t="n"/>
      <c r="U1044" s="145" t="n"/>
      <c r="V1044" s="145" t="n"/>
      <c r="W1044" s="145" t="n"/>
      <c r="X1044" s="145" t="inlineStr">
        <is>
          <t>Detailed format sample from top 5 used rows</t>
        </is>
      </c>
    </row>
    <row r="1045" ht="23.85" customHeight="1" s="79">
      <c r="A1045" s="145" t="inlineStr">
        <is>
          <t>GRC_DATA</t>
        </is>
      </c>
      <c r="B1045" s="145" t="inlineStr">
        <is>
          <t>Top-Row Cell Format</t>
        </is>
      </c>
      <c r="C1045" s="145" t="inlineStr">
        <is>
          <t>X4</t>
        </is>
      </c>
      <c r="D1045" s="145" t="inlineStr">
        <is>
          <t>GRC_DATA!A1:AH3310</t>
        </is>
      </c>
      <c r="E1045" s="145" t="inlineStr">
        <is>
          <t>Normal</t>
        </is>
      </c>
      <c r="F1045" s="145" t="n"/>
      <c r="G1045" s="145" t="inlineStr">
        <is>
          <t>Aptos</t>
        </is>
      </c>
      <c r="H1045" s="145" t="n">
        <v>8</v>
      </c>
      <c r="I1045" s="145" t="inlineStr">
        <is>
          <t>No</t>
        </is>
      </c>
      <c r="J1045" s="145" t="inlineStr">
        <is>
          <t>No</t>
        </is>
      </c>
      <c r="K1045" s="145" t="inlineStr">
        <is>
          <t>None</t>
        </is>
      </c>
      <c r="L1045" s="145" t="inlineStr">
        <is>
          <t>#000000</t>
        </is>
      </c>
      <c r="M1045" s="145" t="inlineStr">
        <is>
          <t>General</t>
        </is>
      </c>
      <c r="N1045" s="145" t="inlineStr">
        <is>
          <t>Center</t>
        </is>
      </c>
      <c r="O1045" s="145" t="inlineStr">
        <is>
          <t>No</t>
        </is>
      </c>
      <c r="P1045" s="145" t="inlineStr">
        <is>
          <t>General</t>
        </is>
      </c>
      <c r="Q1045" s="145" t="inlineStr">
        <is>
          <t>General</t>
        </is>
      </c>
      <c r="R1045" s="145" t="n"/>
      <c r="S1045" s="145" t="n"/>
      <c r="T1045" s="145" t="n"/>
      <c r="U1045" s="145" t="n"/>
      <c r="V1045" s="145" t="n"/>
      <c r="W1045" s="145" t="n"/>
      <c r="X1045" s="145" t="inlineStr">
        <is>
          <t>Detailed format sample from top 5 used rows</t>
        </is>
      </c>
    </row>
    <row r="1046" ht="23.85" customHeight="1" s="79">
      <c r="A1046" s="145" t="inlineStr">
        <is>
          <t>GRC_DATA</t>
        </is>
      </c>
      <c r="B1046" s="145" t="inlineStr">
        <is>
          <t>Top-Row Cell Format</t>
        </is>
      </c>
      <c r="C1046" s="145" t="inlineStr">
        <is>
          <t>X5</t>
        </is>
      </c>
      <c r="D1046" s="145" t="inlineStr">
        <is>
          <t>GRC_DATA!A1:AH3310</t>
        </is>
      </c>
      <c r="E1046" s="145" t="inlineStr">
        <is>
          <t>Normal</t>
        </is>
      </c>
      <c r="F1046" s="145" t="n"/>
      <c r="G1046" s="145" t="inlineStr">
        <is>
          <t>Aptos</t>
        </is>
      </c>
      <c r="H1046" s="145" t="n">
        <v>8</v>
      </c>
      <c r="I1046" s="145" t="inlineStr">
        <is>
          <t>No</t>
        </is>
      </c>
      <c r="J1046" s="145" t="inlineStr">
        <is>
          <t>No</t>
        </is>
      </c>
      <c r="K1046" s="145" t="inlineStr">
        <is>
          <t>None</t>
        </is>
      </c>
      <c r="L1046" s="145" t="inlineStr">
        <is>
          <t>#000000</t>
        </is>
      </c>
      <c r="M1046" s="145" t="inlineStr">
        <is>
          <t>General</t>
        </is>
      </c>
      <c r="N1046" s="145" t="inlineStr">
        <is>
          <t>Center</t>
        </is>
      </c>
      <c r="O1046" s="145" t="inlineStr">
        <is>
          <t>No</t>
        </is>
      </c>
      <c r="P1046" s="145" t="inlineStr">
        <is>
          <t>General</t>
        </is>
      </c>
      <c r="Q1046" s="145" t="inlineStr">
        <is>
          <t>General</t>
        </is>
      </c>
      <c r="R1046" s="145" t="n"/>
      <c r="S1046" s="145" t="n"/>
      <c r="T1046" s="145" t="n"/>
      <c r="U1046" s="145" t="n"/>
      <c r="V1046" s="145" t="n"/>
      <c r="W1046" s="145" t="n"/>
      <c r="X1046" s="145" t="inlineStr">
        <is>
          <t>Detailed format sample from top 5 used rows</t>
        </is>
      </c>
    </row>
    <row r="1047" ht="23.85" customHeight="1" s="79">
      <c r="A1047" s="145" t="inlineStr">
        <is>
          <t>GRC_DATA</t>
        </is>
      </c>
      <c r="B1047" s="145" t="inlineStr">
        <is>
          <t>Column Format</t>
        </is>
      </c>
      <c r="C1047" s="145" t="inlineStr">
        <is>
          <t>Y:Y</t>
        </is>
      </c>
      <c r="D1047" s="145" t="inlineStr">
        <is>
          <t>GRC_DATA!A1:AH3310</t>
        </is>
      </c>
      <c r="E1047" s="145" t="inlineStr">
        <is>
          <t>Normal</t>
        </is>
      </c>
      <c r="F1047" s="145" t="inlineStr">
        <is>
          <t>Mixed</t>
        </is>
      </c>
      <c r="G1047" s="145" t="inlineStr">
        <is>
          <t>Aptos</t>
        </is>
      </c>
      <c r="H1047" s="145" t="n">
        <v>8</v>
      </c>
      <c r="I1047" s="145" t="inlineStr">
        <is>
          <t>Mixed</t>
        </is>
      </c>
      <c r="J1047" s="145" t="inlineStr">
        <is>
          <t>No</t>
        </is>
      </c>
      <c r="K1047" s="145" t="inlineStr">
        <is>
          <t>None</t>
        </is>
      </c>
      <c r="L1047" s="145" t="inlineStr">
        <is>
          <t>Mixed</t>
        </is>
      </c>
      <c r="M1047" s="145" t="inlineStr">
        <is>
          <t>General</t>
        </is>
      </c>
      <c r="N1047" s="145" t="inlineStr">
        <is>
          <t>Center</t>
        </is>
      </c>
      <c r="O1047" s="145" t="inlineStr">
        <is>
          <t>No</t>
        </is>
      </c>
      <c r="P1047" s="145" t="n"/>
      <c r="Q1047" s="145" t="n"/>
      <c r="R1047" s="145" t="n"/>
      <c r="S1047" s="145" t="n">
        <v>38.6865671641791</v>
      </c>
      <c r="T1047" s="145" t="n"/>
      <c r="U1047" s="145" t="inlineStr">
        <is>
          <t>No</t>
        </is>
      </c>
      <c r="V1047" s="145" t="inlineStr">
        <is>
          <t>Visible</t>
        </is>
      </c>
      <c r="W1047" s="145" t="n"/>
      <c r="X1047" s="145" t="inlineStr">
        <is>
          <t>Mixed styles within used column</t>
        </is>
      </c>
    </row>
    <row r="1048" ht="23.85" customHeight="1" s="79">
      <c r="A1048" s="145" t="inlineStr">
        <is>
          <t>GRC_DATA</t>
        </is>
      </c>
      <c r="B1048" s="145" t="inlineStr">
        <is>
          <t>Top-Row Cell Format</t>
        </is>
      </c>
      <c r="C1048" s="145" t="inlineStr">
        <is>
          <t>Y1</t>
        </is>
      </c>
      <c r="D1048" s="145" t="inlineStr">
        <is>
          <t>GRC_DATA!A1:AH3310</t>
        </is>
      </c>
      <c r="E1048" s="145" t="inlineStr">
        <is>
          <t>Normal</t>
        </is>
      </c>
      <c r="F1048" s="145" t="inlineStr">
        <is>
          <t>#ED7D31</t>
        </is>
      </c>
      <c r="G1048" s="145" t="inlineStr">
        <is>
          <t>Aptos</t>
        </is>
      </c>
      <c r="H1048" s="145" t="n">
        <v>8</v>
      </c>
      <c r="I1048" s="145" t="inlineStr">
        <is>
          <t>Yes</t>
        </is>
      </c>
      <c r="J1048" s="145" t="inlineStr">
        <is>
          <t>No</t>
        </is>
      </c>
      <c r="K1048" s="145" t="inlineStr">
        <is>
          <t>None</t>
        </is>
      </c>
      <c r="L1048" s="145" t="inlineStr">
        <is>
          <t>#FFFFFF</t>
        </is>
      </c>
      <c r="M1048" s="145" t="inlineStr">
        <is>
          <t>General</t>
        </is>
      </c>
      <c r="N1048" s="145" t="inlineStr">
        <is>
          <t>Center</t>
        </is>
      </c>
      <c r="O1048" s="145" t="inlineStr">
        <is>
          <t>No</t>
        </is>
      </c>
      <c r="P1048" s="145" t="inlineStr">
        <is>
          <t>General</t>
        </is>
      </c>
      <c r="Q1048" s="145" t="inlineStr">
        <is>
          <t>General</t>
        </is>
      </c>
      <c r="R1048" s="145" t="n"/>
      <c r="S1048" s="145" t="n"/>
      <c r="T1048" s="145" t="n"/>
      <c r="U1048" s="145" t="n"/>
      <c r="V1048" s="145" t="n"/>
      <c r="W1048" s="145" t="n"/>
      <c r="X1048" s="145" t="inlineStr">
        <is>
          <t>Detailed format sample from top 5 used rows</t>
        </is>
      </c>
    </row>
    <row r="1049" ht="23.85" customHeight="1" s="79">
      <c r="A1049" s="145" t="inlineStr">
        <is>
          <t>GRC_DATA</t>
        </is>
      </c>
      <c r="B1049" s="145" t="inlineStr">
        <is>
          <t>Top-Row Cell Format</t>
        </is>
      </c>
      <c r="C1049" s="145" t="inlineStr">
        <is>
          <t>Y2</t>
        </is>
      </c>
      <c r="D1049" s="145" t="inlineStr">
        <is>
          <t>GRC_DATA!A1:AH3310</t>
        </is>
      </c>
      <c r="E1049" s="145" t="inlineStr">
        <is>
          <t>Normal</t>
        </is>
      </c>
      <c r="F1049" s="145" t="n"/>
      <c r="G1049" s="145" t="inlineStr">
        <is>
          <t>Aptos</t>
        </is>
      </c>
      <c r="H1049" s="145" t="n">
        <v>8</v>
      </c>
      <c r="I1049" s="145" t="inlineStr">
        <is>
          <t>No</t>
        </is>
      </c>
      <c r="J1049" s="145" t="inlineStr">
        <is>
          <t>No</t>
        </is>
      </c>
      <c r="K1049" s="145" t="inlineStr">
        <is>
          <t>None</t>
        </is>
      </c>
      <c r="L1049" s="145" t="inlineStr">
        <is>
          <t>#000000</t>
        </is>
      </c>
      <c r="M1049" s="145" t="inlineStr">
        <is>
          <t>General</t>
        </is>
      </c>
      <c r="N1049" s="145" t="inlineStr">
        <is>
          <t>Center</t>
        </is>
      </c>
      <c r="O1049" s="145" t="inlineStr">
        <is>
          <t>No</t>
        </is>
      </c>
      <c r="P1049" s="145" t="inlineStr">
        <is>
          <t>General</t>
        </is>
      </c>
      <c r="Q1049" s="145" t="inlineStr">
        <is>
          <t>General</t>
        </is>
      </c>
      <c r="R1049" s="145" t="n"/>
      <c r="S1049" s="145" t="n"/>
      <c r="T1049" s="145" t="n"/>
      <c r="U1049" s="145" t="n"/>
      <c r="V1049" s="145" t="n"/>
      <c r="W1049" s="145" t="n"/>
      <c r="X1049" s="145" t="inlineStr">
        <is>
          <t>Detailed format sample from top 5 used rows</t>
        </is>
      </c>
    </row>
    <row r="1050" ht="23.85" customHeight="1" s="79">
      <c r="A1050" s="145" t="inlineStr">
        <is>
          <t>GRC_DATA</t>
        </is>
      </c>
      <c r="B1050" s="145" t="inlineStr">
        <is>
          <t>Top-Row Cell Format</t>
        </is>
      </c>
      <c r="C1050" s="145" t="inlineStr">
        <is>
          <t>Y3</t>
        </is>
      </c>
      <c r="D1050" s="145" t="inlineStr">
        <is>
          <t>GRC_DATA!A1:AH3310</t>
        </is>
      </c>
      <c r="E1050" s="145" t="inlineStr">
        <is>
          <t>Normal</t>
        </is>
      </c>
      <c r="F1050" s="145" t="n"/>
      <c r="G1050" s="145" t="inlineStr">
        <is>
          <t>Aptos</t>
        </is>
      </c>
      <c r="H1050" s="145" t="n">
        <v>8</v>
      </c>
      <c r="I1050" s="145" t="inlineStr">
        <is>
          <t>No</t>
        </is>
      </c>
      <c r="J1050" s="145" t="inlineStr">
        <is>
          <t>No</t>
        </is>
      </c>
      <c r="K1050" s="145" t="inlineStr">
        <is>
          <t>None</t>
        </is>
      </c>
      <c r="L1050" s="145" t="inlineStr">
        <is>
          <t>#000000</t>
        </is>
      </c>
      <c r="M1050" s="145" t="inlineStr">
        <is>
          <t>General</t>
        </is>
      </c>
      <c r="N1050" s="145" t="inlineStr">
        <is>
          <t>Center</t>
        </is>
      </c>
      <c r="O1050" s="145" t="inlineStr">
        <is>
          <t>No</t>
        </is>
      </c>
      <c r="P1050" s="145" t="inlineStr">
        <is>
          <t>General</t>
        </is>
      </c>
      <c r="Q1050" s="145" t="inlineStr">
        <is>
          <t>General</t>
        </is>
      </c>
      <c r="R1050" s="145" t="n"/>
      <c r="S1050" s="145" t="n"/>
      <c r="T1050" s="145" t="n"/>
      <c r="U1050" s="145" t="n"/>
      <c r="V1050" s="145" t="n"/>
      <c r="W1050" s="145" t="n"/>
      <c r="X1050" s="145" t="inlineStr">
        <is>
          <t>Detailed format sample from top 5 used rows</t>
        </is>
      </c>
    </row>
    <row r="1051" ht="23.85" customHeight="1" s="79">
      <c r="A1051" s="145" t="inlineStr">
        <is>
          <t>GRC_DATA</t>
        </is>
      </c>
      <c r="B1051" s="145" t="inlineStr">
        <is>
          <t>Top-Row Cell Format</t>
        </is>
      </c>
      <c r="C1051" s="145" t="inlineStr">
        <is>
          <t>Y4</t>
        </is>
      </c>
      <c r="D1051" s="145" t="inlineStr">
        <is>
          <t>GRC_DATA!A1:AH3310</t>
        </is>
      </c>
      <c r="E1051" s="145" t="inlineStr">
        <is>
          <t>Normal</t>
        </is>
      </c>
      <c r="F1051" s="145" t="n"/>
      <c r="G1051" s="145" t="inlineStr">
        <is>
          <t>Aptos</t>
        </is>
      </c>
      <c r="H1051" s="145" t="n">
        <v>8</v>
      </c>
      <c r="I1051" s="145" t="inlineStr">
        <is>
          <t>No</t>
        </is>
      </c>
      <c r="J1051" s="145" t="inlineStr">
        <is>
          <t>No</t>
        </is>
      </c>
      <c r="K1051" s="145" t="inlineStr">
        <is>
          <t>None</t>
        </is>
      </c>
      <c r="L1051" s="145" t="inlineStr">
        <is>
          <t>#000000</t>
        </is>
      </c>
      <c r="M1051" s="145" t="inlineStr">
        <is>
          <t>General</t>
        </is>
      </c>
      <c r="N1051" s="145" t="inlineStr">
        <is>
          <t>Center</t>
        </is>
      </c>
      <c r="O1051" s="145" t="inlineStr">
        <is>
          <t>No</t>
        </is>
      </c>
      <c r="P1051" s="145" t="inlineStr">
        <is>
          <t>General</t>
        </is>
      </c>
      <c r="Q1051" s="145" t="inlineStr">
        <is>
          <t>General</t>
        </is>
      </c>
      <c r="R1051" s="145" t="n"/>
      <c r="S1051" s="145" t="n"/>
      <c r="T1051" s="145" t="n"/>
      <c r="U1051" s="145" t="n"/>
      <c r="V1051" s="145" t="n"/>
      <c r="W1051" s="145" t="n"/>
      <c r="X1051" s="145" t="inlineStr">
        <is>
          <t>Detailed format sample from top 5 used rows</t>
        </is>
      </c>
    </row>
    <row r="1052" ht="23.85" customHeight="1" s="79">
      <c r="A1052" s="145" t="inlineStr">
        <is>
          <t>GRC_DATA</t>
        </is>
      </c>
      <c r="B1052" s="145" t="inlineStr">
        <is>
          <t>Top-Row Cell Format</t>
        </is>
      </c>
      <c r="C1052" s="145" t="inlineStr">
        <is>
          <t>Y5</t>
        </is>
      </c>
      <c r="D1052" s="145" t="inlineStr">
        <is>
          <t>GRC_DATA!A1:AH3310</t>
        </is>
      </c>
      <c r="E1052" s="145" t="inlineStr">
        <is>
          <t>Normal</t>
        </is>
      </c>
      <c r="F1052" s="145" t="n"/>
      <c r="G1052" s="145" t="inlineStr">
        <is>
          <t>Aptos</t>
        </is>
      </c>
      <c r="H1052" s="145" t="n">
        <v>8</v>
      </c>
      <c r="I1052" s="145" t="inlineStr">
        <is>
          <t>No</t>
        </is>
      </c>
      <c r="J1052" s="145" t="inlineStr">
        <is>
          <t>No</t>
        </is>
      </c>
      <c r="K1052" s="145" t="inlineStr">
        <is>
          <t>None</t>
        </is>
      </c>
      <c r="L1052" s="145" t="inlineStr">
        <is>
          <t>#000000</t>
        </is>
      </c>
      <c r="M1052" s="145" t="inlineStr">
        <is>
          <t>General</t>
        </is>
      </c>
      <c r="N1052" s="145" t="inlineStr">
        <is>
          <t>Center</t>
        </is>
      </c>
      <c r="O1052" s="145" t="inlineStr">
        <is>
          <t>No</t>
        </is>
      </c>
      <c r="P1052" s="145" t="inlineStr">
        <is>
          <t>General</t>
        </is>
      </c>
      <c r="Q1052" s="145" t="inlineStr">
        <is>
          <t>General</t>
        </is>
      </c>
      <c r="R1052" s="145" t="n"/>
      <c r="S1052" s="145" t="n"/>
      <c r="T1052" s="145" t="n"/>
      <c r="U1052" s="145" t="n"/>
      <c r="V1052" s="145" t="n"/>
      <c r="W1052" s="145" t="n"/>
      <c r="X1052" s="145" t="inlineStr">
        <is>
          <t>Detailed format sample from top 5 used rows</t>
        </is>
      </c>
    </row>
    <row r="1053" ht="23.85" customHeight="1" s="79">
      <c r="A1053" s="145" t="inlineStr">
        <is>
          <t>GRC_DATA</t>
        </is>
      </c>
      <c r="B1053" s="145" t="inlineStr">
        <is>
          <t>Column Format</t>
        </is>
      </c>
      <c r="C1053" s="145" t="inlineStr">
        <is>
          <t>Z:Z</t>
        </is>
      </c>
      <c r="D1053" s="145" t="inlineStr">
        <is>
          <t>GRC_DATA!A1:AH3310</t>
        </is>
      </c>
      <c r="E1053" s="145" t="inlineStr">
        <is>
          <t>Normal</t>
        </is>
      </c>
      <c r="F1053" s="145" t="inlineStr">
        <is>
          <t>Mixed</t>
        </is>
      </c>
      <c r="G1053" s="145" t="inlineStr">
        <is>
          <t>Aptos</t>
        </is>
      </c>
      <c r="H1053" s="145" t="n">
        <v>8</v>
      </c>
      <c r="I1053" s="145" t="inlineStr">
        <is>
          <t>Mixed</t>
        </is>
      </c>
      <c r="J1053" s="145" t="inlineStr">
        <is>
          <t>No</t>
        </is>
      </c>
      <c r="K1053" s="145" t="inlineStr">
        <is>
          <t>None</t>
        </is>
      </c>
      <c r="L1053" s="145" t="inlineStr">
        <is>
          <t>Mixed</t>
        </is>
      </c>
      <c r="M1053" s="145" t="inlineStr">
        <is>
          <t>General</t>
        </is>
      </c>
      <c r="N1053" s="145" t="inlineStr">
        <is>
          <t>Center</t>
        </is>
      </c>
      <c r="O1053" s="145" t="inlineStr">
        <is>
          <t>No</t>
        </is>
      </c>
      <c r="P1053" s="145" t="n"/>
      <c r="Q1053" s="145" t="n"/>
      <c r="R1053" s="145" t="n"/>
      <c r="S1053" s="145" t="n">
        <v>41.910447761194</v>
      </c>
      <c r="T1053" s="145" t="n"/>
      <c r="U1053" s="145" t="inlineStr">
        <is>
          <t>No</t>
        </is>
      </c>
      <c r="V1053" s="145" t="inlineStr">
        <is>
          <t>Visible</t>
        </is>
      </c>
      <c r="W1053" s="145" t="n"/>
      <c r="X1053" s="145" t="inlineStr">
        <is>
          <t>Mixed styles within used column</t>
        </is>
      </c>
    </row>
    <row r="1054" ht="23.85" customHeight="1" s="79">
      <c r="A1054" s="145" t="inlineStr">
        <is>
          <t>GRC_DATA</t>
        </is>
      </c>
      <c r="B1054" s="145" t="inlineStr">
        <is>
          <t>Top-Row Cell Format</t>
        </is>
      </c>
      <c r="C1054" s="145" t="inlineStr">
        <is>
          <t>Z1</t>
        </is>
      </c>
      <c r="D1054" s="145" t="inlineStr">
        <is>
          <t>GRC_DATA!A1:AH3310</t>
        </is>
      </c>
      <c r="E1054" s="145" t="inlineStr">
        <is>
          <t>Normal</t>
        </is>
      </c>
      <c r="F1054" s="145" t="inlineStr">
        <is>
          <t>#ED7D31</t>
        </is>
      </c>
      <c r="G1054" s="145" t="inlineStr">
        <is>
          <t>Aptos</t>
        </is>
      </c>
      <c r="H1054" s="145" t="n">
        <v>8</v>
      </c>
      <c r="I1054" s="145" t="inlineStr">
        <is>
          <t>Yes</t>
        </is>
      </c>
      <c r="J1054" s="145" t="inlineStr">
        <is>
          <t>No</t>
        </is>
      </c>
      <c r="K1054" s="145" t="inlineStr">
        <is>
          <t>None</t>
        </is>
      </c>
      <c r="L1054" s="145" t="inlineStr">
        <is>
          <t>#FFFFFF</t>
        </is>
      </c>
      <c r="M1054" s="145" t="inlineStr">
        <is>
          <t>General</t>
        </is>
      </c>
      <c r="N1054" s="145" t="inlineStr">
        <is>
          <t>Center</t>
        </is>
      </c>
      <c r="O1054" s="145" t="inlineStr">
        <is>
          <t>No</t>
        </is>
      </c>
      <c r="P1054" s="145" t="inlineStr">
        <is>
          <t>General</t>
        </is>
      </c>
      <c r="Q1054" s="145" t="inlineStr">
        <is>
          <t>General</t>
        </is>
      </c>
      <c r="R1054" s="145" t="n"/>
      <c r="S1054" s="145" t="n"/>
      <c r="T1054" s="145" t="n"/>
      <c r="U1054" s="145" t="n"/>
      <c r="V1054" s="145" t="n"/>
      <c r="W1054" s="145" t="n"/>
      <c r="X1054" s="145" t="inlineStr">
        <is>
          <t>Detailed format sample from top 5 used rows</t>
        </is>
      </c>
    </row>
    <row r="1055" ht="23.85" customHeight="1" s="79">
      <c r="A1055" s="145" t="inlineStr">
        <is>
          <t>GRC_DATA</t>
        </is>
      </c>
      <c r="B1055" s="145" t="inlineStr">
        <is>
          <t>Top-Row Cell Format</t>
        </is>
      </c>
      <c r="C1055" s="145" t="inlineStr">
        <is>
          <t>Z2</t>
        </is>
      </c>
      <c r="D1055" s="145" t="inlineStr">
        <is>
          <t>GRC_DATA!A1:AH3310</t>
        </is>
      </c>
      <c r="E1055" s="145" t="inlineStr">
        <is>
          <t>Normal</t>
        </is>
      </c>
      <c r="F1055" s="145" t="n"/>
      <c r="G1055" s="145" t="inlineStr">
        <is>
          <t>Aptos</t>
        </is>
      </c>
      <c r="H1055" s="145" t="n">
        <v>8</v>
      </c>
      <c r="I1055" s="145" t="inlineStr">
        <is>
          <t>No</t>
        </is>
      </c>
      <c r="J1055" s="145" t="inlineStr">
        <is>
          <t>No</t>
        </is>
      </c>
      <c r="K1055" s="145" t="inlineStr">
        <is>
          <t>None</t>
        </is>
      </c>
      <c r="L1055" s="145" t="inlineStr">
        <is>
          <t>#000000</t>
        </is>
      </c>
      <c r="M1055" s="145" t="inlineStr">
        <is>
          <t>General</t>
        </is>
      </c>
      <c r="N1055" s="145" t="inlineStr">
        <is>
          <t>Center</t>
        </is>
      </c>
      <c r="O1055" s="145" t="inlineStr">
        <is>
          <t>No</t>
        </is>
      </c>
      <c r="P1055" s="145" t="inlineStr">
        <is>
          <t>General</t>
        </is>
      </c>
      <c r="Q1055" s="145" t="inlineStr">
        <is>
          <t>General</t>
        </is>
      </c>
      <c r="R1055" s="145" t="n"/>
      <c r="S1055" s="145" t="n"/>
      <c r="T1055" s="145" t="n"/>
      <c r="U1055" s="145" t="n"/>
      <c r="V1055" s="145" t="n"/>
      <c r="W1055" s="145" t="n"/>
      <c r="X1055" s="145" t="inlineStr">
        <is>
          <t>Detailed format sample from top 5 used rows</t>
        </is>
      </c>
    </row>
    <row r="1056" ht="23.85" customHeight="1" s="79">
      <c r="A1056" s="145" t="inlineStr">
        <is>
          <t>GRC_DATA</t>
        </is>
      </c>
      <c r="B1056" s="145" t="inlineStr">
        <is>
          <t>Top-Row Cell Format</t>
        </is>
      </c>
      <c r="C1056" s="145" t="inlineStr">
        <is>
          <t>Z3</t>
        </is>
      </c>
      <c r="D1056" s="145" t="inlineStr">
        <is>
          <t>GRC_DATA!A1:AH3310</t>
        </is>
      </c>
      <c r="E1056" s="145" t="inlineStr">
        <is>
          <t>Normal</t>
        </is>
      </c>
      <c r="F1056" s="145" t="n"/>
      <c r="G1056" s="145" t="inlineStr">
        <is>
          <t>Aptos</t>
        </is>
      </c>
      <c r="H1056" s="145" t="n">
        <v>8</v>
      </c>
      <c r="I1056" s="145" t="inlineStr">
        <is>
          <t>No</t>
        </is>
      </c>
      <c r="J1056" s="145" t="inlineStr">
        <is>
          <t>No</t>
        </is>
      </c>
      <c r="K1056" s="145" t="inlineStr">
        <is>
          <t>None</t>
        </is>
      </c>
      <c r="L1056" s="145" t="inlineStr">
        <is>
          <t>#000000</t>
        </is>
      </c>
      <c r="M1056" s="145" t="inlineStr">
        <is>
          <t>General</t>
        </is>
      </c>
      <c r="N1056" s="145" t="inlineStr">
        <is>
          <t>Center</t>
        </is>
      </c>
      <c r="O1056" s="145" t="inlineStr">
        <is>
          <t>No</t>
        </is>
      </c>
      <c r="P1056" s="145" t="inlineStr">
        <is>
          <t>General</t>
        </is>
      </c>
      <c r="Q1056" s="145" t="inlineStr">
        <is>
          <t>General</t>
        </is>
      </c>
      <c r="R1056" s="145" t="n"/>
      <c r="S1056" s="145" t="n"/>
      <c r="T1056" s="145" t="n"/>
      <c r="U1056" s="145" t="n"/>
      <c r="V1056" s="145" t="n"/>
      <c r="W1056" s="145" t="n"/>
      <c r="X1056" s="145" t="inlineStr">
        <is>
          <t>Detailed format sample from top 5 used rows</t>
        </is>
      </c>
    </row>
    <row r="1057" ht="23.85" customHeight="1" s="79">
      <c r="A1057" s="145" t="inlineStr">
        <is>
          <t>GRC_DATA</t>
        </is>
      </c>
      <c r="B1057" s="145" t="inlineStr">
        <is>
          <t>Top-Row Cell Format</t>
        </is>
      </c>
      <c r="C1057" s="145" t="inlineStr">
        <is>
          <t>Z4</t>
        </is>
      </c>
      <c r="D1057" s="145" t="inlineStr">
        <is>
          <t>GRC_DATA!A1:AH3310</t>
        </is>
      </c>
      <c r="E1057" s="145" t="inlineStr">
        <is>
          <t>Normal</t>
        </is>
      </c>
      <c r="F1057" s="145" t="n"/>
      <c r="G1057" s="145" t="inlineStr">
        <is>
          <t>Aptos</t>
        </is>
      </c>
      <c r="H1057" s="145" t="n">
        <v>8</v>
      </c>
      <c r="I1057" s="145" t="inlineStr">
        <is>
          <t>No</t>
        </is>
      </c>
      <c r="J1057" s="145" t="inlineStr">
        <is>
          <t>No</t>
        </is>
      </c>
      <c r="K1057" s="145" t="inlineStr">
        <is>
          <t>None</t>
        </is>
      </c>
      <c r="L1057" s="145" t="inlineStr">
        <is>
          <t>#000000</t>
        </is>
      </c>
      <c r="M1057" s="145" t="inlineStr">
        <is>
          <t>General</t>
        </is>
      </c>
      <c r="N1057" s="145" t="inlineStr">
        <is>
          <t>Center</t>
        </is>
      </c>
      <c r="O1057" s="145" t="inlineStr">
        <is>
          <t>No</t>
        </is>
      </c>
      <c r="P1057" s="145" t="inlineStr">
        <is>
          <t>General</t>
        </is>
      </c>
      <c r="Q1057" s="145" t="inlineStr">
        <is>
          <t>General</t>
        </is>
      </c>
      <c r="R1057" s="145" t="n"/>
      <c r="S1057" s="145" t="n"/>
      <c r="T1057" s="145" t="n"/>
      <c r="U1057" s="145" t="n"/>
      <c r="V1057" s="145" t="n"/>
      <c r="W1057" s="145" t="n"/>
      <c r="X1057" s="145" t="inlineStr">
        <is>
          <t>Detailed format sample from top 5 used rows</t>
        </is>
      </c>
    </row>
    <row r="1058" ht="23.85" customHeight="1" s="79">
      <c r="A1058" s="145" t="inlineStr">
        <is>
          <t>GRC_DATA</t>
        </is>
      </c>
      <c r="B1058" s="145" t="inlineStr">
        <is>
          <t>Top-Row Cell Format</t>
        </is>
      </c>
      <c r="C1058" s="145" t="inlineStr">
        <is>
          <t>Z5</t>
        </is>
      </c>
      <c r="D1058" s="145" t="inlineStr">
        <is>
          <t>GRC_DATA!A1:AH3310</t>
        </is>
      </c>
      <c r="E1058" s="145" t="inlineStr">
        <is>
          <t>Normal</t>
        </is>
      </c>
      <c r="F1058" s="145" t="n"/>
      <c r="G1058" s="145" t="inlineStr">
        <is>
          <t>Aptos</t>
        </is>
      </c>
      <c r="H1058" s="145" t="n">
        <v>8</v>
      </c>
      <c r="I1058" s="145" t="inlineStr">
        <is>
          <t>No</t>
        </is>
      </c>
      <c r="J1058" s="145" t="inlineStr">
        <is>
          <t>No</t>
        </is>
      </c>
      <c r="K1058" s="145" t="inlineStr">
        <is>
          <t>None</t>
        </is>
      </c>
      <c r="L1058" s="145" t="inlineStr">
        <is>
          <t>#000000</t>
        </is>
      </c>
      <c r="M1058" s="145" t="inlineStr">
        <is>
          <t>General</t>
        </is>
      </c>
      <c r="N1058" s="145" t="inlineStr">
        <is>
          <t>Center</t>
        </is>
      </c>
      <c r="O1058" s="145" t="inlineStr">
        <is>
          <t>No</t>
        </is>
      </c>
      <c r="P1058" s="145" t="inlineStr">
        <is>
          <t>General</t>
        </is>
      </c>
      <c r="Q1058" s="145" t="inlineStr">
        <is>
          <t>General</t>
        </is>
      </c>
      <c r="R1058" s="145" t="n"/>
      <c r="S1058" s="145" t="n"/>
      <c r="T1058" s="145" t="n"/>
      <c r="U1058" s="145" t="n"/>
      <c r="V1058" s="145" t="n"/>
      <c r="W1058" s="145" t="n"/>
      <c r="X1058" s="145" t="inlineStr">
        <is>
          <t>Detailed format sample from top 5 used rows</t>
        </is>
      </c>
    </row>
    <row r="1059" ht="23.85" customHeight="1" s="79">
      <c r="A1059" s="145" t="inlineStr">
        <is>
          <t>GRC_DATA</t>
        </is>
      </c>
      <c r="B1059" s="145" t="inlineStr">
        <is>
          <t>Column Format</t>
        </is>
      </c>
      <c r="C1059" s="145" t="inlineStr">
        <is>
          <t>AA:AA</t>
        </is>
      </c>
      <c r="D1059" s="145" t="inlineStr">
        <is>
          <t>GRC_DATA!A1:AH3310</t>
        </is>
      </c>
      <c r="E1059" s="145" t="inlineStr">
        <is>
          <t>Normal</t>
        </is>
      </c>
      <c r="F1059" s="145" t="inlineStr">
        <is>
          <t>Mixed</t>
        </is>
      </c>
      <c r="G1059" s="145" t="inlineStr">
        <is>
          <t>Aptos</t>
        </is>
      </c>
      <c r="H1059" s="145" t="n">
        <v>8</v>
      </c>
      <c r="I1059" s="145" t="inlineStr">
        <is>
          <t>Mixed</t>
        </is>
      </c>
      <c r="J1059" s="145" t="inlineStr">
        <is>
          <t>No</t>
        </is>
      </c>
      <c r="K1059" s="145" t="inlineStr">
        <is>
          <t>None</t>
        </is>
      </c>
      <c r="L1059" s="145" t="inlineStr">
        <is>
          <t>Mixed</t>
        </is>
      </c>
      <c r="M1059" s="145" t="inlineStr">
        <is>
          <t>General</t>
        </is>
      </c>
      <c r="N1059" s="145" t="inlineStr">
        <is>
          <t>Center</t>
        </is>
      </c>
      <c r="O1059" s="145" t="inlineStr">
        <is>
          <t>No</t>
        </is>
      </c>
      <c r="P1059" s="145" t="n"/>
      <c r="Q1059" s="145" t="n"/>
      <c r="R1059" s="145" t="n"/>
      <c r="S1059" s="145" t="n">
        <v>44.0597014925373</v>
      </c>
      <c r="T1059" s="145" t="n"/>
      <c r="U1059" s="145" t="inlineStr">
        <is>
          <t>No</t>
        </is>
      </c>
      <c r="V1059" s="145" t="inlineStr">
        <is>
          <t>Visible</t>
        </is>
      </c>
      <c r="W1059" s="145" t="n"/>
      <c r="X1059" s="145" t="inlineStr">
        <is>
          <t>Mixed styles within used column</t>
        </is>
      </c>
    </row>
    <row r="1060" ht="23.85" customHeight="1" s="79">
      <c r="A1060" s="145" t="inlineStr">
        <is>
          <t>GRC_DATA</t>
        </is>
      </c>
      <c r="B1060" s="145" t="inlineStr">
        <is>
          <t>Top-Row Cell Format</t>
        </is>
      </c>
      <c r="C1060" s="145" t="inlineStr">
        <is>
          <t>AA1</t>
        </is>
      </c>
      <c r="D1060" s="145" t="inlineStr">
        <is>
          <t>GRC_DATA!A1:AH3310</t>
        </is>
      </c>
      <c r="E1060" s="145" t="inlineStr">
        <is>
          <t>Normal</t>
        </is>
      </c>
      <c r="F1060" s="145" t="inlineStr">
        <is>
          <t>#ED7D31</t>
        </is>
      </c>
      <c r="G1060" s="145" t="inlineStr">
        <is>
          <t>Aptos</t>
        </is>
      </c>
      <c r="H1060" s="145" t="n">
        <v>8</v>
      </c>
      <c r="I1060" s="145" t="inlineStr">
        <is>
          <t>Yes</t>
        </is>
      </c>
      <c r="J1060" s="145" t="inlineStr">
        <is>
          <t>No</t>
        </is>
      </c>
      <c r="K1060" s="145" t="inlineStr">
        <is>
          <t>None</t>
        </is>
      </c>
      <c r="L1060" s="145" t="inlineStr">
        <is>
          <t>#FFFFFF</t>
        </is>
      </c>
      <c r="M1060" s="145" t="inlineStr">
        <is>
          <t>General</t>
        </is>
      </c>
      <c r="N1060" s="145" t="inlineStr">
        <is>
          <t>Center</t>
        </is>
      </c>
      <c r="O1060" s="145" t="inlineStr">
        <is>
          <t>No</t>
        </is>
      </c>
      <c r="P1060" s="145" t="inlineStr">
        <is>
          <t>General</t>
        </is>
      </c>
      <c r="Q1060" s="145" t="inlineStr">
        <is>
          <t>General</t>
        </is>
      </c>
      <c r="R1060" s="145" t="n"/>
      <c r="S1060" s="145" t="n"/>
      <c r="T1060" s="145" t="n"/>
      <c r="U1060" s="145" t="n"/>
      <c r="V1060" s="145" t="n"/>
      <c r="W1060" s="145" t="n"/>
      <c r="X1060" s="145" t="inlineStr">
        <is>
          <t>Detailed format sample from top 5 used rows</t>
        </is>
      </c>
    </row>
    <row r="1061" ht="23.85" customHeight="1" s="79">
      <c r="A1061" s="145" t="inlineStr">
        <is>
          <t>GRC_DATA</t>
        </is>
      </c>
      <c r="B1061" s="145" t="inlineStr">
        <is>
          <t>Top-Row Cell Format</t>
        </is>
      </c>
      <c r="C1061" s="145" t="inlineStr">
        <is>
          <t>AA2</t>
        </is>
      </c>
      <c r="D1061" s="145" t="inlineStr">
        <is>
          <t>GRC_DATA!A1:AH3310</t>
        </is>
      </c>
      <c r="E1061" s="145" t="inlineStr">
        <is>
          <t>Normal</t>
        </is>
      </c>
      <c r="F1061" s="145" t="n"/>
      <c r="G1061" s="145" t="inlineStr">
        <is>
          <t>Aptos</t>
        </is>
      </c>
      <c r="H1061" s="145" t="n">
        <v>8</v>
      </c>
      <c r="I1061" s="145" t="inlineStr">
        <is>
          <t>No</t>
        </is>
      </c>
      <c r="J1061" s="145" t="inlineStr">
        <is>
          <t>No</t>
        </is>
      </c>
      <c r="K1061" s="145" t="inlineStr">
        <is>
          <t>None</t>
        </is>
      </c>
      <c r="L1061" s="145" t="inlineStr">
        <is>
          <t>#000000</t>
        </is>
      </c>
      <c r="M1061" s="145" t="inlineStr">
        <is>
          <t>General</t>
        </is>
      </c>
      <c r="N1061" s="145" t="inlineStr">
        <is>
          <t>Center</t>
        </is>
      </c>
      <c r="O1061" s="145" t="inlineStr">
        <is>
          <t>No</t>
        </is>
      </c>
      <c r="P1061" s="145" t="inlineStr">
        <is>
          <t>General</t>
        </is>
      </c>
      <c r="Q1061" s="145" t="inlineStr">
        <is>
          <t>General</t>
        </is>
      </c>
      <c r="R1061" s="145" t="n"/>
      <c r="S1061" s="145" t="n"/>
      <c r="T1061" s="145" t="n"/>
      <c r="U1061" s="145" t="n"/>
      <c r="V1061" s="145" t="n"/>
      <c r="W1061" s="145" t="n"/>
      <c r="X1061" s="145" t="inlineStr">
        <is>
          <t>Detailed format sample from top 5 used rows</t>
        </is>
      </c>
    </row>
    <row r="1062" ht="23.85" customHeight="1" s="79">
      <c r="A1062" s="145" t="inlineStr">
        <is>
          <t>GRC_DATA</t>
        </is>
      </c>
      <c r="B1062" s="145" t="inlineStr">
        <is>
          <t>Top-Row Cell Format</t>
        </is>
      </c>
      <c r="C1062" s="145" t="inlineStr">
        <is>
          <t>AA3</t>
        </is>
      </c>
      <c r="D1062" s="145" t="inlineStr">
        <is>
          <t>GRC_DATA!A1:AH3310</t>
        </is>
      </c>
      <c r="E1062" s="145" t="inlineStr">
        <is>
          <t>Normal</t>
        </is>
      </c>
      <c r="F1062" s="145" t="n"/>
      <c r="G1062" s="145" t="inlineStr">
        <is>
          <t>Aptos</t>
        </is>
      </c>
      <c r="H1062" s="145" t="n">
        <v>8</v>
      </c>
      <c r="I1062" s="145" t="inlineStr">
        <is>
          <t>No</t>
        </is>
      </c>
      <c r="J1062" s="145" t="inlineStr">
        <is>
          <t>No</t>
        </is>
      </c>
      <c r="K1062" s="145" t="inlineStr">
        <is>
          <t>None</t>
        </is>
      </c>
      <c r="L1062" s="145" t="inlineStr">
        <is>
          <t>#000000</t>
        </is>
      </c>
      <c r="M1062" s="145" t="inlineStr">
        <is>
          <t>General</t>
        </is>
      </c>
      <c r="N1062" s="145" t="inlineStr">
        <is>
          <t>Center</t>
        </is>
      </c>
      <c r="O1062" s="145" t="inlineStr">
        <is>
          <t>No</t>
        </is>
      </c>
      <c r="P1062" s="145" t="inlineStr">
        <is>
          <t>General</t>
        </is>
      </c>
      <c r="Q1062" s="145" t="inlineStr">
        <is>
          <t>General</t>
        </is>
      </c>
      <c r="R1062" s="145" t="n"/>
      <c r="S1062" s="145" t="n"/>
      <c r="T1062" s="145" t="n"/>
      <c r="U1062" s="145" t="n"/>
      <c r="V1062" s="145" t="n"/>
      <c r="W1062" s="145" t="n"/>
      <c r="X1062" s="145" t="inlineStr">
        <is>
          <t>Detailed format sample from top 5 used rows</t>
        </is>
      </c>
    </row>
    <row r="1063" ht="23.85" customHeight="1" s="79">
      <c r="A1063" s="145" t="inlineStr">
        <is>
          <t>GRC_DATA</t>
        </is>
      </c>
      <c r="B1063" s="145" t="inlineStr">
        <is>
          <t>Top-Row Cell Format</t>
        </is>
      </c>
      <c r="C1063" s="145" t="inlineStr">
        <is>
          <t>AA4</t>
        </is>
      </c>
      <c r="D1063" s="145" t="inlineStr">
        <is>
          <t>GRC_DATA!A1:AH3310</t>
        </is>
      </c>
      <c r="E1063" s="145" t="inlineStr">
        <is>
          <t>Normal</t>
        </is>
      </c>
      <c r="F1063" s="145" t="n"/>
      <c r="G1063" s="145" t="inlineStr">
        <is>
          <t>Aptos</t>
        </is>
      </c>
      <c r="H1063" s="145" t="n">
        <v>8</v>
      </c>
      <c r="I1063" s="145" t="inlineStr">
        <is>
          <t>No</t>
        </is>
      </c>
      <c r="J1063" s="145" t="inlineStr">
        <is>
          <t>No</t>
        </is>
      </c>
      <c r="K1063" s="145" t="inlineStr">
        <is>
          <t>None</t>
        </is>
      </c>
      <c r="L1063" s="145" t="inlineStr">
        <is>
          <t>#000000</t>
        </is>
      </c>
      <c r="M1063" s="145" t="inlineStr">
        <is>
          <t>General</t>
        </is>
      </c>
      <c r="N1063" s="145" t="inlineStr">
        <is>
          <t>Center</t>
        </is>
      </c>
      <c r="O1063" s="145" t="inlineStr">
        <is>
          <t>No</t>
        </is>
      </c>
      <c r="P1063" s="145" t="inlineStr">
        <is>
          <t>General</t>
        </is>
      </c>
      <c r="Q1063" s="145" t="inlineStr">
        <is>
          <t>General</t>
        </is>
      </c>
      <c r="R1063" s="145" t="n"/>
      <c r="S1063" s="145" t="n"/>
      <c r="T1063" s="145" t="n"/>
      <c r="U1063" s="145" t="n"/>
      <c r="V1063" s="145" t="n"/>
      <c r="W1063" s="145" t="n"/>
      <c r="X1063" s="145" t="inlineStr">
        <is>
          <t>Detailed format sample from top 5 used rows</t>
        </is>
      </c>
    </row>
    <row r="1064" ht="23.85" customHeight="1" s="79">
      <c r="A1064" s="145" t="inlineStr">
        <is>
          <t>GRC_DATA</t>
        </is>
      </c>
      <c r="B1064" s="145" t="inlineStr">
        <is>
          <t>Top-Row Cell Format</t>
        </is>
      </c>
      <c r="C1064" s="145" t="inlineStr">
        <is>
          <t>AA5</t>
        </is>
      </c>
      <c r="D1064" s="145" t="inlineStr">
        <is>
          <t>GRC_DATA!A1:AH3310</t>
        </is>
      </c>
      <c r="E1064" s="145" t="inlineStr">
        <is>
          <t>Normal</t>
        </is>
      </c>
      <c r="F1064" s="145" t="n"/>
      <c r="G1064" s="145" t="inlineStr">
        <is>
          <t>Aptos</t>
        </is>
      </c>
      <c r="H1064" s="145" t="n">
        <v>8</v>
      </c>
      <c r="I1064" s="145" t="inlineStr">
        <is>
          <t>No</t>
        </is>
      </c>
      <c r="J1064" s="145" t="inlineStr">
        <is>
          <t>No</t>
        </is>
      </c>
      <c r="K1064" s="145" t="inlineStr">
        <is>
          <t>None</t>
        </is>
      </c>
      <c r="L1064" s="145" t="inlineStr">
        <is>
          <t>#000000</t>
        </is>
      </c>
      <c r="M1064" s="145" t="inlineStr">
        <is>
          <t>General</t>
        </is>
      </c>
      <c r="N1064" s="145" t="inlineStr">
        <is>
          <t>Center</t>
        </is>
      </c>
      <c r="O1064" s="145" t="inlineStr">
        <is>
          <t>No</t>
        </is>
      </c>
      <c r="P1064" s="145" t="inlineStr">
        <is>
          <t>General</t>
        </is>
      </c>
      <c r="Q1064" s="145" t="inlineStr">
        <is>
          <t>General</t>
        </is>
      </c>
      <c r="R1064" s="145" t="n"/>
      <c r="S1064" s="145" t="n"/>
      <c r="T1064" s="145" t="n"/>
      <c r="U1064" s="145" t="n"/>
      <c r="V1064" s="145" t="n"/>
      <c r="W1064" s="145" t="n"/>
      <c r="X1064" s="145" t="inlineStr">
        <is>
          <t>Detailed format sample from top 5 used rows</t>
        </is>
      </c>
    </row>
    <row r="1065" ht="23.85" customHeight="1" s="79">
      <c r="A1065" s="145" t="inlineStr">
        <is>
          <t>GRC_DATA</t>
        </is>
      </c>
      <c r="B1065" s="145" t="inlineStr">
        <is>
          <t>Column Format</t>
        </is>
      </c>
      <c r="C1065" s="145" t="inlineStr">
        <is>
          <t>AB:AB</t>
        </is>
      </c>
      <c r="D1065" s="145" t="inlineStr">
        <is>
          <t>GRC_DATA!A1:AH3310</t>
        </is>
      </c>
      <c r="E1065" s="145" t="inlineStr">
        <is>
          <t>Normal</t>
        </is>
      </c>
      <c r="F1065" s="145" t="inlineStr">
        <is>
          <t>Mixed</t>
        </is>
      </c>
      <c r="G1065" s="145" t="inlineStr">
        <is>
          <t>Aptos</t>
        </is>
      </c>
      <c r="H1065" s="145" t="n">
        <v>8</v>
      </c>
      <c r="I1065" s="145" t="inlineStr">
        <is>
          <t>Mixed</t>
        </is>
      </c>
      <c r="J1065" s="145" t="inlineStr">
        <is>
          <t>No</t>
        </is>
      </c>
      <c r="K1065" s="145" t="inlineStr">
        <is>
          <t>None</t>
        </is>
      </c>
      <c r="L1065" s="145" t="inlineStr">
        <is>
          <t>Mixed</t>
        </is>
      </c>
      <c r="M1065" s="145" t="inlineStr">
        <is>
          <t>General</t>
        </is>
      </c>
      <c r="N1065" s="145" t="inlineStr">
        <is>
          <t>Center</t>
        </is>
      </c>
      <c r="O1065" s="145" t="inlineStr">
        <is>
          <t>No</t>
        </is>
      </c>
      <c r="P1065" s="145" t="n"/>
      <c r="Q1065" s="145" t="n"/>
      <c r="R1065" s="145" t="n"/>
      <c r="S1065" s="145" t="n">
        <v>46.7462686567164</v>
      </c>
      <c r="T1065" s="145" t="n"/>
      <c r="U1065" s="145" t="inlineStr">
        <is>
          <t>No</t>
        </is>
      </c>
      <c r="V1065" s="145" t="inlineStr">
        <is>
          <t>Visible</t>
        </is>
      </c>
      <c r="W1065" s="145" t="n"/>
      <c r="X1065" s="145" t="inlineStr">
        <is>
          <t>Mixed styles within used column</t>
        </is>
      </c>
    </row>
    <row r="1066" ht="23.85" customHeight="1" s="79">
      <c r="A1066" s="145" t="inlineStr">
        <is>
          <t>GRC_DATA</t>
        </is>
      </c>
      <c r="B1066" s="145" t="inlineStr">
        <is>
          <t>Top-Row Cell Format</t>
        </is>
      </c>
      <c r="C1066" s="145" t="inlineStr">
        <is>
          <t>AB1</t>
        </is>
      </c>
      <c r="D1066" s="145" t="inlineStr">
        <is>
          <t>GRC_DATA!A1:AH3310</t>
        </is>
      </c>
      <c r="E1066" s="145" t="inlineStr">
        <is>
          <t>Normal</t>
        </is>
      </c>
      <c r="F1066" s="145" t="inlineStr">
        <is>
          <t>#ED7D31</t>
        </is>
      </c>
      <c r="G1066" s="145" t="inlineStr">
        <is>
          <t>Aptos</t>
        </is>
      </c>
      <c r="H1066" s="145" t="n">
        <v>8</v>
      </c>
      <c r="I1066" s="145" t="inlineStr">
        <is>
          <t>Yes</t>
        </is>
      </c>
      <c r="J1066" s="145" t="inlineStr">
        <is>
          <t>No</t>
        </is>
      </c>
      <c r="K1066" s="145" t="inlineStr">
        <is>
          <t>None</t>
        </is>
      </c>
      <c r="L1066" s="145" t="inlineStr">
        <is>
          <t>#FFFFFF</t>
        </is>
      </c>
      <c r="M1066" s="145" t="inlineStr">
        <is>
          <t>General</t>
        </is>
      </c>
      <c r="N1066" s="145" t="inlineStr">
        <is>
          <t>Center</t>
        </is>
      </c>
      <c r="O1066" s="145" t="inlineStr">
        <is>
          <t>No</t>
        </is>
      </c>
      <c r="P1066" s="145" t="inlineStr">
        <is>
          <t>General</t>
        </is>
      </c>
      <c r="Q1066" s="145" t="inlineStr">
        <is>
          <t>General</t>
        </is>
      </c>
      <c r="R1066" s="145" t="n"/>
      <c r="S1066" s="145" t="n"/>
      <c r="T1066" s="145" t="n"/>
      <c r="U1066" s="145" t="n"/>
      <c r="V1066" s="145" t="n"/>
      <c r="W1066" s="145" t="n"/>
      <c r="X1066" s="145" t="inlineStr">
        <is>
          <t>Detailed format sample from top 5 used rows</t>
        </is>
      </c>
    </row>
    <row r="1067" ht="23.85" customHeight="1" s="79">
      <c r="A1067" s="145" t="inlineStr">
        <is>
          <t>GRC_DATA</t>
        </is>
      </c>
      <c r="B1067" s="145" t="inlineStr">
        <is>
          <t>Top-Row Cell Format</t>
        </is>
      </c>
      <c r="C1067" s="145" t="inlineStr">
        <is>
          <t>AB2</t>
        </is>
      </c>
      <c r="D1067" s="145" t="inlineStr">
        <is>
          <t>GRC_DATA!A1:AH3310</t>
        </is>
      </c>
      <c r="E1067" s="145" t="inlineStr">
        <is>
          <t>Normal</t>
        </is>
      </c>
      <c r="F1067" s="145" t="n"/>
      <c r="G1067" s="145" t="inlineStr">
        <is>
          <t>Aptos</t>
        </is>
      </c>
      <c r="H1067" s="145" t="n">
        <v>8</v>
      </c>
      <c r="I1067" s="145" t="inlineStr">
        <is>
          <t>No</t>
        </is>
      </c>
      <c r="J1067" s="145" t="inlineStr">
        <is>
          <t>No</t>
        </is>
      </c>
      <c r="K1067" s="145" t="inlineStr">
        <is>
          <t>None</t>
        </is>
      </c>
      <c r="L1067" s="145" t="inlineStr">
        <is>
          <t>#000000</t>
        </is>
      </c>
      <c r="M1067" s="145" t="inlineStr">
        <is>
          <t>General</t>
        </is>
      </c>
      <c r="N1067" s="145" t="inlineStr">
        <is>
          <t>Center</t>
        </is>
      </c>
      <c r="O1067" s="145" t="inlineStr">
        <is>
          <t>No</t>
        </is>
      </c>
      <c r="P1067" s="145" t="inlineStr">
        <is>
          <t>General</t>
        </is>
      </c>
      <c r="Q1067" s="145" t="inlineStr">
        <is>
          <t>General</t>
        </is>
      </c>
      <c r="R1067" s="145" t="n"/>
      <c r="S1067" s="145" t="n"/>
      <c r="T1067" s="145" t="n"/>
      <c r="U1067" s="145" t="n"/>
      <c r="V1067" s="145" t="n"/>
      <c r="W1067" s="145" t="n"/>
      <c r="X1067" s="145" t="inlineStr">
        <is>
          <t>Detailed format sample from top 5 used rows</t>
        </is>
      </c>
    </row>
    <row r="1068" ht="23.85" customHeight="1" s="79">
      <c r="A1068" s="145" t="inlineStr">
        <is>
          <t>GRC_DATA</t>
        </is>
      </c>
      <c r="B1068" s="145" t="inlineStr">
        <is>
          <t>Top-Row Cell Format</t>
        </is>
      </c>
      <c r="C1068" s="145" t="inlineStr">
        <is>
          <t>AB3</t>
        </is>
      </c>
      <c r="D1068" s="145" t="inlineStr">
        <is>
          <t>GRC_DATA!A1:AH3310</t>
        </is>
      </c>
      <c r="E1068" s="145" t="inlineStr">
        <is>
          <t>Normal</t>
        </is>
      </c>
      <c r="F1068" s="145" t="n"/>
      <c r="G1068" s="145" t="inlineStr">
        <is>
          <t>Aptos</t>
        </is>
      </c>
      <c r="H1068" s="145" t="n">
        <v>8</v>
      </c>
      <c r="I1068" s="145" t="inlineStr">
        <is>
          <t>No</t>
        </is>
      </c>
      <c r="J1068" s="145" t="inlineStr">
        <is>
          <t>No</t>
        </is>
      </c>
      <c r="K1068" s="145" t="inlineStr">
        <is>
          <t>None</t>
        </is>
      </c>
      <c r="L1068" s="145" t="inlineStr">
        <is>
          <t>#000000</t>
        </is>
      </c>
      <c r="M1068" s="145" t="inlineStr">
        <is>
          <t>General</t>
        </is>
      </c>
      <c r="N1068" s="145" t="inlineStr">
        <is>
          <t>Center</t>
        </is>
      </c>
      <c r="O1068" s="145" t="inlineStr">
        <is>
          <t>No</t>
        </is>
      </c>
      <c r="P1068" s="145" t="inlineStr">
        <is>
          <t>General</t>
        </is>
      </c>
      <c r="Q1068" s="145" t="inlineStr">
        <is>
          <t>General</t>
        </is>
      </c>
      <c r="R1068" s="145" t="n"/>
      <c r="S1068" s="145" t="n"/>
      <c r="T1068" s="145" t="n"/>
      <c r="U1068" s="145" t="n"/>
      <c r="V1068" s="145" t="n"/>
      <c r="W1068" s="145" t="n"/>
      <c r="X1068" s="145" t="inlineStr">
        <is>
          <t>Detailed format sample from top 5 used rows</t>
        </is>
      </c>
    </row>
    <row r="1069" ht="23.85" customHeight="1" s="79">
      <c r="A1069" s="145" t="inlineStr">
        <is>
          <t>GRC_DATA</t>
        </is>
      </c>
      <c r="B1069" s="145" t="inlineStr">
        <is>
          <t>Top-Row Cell Format</t>
        </is>
      </c>
      <c r="C1069" s="145" t="inlineStr">
        <is>
          <t>AB4</t>
        </is>
      </c>
      <c r="D1069" s="145" t="inlineStr">
        <is>
          <t>GRC_DATA!A1:AH3310</t>
        </is>
      </c>
      <c r="E1069" s="145" t="inlineStr">
        <is>
          <t>Normal</t>
        </is>
      </c>
      <c r="F1069" s="145" t="n"/>
      <c r="G1069" s="145" t="inlineStr">
        <is>
          <t>Aptos</t>
        </is>
      </c>
      <c r="H1069" s="145" t="n">
        <v>8</v>
      </c>
      <c r="I1069" s="145" t="inlineStr">
        <is>
          <t>No</t>
        </is>
      </c>
      <c r="J1069" s="145" t="inlineStr">
        <is>
          <t>No</t>
        </is>
      </c>
      <c r="K1069" s="145" t="inlineStr">
        <is>
          <t>None</t>
        </is>
      </c>
      <c r="L1069" s="145" t="inlineStr">
        <is>
          <t>#000000</t>
        </is>
      </c>
      <c r="M1069" s="145" t="inlineStr">
        <is>
          <t>General</t>
        </is>
      </c>
      <c r="N1069" s="145" t="inlineStr">
        <is>
          <t>Center</t>
        </is>
      </c>
      <c r="O1069" s="145" t="inlineStr">
        <is>
          <t>No</t>
        </is>
      </c>
      <c r="P1069" s="145" t="inlineStr">
        <is>
          <t>General</t>
        </is>
      </c>
      <c r="Q1069" s="145" t="inlineStr">
        <is>
          <t>General</t>
        </is>
      </c>
      <c r="R1069" s="145" t="n"/>
      <c r="S1069" s="145" t="n"/>
      <c r="T1069" s="145" t="n"/>
      <c r="U1069" s="145" t="n"/>
      <c r="V1069" s="145" t="n"/>
      <c r="W1069" s="145" t="n"/>
      <c r="X1069" s="145" t="inlineStr">
        <is>
          <t>Detailed format sample from top 5 used rows</t>
        </is>
      </c>
    </row>
    <row r="1070" ht="23.85" customHeight="1" s="79">
      <c r="A1070" s="145" t="inlineStr">
        <is>
          <t>GRC_DATA</t>
        </is>
      </c>
      <c r="B1070" s="145" t="inlineStr">
        <is>
          <t>Top-Row Cell Format</t>
        </is>
      </c>
      <c r="C1070" s="145" t="inlineStr">
        <is>
          <t>AB5</t>
        </is>
      </c>
      <c r="D1070" s="145" t="inlineStr">
        <is>
          <t>GRC_DATA!A1:AH3310</t>
        </is>
      </c>
      <c r="E1070" s="145" t="inlineStr">
        <is>
          <t>Normal</t>
        </is>
      </c>
      <c r="F1070" s="145" t="n"/>
      <c r="G1070" s="145" t="inlineStr">
        <is>
          <t>Aptos</t>
        </is>
      </c>
      <c r="H1070" s="145" t="n">
        <v>8</v>
      </c>
      <c r="I1070" s="145" t="inlineStr">
        <is>
          <t>No</t>
        </is>
      </c>
      <c r="J1070" s="145" t="inlineStr">
        <is>
          <t>No</t>
        </is>
      </c>
      <c r="K1070" s="145" t="inlineStr">
        <is>
          <t>None</t>
        </is>
      </c>
      <c r="L1070" s="145" t="inlineStr">
        <is>
          <t>#000000</t>
        </is>
      </c>
      <c r="M1070" s="145" t="inlineStr">
        <is>
          <t>General</t>
        </is>
      </c>
      <c r="N1070" s="145" t="inlineStr">
        <is>
          <t>Center</t>
        </is>
      </c>
      <c r="O1070" s="145" t="inlineStr">
        <is>
          <t>No</t>
        </is>
      </c>
      <c r="P1070" s="145" t="inlineStr">
        <is>
          <t>General</t>
        </is>
      </c>
      <c r="Q1070" s="145" t="inlineStr">
        <is>
          <t>General</t>
        </is>
      </c>
      <c r="R1070" s="145" t="n"/>
      <c r="S1070" s="145" t="n"/>
      <c r="T1070" s="145" t="n"/>
      <c r="U1070" s="145" t="n"/>
      <c r="V1070" s="145" t="n"/>
      <c r="W1070" s="145" t="n"/>
      <c r="X1070" s="145" t="inlineStr">
        <is>
          <t>Detailed format sample from top 5 used rows</t>
        </is>
      </c>
    </row>
    <row r="1071" ht="23.85" customHeight="1" s="79">
      <c r="A1071" s="145" t="inlineStr">
        <is>
          <t>GRC_DATA</t>
        </is>
      </c>
      <c r="B1071" s="145" t="inlineStr">
        <is>
          <t>Column Format</t>
        </is>
      </c>
      <c r="C1071" s="145" t="inlineStr">
        <is>
          <t>AC:AC</t>
        </is>
      </c>
      <c r="D1071" s="145" t="inlineStr">
        <is>
          <t>GRC_DATA!A1:AH3310</t>
        </is>
      </c>
      <c r="E1071" s="145" t="inlineStr">
        <is>
          <t>Normal</t>
        </is>
      </c>
      <c r="F1071" s="145" t="inlineStr">
        <is>
          <t>Mixed</t>
        </is>
      </c>
      <c r="G1071" s="145" t="inlineStr">
        <is>
          <t>Aptos</t>
        </is>
      </c>
      <c r="H1071" s="145" t="n">
        <v>8</v>
      </c>
      <c r="I1071" s="145" t="inlineStr">
        <is>
          <t>Mixed</t>
        </is>
      </c>
      <c r="J1071" s="145" t="inlineStr">
        <is>
          <t>No</t>
        </is>
      </c>
      <c r="K1071" s="145" t="inlineStr">
        <is>
          <t>None</t>
        </is>
      </c>
      <c r="L1071" s="145" t="inlineStr">
        <is>
          <t>Mixed</t>
        </is>
      </c>
      <c r="M1071" s="145" t="inlineStr">
        <is>
          <t>General</t>
        </is>
      </c>
      <c r="N1071" s="145" t="inlineStr">
        <is>
          <t>Center</t>
        </is>
      </c>
      <c r="O1071" s="145" t="inlineStr">
        <is>
          <t>No</t>
        </is>
      </c>
      <c r="P1071" s="145" t="n"/>
      <c r="Q1071" s="145" t="n"/>
      <c r="R1071" s="145" t="n"/>
      <c r="S1071" s="145" t="n">
        <v>55.3432835820896</v>
      </c>
      <c r="T1071" s="145" t="n"/>
      <c r="U1071" s="145" t="inlineStr">
        <is>
          <t>No</t>
        </is>
      </c>
      <c r="V1071" s="145" t="inlineStr">
        <is>
          <t>Visible</t>
        </is>
      </c>
      <c r="W1071" s="145" t="n"/>
      <c r="X1071" s="145" t="inlineStr">
        <is>
          <t>Mixed styles within used column</t>
        </is>
      </c>
    </row>
    <row r="1072" ht="23.85" customHeight="1" s="79">
      <c r="A1072" s="145" t="inlineStr">
        <is>
          <t>GRC_DATA</t>
        </is>
      </c>
      <c r="B1072" s="145" t="inlineStr">
        <is>
          <t>Top-Row Cell Format</t>
        </is>
      </c>
      <c r="C1072" s="145" t="inlineStr">
        <is>
          <t>AC1</t>
        </is>
      </c>
      <c r="D1072" s="145" t="inlineStr">
        <is>
          <t>GRC_DATA!A1:AH3310</t>
        </is>
      </c>
      <c r="E1072" s="145" t="inlineStr">
        <is>
          <t>Normal</t>
        </is>
      </c>
      <c r="F1072" s="145" t="inlineStr">
        <is>
          <t>#ED7D31</t>
        </is>
      </c>
      <c r="G1072" s="145" t="inlineStr">
        <is>
          <t>Aptos</t>
        </is>
      </c>
      <c r="H1072" s="145" t="n">
        <v>8</v>
      </c>
      <c r="I1072" s="145" t="inlineStr">
        <is>
          <t>Yes</t>
        </is>
      </c>
      <c r="J1072" s="145" t="inlineStr">
        <is>
          <t>No</t>
        </is>
      </c>
      <c r="K1072" s="145" t="inlineStr">
        <is>
          <t>None</t>
        </is>
      </c>
      <c r="L1072" s="145" t="inlineStr">
        <is>
          <t>#FFFFFF</t>
        </is>
      </c>
      <c r="M1072" s="145" t="inlineStr">
        <is>
          <t>General</t>
        </is>
      </c>
      <c r="N1072" s="145" t="inlineStr">
        <is>
          <t>Center</t>
        </is>
      </c>
      <c r="O1072" s="145" t="inlineStr">
        <is>
          <t>No</t>
        </is>
      </c>
      <c r="P1072" s="145" t="inlineStr">
        <is>
          <t>d-mmm-yy</t>
        </is>
      </c>
      <c r="Q1072" s="145" t="inlineStr">
        <is>
          <t>Date / Time</t>
        </is>
      </c>
      <c r="R1072" s="145" t="n"/>
      <c r="S1072" s="145" t="n"/>
      <c r="T1072" s="145" t="n"/>
      <c r="U1072" s="145" t="n"/>
      <c r="V1072" s="145" t="n"/>
      <c r="W1072" s="145" t="n"/>
      <c r="X1072" s="145" t="inlineStr">
        <is>
          <t>Detailed format sample from top 5 used rows</t>
        </is>
      </c>
    </row>
    <row r="1073" ht="23.85" customHeight="1" s="79">
      <c r="A1073" s="145" t="inlineStr">
        <is>
          <t>GRC_DATA</t>
        </is>
      </c>
      <c r="B1073" s="145" t="inlineStr">
        <is>
          <t>Top-Row Cell Format</t>
        </is>
      </c>
      <c r="C1073" s="145" t="inlineStr">
        <is>
          <t>AC2</t>
        </is>
      </c>
      <c r="D1073" s="145" t="inlineStr">
        <is>
          <t>GRC_DATA!A1:AH3310</t>
        </is>
      </c>
      <c r="E1073" s="145" t="inlineStr">
        <is>
          <t>Normal</t>
        </is>
      </c>
      <c r="F1073" s="145" t="n"/>
      <c r="G1073" s="145" t="inlineStr">
        <is>
          <t>Aptos</t>
        </is>
      </c>
      <c r="H1073" s="145" t="n">
        <v>8</v>
      </c>
      <c r="I1073" s="145" t="inlineStr">
        <is>
          <t>No</t>
        </is>
      </c>
      <c r="J1073" s="145" t="inlineStr">
        <is>
          <t>No</t>
        </is>
      </c>
      <c r="K1073" s="145" t="inlineStr">
        <is>
          <t>None</t>
        </is>
      </c>
      <c r="L1073" s="145" t="inlineStr">
        <is>
          <t>#000000</t>
        </is>
      </c>
      <c r="M1073" s="145" t="inlineStr">
        <is>
          <t>General</t>
        </is>
      </c>
      <c r="N1073" s="145" t="inlineStr">
        <is>
          <t>Center</t>
        </is>
      </c>
      <c r="O1073" s="145" t="inlineStr">
        <is>
          <t>No</t>
        </is>
      </c>
      <c r="P1073" s="145" t="inlineStr">
        <is>
          <t>d-mmm-yy</t>
        </is>
      </c>
      <c r="Q1073" s="145" t="inlineStr">
        <is>
          <t>Date / Time</t>
        </is>
      </c>
      <c r="R1073" s="145" t="n"/>
      <c r="S1073" s="145" t="n"/>
      <c r="T1073" s="145" t="n"/>
      <c r="U1073" s="145" t="n"/>
      <c r="V1073" s="145" t="n"/>
      <c r="W1073" s="145" t="n"/>
      <c r="X1073" s="145" t="inlineStr">
        <is>
          <t>Detailed format sample from top 5 used rows</t>
        </is>
      </c>
    </row>
    <row r="1074" ht="23.85" customHeight="1" s="79">
      <c r="A1074" s="145" t="inlineStr">
        <is>
          <t>GRC_DATA</t>
        </is>
      </c>
      <c r="B1074" s="145" t="inlineStr">
        <is>
          <t>Top-Row Cell Format</t>
        </is>
      </c>
      <c r="C1074" s="145" t="inlineStr">
        <is>
          <t>AC3</t>
        </is>
      </c>
      <c r="D1074" s="145" t="inlineStr">
        <is>
          <t>GRC_DATA!A1:AH3310</t>
        </is>
      </c>
      <c r="E1074" s="145" t="inlineStr">
        <is>
          <t>Normal</t>
        </is>
      </c>
      <c r="F1074" s="145" t="n"/>
      <c r="G1074" s="145" t="inlineStr">
        <is>
          <t>Aptos</t>
        </is>
      </c>
      <c r="H1074" s="145" t="n">
        <v>8</v>
      </c>
      <c r="I1074" s="145" t="inlineStr">
        <is>
          <t>No</t>
        </is>
      </c>
      <c r="J1074" s="145" t="inlineStr">
        <is>
          <t>No</t>
        </is>
      </c>
      <c r="K1074" s="145" t="inlineStr">
        <is>
          <t>None</t>
        </is>
      </c>
      <c r="L1074" s="145" t="inlineStr">
        <is>
          <t>#000000</t>
        </is>
      </c>
      <c r="M1074" s="145" t="inlineStr">
        <is>
          <t>General</t>
        </is>
      </c>
      <c r="N1074" s="145" t="inlineStr">
        <is>
          <t>Center</t>
        </is>
      </c>
      <c r="O1074" s="145" t="inlineStr">
        <is>
          <t>No</t>
        </is>
      </c>
      <c r="P1074" s="145" t="inlineStr">
        <is>
          <t>d-mmm-yy</t>
        </is>
      </c>
      <c r="Q1074" s="145" t="inlineStr">
        <is>
          <t>Date / Time</t>
        </is>
      </c>
      <c r="R1074" s="145" t="n"/>
      <c r="S1074" s="145" t="n"/>
      <c r="T1074" s="145" t="n"/>
      <c r="U1074" s="145" t="n"/>
      <c r="V1074" s="145" t="n"/>
      <c r="W1074" s="145" t="n"/>
      <c r="X1074" s="145" t="inlineStr">
        <is>
          <t>Detailed format sample from top 5 used rows</t>
        </is>
      </c>
    </row>
    <row r="1075" ht="23.85" customHeight="1" s="79">
      <c r="A1075" s="145" t="inlineStr">
        <is>
          <t>GRC_DATA</t>
        </is>
      </c>
      <c r="B1075" s="145" t="inlineStr">
        <is>
          <t>Top-Row Cell Format</t>
        </is>
      </c>
      <c r="C1075" s="145" t="inlineStr">
        <is>
          <t>AC4</t>
        </is>
      </c>
      <c r="D1075" s="145" t="inlineStr">
        <is>
          <t>GRC_DATA!A1:AH3310</t>
        </is>
      </c>
      <c r="E1075" s="145" t="inlineStr">
        <is>
          <t>Normal</t>
        </is>
      </c>
      <c r="F1075" s="145" t="n"/>
      <c r="G1075" s="145" t="inlineStr">
        <is>
          <t>Aptos</t>
        </is>
      </c>
      <c r="H1075" s="145" t="n">
        <v>8</v>
      </c>
      <c r="I1075" s="145" t="inlineStr">
        <is>
          <t>No</t>
        </is>
      </c>
      <c r="J1075" s="145" t="inlineStr">
        <is>
          <t>No</t>
        </is>
      </c>
      <c r="K1075" s="145" t="inlineStr">
        <is>
          <t>None</t>
        </is>
      </c>
      <c r="L1075" s="145" t="inlineStr">
        <is>
          <t>#000000</t>
        </is>
      </c>
      <c r="M1075" s="145" t="inlineStr">
        <is>
          <t>General</t>
        </is>
      </c>
      <c r="N1075" s="145" t="inlineStr">
        <is>
          <t>Center</t>
        </is>
      </c>
      <c r="O1075" s="145" t="inlineStr">
        <is>
          <t>No</t>
        </is>
      </c>
      <c r="P1075" s="145" t="inlineStr">
        <is>
          <t>d-mmm-yy</t>
        </is>
      </c>
      <c r="Q1075" s="145" t="inlineStr">
        <is>
          <t>Date / Time</t>
        </is>
      </c>
      <c r="R1075" s="145" t="n"/>
      <c r="S1075" s="145" t="n"/>
      <c r="T1075" s="145" t="n"/>
      <c r="U1075" s="145" t="n"/>
      <c r="V1075" s="145" t="n"/>
      <c r="W1075" s="145" t="n"/>
      <c r="X1075" s="145" t="inlineStr">
        <is>
          <t>Detailed format sample from top 5 used rows</t>
        </is>
      </c>
    </row>
    <row r="1076" ht="23.85" customHeight="1" s="79">
      <c r="A1076" s="145" t="inlineStr">
        <is>
          <t>GRC_DATA</t>
        </is>
      </c>
      <c r="B1076" s="145" t="inlineStr">
        <is>
          <t>Top-Row Cell Format</t>
        </is>
      </c>
      <c r="C1076" s="145" t="inlineStr">
        <is>
          <t>AC5</t>
        </is>
      </c>
      <c r="D1076" s="145" t="inlineStr">
        <is>
          <t>GRC_DATA!A1:AH3310</t>
        </is>
      </c>
      <c r="E1076" s="145" t="inlineStr">
        <is>
          <t>Normal</t>
        </is>
      </c>
      <c r="F1076" s="145" t="n"/>
      <c r="G1076" s="145" t="inlineStr">
        <is>
          <t>Aptos</t>
        </is>
      </c>
      <c r="H1076" s="145" t="n">
        <v>8</v>
      </c>
      <c r="I1076" s="145" t="inlineStr">
        <is>
          <t>No</t>
        </is>
      </c>
      <c r="J1076" s="145" t="inlineStr">
        <is>
          <t>No</t>
        </is>
      </c>
      <c r="K1076" s="145" t="inlineStr">
        <is>
          <t>None</t>
        </is>
      </c>
      <c r="L1076" s="145" t="inlineStr">
        <is>
          <t>#000000</t>
        </is>
      </c>
      <c r="M1076" s="145" t="inlineStr">
        <is>
          <t>General</t>
        </is>
      </c>
      <c r="N1076" s="145" t="inlineStr">
        <is>
          <t>Center</t>
        </is>
      </c>
      <c r="O1076" s="145" t="inlineStr">
        <is>
          <t>No</t>
        </is>
      </c>
      <c r="P1076" s="145" t="inlineStr">
        <is>
          <t>d-mmm-yy</t>
        </is>
      </c>
      <c r="Q1076" s="145" t="inlineStr">
        <is>
          <t>Date / Time</t>
        </is>
      </c>
      <c r="R1076" s="145" t="n"/>
      <c r="S1076" s="145" t="n"/>
      <c r="T1076" s="145" t="n"/>
      <c r="U1076" s="145" t="n"/>
      <c r="V1076" s="145" t="n"/>
      <c r="W1076" s="145" t="n"/>
      <c r="X1076" s="145" t="inlineStr">
        <is>
          <t>Detailed format sample from top 5 used rows</t>
        </is>
      </c>
    </row>
    <row r="1077" ht="23.85" customHeight="1" s="79">
      <c r="A1077" s="145" t="inlineStr">
        <is>
          <t>GRC_DATA</t>
        </is>
      </c>
      <c r="B1077" s="145" t="inlineStr">
        <is>
          <t>Column Format</t>
        </is>
      </c>
      <c r="C1077" s="145" t="inlineStr">
        <is>
          <t>AD:AD</t>
        </is>
      </c>
      <c r="D1077" s="145" t="inlineStr">
        <is>
          <t>GRC_DATA!A1:AH3310</t>
        </is>
      </c>
      <c r="E1077" s="145" t="inlineStr">
        <is>
          <t>Normal</t>
        </is>
      </c>
      <c r="F1077" s="145" t="inlineStr">
        <is>
          <t>Mixed</t>
        </is>
      </c>
      <c r="G1077" s="145" t="inlineStr">
        <is>
          <t>Aptos</t>
        </is>
      </c>
      <c r="H1077" s="145" t="n">
        <v>8</v>
      </c>
      <c r="I1077" s="145" t="inlineStr">
        <is>
          <t>Mixed</t>
        </is>
      </c>
      <c r="J1077" s="145" t="inlineStr">
        <is>
          <t>No</t>
        </is>
      </c>
      <c r="K1077" s="145" t="inlineStr">
        <is>
          <t>None</t>
        </is>
      </c>
      <c r="L1077" s="145" t="inlineStr">
        <is>
          <t>Mixed</t>
        </is>
      </c>
      <c r="M1077" s="145" t="inlineStr">
        <is>
          <t>General</t>
        </is>
      </c>
      <c r="N1077" s="145" t="inlineStr">
        <is>
          <t>Center</t>
        </is>
      </c>
      <c r="O1077" s="145" t="inlineStr">
        <is>
          <t>No</t>
        </is>
      </c>
      <c r="P1077" s="145" t="n"/>
      <c r="Q1077" s="145" t="n"/>
      <c r="R1077" s="145" t="n"/>
      <c r="S1077" s="145" t="n">
        <v>65.55223880597011</v>
      </c>
      <c r="T1077" s="145" t="n"/>
      <c r="U1077" s="145" t="inlineStr">
        <is>
          <t>No</t>
        </is>
      </c>
      <c r="V1077" s="145" t="inlineStr">
        <is>
          <t>Visible</t>
        </is>
      </c>
      <c r="W1077" s="145" t="n"/>
      <c r="X1077" s="145" t="inlineStr">
        <is>
          <t>Mixed styles within used column</t>
        </is>
      </c>
    </row>
    <row r="1078" ht="23.85" customHeight="1" s="79">
      <c r="A1078" s="145" t="inlineStr">
        <is>
          <t>GRC_DATA</t>
        </is>
      </c>
      <c r="B1078" s="145" t="inlineStr">
        <is>
          <t>Top-Row Cell Format</t>
        </is>
      </c>
      <c r="C1078" s="145" t="inlineStr">
        <is>
          <t>AD1</t>
        </is>
      </c>
      <c r="D1078" s="145" t="inlineStr">
        <is>
          <t>GRC_DATA!A1:AH3310</t>
        </is>
      </c>
      <c r="E1078" s="145" t="inlineStr">
        <is>
          <t>Normal</t>
        </is>
      </c>
      <c r="F1078" s="145" t="inlineStr">
        <is>
          <t>#ED7D31</t>
        </is>
      </c>
      <c r="G1078" s="145" t="inlineStr">
        <is>
          <t>Aptos</t>
        </is>
      </c>
      <c r="H1078" s="145" t="n">
        <v>8</v>
      </c>
      <c r="I1078" s="145" t="inlineStr">
        <is>
          <t>Yes</t>
        </is>
      </c>
      <c r="J1078" s="145" t="inlineStr">
        <is>
          <t>No</t>
        </is>
      </c>
      <c r="K1078" s="145" t="inlineStr">
        <is>
          <t>None</t>
        </is>
      </c>
      <c r="L1078" s="145" t="inlineStr">
        <is>
          <t>#FFFFFF</t>
        </is>
      </c>
      <c r="M1078" s="145" t="inlineStr">
        <is>
          <t>General</t>
        </is>
      </c>
      <c r="N1078" s="145" t="inlineStr">
        <is>
          <t>Center</t>
        </is>
      </c>
      <c r="O1078" s="145" t="inlineStr">
        <is>
          <t>No</t>
        </is>
      </c>
      <c r="P1078" s="145" t="inlineStr">
        <is>
          <t>General</t>
        </is>
      </c>
      <c r="Q1078" s="145" t="inlineStr">
        <is>
          <t>General</t>
        </is>
      </c>
      <c r="R1078" s="145" t="n"/>
      <c r="S1078" s="145" t="n"/>
      <c r="T1078" s="145" t="n"/>
      <c r="U1078" s="145" t="n"/>
      <c r="V1078" s="145" t="n"/>
      <c r="W1078" s="145" t="n"/>
      <c r="X1078" s="145" t="inlineStr">
        <is>
          <t>Detailed format sample from top 5 used rows</t>
        </is>
      </c>
    </row>
    <row r="1079" ht="23.85" customHeight="1" s="79">
      <c r="A1079" s="145" t="inlineStr">
        <is>
          <t>GRC_DATA</t>
        </is>
      </c>
      <c r="B1079" s="145" t="inlineStr">
        <is>
          <t>Top-Row Cell Format</t>
        </is>
      </c>
      <c r="C1079" s="145" t="inlineStr">
        <is>
          <t>AD2</t>
        </is>
      </c>
      <c r="D1079" s="145" t="inlineStr">
        <is>
          <t>GRC_DATA!A1:AH3310</t>
        </is>
      </c>
      <c r="E1079" s="145" t="inlineStr">
        <is>
          <t>Normal</t>
        </is>
      </c>
      <c r="F1079" s="145" t="n"/>
      <c r="G1079" s="145" t="inlineStr">
        <is>
          <t>Aptos</t>
        </is>
      </c>
      <c r="H1079" s="145" t="n">
        <v>8</v>
      </c>
      <c r="I1079" s="145" t="inlineStr">
        <is>
          <t>No</t>
        </is>
      </c>
      <c r="J1079" s="145" t="inlineStr">
        <is>
          <t>No</t>
        </is>
      </c>
      <c r="K1079" s="145" t="inlineStr">
        <is>
          <t>None</t>
        </is>
      </c>
      <c r="L1079" s="145" t="inlineStr">
        <is>
          <t>#000000</t>
        </is>
      </c>
      <c r="M1079" s="145" t="inlineStr">
        <is>
          <t>General</t>
        </is>
      </c>
      <c r="N1079" s="145" t="inlineStr">
        <is>
          <t>Center</t>
        </is>
      </c>
      <c r="O1079" s="145" t="inlineStr">
        <is>
          <t>No</t>
        </is>
      </c>
      <c r="P1079" s="145" t="inlineStr">
        <is>
          <t>General</t>
        </is>
      </c>
      <c r="Q1079" s="145" t="inlineStr">
        <is>
          <t>General</t>
        </is>
      </c>
      <c r="R1079" s="145" t="n"/>
      <c r="S1079" s="145" t="n"/>
      <c r="T1079" s="145" t="n"/>
      <c r="U1079" s="145" t="n"/>
      <c r="V1079" s="145" t="n"/>
      <c r="W1079" s="145" t="n"/>
      <c r="X1079" s="145" t="inlineStr">
        <is>
          <t>Detailed format sample from top 5 used rows</t>
        </is>
      </c>
    </row>
    <row r="1080" ht="23.85" customHeight="1" s="79">
      <c r="A1080" s="145" t="inlineStr">
        <is>
          <t>GRC_DATA</t>
        </is>
      </c>
      <c r="B1080" s="145" t="inlineStr">
        <is>
          <t>Top-Row Cell Format</t>
        </is>
      </c>
      <c r="C1080" s="145" t="inlineStr">
        <is>
          <t>AD3</t>
        </is>
      </c>
      <c r="D1080" s="145" t="inlineStr">
        <is>
          <t>GRC_DATA!A1:AH3310</t>
        </is>
      </c>
      <c r="E1080" s="145" t="inlineStr">
        <is>
          <t>Normal</t>
        </is>
      </c>
      <c r="F1080" s="145" t="n"/>
      <c r="G1080" s="145" t="inlineStr">
        <is>
          <t>Aptos</t>
        </is>
      </c>
      <c r="H1080" s="145" t="n">
        <v>8</v>
      </c>
      <c r="I1080" s="145" t="inlineStr">
        <is>
          <t>No</t>
        </is>
      </c>
      <c r="J1080" s="145" t="inlineStr">
        <is>
          <t>No</t>
        </is>
      </c>
      <c r="K1080" s="145" t="inlineStr">
        <is>
          <t>None</t>
        </is>
      </c>
      <c r="L1080" s="145" t="inlineStr">
        <is>
          <t>#000000</t>
        </is>
      </c>
      <c r="M1080" s="145" t="inlineStr">
        <is>
          <t>General</t>
        </is>
      </c>
      <c r="N1080" s="145" t="inlineStr">
        <is>
          <t>Center</t>
        </is>
      </c>
      <c r="O1080" s="145" t="inlineStr">
        <is>
          <t>No</t>
        </is>
      </c>
      <c r="P1080" s="145" t="inlineStr">
        <is>
          <t>General</t>
        </is>
      </c>
      <c r="Q1080" s="145" t="inlineStr">
        <is>
          <t>General</t>
        </is>
      </c>
      <c r="R1080" s="145" t="n"/>
      <c r="S1080" s="145" t="n"/>
      <c r="T1080" s="145" t="n"/>
      <c r="U1080" s="145" t="n"/>
      <c r="V1080" s="145" t="n"/>
      <c r="W1080" s="145" t="n"/>
      <c r="X1080" s="145" t="inlineStr">
        <is>
          <t>Detailed format sample from top 5 used rows</t>
        </is>
      </c>
    </row>
    <row r="1081" ht="23.85" customHeight="1" s="79">
      <c r="A1081" s="145" t="inlineStr">
        <is>
          <t>GRC_DATA</t>
        </is>
      </c>
      <c r="B1081" s="145" t="inlineStr">
        <is>
          <t>Top-Row Cell Format</t>
        </is>
      </c>
      <c r="C1081" s="145" t="inlineStr">
        <is>
          <t>AD4</t>
        </is>
      </c>
      <c r="D1081" s="145" t="inlineStr">
        <is>
          <t>GRC_DATA!A1:AH3310</t>
        </is>
      </c>
      <c r="E1081" s="145" t="inlineStr">
        <is>
          <t>Normal</t>
        </is>
      </c>
      <c r="F1081" s="145" t="n"/>
      <c r="G1081" s="145" t="inlineStr">
        <is>
          <t>Aptos</t>
        </is>
      </c>
      <c r="H1081" s="145" t="n">
        <v>8</v>
      </c>
      <c r="I1081" s="145" t="inlineStr">
        <is>
          <t>No</t>
        </is>
      </c>
      <c r="J1081" s="145" t="inlineStr">
        <is>
          <t>No</t>
        </is>
      </c>
      <c r="K1081" s="145" t="inlineStr">
        <is>
          <t>None</t>
        </is>
      </c>
      <c r="L1081" s="145" t="inlineStr">
        <is>
          <t>#000000</t>
        </is>
      </c>
      <c r="M1081" s="145" t="inlineStr">
        <is>
          <t>General</t>
        </is>
      </c>
      <c r="N1081" s="145" t="inlineStr">
        <is>
          <t>Center</t>
        </is>
      </c>
      <c r="O1081" s="145" t="inlineStr">
        <is>
          <t>No</t>
        </is>
      </c>
      <c r="P1081" s="145" t="inlineStr">
        <is>
          <t>General</t>
        </is>
      </c>
      <c r="Q1081" s="145" t="inlineStr">
        <is>
          <t>General</t>
        </is>
      </c>
      <c r="R1081" s="145" t="n"/>
      <c r="S1081" s="145" t="n"/>
      <c r="T1081" s="145" t="n"/>
      <c r="U1081" s="145" t="n"/>
      <c r="V1081" s="145" t="n"/>
      <c r="W1081" s="145" t="n"/>
      <c r="X1081" s="145" t="inlineStr">
        <is>
          <t>Detailed format sample from top 5 used rows</t>
        </is>
      </c>
    </row>
    <row r="1082" ht="23.85" customHeight="1" s="79">
      <c r="A1082" s="145" t="inlineStr">
        <is>
          <t>GRC_DATA</t>
        </is>
      </c>
      <c r="B1082" s="145" t="inlineStr">
        <is>
          <t>Top-Row Cell Format</t>
        </is>
      </c>
      <c r="C1082" s="145" t="inlineStr">
        <is>
          <t>AD5</t>
        </is>
      </c>
      <c r="D1082" s="145" t="inlineStr">
        <is>
          <t>GRC_DATA!A1:AH3310</t>
        </is>
      </c>
      <c r="E1082" s="145" t="inlineStr">
        <is>
          <t>Normal</t>
        </is>
      </c>
      <c r="F1082" s="145" t="n"/>
      <c r="G1082" s="145" t="inlineStr">
        <is>
          <t>Aptos</t>
        </is>
      </c>
      <c r="H1082" s="145" t="n">
        <v>8</v>
      </c>
      <c r="I1082" s="145" t="inlineStr">
        <is>
          <t>No</t>
        </is>
      </c>
      <c r="J1082" s="145" t="inlineStr">
        <is>
          <t>No</t>
        </is>
      </c>
      <c r="K1082" s="145" t="inlineStr">
        <is>
          <t>None</t>
        </is>
      </c>
      <c r="L1082" s="145" t="inlineStr">
        <is>
          <t>#000000</t>
        </is>
      </c>
      <c r="M1082" s="145" t="inlineStr">
        <is>
          <t>General</t>
        </is>
      </c>
      <c r="N1082" s="145" t="inlineStr">
        <is>
          <t>Center</t>
        </is>
      </c>
      <c r="O1082" s="145" t="inlineStr">
        <is>
          <t>No</t>
        </is>
      </c>
      <c r="P1082" s="145" t="inlineStr">
        <is>
          <t>General</t>
        </is>
      </c>
      <c r="Q1082" s="145" t="inlineStr">
        <is>
          <t>General</t>
        </is>
      </c>
      <c r="R1082" s="145" t="n"/>
      <c r="S1082" s="145" t="n"/>
      <c r="T1082" s="145" t="n"/>
      <c r="U1082" s="145" t="n"/>
      <c r="V1082" s="145" t="n"/>
      <c r="W1082" s="145" t="n"/>
      <c r="X1082" s="145" t="inlineStr">
        <is>
          <t>Detailed format sample from top 5 used rows</t>
        </is>
      </c>
    </row>
    <row r="1083" ht="23.85" customHeight="1" s="79">
      <c r="A1083" s="145" t="inlineStr">
        <is>
          <t>GRC_DATA</t>
        </is>
      </c>
      <c r="B1083" s="145" t="inlineStr">
        <is>
          <t>Column Format</t>
        </is>
      </c>
      <c r="C1083" s="145" t="inlineStr">
        <is>
          <t>AE:AE</t>
        </is>
      </c>
      <c r="D1083" s="145" t="inlineStr">
        <is>
          <t>GRC_DATA!A1:AH3310</t>
        </is>
      </c>
      <c r="E1083" s="145" t="inlineStr">
        <is>
          <t>Normal</t>
        </is>
      </c>
      <c r="F1083" s="145" t="inlineStr">
        <is>
          <t>Mixed</t>
        </is>
      </c>
      <c r="G1083" s="145" t="inlineStr">
        <is>
          <t>Aptos</t>
        </is>
      </c>
      <c r="H1083" s="145" t="n">
        <v>8</v>
      </c>
      <c r="I1083" s="145" t="inlineStr">
        <is>
          <t>Mixed</t>
        </is>
      </c>
      <c r="J1083" s="145" t="inlineStr">
        <is>
          <t>No</t>
        </is>
      </c>
      <c r="K1083" s="145" t="inlineStr">
        <is>
          <t>None</t>
        </is>
      </c>
      <c r="L1083" s="145" t="inlineStr">
        <is>
          <t>Mixed</t>
        </is>
      </c>
      <c r="M1083" s="145" t="inlineStr">
        <is>
          <t>General</t>
        </is>
      </c>
      <c r="N1083" s="145" t="inlineStr">
        <is>
          <t>Center</t>
        </is>
      </c>
      <c r="O1083" s="145" t="inlineStr">
        <is>
          <t>No</t>
        </is>
      </c>
      <c r="P1083" s="145" t="n"/>
      <c r="Q1083" s="145" t="n"/>
      <c r="R1083" s="145" t="n"/>
      <c r="S1083" s="145" t="n">
        <v>77.91044776119401</v>
      </c>
      <c r="T1083" s="145" t="n"/>
      <c r="U1083" s="145" t="inlineStr">
        <is>
          <t>No</t>
        </is>
      </c>
      <c r="V1083" s="145" t="inlineStr">
        <is>
          <t>Visible</t>
        </is>
      </c>
      <c r="W1083" s="145" t="n"/>
      <c r="X1083" s="145" t="inlineStr">
        <is>
          <t>Mixed styles within used column</t>
        </is>
      </c>
    </row>
    <row r="1084" ht="23.85" customHeight="1" s="79">
      <c r="A1084" s="145" t="inlineStr">
        <is>
          <t>GRC_DATA</t>
        </is>
      </c>
      <c r="B1084" s="145" t="inlineStr">
        <is>
          <t>Top-Row Cell Format</t>
        </is>
      </c>
      <c r="C1084" s="145" t="inlineStr">
        <is>
          <t>AE1</t>
        </is>
      </c>
      <c r="D1084" s="145" t="inlineStr">
        <is>
          <t>GRC_DATA!A1:AH3310</t>
        </is>
      </c>
      <c r="E1084" s="145" t="inlineStr">
        <is>
          <t>Normal</t>
        </is>
      </c>
      <c r="F1084" s="145" t="inlineStr">
        <is>
          <t>#ED7D31</t>
        </is>
      </c>
      <c r="G1084" s="145" t="inlineStr">
        <is>
          <t>Aptos</t>
        </is>
      </c>
      <c r="H1084" s="145" t="n">
        <v>8</v>
      </c>
      <c r="I1084" s="145" t="inlineStr">
        <is>
          <t>Yes</t>
        </is>
      </c>
      <c r="J1084" s="145" t="inlineStr">
        <is>
          <t>No</t>
        </is>
      </c>
      <c r="K1084" s="145" t="inlineStr">
        <is>
          <t>None</t>
        </is>
      </c>
      <c r="L1084" s="145" t="inlineStr">
        <is>
          <t>#FFFFFF</t>
        </is>
      </c>
      <c r="M1084" s="145" t="inlineStr">
        <is>
          <t>General</t>
        </is>
      </c>
      <c r="N1084" s="145" t="inlineStr">
        <is>
          <t>Center</t>
        </is>
      </c>
      <c r="O1084" s="145" t="inlineStr">
        <is>
          <t>No</t>
        </is>
      </c>
      <c r="P1084" s="145" t="inlineStr">
        <is>
          <t>d-mmm-yy</t>
        </is>
      </c>
      <c r="Q1084" s="145" t="inlineStr">
        <is>
          <t>Date / Time</t>
        </is>
      </c>
      <c r="R1084" s="145" t="n"/>
      <c r="S1084" s="145" t="n"/>
      <c r="T1084" s="145" t="n"/>
      <c r="U1084" s="145" t="n"/>
      <c r="V1084" s="145" t="n"/>
      <c r="W1084" s="145" t="n"/>
      <c r="X1084" s="145" t="inlineStr">
        <is>
          <t>Detailed format sample from top 5 used rows</t>
        </is>
      </c>
    </row>
    <row r="1085" ht="23.85" customHeight="1" s="79">
      <c r="A1085" s="145" t="inlineStr">
        <is>
          <t>GRC_DATA</t>
        </is>
      </c>
      <c r="B1085" s="145" t="inlineStr">
        <is>
          <t>Top-Row Cell Format</t>
        </is>
      </c>
      <c r="C1085" s="145" t="inlineStr">
        <is>
          <t>AE2</t>
        </is>
      </c>
      <c r="D1085" s="145" t="inlineStr">
        <is>
          <t>GRC_DATA!A1:AH3310</t>
        </is>
      </c>
      <c r="E1085" s="145" t="inlineStr">
        <is>
          <t>Normal</t>
        </is>
      </c>
      <c r="F1085" s="145" t="n"/>
      <c r="G1085" s="145" t="inlineStr">
        <is>
          <t>Aptos</t>
        </is>
      </c>
      <c r="H1085" s="145" t="n">
        <v>8</v>
      </c>
      <c r="I1085" s="145" t="inlineStr">
        <is>
          <t>No</t>
        </is>
      </c>
      <c r="J1085" s="145" t="inlineStr">
        <is>
          <t>No</t>
        </is>
      </c>
      <c r="K1085" s="145" t="inlineStr">
        <is>
          <t>None</t>
        </is>
      </c>
      <c r="L1085" s="145" t="inlineStr">
        <is>
          <t>#000000</t>
        </is>
      </c>
      <c r="M1085" s="145" t="inlineStr">
        <is>
          <t>General</t>
        </is>
      </c>
      <c r="N1085" s="145" t="inlineStr">
        <is>
          <t>Center</t>
        </is>
      </c>
      <c r="O1085" s="145" t="inlineStr">
        <is>
          <t>No</t>
        </is>
      </c>
      <c r="P1085" s="145" t="inlineStr">
        <is>
          <t>d-mmm-yy</t>
        </is>
      </c>
      <c r="Q1085" s="145" t="inlineStr">
        <is>
          <t>Date / Time</t>
        </is>
      </c>
      <c r="R1085" s="145" t="n"/>
      <c r="S1085" s="145" t="n"/>
      <c r="T1085" s="145" t="n"/>
      <c r="U1085" s="145" t="n"/>
      <c r="V1085" s="145" t="n"/>
      <c r="W1085" s="145" t="n"/>
      <c r="X1085" s="145" t="inlineStr">
        <is>
          <t>Detailed format sample from top 5 used rows</t>
        </is>
      </c>
    </row>
    <row r="1086" ht="23.85" customHeight="1" s="79">
      <c r="A1086" s="145" t="inlineStr">
        <is>
          <t>GRC_DATA</t>
        </is>
      </c>
      <c r="B1086" s="145" t="inlineStr">
        <is>
          <t>Top-Row Cell Format</t>
        </is>
      </c>
      <c r="C1086" s="145" t="inlineStr">
        <is>
          <t>AE3</t>
        </is>
      </c>
      <c r="D1086" s="145" t="inlineStr">
        <is>
          <t>GRC_DATA!A1:AH3310</t>
        </is>
      </c>
      <c r="E1086" s="145" t="inlineStr">
        <is>
          <t>Normal</t>
        </is>
      </c>
      <c r="F1086" s="145" t="n"/>
      <c r="G1086" s="145" t="inlineStr">
        <is>
          <t>Aptos</t>
        </is>
      </c>
      <c r="H1086" s="145" t="n">
        <v>8</v>
      </c>
      <c r="I1086" s="145" t="inlineStr">
        <is>
          <t>No</t>
        </is>
      </c>
      <c r="J1086" s="145" t="inlineStr">
        <is>
          <t>No</t>
        </is>
      </c>
      <c r="K1086" s="145" t="inlineStr">
        <is>
          <t>None</t>
        </is>
      </c>
      <c r="L1086" s="145" t="inlineStr">
        <is>
          <t>#000000</t>
        </is>
      </c>
      <c r="M1086" s="145" t="inlineStr">
        <is>
          <t>General</t>
        </is>
      </c>
      <c r="N1086" s="145" t="inlineStr">
        <is>
          <t>Center</t>
        </is>
      </c>
      <c r="O1086" s="145" t="inlineStr">
        <is>
          <t>No</t>
        </is>
      </c>
      <c r="P1086" s="145" t="inlineStr">
        <is>
          <t>d-mmm-yy</t>
        </is>
      </c>
      <c r="Q1086" s="145" t="inlineStr">
        <is>
          <t>Date / Time</t>
        </is>
      </c>
      <c r="R1086" s="145" t="n"/>
      <c r="S1086" s="145" t="n"/>
      <c r="T1086" s="145" t="n"/>
      <c r="U1086" s="145" t="n"/>
      <c r="V1086" s="145" t="n"/>
      <c r="W1086" s="145" t="n"/>
      <c r="X1086" s="145" t="inlineStr">
        <is>
          <t>Detailed format sample from top 5 used rows</t>
        </is>
      </c>
    </row>
    <row r="1087" ht="23.85" customHeight="1" s="79">
      <c r="A1087" s="145" t="inlineStr">
        <is>
          <t>GRC_DATA</t>
        </is>
      </c>
      <c r="B1087" s="145" t="inlineStr">
        <is>
          <t>Top-Row Cell Format</t>
        </is>
      </c>
      <c r="C1087" s="145" t="inlineStr">
        <is>
          <t>AE4</t>
        </is>
      </c>
      <c r="D1087" s="145" t="inlineStr">
        <is>
          <t>GRC_DATA!A1:AH3310</t>
        </is>
      </c>
      <c r="E1087" s="145" t="inlineStr">
        <is>
          <t>Normal</t>
        </is>
      </c>
      <c r="F1087" s="145" t="n"/>
      <c r="G1087" s="145" t="inlineStr">
        <is>
          <t>Aptos</t>
        </is>
      </c>
      <c r="H1087" s="145" t="n">
        <v>8</v>
      </c>
      <c r="I1087" s="145" t="inlineStr">
        <is>
          <t>No</t>
        </is>
      </c>
      <c r="J1087" s="145" t="inlineStr">
        <is>
          <t>No</t>
        </is>
      </c>
      <c r="K1087" s="145" t="inlineStr">
        <is>
          <t>None</t>
        </is>
      </c>
      <c r="L1087" s="145" t="inlineStr">
        <is>
          <t>#000000</t>
        </is>
      </c>
      <c r="M1087" s="145" t="inlineStr">
        <is>
          <t>General</t>
        </is>
      </c>
      <c r="N1087" s="145" t="inlineStr">
        <is>
          <t>Center</t>
        </is>
      </c>
      <c r="O1087" s="145" t="inlineStr">
        <is>
          <t>No</t>
        </is>
      </c>
      <c r="P1087" s="145" t="inlineStr">
        <is>
          <t>d-mmm-yy</t>
        </is>
      </c>
      <c r="Q1087" s="145" t="inlineStr">
        <is>
          <t>Date / Time</t>
        </is>
      </c>
      <c r="R1087" s="145" t="n"/>
      <c r="S1087" s="145" t="n"/>
      <c r="T1087" s="145" t="n"/>
      <c r="U1087" s="145" t="n"/>
      <c r="V1087" s="145" t="n"/>
      <c r="W1087" s="145" t="n"/>
      <c r="X1087" s="145" t="inlineStr">
        <is>
          <t>Detailed format sample from top 5 used rows</t>
        </is>
      </c>
    </row>
    <row r="1088" ht="23.85" customHeight="1" s="79">
      <c r="A1088" s="145" t="inlineStr">
        <is>
          <t>GRC_DATA</t>
        </is>
      </c>
      <c r="B1088" s="145" t="inlineStr">
        <is>
          <t>Top-Row Cell Format</t>
        </is>
      </c>
      <c r="C1088" s="145" t="inlineStr">
        <is>
          <t>AE5</t>
        </is>
      </c>
      <c r="D1088" s="145" t="inlineStr">
        <is>
          <t>GRC_DATA!A1:AH3310</t>
        </is>
      </c>
      <c r="E1088" s="145" t="inlineStr">
        <is>
          <t>Normal</t>
        </is>
      </c>
      <c r="F1088" s="145" t="n"/>
      <c r="G1088" s="145" t="inlineStr">
        <is>
          <t>Aptos</t>
        </is>
      </c>
      <c r="H1088" s="145" t="n">
        <v>8</v>
      </c>
      <c r="I1088" s="145" t="inlineStr">
        <is>
          <t>No</t>
        </is>
      </c>
      <c r="J1088" s="145" t="inlineStr">
        <is>
          <t>No</t>
        </is>
      </c>
      <c r="K1088" s="145" t="inlineStr">
        <is>
          <t>None</t>
        </is>
      </c>
      <c r="L1088" s="145" t="inlineStr">
        <is>
          <t>#000000</t>
        </is>
      </c>
      <c r="M1088" s="145" t="inlineStr">
        <is>
          <t>General</t>
        </is>
      </c>
      <c r="N1088" s="145" t="inlineStr">
        <is>
          <t>Center</t>
        </is>
      </c>
      <c r="O1088" s="145" t="inlineStr">
        <is>
          <t>No</t>
        </is>
      </c>
      <c r="P1088" s="145" t="inlineStr">
        <is>
          <t>d-mmm-yy</t>
        </is>
      </c>
      <c r="Q1088" s="145" t="inlineStr">
        <is>
          <t>Date / Time</t>
        </is>
      </c>
      <c r="R1088" s="145" t="n"/>
      <c r="S1088" s="145" t="n"/>
      <c r="T1088" s="145" t="n"/>
      <c r="U1088" s="145" t="n"/>
      <c r="V1088" s="145" t="n"/>
      <c r="W1088" s="145" t="n"/>
      <c r="X1088" s="145" t="inlineStr">
        <is>
          <t>Detailed format sample from top 5 used rows</t>
        </is>
      </c>
    </row>
    <row r="1089" ht="23.85" customHeight="1" s="79">
      <c r="A1089" s="145" t="inlineStr">
        <is>
          <t>GRC_DATA</t>
        </is>
      </c>
      <c r="B1089" s="145" t="inlineStr">
        <is>
          <t>Column Format</t>
        </is>
      </c>
      <c r="C1089" s="145" t="inlineStr">
        <is>
          <t>AF:AF</t>
        </is>
      </c>
      <c r="D1089" s="145" t="inlineStr">
        <is>
          <t>GRC_DATA!A1:AH3310</t>
        </is>
      </c>
      <c r="E1089" s="145" t="inlineStr">
        <is>
          <t>Normal</t>
        </is>
      </c>
      <c r="F1089" s="145" t="inlineStr">
        <is>
          <t>Mixed</t>
        </is>
      </c>
      <c r="G1089" s="145" t="inlineStr">
        <is>
          <t>Aptos</t>
        </is>
      </c>
      <c r="H1089" s="145" t="n">
        <v>8</v>
      </c>
      <c r="I1089" s="145" t="inlineStr">
        <is>
          <t>Mixed</t>
        </is>
      </c>
      <c r="J1089" s="145" t="inlineStr">
        <is>
          <t>No</t>
        </is>
      </c>
      <c r="K1089" s="145" t="inlineStr">
        <is>
          <t>None</t>
        </is>
      </c>
      <c r="L1089" s="145" t="inlineStr">
        <is>
          <t>Mixed</t>
        </is>
      </c>
      <c r="M1089" s="145" t="inlineStr">
        <is>
          <t>General</t>
        </is>
      </c>
      <c r="N1089" s="145" t="inlineStr">
        <is>
          <t>Center</t>
        </is>
      </c>
      <c r="O1089" s="145" t="inlineStr">
        <is>
          <t>No</t>
        </is>
      </c>
      <c r="P1089" s="145" t="n"/>
      <c r="Q1089" s="145" t="n"/>
      <c r="R1089" s="145" t="n"/>
      <c r="S1089" s="145" t="n">
        <v>38.6865671641791</v>
      </c>
      <c r="T1089" s="145" t="n"/>
      <c r="U1089" s="145" t="inlineStr">
        <is>
          <t>No</t>
        </is>
      </c>
      <c r="V1089" s="145" t="inlineStr">
        <is>
          <t>Visible</t>
        </is>
      </c>
      <c r="W1089" s="145" t="n"/>
      <c r="X1089" s="145" t="inlineStr">
        <is>
          <t>Mixed styles within used column</t>
        </is>
      </c>
    </row>
    <row r="1090" ht="23.85" customHeight="1" s="79">
      <c r="A1090" s="145" t="inlineStr">
        <is>
          <t>GRC_DATA</t>
        </is>
      </c>
      <c r="B1090" s="145" t="inlineStr">
        <is>
          <t>Top-Row Cell Format</t>
        </is>
      </c>
      <c r="C1090" s="145" t="inlineStr">
        <is>
          <t>AF1</t>
        </is>
      </c>
      <c r="D1090" s="145" t="inlineStr">
        <is>
          <t>GRC_DATA!A1:AH3310</t>
        </is>
      </c>
      <c r="E1090" s="145" t="inlineStr">
        <is>
          <t>Normal</t>
        </is>
      </c>
      <c r="F1090" s="145" t="inlineStr">
        <is>
          <t>#ED7D31</t>
        </is>
      </c>
      <c r="G1090" s="145" t="inlineStr">
        <is>
          <t>Aptos</t>
        </is>
      </c>
      <c r="H1090" s="145" t="n">
        <v>8</v>
      </c>
      <c r="I1090" s="145" t="inlineStr">
        <is>
          <t>Yes</t>
        </is>
      </c>
      <c r="J1090" s="145" t="inlineStr">
        <is>
          <t>No</t>
        </is>
      </c>
      <c r="K1090" s="145" t="inlineStr">
        <is>
          <t>None</t>
        </is>
      </c>
      <c r="L1090" s="145" t="inlineStr">
        <is>
          <t>#FFFFFF</t>
        </is>
      </c>
      <c r="M1090" s="145" t="inlineStr">
        <is>
          <t>General</t>
        </is>
      </c>
      <c r="N1090" s="145" t="inlineStr">
        <is>
          <t>Center</t>
        </is>
      </c>
      <c r="O1090" s="145" t="inlineStr">
        <is>
          <t>No</t>
        </is>
      </c>
      <c r="P1090" s="145" t="inlineStr">
        <is>
          <t>General</t>
        </is>
      </c>
      <c r="Q1090" s="145" t="inlineStr">
        <is>
          <t>General</t>
        </is>
      </c>
      <c r="R1090" s="145" t="n"/>
      <c r="S1090" s="145" t="n"/>
      <c r="T1090" s="145" t="n"/>
      <c r="U1090" s="145" t="n"/>
      <c r="V1090" s="145" t="n"/>
      <c r="W1090" s="145" t="n"/>
      <c r="X1090" s="145" t="inlineStr">
        <is>
          <t>Detailed format sample from top 5 used rows</t>
        </is>
      </c>
    </row>
    <row r="1091" ht="23.85" customHeight="1" s="79">
      <c r="A1091" s="145" t="inlineStr">
        <is>
          <t>GRC_DATA</t>
        </is>
      </c>
      <c r="B1091" s="145" t="inlineStr">
        <is>
          <t>Top-Row Cell Format</t>
        </is>
      </c>
      <c r="C1091" s="145" t="inlineStr">
        <is>
          <t>AF2</t>
        </is>
      </c>
      <c r="D1091" s="145" t="inlineStr">
        <is>
          <t>GRC_DATA!A1:AH3310</t>
        </is>
      </c>
      <c r="E1091" s="145" t="inlineStr">
        <is>
          <t>Normal</t>
        </is>
      </c>
      <c r="F1091" s="145" t="n"/>
      <c r="G1091" s="145" t="inlineStr">
        <is>
          <t>Aptos</t>
        </is>
      </c>
      <c r="H1091" s="145" t="n">
        <v>8</v>
      </c>
      <c r="I1091" s="145" t="inlineStr">
        <is>
          <t>No</t>
        </is>
      </c>
      <c r="J1091" s="145" t="inlineStr">
        <is>
          <t>No</t>
        </is>
      </c>
      <c r="K1091" s="145" t="inlineStr">
        <is>
          <t>None</t>
        </is>
      </c>
      <c r="L1091" s="145" t="inlineStr">
        <is>
          <t>#000000</t>
        </is>
      </c>
      <c r="M1091" s="145" t="inlineStr">
        <is>
          <t>General</t>
        </is>
      </c>
      <c r="N1091" s="145" t="inlineStr">
        <is>
          <t>Center</t>
        </is>
      </c>
      <c r="O1091" s="145" t="inlineStr">
        <is>
          <t>No</t>
        </is>
      </c>
      <c r="P1091" s="145" t="inlineStr">
        <is>
          <t>General</t>
        </is>
      </c>
      <c r="Q1091" s="145" t="inlineStr">
        <is>
          <t>General</t>
        </is>
      </c>
      <c r="R1091" s="145" t="n"/>
      <c r="S1091" s="145" t="n"/>
      <c r="T1091" s="145" t="n"/>
      <c r="U1091" s="145" t="n"/>
      <c r="V1091" s="145" t="n"/>
      <c r="W1091" s="145" t="n"/>
      <c r="X1091" s="145" t="inlineStr">
        <is>
          <t>Detailed format sample from top 5 used rows</t>
        </is>
      </c>
    </row>
    <row r="1092" ht="23.85" customHeight="1" s="79">
      <c r="A1092" s="145" t="inlineStr">
        <is>
          <t>GRC_DATA</t>
        </is>
      </c>
      <c r="B1092" s="145" t="inlineStr">
        <is>
          <t>Top-Row Cell Format</t>
        </is>
      </c>
      <c r="C1092" s="145" t="inlineStr">
        <is>
          <t>AF3</t>
        </is>
      </c>
      <c r="D1092" s="145" t="inlineStr">
        <is>
          <t>GRC_DATA!A1:AH3310</t>
        </is>
      </c>
      <c r="E1092" s="145" t="inlineStr">
        <is>
          <t>Normal</t>
        </is>
      </c>
      <c r="F1092" s="145" t="n"/>
      <c r="G1092" s="145" t="inlineStr">
        <is>
          <t>Aptos</t>
        </is>
      </c>
      <c r="H1092" s="145" t="n">
        <v>8</v>
      </c>
      <c r="I1092" s="145" t="inlineStr">
        <is>
          <t>No</t>
        </is>
      </c>
      <c r="J1092" s="145" t="inlineStr">
        <is>
          <t>No</t>
        </is>
      </c>
      <c r="K1092" s="145" t="inlineStr">
        <is>
          <t>None</t>
        </is>
      </c>
      <c r="L1092" s="145" t="inlineStr">
        <is>
          <t>#000000</t>
        </is>
      </c>
      <c r="M1092" s="145" t="inlineStr">
        <is>
          <t>General</t>
        </is>
      </c>
      <c r="N1092" s="145" t="inlineStr">
        <is>
          <t>Center</t>
        </is>
      </c>
      <c r="O1092" s="145" t="inlineStr">
        <is>
          <t>No</t>
        </is>
      </c>
      <c r="P1092" s="145" t="inlineStr">
        <is>
          <t>General</t>
        </is>
      </c>
      <c r="Q1092" s="145" t="inlineStr">
        <is>
          <t>General</t>
        </is>
      </c>
      <c r="R1092" s="145" t="n"/>
      <c r="S1092" s="145" t="n"/>
      <c r="T1092" s="145" t="n"/>
      <c r="U1092" s="145" t="n"/>
      <c r="V1092" s="145" t="n"/>
      <c r="W1092" s="145" t="n"/>
      <c r="X1092" s="145" t="inlineStr">
        <is>
          <t>Detailed format sample from top 5 used rows</t>
        </is>
      </c>
    </row>
    <row r="1093" ht="23.85" customHeight="1" s="79">
      <c r="A1093" s="145" t="inlineStr">
        <is>
          <t>GRC_DATA</t>
        </is>
      </c>
      <c r="B1093" s="145" t="inlineStr">
        <is>
          <t>Top-Row Cell Format</t>
        </is>
      </c>
      <c r="C1093" s="145" t="inlineStr">
        <is>
          <t>AF4</t>
        </is>
      </c>
      <c r="D1093" s="145" t="inlineStr">
        <is>
          <t>GRC_DATA!A1:AH3310</t>
        </is>
      </c>
      <c r="E1093" s="145" t="inlineStr">
        <is>
          <t>Normal</t>
        </is>
      </c>
      <c r="F1093" s="145" t="n"/>
      <c r="G1093" s="145" t="inlineStr">
        <is>
          <t>Aptos</t>
        </is>
      </c>
      <c r="H1093" s="145" t="n">
        <v>8</v>
      </c>
      <c r="I1093" s="145" t="inlineStr">
        <is>
          <t>No</t>
        </is>
      </c>
      <c r="J1093" s="145" t="inlineStr">
        <is>
          <t>No</t>
        </is>
      </c>
      <c r="K1093" s="145" t="inlineStr">
        <is>
          <t>None</t>
        </is>
      </c>
      <c r="L1093" s="145" t="inlineStr">
        <is>
          <t>#000000</t>
        </is>
      </c>
      <c r="M1093" s="145" t="inlineStr">
        <is>
          <t>General</t>
        </is>
      </c>
      <c r="N1093" s="145" t="inlineStr">
        <is>
          <t>Center</t>
        </is>
      </c>
      <c r="O1093" s="145" t="inlineStr">
        <is>
          <t>No</t>
        </is>
      </c>
      <c r="P1093" s="145" t="inlineStr">
        <is>
          <t>General</t>
        </is>
      </c>
      <c r="Q1093" s="145" t="inlineStr">
        <is>
          <t>General</t>
        </is>
      </c>
      <c r="R1093" s="145" t="n"/>
      <c r="S1093" s="145" t="n"/>
      <c r="T1093" s="145" t="n"/>
      <c r="U1093" s="145" t="n"/>
      <c r="V1093" s="145" t="n"/>
      <c r="W1093" s="145" t="n"/>
      <c r="X1093" s="145" t="inlineStr">
        <is>
          <t>Detailed format sample from top 5 used rows</t>
        </is>
      </c>
    </row>
    <row r="1094" ht="23.85" customHeight="1" s="79">
      <c r="A1094" s="145" t="inlineStr">
        <is>
          <t>GRC_DATA</t>
        </is>
      </c>
      <c r="B1094" s="145" t="inlineStr">
        <is>
          <t>Top-Row Cell Format</t>
        </is>
      </c>
      <c r="C1094" s="145" t="inlineStr">
        <is>
          <t>AF5</t>
        </is>
      </c>
      <c r="D1094" s="145" t="inlineStr">
        <is>
          <t>GRC_DATA!A1:AH3310</t>
        </is>
      </c>
      <c r="E1094" s="145" t="inlineStr">
        <is>
          <t>Normal</t>
        </is>
      </c>
      <c r="F1094" s="145" t="n"/>
      <c r="G1094" s="145" t="inlineStr">
        <is>
          <t>Aptos</t>
        </is>
      </c>
      <c r="H1094" s="145" t="n">
        <v>8</v>
      </c>
      <c r="I1094" s="145" t="inlineStr">
        <is>
          <t>No</t>
        </is>
      </c>
      <c r="J1094" s="145" t="inlineStr">
        <is>
          <t>No</t>
        </is>
      </c>
      <c r="K1094" s="145" t="inlineStr">
        <is>
          <t>None</t>
        </is>
      </c>
      <c r="L1094" s="145" t="inlineStr">
        <is>
          <t>#000000</t>
        </is>
      </c>
      <c r="M1094" s="145" t="inlineStr">
        <is>
          <t>General</t>
        </is>
      </c>
      <c r="N1094" s="145" t="inlineStr">
        <is>
          <t>Center</t>
        </is>
      </c>
      <c r="O1094" s="145" t="inlineStr">
        <is>
          <t>No</t>
        </is>
      </c>
      <c r="P1094" s="145" t="inlineStr">
        <is>
          <t>General</t>
        </is>
      </c>
      <c r="Q1094" s="145" t="inlineStr">
        <is>
          <t>General</t>
        </is>
      </c>
      <c r="R1094" s="145" t="n"/>
      <c r="S1094" s="145" t="n"/>
      <c r="T1094" s="145" t="n"/>
      <c r="U1094" s="145" t="n"/>
      <c r="V1094" s="145" t="n"/>
      <c r="W1094" s="145" t="n"/>
      <c r="X1094" s="145" t="inlineStr">
        <is>
          <t>Detailed format sample from top 5 used rows</t>
        </is>
      </c>
    </row>
    <row r="1095" ht="23.85" customHeight="1" s="79">
      <c r="A1095" s="145" t="inlineStr">
        <is>
          <t>GRC_DATA</t>
        </is>
      </c>
      <c r="B1095" s="145" t="inlineStr">
        <is>
          <t>Column Format</t>
        </is>
      </c>
      <c r="C1095" s="145" t="inlineStr">
        <is>
          <t>AG:AG</t>
        </is>
      </c>
      <c r="D1095" s="145" t="inlineStr">
        <is>
          <t>GRC_DATA!A1:AH3310</t>
        </is>
      </c>
      <c r="E1095" s="145" t="inlineStr">
        <is>
          <t>Normal</t>
        </is>
      </c>
      <c r="F1095" s="145" t="inlineStr">
        <is>
          <t>Mixed</t>
        </is>
      </c>
      <c r="G1095" s="145" t="inlineStr">
        <is>
          <t>Aptos</t>
        </is>
      </c>
      <c r="H1095" s="145" t="n">
        <v>8</v>
      </c>
      <c r="I1095" s="145" t="inlineStr">
        <is>
          <t>Mixed</t>
        </is>
      </c>
      <c r="J1095" s="145" t="inlineStr">
        <is>
          <t>No</t>
        </is>
      </c>
      <c r="K1095" s="145" t="inlineStr">
        <is>
          <t>None</t>
        </is>
      </c>
      <c r="L1095" s="145" t="inlineStr">
        <is>
          <t>Mixed</t>
        </is>
      </c>
      <c r="M1095" s="145" t="inlineStr">
        <is>
          <t>General</t>
        </is>
      </c>
      <c r="N1095" s="145" t="inlineStr">
        <is>
          <t>Center</t>
        </is>
      </c>
      <c r="O1095" s="145" t="inlineStr">
        <is>
          <t>No</t>
        </is>
      </c>
      <c r="P1095" s="145" t="n"/>
      <c r="Q1095" s="145" t="n"/>
      <c r="R1095" s="145" t="inlineStr">
        <is>
          <t>EdgeRight:Continuous/Thin/#E7E6E6</t>
        </is>
      </c>
      <c r="S1095" s="145" t="n">
        <v>40.2985074626866</v>
      </c>
      <c r="T1095" s="145" t="n"/>
      <c r="U1095" s="145" t="inlineStr">
        <is>
          <t>No</t>
        </is>
      </c>
      <c r="V1095" s="145" t="inlineStr">
        <is>
          <t>Visible</t>
        </is>
      </c>
      <c r="W1095" s="145" t="n"/>
      <c r="X1095" s="145" t="inlineStr">
        <is>
          <t>Mixed styles within used column</t>
        </is>
      </c>
    </row>
    <row r="1096" ht="23.85" customHeight="1" s="79">
      <c r="A1096" s="145" t="inlineStr">
        <is>
          <t>GRC_DATA</t>
        </is>
      </c>
      <c r="B1096" s="145" t="inlineStr">
        <is>
          <t>Top-Row Cell Format</t>
        </is>
      </c>
      <c r="C1096" s="145" t="inlineStr">
        <is>
          <t>AG1</t>
        </is>
      </c>
      <c r="D1096" s="145" t="inlineStr">
        <is>
          <t>GRC_DATA!A1:AH3310</t>
        </is>
      </c>
      <c r="E1096" s="145" t="inlineStr">
        <is>
          <t>Normal</t>
        </is>
      </c>
      <c r="F1096" s="145" t="inlineStr">
        <is>
          <t>#ED7D31</t>
        </is>
      </c>
      <c r="G1096" s="145" t="inlineStr">
        <is>
          <t>Aptos</t>
        </is>
      </c>
      <c r="H1096" s="145" t="n">
        <v>8</v>
      </c>
      <c r="I1096" s="145" t="inlineStr">
        <is>
          <t>Yes</t>
        </is>
      </c>
      <c r="J1096" s="145" t="inlineStr">
        <is>
          <t>No</t>
        </is>
      </c>
      <c r="K1096" s="145" t="inlineStr">
        <is>
          <t>None</t>
        </is>
      </c>
      <c r="L1096" s="145" t="inlineStr">
        <is>
          <t>#FFFFFF</t>
        </is>
      </c>
      <c r="M1096" s="145" t="inlineStr">
        <is>
          <t>General</t>
        </is>
      </c>
      <c r="N1096" s="145" t="inlineStr">
        <is>
          <t>Center</t>
        </is>
      </c>
      <c r="O1096" s="145" t="inlineStr">
        <is>
          <t>No</t>
        </is>
      </c>
      <c r="P1096" s="145" t="inlineStr">
        <is>
          <t>General</t>
        </is>
      </c>
      <c r="Q1096" s="145" t="inlineStr">
        <is>
          <t>General</t>
        </is>
      </c>
      <c r="R1096" s="145" t="n"/>
      <c r="S1096" s="145" t="n"/>
      <c r="T1096" s="145" t="n"/>
      <c r="U1096" s="145" t="n"/>
      <c r="V1096" s="145" t="n"/>
      <c r="W1096" s="145" t="n"/>
      <c r="X1096" s="145" t="inlineStr">
        <is>
          <t>Detailed format sample from top 5 used rows</t>
        </is>
      </c>
    </row>
    <row r="1097" ht="23.85" customHeight="1" s="79">
      <c r="A1097" s="145" t="inlineStr">
        <is>
          <t>GRC_DATA</t>
        </is>
      </c>
      <c r="B1097" s="145" t="inlineStr">
        <is>
          <t>Top-Row Cell Format</t>
        </is>
      </c>
      <c r="C1097" s="145" t="inlineStr">
        <is>
          <t>AG2</t>
        </is>
      </c>
      <c r="D1097" s="145" t="inlineStr">
        <is>
          <t>GRC_DATA!A1:AH3310</t>
        </is>
      </c>
      <c r="E1097" s="145" t="inlineStr">
        <is>
          <t>Normal</t>
        </is>
      </c>
      <c r="F1097" s="145" t="n"/>
      <c r="G1097" s="145" t="inlineStr">
        <is>
          <t>Aptos</t>
        </is>
      </c>
      <c r="H1097" s="145" t="n">
        <v>8</v>
      </c>
      <c r="I1097" s="145" t="inlineStr">
        <is>
          <t>No</t>
        </is>
      </c>
      <c r="J1097" s="145" t="inlineStr">
        <is>
          <t>No</t>
        </is>
      </c>
      <c r="K1097" s="145" t="inlineStr">
        <is>
          <t>None</t>
        </is>
      </c>
      <c r="L1097" s="145" t="inlineStr">
        <is>
          <t>#000000</t>
        </is>
      </c>
      <c r="M1097" s="145" t="inlineStr">
        <is>
          <t>General</t>
        </is>
      </c>
      <c r="N1097" s="145" t="inlineStr">
        <is>
          <t>Center</t>
        </is>
      </c>
      <c r="O1097" s="145" t="inlineStr">
        <is>
          <t>No</t>
        </is>
      </c>
      <c r="P1097" s="145" t="inlineStr">
        <is>
          <t>General</t>
        </is>
      </c>
      <c r="Q1097" s="145" t="inlineStr">
        <is>
          <t>General</t>
        </is>
      </c>
      <c r="R1097" s="145" t="n"/>
      <c r="S1097" s="145" t="n"/>
      <c r="T1097" s="145" t="n"/>
      <c r="U1097" s="145" t="n"/>
      <c r="V1097" s="145" t="n"/>
      <c r="W1097" s="145" t="n"/>
      <c r="X1097" s="145" t="inlineStr">
        <is>
          <t>Detailed format sample from top 5 used rows</t>
        </is>
      </c>
    </row>
    <row r="1098" ht="23.85" customHeight="1" s="79">
      <c r="A1098" s="145" t="inlineStr">
        <is>
          <t>GRC_DATA</t>
        </is>
      </c>
      <c r="B1098" s="145" t="inlineStr">
        <is>
          <t>Top-Row Cell Format</t>
        </is>
      </c>
      <c r="C1098" s="145" t="inlineStr">
        <is>
          <t>AG3</t>
        </is>
      </c>
      <c r="D1098" s="145" t="inlineStr">
        <is>
          <t>GRC_DATA!A1:AH3310</t>
        </is>
      </c>
      <c r="E1098" s="145" t="inlineStr">
        <is>
          <t>Normal</t>
        </is>
      </c>
      <c r="F1098" s="145" t="n"/>
      <c r="G1098" s="145" t="inlineStr">
        <is>
          <t>Aptos</t>
        </is>
      </c>
      <c r="H1098" s="145" t="n">
        <v>8</v>
      </c>
      <c r="I1098" s="145" t="inlineStr">
        <is>
          <t>No</t>
        </is>
      </c>
      <c r="J1098" s="145" t="inlineStr">
        <is>
          <t>No</t>
        </is>
      </c>
      <c r="K1098" s="145" t="inlineStr">
        <is>
          <t>None</t>
        </is>
      </c>
      <c r="L1098" s="145" t="inlineStr">
        <is>
          <t>#000000</t>
        </is>
      </c>
      <c r="M1098" s="145" t="inlineStr">
        <is>
          <t>General</t>
        </is>
      </c>
      <c r="N1098" s="145" t="inlineStr">
        <is>
          <t>Center</t>
        </is>
      </c>
      <c r="O1098" s="145" t="inlineStr">
        <is>
          <t>No</t>
        </is>
      </c>
      <c r="P1098" s="145" t="inlineStr">
        <is>
          <t>General</t>
        </is>
      </c>
      <c r="Q1098" s="145" t="inlineStr">
        <is>
          <t>General</t>
        </is>
      </c>
      <c r="R1098" s="145" t="n"/>
      <c r="S1098" s="145" t="n"/>
      <c r="T1098" s="145" t="n"/>
      <c r="U1098" s="145" t="n"/>
      <c r="V1098" s="145" t="n"/>
      <c r="W1098" s="145" t="n"/>
      <c r="X1098" s="145" t="inlineStr">
        <is>
          <t>Detailed format sample from top 5 used rows</t>
        </is>
      </c>
    </row>
    <row r="1099" ht="23.85" customHeight="1" s="79">
      <c r="A1099" s="145" t="inlineStr">
        <is>
          <t>GRC_DATA</t>
        </is>
      </c>
      <c r="B1099" s="145" t="inlineStr">
        <is>
          <t>Top-Row Cell Format</t>
        </is>
      </c>
      <c r="C1099" s="145" t="inlineStr">
        <is>
          <t>AG4</t>
        </is>
      </c>
      <c r="D1099" s="145" t="inlineStr">
        <is>
          <t>GRC_DATA!A1:AH3310</t>
        </is>
      </c>
      <c r="E1099" s="145" t="inlineStr">
        <is>
          <t>Normal</t>
        </is>
      </c>
      <c r="F1099" s="145" t="n"/>
      <c r="G1099" s="145" t="inlineStr">
        <is>
          <t>Aptos</t>
        </is>
      </c>
      <c r="H1099" s="145" t="n">
        <v>8</v>
      </c>
      <c r="I1099" s="145" t="inlineStr">
        <is>
          <t>No</t>
        </is>
      </c>
      <c r="J1099" s="145" t="inlineStr">
        <is>
          <t>No</t>
        </is>
      </c>
      <c r="K1099" s="145" t="inlineStr">
        <is>
          <t>None</t>
        </is>
      </c>
      <c r="L1099" s="145" t="inlineStr">
        <is>
          <t>#000000</t>
        </is>
      </c>
      <c r="M1099" s="145" t="inlineStr">
        <is>
          <t>General</t>
        </is>
      </c>
      <c r="N1099" s="145" t="inlineStr">
        <is>
          <t>Center</t>
        </is>
      </c>
      <c r="O1099" s="145" t="inlineStr">
        <is>
          <t>No</t>
        </is>
      </c>
      <c r="P1099" s="145" t="inlineStr">
        <is>
          <t>General</t>
        </is>
      </c>
      <c r="Q1099" s="145" t="inlineStr">
        <is>
          <t>General</t>
        </is>
      </c>
      <c r="R1099" s="145" t="n"/>
      <c r="S1099" s="145" t="n"/>
      <c r="T1099" s="145" t="n"/>
      <c r="U1099" s="145" t="n"/>
      <c r="V1099" s="145" t="n"/>
      <c r="W1099" s="145" t="n"/>
      <c r="X1099" s="145" t="inlineStr">
        <is>
          <t>Detailed format sample from top 5 used rows</t>
        </is>
      </c>
    </row>
    <row r="1100" ht="23.85" customHeight="1" s="79">
      <c r="A1100" s="145" t="inlineStr">
        <is>
          <t>GRC_DATA</t>
        </is>
      </c>
      <c r="B1100" s="145" t="inlineStr">
        <is>
          <t>Top-Row Cell Format</t>
        </is>
      </c>
      <c r="C1100" s="145" t="inlineStr">
        <is>
          <t>AG5</t>
        </is>
      </c>
      <c r="D1100" s="145" t="inlineStr">
        <is>
          <t>GRC_DATA!A1:AH3310</t>
        </is>
      </c>
      <c r="E1100" s="145" t="inlineStr">
        <is>
          <t>Normal</t>
        </is>
      </c>
      <c r="F1100" s="145" t="n"/>
      <c r="G1100" s="145" t="inlineStr">
        <is>
          <t>Aptos</t>
        </is>
      </c>
      <c r="H1100" s="145" t="n">
        <v>8</v>
      </c>
      <c r="I1100" s="145" t="inlineStr">
        <is>
          <t>No</t>
        </is>
      </c>
      <c r="J1100" s="145" t="inlineStr">
        <is>
          <t>No</t>
        </is>
      </c>
      <c r="K1100" s="145" t="inlineStr">
        <is>
          <t>None</t>
        </is>
      </c>
      <c r="L1100" s="145" t="inlineStr">
        <is>
          <t>#000000</t>
        </is>
      </c>
      <c r="M1100" s="145" t="inlineStr">
        <is>
          <t>General</t>
        </is>
      </c>
      <c r="N1100" s="145" t="inlineStr">
        <is>
          <t>Center</t>
        </is>
      </c>
      <c r="O1100" s="145" t="inlineStr">
        <is>
          <t>No</t>
        </is>
      </c>
      <c r="P1100" s="145" t="inlineStr">
        <is>
          <t>General</t>
        </is>
      </c>
      <c r="Q1100" s="145" t="inlineStr">
        <is>
          <t>General</t>
        </is>
      </c>
      <c r="R1100" s="145" t="n"/>
      <c r="S1100" s="145" t="n"/>
      <c r="T1100" s="145" t="n"/>
      <c r="U1100" s="145" t="n"/>
      <c r="V1100" s="145" t="n"/>
      <c r="W1100" s="145" t="n"/>
      <c r="X1100" s="145" t="inlineStr">
        <is>
          <t>Detailed format sample from top 5 used rows</t>
        </is>
      </c>
    </row>
    <row r="1101" ht="23.85" customHeight="1" s="79">
      <c r="A1101" s="145" t="inlineStr">
        <is>
          <t>GRC_DATA</t>
        </is>
      </c>
      <c r="B1101" s="145" t="inlineStr">
        <is>
          <t>Column Format</t>
        </is>
      </c>
      <c r="C1101" s="145" t="inlineStr">
        <is>
          <t>AH:AH</t>
        </is>
      </c>
      <c r="D1101" s="145" t="inlineStr">
        <is>
          <t>GRC_DATA!A1:AH3310</t>
        </is>
      </c>
      <c r="E1101" s="145" t="inlineStr">
        <is>
          <t>Normal</t>
        </is>
      </c>
      <c r="F1101" s="145" t="inlineStr">
        <is>
          <t>Mixed</t>
        </is>
      </c>
      <c r="G1101" s="145" t="inlineStr">
        <is>
          <t>Aptos</t>
        </is>
      </c>
      <c r="H1101" s="145" t="n">
        <v>8</v>
      </c>
      <c r="I1101" s="145" t="inlineStr">
        <is>
          <t>Mixed</t>
        </is>
      </c>
      <c r="J1101" s="145" t="inlineStr">
        <is>
          <t>No</t>
        </is>
      </c>
      <c r="K1101" s="145" t="inlineStr">
        <is>
          <t>None</t>
        </is>
      </c>
      <c r="L1101" s="145" t="inlineStr">
        <is>
          <t>Mixed</t>
        </is>
      </c>
      <c r="M1101" s="145" t="inlineStr">
        <is>
          <t>Mixed</t>
        </is>
      </c>
      <c r="N1101" s="145" t="inlineStr">
        <is>
          <t>Center</t>
        </is>
      </c>
      <c r="O1101" s="145" t="inlineStr">
        <is>
          <t>No</t>
        </is>
      </c>
      <c r="P1101" s="145" t="n"/>
      <c r="Q1101" s="145" t="n"/>
      <c r="R1101" s="145" t="inlineStr">
        <is>
          <t>EdgeBottom:Continuous/Thin/#E7E6E6; EdgeRight:Continuous/Thin/#E7E6E6</t>
        </is>
      </c>
      <c r="S1101" s="145" t="n">
        <v>51.044776119403</v>
      </c>
      <c r="T1101" s="145" t="n"/>
      <c r="U1101" s="145" t="inlineStr">
        <is>
          <t>No</t>
        </is>
      </c>
      <c r="V1101" s="145" t="inlineStr">
        <is>
          <t>Visible</t>
        </is>
      </c>
      <c r="W1101" s="145" t="n"/>
      <c r="X1101" s="145" t="inlineStr">
        <is>
          <t>Mixed styles within used column</t>
        </is>
      </c>
    </row>
    <row r="1102" ht="23.85" customHeight="1" s="79">
      <c r="A1102" s="145" t="inlineStr">
        <is>
          <t>GRC_DATA</t>
        </is>
      </c>
      <c r="B1102" s="145" t="inlineStr">
        <is>
          <t>Top-Row Cell Format</t>
        </is>
      </c>
      <c r="C1102" s="145" t="inlineStr">
        <is>
          <t>AH1</t>
        </is>
      </c>
      <c r="D1102" s="145" t="inlineStr">
        <is>
          <t>GRC_DATA!A1:AH3310</t>
        </is>
      </c>
      <c r="E1102" s="145" t="inlineStr">
        <is>
          <t>Normal</t>
        </is>
      </c>
      <c r="F1102" s="145" t="inlineStr">
        <is>
          <t>#ED7D31</t>
        </is>
      </c>
      <c r="G1102" s="145" t="inlineStr">
        <is>
          <t>Aptos</t>
        </is>
      </c>
      <c r="H1102" s="145" t="n">
        <v>8</v>
      </c>
      <c r="I1102" s="145" t="inlineStr">
        <is>
          <t>Yes</t>
        </is>
      </c>
      <c r="J1102" s="145" t="inlineStr">
        <is>
          <t>No</t>
        </is>
      </c>
      <c r="K1102" s="145" t="inlineStr">
        <is>
          <t>None</t>
        </is>
      </c>
      <c r="L1102" s="145" t="inlineStr">
        <is>
          <t>#FFFFFF</t>
        </is>
      </c>
      <c r="M1102" s="145" t="inlineStr">
        <is>
          <t>General</t>
        </is>
      </c>
      <c r="N1102" s="145" t="inlineStr">
        <is>
          <t>Center</t>
        </is>
      </c>
      <c r="O1102" s="145" t="inlineStr">
        <is>
          <t>No</t>
        </is>
      </c>
      <c r="P1102" s="145" t="inlineStr">
        <is>
          <t>General</t>
        </is>
      </c>
      <c r="Q1102" s="145" t="inlineStr">
        <is>
          <t>General</t>
        </is>
      </c>
      <c r="R1102" s="145" t="n"/>
      <c r="S1102" s="145" t="n"/>
      <c r="T1102" s="145" t="n"/>
      <c r="U1102" s="145" t="n"/>
      <c r="V1102" s="145" t="n"/>
      <c r="W1102" s="145" t="n"/>
      <c r="X1102" s="145" t="inlineStr">
        <is>
          <t>Detailed format sample from top 5 used rows</t>
        </is>
      </c>
    </row>
    <row r="1103" ht="23.85" customHeight="1" s="79">
      <c r="A1103" s="145" t="inlineStr">
        <is>
          <t>GRC_DATA</t>
        </is>
      </c>
      <c r="B1103" s="145" t="inlineStr">
        <is>
          <t>Top-Row Cell Format</t>
        </is>
      </c>
      <c r="C1103" s="145" t="inlineStr">
        <is>
          <t>AH2</t>
        </is>
      </c>
      <c r="D1103" s="145" t="inlineStr">
        <is>
          <t>GRC_DATA!A1:AH3310</t>
        </is>
      </c>
      <c r="E1103" s="145" t="inlineStr">
        <is>
          <t>Normal</t>
        </is>
      </c>
      <c r="F1103" s="145" t="n"/>
      <c r="G1103" s="145" t="inlineStr">
        <is>
          <t>Aptos</t>
        </is>
      </c>
      <c r="H1103" s="145" t="n">
        <v>8</v>
      </c>
      <c r="I1103" s="145" t="inlineStr">
        <is>
          <t>No</t>
        </is>
      </c>
      <c r="J1103" s="145" t="inlineStr">
        <is>
          <t>No</t>
        </is>
      </c>
      <c r="K1103" s="145" t="inlineStr">
        <is>
          <t>None</t>
        </is>
      </c>
      <c r="L1103" s="145" t="inlineStr">
        <is>
          <t>#000000</t>
        </is>
      </c>
      <c r="M1103" s="145" t="inlineStr">
        <is>
          <t>Center</t>
        </is>
      </c>
      <c r="N1103" s="145" t="inlineStr">
        <is>
          <t>Center</t>
        </is>
      </c>
      <c r="O1103" s="145" t="inlineStr">
        <is>
          <t>No</t>
        </is>
      </c>
      <c r="P1103" s="145" t="inlineStr">
        <is>
          <t>mmm-yy</t>
        </is>
      </c>
      <c r="Q1103" s="145" t="inlineStr">
        <is>
          <t>Date / Time</t>
        </is>
      </c>
      <c r="R1103" s="145" t="n"/>
      <c r="S1103" s="145" t="n"/>
      <c r="T1103" s="145" t="n"/>
      <c r="U1103" s="145" t="n"/>
      <c r="V1103" s="145" t="n"/>
      <c r="W1103" s="145" t="n"/>
      <c r="X1103" s="145" t="inlineStr">
        <is>
          <t>Detailed format sample from top 5 used rows</t>
        </is>
      </c>
    </row>
    <row r="1104" ht="23.85" customHeight="1" s="79">
      <c r="A1104" s="145" t="inlineStr">
        <is>
          <t>GRC_DATA</t>
        </is>
      </c>
      <c r="B1104" s="145" t="inlineStr">
        <is>
          <t>Top-Row Cell Format</t>
        </is>
      </c>
      <c r="C1104" s="145" t="inlineStr">
        <is>
          <t>AH3</t>
        </is>
      </c>
      <c r="D1104" s="145" t="inlineStr">
        <is>
          <t>GRC_DATA!A1:AH3310</t>
        </is>
      </c>
      <c r="E1104" s="145" t="inlineStr">
        <is>
          <t>Normal</t>
        </is>
      </c>
      <c r="F1104" s="145" t="n"/>
      <c r="G1104" s="145" t="inlineStr">
        <is>
          <t>Aptos</t>
        </is>
      </c>
      <c r="H1104" s="145" t="n">
        <v>8</v>
      </c>
      <c r="I1104" s="145" t="inlineStr">
        <is>
          <t>No</t>
        </is>
      </c>
      <c r="J1104" s="145" t="inlineStr">
        <is>
          <t>No</t>
        </is>
      </c>
      <c r="K1104" s="145" t="inlineStr">
        <is>
          <t>None</t>
        </is>
      </c>
      <c r="L1104" s="145" t="inlineStr">
        <is>
          <t>#000000</t>
        </is>
      </c>
      <c r="M1104" s="145" t="inlineStr">
        <is>
          <t>Center</t>
        </is>
      </c>
      <c r="N1104" s="145" t="inlineStr">
        <is>
          <t>Center</t>
        </is>
      </c>
      <c r="O1104" s="145" t="inlineStr">
        <is>
          <t>No</t>
        </is>
      </c>
      <c r="P1104" s="145" t="inlineStr">
        <is>
          <t>mmm-yy</t>
        </is>
      </c>
      <c r="Q1104" s="145" t="inlineStr">
        <is>
          <t>Date / Time</t>
        </is>
      </c>
      <c r="R1104" s="145" t="n"/>
      <c r="S1104" s="145" t="n"/>
      <c r="T1104" s="145" t="n"/>
      <c r="U1104" s="145" t="n"/>
      <c r="V1104" s="145" t="n"/>
      <c r="W1104" s="145" t="n"/>
      <c r="X1104" s="145" t="inlineStr">
        <is>
          <t>Detailed format sample from top 5 used rows</t>
        </is>
      </c>
    </row>
    <row r="1105" ht="23.85" customHeight="1" s="79">
      <c r="A1105" s="145" t="inlineStr">
        <is>
          <t>GRC_DATA</t>
        </is>
      </c>
      <c r="B1105" s="145" t="inlineStr">
        <is>
          <t>Top-Row Cell Format</t>
        </is>
      </c>
      <c r="C1105" s="145" t="inlineStr">
        <is>
          <t>AH4</t>
        </is>
      </c>
      <c r="D1105" s="145" t="inlineStr">
        <is>
          <t>GRC_DATA!A1:AH3310</t>
        </is>
      </c>
      <c r="E1105" s="145" t="inlineStr">
        <is>
          <t>Normal</t>
        </is>
      </c>
      <c r="F1105" s="145" t="n"/>
      <c r="G1105" s="145" t="inlineStr">
        <is>
          <t>Aptos</t>
        </is>
      </c>
      <c r="H1105" s="145" t="n">
        <v>8</v>
      </c>
      <c r="I1105" s="145" t="inlineStr">
        <is>
          <t>No</t>
        </is>
      </c>
      <c r="J1105" s="145" t="inlineStr">
        <is>
          <t>No</t>
        </is>
      </c>
      <c r="K1105" s="145" t="inlineStr">
        <is>
          <t>None</t>
        </is>
      </c>
      <c r="L1105" s="145" t="inlineStr">
        <is>
          <t>#000000</t>
        </is>
      </c>
      <c r="M1105" s="145" t="inlineStr">
        <is>
          <t>Center</t>
        </is>
      </c>
      <c r="N1105" s="145" t="inlineStr">
        <is>
          <t>Center</t>
        </is>
      </c>
      <c r="O1105" s="145" t="inlineStr">
        <is>
          <t>No</t>
        </is>
      </c>
      <c r="P1105" s="145" t="inlineStr">
        <is>
          <t>mmm-yy</t>
        </is>
      </c>
      <c r="Q1105" s="145" t="inlineStr">
        <is>
          <t>Date / Time</t>
        </is>
      </c>
      <c r="R1105" s="145" t="n"/>
      <c r="S1105" s="145" t="n"/>
      <c r="T1105" s="145" t="n"/>
      <c r="U1105" s="145" t="n"/>
      <c r="V1105" s="145" t="n"/>
      <c r="W1105" s="145" t="n"/>
      <c r="X1105" s="145" t="inlineStr">
        <is>
          <t>Detailed format sample from top 5 used rows</t>
        </is>
      </c>
    </row>
    <row r="1106" ht="23.85" customHeight="1" s="79">
      <c r="A1106" s="145" t="inlineStr">
        <is>
          <t>GRC_DATA</t>
        </is>
      </c>
      <c r="B1106" s="145" t="inlineStr">
        <is>
          <t>Top-Row Cell Format</t>
        </is>
      </c>
      <c r="C1106" s="145" t="inlineStr">
        <is>
          <t>AH5</t>
        </is>
      </c>
      <c r="D1106" s="145" t="inlineStr">
        <is>
          <t>GRC_DATA!A1:AH3310</t>
        </is>
      </c>
      <c r="E1106" s="145" t="inlineStr">
        <is>
          <t>Normal</t>
        </is>
      </c>
      <c r="F1106" s="145" t="n"/>
      <c r="G1106" s="145" t="inlineStr">
        <is>
          <t>Aptos</t>
        </is>
      </c>
      <c r="H1106" s="145" t="n">
        <v>8</v>
      </c>
      <c r="I1106" s="145" t="inlineStr">
        <is>
          <t>No</t>
        </is>
      </c>
      <c r="J1106" s="145" t="inlineStr">
        <is>
          <t>No</t>
        </is>
      </c>
      <c r="K1106" s="145" t="inlineStr">
        <is>
          <t>None</t>
        </is>
      </c>
      <c r="L1106" s="145" t="inlineStr">
        <is>
          <t>#000000</t>
        </is>
      </c>
      <c r="M1106" s="145" t="inlineStr">
        <is>
          <t>Center</t>
        </is>
      </c>
      <c r="N1106" s="145" t="inlineStr">
        <is>
          <t>Center</t>
        </is>
      </c>
      <c r="O1106" s="145" t="inlineStr">
        <is>
          <t>No</t>
        </is>
      </c>
      <c r="P1106" s="145" t="inlineStr">
        <is>
          <t>mmm-yy</t>
        </is>
      </c>
      <c r="Q1106" s="145" t="inlineStr">
        <is>
          <t>Date / Time</t>
        </is>
      </c>
      <c r="R1106" s="145" t="n"/>
      <c r="S1106" s="145" t="n"/>
      <c r="T1106" s="145" t="n"/>
      <c r="U1106" s="145" t="n"/>
      <c r="V1106" s="145" t="n"/>
      <c r="W1106" s="145" t="n"/>
      <c r="X1106" s="145" t="inlineStr">
        <is>
          <t>Detailed format sample from top 5 used rows</t>
        </is>
      </c>
    </row>
    <row r="1107" ht="23.85" customHeight="1" s="79">
      <c r="A1107" s="145" t="inlineStr">
        <is>
          <t>PPO_DATA</t>
        </is>
      </c>
      <c r="B1107" s="145" t="inlineStr">
        <is>
          <t>Sheet Summary</t>
        </is>
      </c>
      <c r="C1107" s="145" t="inlineStr">
        <is>
          <t>PPO_DATA</t>
        </is>
      </c>
      <c r="D1107" s="145" t="inlineStr">
        <is>
          <t>PPO_DATA!A1:AM3957</t>
        </is>
      </c>
      <c r="E1107" s="145" t="n"/>
      <c r="F1107" s="145" t="n"/>
      <c r="G1107" s="145" t="n"/>
      <c r="H1107" s="145" t="n"/>
      <c r="I1107" s="145" t="n"/>
      <c r="J1107" s="145" t="n"/>
      <c r="K1107" s="145" t="n"/>
      <c r="L1107" s="145" t="n"/>
      <c r="M1107" s="145" t="n"/>
      <c r="N1107" s="145" t="n"/>
      <c r="O1107" s="145" t="n"/>
      <c r="P1107" s="145" t="n"/>
      <c r="Q1107" s="145" t="n"/>
      <c r="R1107" s="145" t="n"/>
      <c r="S1107" s="145" t="n"/>
      <c r="T1107" s="145" t="n"/>
      <c r="U1107" s="145" t="inlineStr">
        <is>
          <t>No</t>
        </is>
      </c>
      <c r="V1107" s="145" t="inlineStr">
        <is>
          <t>Visible</t>
        </is>
      </c>
      <c r="W1107" s="145" t="inlineStr">
        <is>
          <t>No worksheet AutoFilter</t>
        </is>
      </c>
      <c r="X1107" s="145" t="inlineStr">
        <is>
          <t>Used rows: 3957; used columns: 39</t>
        </is>
      </c>
    </row>
    <row r="1108" ht="23.85" customHeight="1" s="79">
      <c r="A1108" s="145" t="inlineStr">
        <is>
          <t>PPO_DATA</t>
        </is>
      </c>
      <c r="B1108" s="145" t="inlineStr">
        <is>
          <t>Column Format</t>
        </is>
      </c>
      <c r="C1108" s="145" t="inlineStr">
        <is>
          <t>A:A</t>
        </is>
      </c>
      <c r="D1108" s="145" t="inlineStr">
        <is>
          <t>PPO_DATA!A1:AM3957</t>
        </is>
      </c>
      <c r="E1108" s="145" t="inlineStr">
        <is>
          <t>Normal</t>
        </is>
      </c>
      <c r="F1108" s="145" t="inlineStr">
        <is>
          <t>Mixed</t>
        </is>
      </c>
      <c r="G1108" s="145" t="inlineStr">
        <is>
          <t>Aptos</t>
        </is>
      </c>
      <c r="H1108" s="145" t="n">
        <v>8</v>
      </c>
      <c r="I1108" s="145" t="inlineStr">
        <is>
          <t>Mixed</t>
        </is>
      </c>
      <c r="J1108" s="145" t="inlineStr">
        <is>
          <t>No</t>
        </is>
      </c>
      <c r="K1108" s="145" t="inlineStr">
        <is>
          <t>None</t>
        </is>
      </c>
      <c r="L1108" s="145" t="inlineStr">
        <is>
          <t>Mixed</t>
        </is>
      </c>
      <c r="M1108" s="145" t="inlineStr">
        <is>
          <t>General</t>
        </is>
      </c>
      <c r="N1108" s="145" t="inlineStr">
        <is>
          <t>Center</t>
        </is>
      </c>
      <c r="O1108" s="145" t="inlineStr">
        <is>
          <t>No</t>
        </is>
      </c>
      <c r="P1108" s="145" t="n"/>
      <c r="Q1108" s="145" t="n"/>
      <c r="R1108" s="145" t="n"/>
      <c r="S1108" s="145" t="n">
        <v>38.6865671641791</v>
      </c>
      <c r="T1108" s="145" t="n"/>
      <c r="U1108" s="145" t="inlineStr">
        <is>
          <t>No</t>
        </is>
      </c>
      <c r="V1108" s="145" t="inlineStr">
        <is>
          <t>Visible</t>
        </is>
      </c>
      <c r="W1108" s="145" t="n"/>
      <c r="X1108" s="145" t="inlineStr">
        <is>
          <t>Mixed styles within used column</t>
        </is>
      </c>
    </row>
    <row r="1109" ht="23.85" customHeight="1" s="79">
      <c r="A1109" s="145" t="inlineStr">
        <is>
          <t>PPO_DATA</t>
        </is>
      </c>
      <c r="B1109" s="145" t="inlineStr">
        <is>
          <t>Top-Row Cell Format</t>
        </is>
      </c>
      <c r="C1109" s="145" t="inlineStr">
        <is>
          <t>A1</t>
        </is>
      </c>
      <c r="D1109" s="145" t="inlineStr">
        <is>
          <t>PPO_DATA!A1:AM3957</t>
        </is>
      </c>
      <c r="E1109" s="145" t="inlineStr">
        <is>
          <t>Normal</t>
        </is>
      </c>
      <c r="F1109" s="145" t="inlineStr">
        <is>
          <t>#2F75B5</t>
        </is>
      </c>
      <c r="G1109" s="145" t="inlineStr">
        <is>
          <t>Aptos</t>
        </is>
      </c>
      <c r="H1109" s="145" t="n">
        <v>8</v>
      </c>
      <c r="I1109" s="145" t="inlineStr">
        <is>
          <t>Yes</t>
        </is>
      </c>
      <c r="J1109" s="145" t="inlineStr">
        <is>
          <t>No</t>
        </is>
      </c>
      <c r="K1109" s="145" t="inlineStr">
        <is>
          <t>None</t>
        </is>
      </c>
      <c r="L1109" s="145" t="inlineStr">
        <is>
          <t>#FFFF00</t>
        </is>
      </c>
      <c r="M1109" s="145" t="inlineStr">
        <is>
          <t>General</t>
        </is>
      </c>
      <c r="N1109" s="145" t="inlineStr">
        <is>
          <t>Center</t>
        </is>
      </c>
      <c r="O1109" s="145" t="inlineStr">
        <is>
          <t>No</t>
        </is>
      </c>
      <c r="P1109" s="145" t="inlineStr">
        <is>
          <t>General</t>
        </is>
      </c>
      <c r="Q1109" s="145" t="inlineStr">
        <is>
          <t>General</t>
        </is>
      </c>
      <c r="R1109" s="145" t="n"/>
      <c r="S1109" s="145" t="n"/>
      <c r="T1109" s="145" t="n"/>
      <c r="U1109" s="145" t="n"/>
      <c r="V1109" s="145" t="n"/>
      <c r="W1109" s="145" t="n"/>
      <c r="X1109" s="145" t="inlineStr">
        <is>
          <t>Detailed format sample from top five used rows</t>
        </is>
      </c>
    </row>
    <row r="1110" ht="23.85" customHeight="1" s="79">
      <c r="A1110" s="145" t="inlineStr">
        <is>
          <t>PPO_DATA</t>
        </is>
      </c>
      <c r="B1110" s="145" t="inlineStr">
        <is>
          <t>Top-Row Cell Format</t>
        </is>
      </c>
      <c r="C1110" s="145" t="inlineStr">
        <is>
          <t>A2</t>
        </is>
      </c>
      <c r="D1110" s="145" t="inlineStr">
        <is>
          <t>PPO_DATA!A1:AM3957</t>
        </is>
      </c>
      <c r="E1110" s="145" t="inlineStr">
        <is>
          <t>Normal</t>
        </is>
      </c>
      <c r="F1110" s="145" t="n"/>
      <c r="G1110" s="145" t="inlineStr">
        <is>
          <t>Aptos</t>
        </is>
      </c>
      <c r="H1110" s="145" t="n">
        <v>8</v>
      </c>
      <c r="I1110" s="145" t="inlineStr">
        <is>
          <t>No</t>
        </is>
      </c>
      <c r="J1110" s="145" t="inlineStr">
        <is>
          <t>No</t>
        </is>
      </c>
      <c r="K1110" s="145" t="inlineStr">
        <is>
          <t>None</t>
        </is>
      </c>
      <c r="L1110" s="145" t="inlineStr">
        <is>
          <t>#000000</t>
        </is>
      </c>
      <c r="M1110" s="145" t="inlineStr">
        <is>
          <t>General</t>
        </is>
      </c>
      <c r="N1110" s="145" t="inlineStr">
        <is>
          <t>Center</t>
        </is>
      </c>
      <c r="O1110" s="145" t="inlineStr">
        <is>
          <t>No</t>
        </is>
      </c>
      <c r="P1110" s="145" t="inlineStr">
        <is>
          <t>General</t>
        </is>
      </c>
      <c r="Q1110" s="145" t="inlineStr">
        <is>
          <t>General</t>
        </is>
      </c>
      <c r="R1110" s="145" t="n"/>
      <c r="S1110" s="145" t="n"/>
      <c r="T1110" s="145" t="n"/>
      <c r="U1110" s="145" t="n"/>
      <c r="V1110" s="145" t="n"/>
      <c r="W1110" s="145" t="n"/>
      <c r="X1110" s="145" t="inlineStr">
        <is>
          <t>Detailed format sample from top five used rows</t>
        </is>
      </c>
    </row>
    <row r="1111" ht="23.85" customHeight="1" s="79">
      <c r="A1111" s="145" t="inlineStr">
        <is>
          <t>PPO_DATA</t>
        </is>
      </c>
      <c r="B1111" s="145" t="inlineStr">
        <is>
          <t>Top-Row Cell Format</t>
        </is>
      </c>
      <c r="C1111" s="145" t="inlineStr">
        <is>
          <t>A3</t>
        </is>
      </c>
      <c r="D1111" s="145" t="inlineStr">
        <is>
          <t>PPO_DATA!A1:AM3957</t>
        </is>
      </c>
      <c r="E1111" s="145" t="inlineStr">
        <is>
          <t>Normal</t>
        </is>
      </c>
      <c r="F1111" s="145" t="n"/>
      <c r="G1111" s="145" t="inlineStr">
        <is>
          <t>Aptos</t>
        </is>
      </c>
      <c r="H1111" s="145" t="n">
        <v>8</v>
      </c>
      <c r="I1111" s="145" t="inlineStr">
        <is>
          <t>No</t>
        </is>
      </c>
      <c r="J1111" s="145" t="inlineStr">
        <is>
          <t>No</t>
        </is>
      </c>
      <c r="K1111" s="145" t="inlineStr">
        <is>
          <t>None</t>
        </is>
      </c>
      <c r="L1111" s="145" t="inlineStr">
        <is>
          <t>#000000</t>
        </is>
      </c>
      <c r="M1111" s="145" t="inlineStr">
        <is>
          <t>General</t>
        </is>
      </c>
      <c r="N1111" s="145" t="inlineStr">
        <is>
          <t>Center</t>
        </is>
      </c>
      <c r="O1111" s="145" t="inlineStr">
        <is>
          <t>No</t>
        </is>
      </c>
      <c r="P1111" s="145" t="inlineStr">
        <is>
          <t>General</t>
        </is>
      </c>
      <c r="Q1111" s="145" t="inlineStr">
        <is>
          <t>General</t>
        </is>
      </c>
      <c r="R1111" s="145" t="n"/>
      <c r="S1111" s="145" t="n"/>
      <c r="T1111" s="145" t="n"/>
      <c r="U1111" s="145" t="n"/>
      <c r="V1111" s="145" t="n"/>
      <c r="W1111" s="145" t="n"/>
      <c r="X1111" s="145" t="inlineStr">
        <is>
          <t>Detailed format sample from top five used rows</t>
        </is>
      </c>
    </row>
    <row r="1112" ht="23.85" customHeight="1" s="79">
      <c r="A1112" s="145" t="inlineStr">
        <is>
          <t>PPO_DATA</t>
        </is>
      </c>
      <c r="B1112" s="145" t="inlineStr">
        <is>
          <t>Top-Row Cell Format</t>
        </is>
      </c>
      <c r="C1112" s="145" t="inlineStr">
        <is>
          <t>A4</t>
        </is>
      </c>
      <c r="D1112" s="145" t="inlineStr">
        <is>
          <t>PPO_DATA!A1:AM3957</t>
        </is>
      </c>
      <c r="E1112" s="145" t="inlineStr">
        <is>
          <t>Normal</t>
        </is>
      </c>
      <c r="F1112" s="145" t="n"/>
      <c r="G1112" s="145" t="inlineStr">
        <is>
          <t>Aptos</t>
        </is>
      </c>
      <c r="H1112" s="145" t="n">
        <v>8</v>
      </c>
      <c r="I1112" s="145" t="inlineStr">
        <is>
          <t>No</t>
        </is>
      </c>
      <c r="J1112" s="145" t="inlineStr">
        <is>
          <t>No</t>
        </is>
      </c>
      <c r="K1112" s="145" t="inlineStr">
        <is>
          <t>None</t>
        </is>
      </c>
      <c r="L1112" s="145" t="inlineStr">
        <is>
          <t>#000000</t>
        </is>
      </c>
      <c r="M1112" s="145" t="inlineStr">
        <is>
          <t>General</t>
        </is>
      </c>
      <c r="N1112" s="145" t="inlineStr">
        <is>
          <t>Center</t>
        </is>
      </c>
      <c r="O1112" s="145" t="inlineStr">
        <is>
          <t>No</t>
        </is>
      </c>
      <c r="P1112" s="145" t="inlineStr">
        <is>
          <t>General</t>
        </is>
      </c>
      <c r="Q1112" s="145" t="inlineStr">
        <is>
          <t>General</t>
        </is>
      </c>
      <c r="R1112" s="145" t="n"/>
      <c r="S1112" s="145" t="n"/>
      <c r="T1112" s="145" t="n"/>
      <c r="U1112" s="145" t="n"/>
      <c r="V1112" s="145" t="n"/>
      <c r="W1112" s="145" t="n"/>
      <c r="X1112" s="145" t="inlineStr">
        <is>
          <t>Detailed format sample from top five used rows</t>
        </is>
      </c>
    </row>
    <row r="1113" ht="23.85" customHeight="1" s="79">
      <c r="A1113" s="145" t="inlineStr">
        <is>
          <t>PPO_DATA</t>
        </is>
      </c>
      <c r="B1113" s="145" t="inlineStr">
        <is>
          <t>Top-Row Cell Format</t>
        </is>
      </c>
      <c r="C1113" s="145" t="inlineStr">
        <is>
          <t>A5</t>
        </is>
      </c>
      <c r="D1113" s="145" t="inlineStr">
        <is>
          <t>PPO_DATA!A1:AM3957</t>
        </is>
      </c>
      <c r="E1113" s="145" t="inlineStr">
        <is>
          <t>Normal</t>
        </is>
      </c>
      <c r="F1113" s="145" t="n"/>
      <c r="G1113" s="145" t="inlineStr">
        <is>
          <t>Aptos</t>
        </is>
      </c>
      <c r="H1113" s="145" t="n">
        <v>8</v>
      </c>
      <c r="I1113" s="145" t="inlineStr">
        <is>
          <t>No</t>
        </is>
      </c>
      <c r="J1113" s="145" t="inlineStr">
        <is>
          <t>No</t>
        </is>
      </c>
      <c r="K1113" s="145" t="inlineStr">
        <is>
          <t>None</t>
        </is>
      </c>
      <c r="L1113" s="145" t="inlineStr">
        <is>
          <t>#000000</t>
        </is>
      </c>
      <c r="M1113" s="145" t="inlineStr">
        <is>
          <t>General</t>
        </is>
      </c>
      <c r="N1113" s="145" t="inlineStr">
        <is>
          <t>Center</t>
        </is>
      </c>
      <c r="O1113" s="145" t="inlineStr">
        <is>
          <t>No</t>
        </is>
      </c>
      <c r="P1113" s="145" t="inlineStr">
        <is>
          <t>General</t>
        </is>
      </c>
      <c r="Q1113" s="145" t="inlineStr">
        <is>
          <t>General</t>
        </is>
      </c>
      <c r="R1113" s="145" t="n"/>
      <c r="S1113" s="145" t="n"/>
      <c r="T1113" s="145" t="n"/>
      <c r="U1113" s="145" t="n"/>
      <c r="V1113" s="145" t="n"/>
      <c r="W1113" s="145" t="n"/>
      <c r="X1113" s="145" t="inlineStr">
        <is>
          <t>Detailed format sample from top five used rows</t>
        </is>
      </c>
    </row>
    <row r="1114" ht="23.85" customHeight="1" s="79">
      <c r="A1114" s="145" t="inlineStr">
        <is>
          <t>PPO_DATA</t>
        </is>
      </c>
      <c r="B1114" s="145" t="inlineStr">
        <is>
          <t>Column Format</t>
        </is>
      </c>
      <c r="C1114" s="145" t="inlineStr">
        <is>
          <t>B:B</t>
        </is>
      </c>
      <c r="D1114" s="145" t="inlineStr">
        <is>
          <t>PPO_DATA!A1:AM3957</t>
        </is>
      </c>
      <c r="E1114" s="145" t="inlineStr">
        <is>
          <t>Normal</t>
        </is>
      </c>
      <c r="F1114" s="145" t="inlineStr">
        <is>
          <t>Mixed</t>
        </is>
      </c>
      <c r="G1114" s="145" t="inlineStr">
        <is>
          <t>Aptos</t>
        </is>
      </c>
      <c r="H1114" s="145" t="n">
        <v>8</v>
      </c>
      <c r="I1114" s="145" t="inlineStr">
        <is>
          <t>Mixed</t>
        </is>
      </c>
      <c r="J1114" s="145" t="inlineStr">
        <is>
          <t>No</t>
        </is>
      </c>
      <c r="K1114" s="145" t="inlineStr">
        <is>
          <t>None</t>
        </is>
      </c>
      <c r="L1114" s="145" t="inlineStr">
        <is>
          <t>Mixed</t>
        </is>
      </c>
      <c r="M1114" s="145" t="inlineStr">
        <is>
          <t>General</t>
        </is>
      </c>
      <c r="N1114" s="145" t="inlineStr">
        <is>
          <t>Center</t>
        </is>
      </c>
      <c r="O1114" s="145" t="inlineStr">
        <is>
          <t>No</t>
        </is>
      </c>
      <c r="P1114" s="145" t="n"/>
      <c r="Q1114" s="145" t="n"/>
      <c r="R1114" s="145" t="n"/>
      <c r="S1114" s="145" t="n">
        <v>25.2537313432836</v>
      </c>
      <c r="T1114" s="145" t="n"/>
      <c r="U1114" s="145" t="inlineStr">
        <is>
          <t>No</t>
        </is>
      </c>
      <c r="V1114" s="145" t="inlineStr">
        <is>
          <t>Visible</t>
        </is>
      </c>
      <c r="W1114" s="145" t="n"/>
      <c r="X1114" s="145" t="inlineStr">
        <is>
          <t>Mixed styles within used column</t>
        </is>
      </c>
    </row>
    <row r="1115" ht="23.85" customHeight="1" s="79">
      <c r="A1115" s="145" t="inlineStr">
        <is>
          <t>PPO_DATA</t>
        </is>
      </c>
      <c r="B1115" s="145" t="inlineStr">
        <is>
          <t>Top-Row Cell Format</t>
        </is>
      </c>
      <c r="C1115" s="145" t="inlineStr">
        <is>
          <t>B1</t>
        </is>
      </c>
      <c r="D1115" s="145" t="inlineStr">
        <is>
          <t>PPO_DATA!A1:AM3957</t>
        </is>
      </c>
      <c r="E1115" s="145" t="inlineStr">
        <is>
          <t>Normal</t>
        </is>
      </c>
      <c r="F1115" s="145" t="inlineStr">
        <is>
          <t>#2F75B5</t>
        </is>
      </c>
      <c r="G1115" s="145" t="inlineStr">
        <is>
          <t>Aptos</t>
        </is>
      </c>
      <c r="H1115" s="145" t="n">
        <v>8</v>
      </c>
      <c r="I1115" s="145" t="inlineStr">
        <is>
          <t>Yes</t>
        </is>
      </c>
      <c r="J1115" s="145" t="inlineStr">
        <is>
          <t>No</t>
        </is>
      </c>
      <c r="K1115" s="145" t="inlineStr">
        <is>
          <t>None</t>
        </is>
      </c>
      <c r="L1115" s="145" t="inlineStr">
        <is>
          <t>#FFFF00</t>
        </is>
      </c>
      <c r="M1115" s="145" t="inlineStr">
        <is>
          <t>General</t>
        </is>
      </c>
      <c r="N1115" s="145" t="inlineStr">
        <is>
          <t>Center</t>
        </is>
      </c>
      <c r="O1115" s="145" t="inlineStr">
        <is>
          <t>No</t>
        </is>
      </c>
      <c r="P1115" s="145" t="inlineStr">
        <is>
          <t>General</t>
        </is>
      </c>
      <c r="Q1115" s="145" t="inlineStr">
        <is>
          <t>General</t>
        </is>
      </c>
      <c r="R1115" s="145" t="n"/>
      <c r="S1115" s="145" t="n"/>
      <c r="T1115" s="145" t="n"/>
      <c r="U1115" s="145" t="n"/>
      <c r="V1115" s="145" t="n"/>
      <c r="W1115" s="145" t="n"/>
      <c r="X1115" s="145" t="inlineStr">
        <is>
          <t>Detailed format sample from top five used rows</t>
        </is>
      </c>
    </row>
    <row r="1116" ht="23.85" customHeight="1" s="79">
      <c r="A1116" s="145" t="inlineStr">
        <is>
          <t>PPO_DATA</t>
        </is>
      </c>
      <c r="B1116" s="145" t="inlineStr">
        <is>
          <t>Top-Row Cell Format</t>
        </is>
      </c>
      <c r="C1116" s="145" t="inlineStr">
        <is>
          <t>B2</t>
        </is>
      </c>
      <c r="D1116" s="145" t="inlineStr">
        <is>
          <t>PPO_DATA!A1:AM3957</t>
        </is>
      </c>
      <c r="E1116" s="145" t="inlineStr">
        <is>
          <t>Normal</t>
        </is>
      </c>
      <c r="F1116" s="145" t="n"/>
      <c r="G1116" s="145" t="inlineStr">
        <is>
          <t>Aptos</t>
        </is>
      </c>
      <c r="H1116" s="145" t="n">
        <v>8</v>
      </c>
      <c r="I1116" s="145" t="inlineStr">
        <is>
          <t>No</t>
        </is>
      </c>
      <c r="J1116" s="145" t="inlineStr">
        <is>
          <t>No</t>
        </is>
      </c>
      <c r="K1116" s="145" t="inlineStr">
        <is>
          <t>None</t>
        </is>
      </c>
      <c r="L1116" s="145" t="inlineStr">
        <is>
          <t>#000000</t>
        </is>
      </c>
      <c r="M1116" s="145" t="inlineStr">
        <is>
          <t>General</t>
        </is>
      </c>
      <c r="N1116" s="145" t="inlineStr">
        <is>
          <t>Center</t>
        </is>
      </c>
      <c r="O1116" s="145" t="inlineStr">
        <is>
          <t>No</t>
        </is>
      </c>
      <c r="P1116" s="145" t="inlineStr">
        <is>
          <t>General</t>
        </is>
      </c>
      <c r="Q1116" s="145" t="inlineStr">
        <is>
          <t>General</t>
        </is>
      </c>
      <c r="R1116" s="145" t="n"/>
      <c r="S1116" s="145" t="n"/>
      <c r="T1116" s="145" t="n"/>
      <c r="U1116" s="145" t="n"/>
      <c r="V1116" s="145" t="n"/>
      <c r="W1116" s="145" t="n"/>
      <c r="X1116" s="145" t="inlineStr">
        <is>
          <t>Detailed format sample from top five used rows</t>
        </is>
      </c>
    </row>
    <row r="1117" ht="23.85" customHeight="1" s="79">
      <c r="A1117" s="145" t="inlineStr">
        <is>
          <t>PPO_DATA</t>
        </is>
      </c>
      <c r="B1117" s="145" t="inlineStr">
        <is>
          <t>Top-Row Cell Format</t>
        </is>
      </c>
      <c r="C1117" s="145" t="inlineStr">
        <is>
          <t>B3</t>
        </is>
      </c>
      <c r="D1117" s="145" t="inlineStr">
        <is>
          <t>PPO_DATA!A1:AM3957</t>
        </is>
      </c>
      <c r="E1117" s="145" t="inlineStr">
        <is>
          <t>Normal</t>
        </is>
      </c>
      <c r="F1117" s="145" t="n"/>
      <c r="G1117" s="145" t="inlineStr">
        <is>
          <t>Aptos</t>
        </is>
      </c>
      <c r="H1117" s="145" t="n">
        <v>8</v>
      </c>
      <c r="I1117" s="145" t="inlineStr">
        <is>
          <t>No</t>
        </is>
      </c>
      <c r="J1117" s="145" t="inlineStr">
        <is>
          <t>No</t>
        </is>
      </c>
      <c r="K1117" s="145" t="inlineStr">
        <is>
          <t>None</t>
        </is>
      </c>
      <c r="L1117" s="145" t="inlineStr">
        <is>
          <t>#000000</t>
        </is>
      </c>
      <c r="M1117" s="145" t="inlineStr">
        <is>
          <t>General</t>
        </is>
      </c>
      <c r="N1117" s="145" t="inlineStr">
        <is>
          <t>Center</t>
        </is>
      </c>
      <c r="O1117" s="145" t="inlineStr">
        <is>
          <t>No</t>
        </is>
      </c>
      <c r="P1117" s="145" t="inlineStr">
        <is>
          <t>General</t>
        </is>
      </c>
      <c r="Q1117" s="145" t="inlineStr">
        <is>
          <t>General</t>
        </is>
      </c>
      <c r="R1117" s="145" t="n"/>
      <c r="S1117" s="145" t="n"/>
      <c r="T1117" s="145" t="n"/>
      <c r="U1117" s="145" t="n"/>
      <c r="V1117" s="145" t="n"/>
      <c r="W1117" s="145" t="n"/>
      <c r="X1117" s="145" t="inlineStr">
        <is>
          <t>Detailed format sample from top five used rows</t>
        </is>
      </c>
    </row>
    <row r="1118" ht="23.85" customHeight="1" s="79">
      <c r="A1118" s="145" t="inlineStr">
        <is>
          <t>PPO_DATA</t>
        </is>
      </c>
      <c r="B1118" s="145" t="inlineStr">
        <is>
          <t>Top-Row Cell Format</t>
        </is>
      </c>
      <c r="C1118" s="145" t="inlineStr">
        <is>
          <t>B4</t>
        </is>
      </c>
      <c r="D1118" s="145" t="inlineStr">
        <is>
          <t>PPO_DATA!A1:AM3957</t>
        </is>
      </c>
      <c r="E1118" s="145" t="inlineStr">
        <is>
          <t>Normal</t>
        </is>
      </c>
      <c r="F1118" s="145" t="n"/>
      <c r="G1118" s="145" t="inlineStr">
        <is>
          <t>Aptos</t>
        </is>
      </c>
      <c r="H1118" s="145" t="n">
        <v>8</v>
      </c>
      <c r="I1118" s="145" t="inlineStr">
        <is>
          <t>No</t>
        </is>
      </c>
      <c r="J1118" s="145" t="inlineStr">
        <is>
          <t>No</t>
        </is>
      </c>
      <c r="K1118" s="145" t="inlineStr">
        <is>
          <t>None</t>
        </is>
      </c>
      <c r="L1118" s="145" t="inlineStr">
        <is>
          <t>#000000</t>
        </is>
      </c>
      <c r="M1118" s="145" t="inlineStr">
        <is>
          <t>General</t>
        </is>
      </c>
      <c r="N1118" s="145" t="inlineStr">
        <is>
          <t>Center</t>
        </is>
      </c>
      <c r="O1118" s="145" t="inlineStr">
        <is>
          <t>No</t>
        </is>
      </c>
      <c r="P1118" s="145" t="inlineStr">
        <is>
          <t>General</t>
        </is>
      </c>
      <c r="Q1118" s="145" t="inlineStr">
        <is>
          <t>General</t>
        </is>
      </c>
      <c r="R1118" s="145" t="n"/>
      <c r="S1118" s="145" t="n"/>
      <c r="T1118" s="145" t="n"/>
      <c r="U1118" s="145" t="n"/>
      <c r="V1118" s="145" t="n"/>
      <c r="W1118" s="145" t="n"/>
      <c r="X1118" s="145" t="inlineStr">
        <is>
          <t>Detailed format sample from top five used rows</t>
        </is>
      </c>
    </row>
    <row r="1119" ht="23.85" customHeight="1" s="79">
      <c r="A1119" s="145" t="inlineStr">
        <is>
          <t>PPO_DATA</t>
        </is>
      </c>
      <c r="B1119" s="145" t="inlineStr">
        <is>
          <t>Top-Row Cell Format</t>
        </is>
      </c>
      <c r="C1119" s="145" t="inlineStr">
        <is>
          <t>B5</t>
        </is>
      </c>
      <c r="D1119" s="145" t="inlineStr">
        <is>
          <t>PPO_DATA!A1:AM3957</t>
        </is>
      </c>
      <c r="E1119" s="145" t="inlineStr">
        <is>
          <t>Normal</t>
        </is>
      </c>
      <c r="F1119" s="145" t="n"/>
      <c r="G1119" s="145" t="inlineStr">
        <is>
          <t>Aptos</t>
        </is>
      </c>
      <c r="H1119" s="145" t="n">
        <v>8</v>
      </c>
      <c r="I1119" s="145" t="inlineStr">
        <is>
          <t>No</t>
        </is>
      </c>
      <c r="J1119" s="145" t="inlineStr">
        <is>
          <t>No</t>
        </is>
      </c>
      <c r="K1119" s="145" t="inlineStr">
        <is>
          <t>None</t>
        </is>
      </c>
      <c r="L1119" s="145" t="inlineStr">
        <is>
          <t>#000000</t>
        </is>
      </c>
      <c r="M1119" s="145" t="inlineStr">
        <is>
          <t>General</t>
        </is>
      </c>
      <c r="N1119" s="145" t="inlineStr">
        <is>
          <t>Center</t>
        </is>
      </c>
      <c r="O1119" s="145" t="inlineStr">
        <is>
          <t>No</t>
        </is>
      </c>
      <c r="P1119" s="145" t="inlineStr">
        <is>
          <t>General</t>
        </is>
      </c>
      <c r="Q1119" s="145" t="inlineStr">
        <is>
          <t>General</t>
        </is>
      </c>
      <c r="R1119" s="145" t="n"/>
      <c r="S1119" s="145" t="n"/>
      <c r="T1119" s="145" t="n"/>
      <c r="U1119" s="145" t="n"/>
      <c r="V1119" s="145" t="n"/>
      <c r="W1119" s="145" t="n"/>
      <c r="X1119" s="145" t="inlineStr">
        <is>
          <t>Detailed format sample from top five used rows</t>
        </is>
      </c>
    </row>
    <row r="1120" ht="23.85" customHeight="1" s="79">
      <c r="A1120" s="145" t="inlineStr">
        <is>
          <t>PPO_DATA</t>
        </is>
      </c>
      <c r="B1120" s="145" t="inlineStr">
        <is>
          <t>Column Format</t>
        </is>
      </c>
      <c r="C1120" s="145" t="inlineStr">
        <is>
          <t>C:C</t>
        </is>
      </c>
      <c r="D1120" s="145" t="inlineStr">
        <is>
          <t>PPO_DATA!A1:AM3957</t>
        </is>
      </c>
      <c r="E1120" s="145" t="inlineStr">
        <is>
          <t>Normal</t>
        </is>
      </c>
      <c r="F1120" s="145" t="inlineStr">
        <is>
          <t>Mixed</t>
        </is>
      </c>
      <c r="G1120" s="145" t="inlineStr">
        <is>
          <t>Aptos</t>
        </is>
      </c>
      <c r="H1120" s="145" t="n">
        <v>8</v>
      </c>
      <c r="I1120" s="145" t="inlineStr">
        <is>
          <t>Mixed</t>
        </is>
      </c>
      <c r="J1120" s="145" t="inlineStr">
        <is>
          <t>No</t>
        </is>
      </c>
      <c r="K1120" s="145" t="inlineStr">
        <is>
          <t>None</t>
        </is>
      </c>
      <c r="L1120" s="145" t="inlineStr">
        <is>
          <t>Mixed</t>
        </is>
      </c>
      <c r="M1120" s="145" t="inlineStr">
        <is>
          <t>General</t>
        </is>
      </c>
      <c r="N1120" s="145" t="inlineStr">
        <is>
          <t>Center</t>
        </is>
      </c>
      <c r="O1120" s="145" t="inlineStr">
        <is>
          <t>No</t>
        </is>
      </c>
      <c r="P1120" s="145" t="n"/>
      <c r="Q1120" s="145" t="n"/>
      <c r="R1120" s="145" t="n"/>
      <c r="S1120" s="145" t="n">
        <v>58.0298507462687</v>
      </c>
      <c r="T1120" s="145" t="n"/>
      <c r="U1120" s="145" t="inlineStr">
        <is>
          <t>No</t>
        </is>
      </c>
      <c r="V1120" s="145" t="inlineStr">
        <is>
          <t>Visible</t>
        </is>
      </c>
      <c r="W1120" s="145" t="n"/>
      <c r="X1120" s="145" t="inlineStr">
        <is>
          <t>Mixed styles within used column</t>
        </is>
      </c>
    </row>
    <row r="1121" ht="23.85" customHeight="1" s="79">
      <c r="A1121" s="145" t="inlineStr">
        <is>
          <t>PPO_DATA</t>
        </is>
      </c>
      <c r="B1121" s="145" t="inlineStr">
        <is>
          <t>Top-Row Cell Format</t>
        </is>
      </c>
      <c r="C1121" s="145" t="inlineStr">
        <is>
          <t>C1</t>
        </is>
      </c>
      <c r="D1121" s="145" t="inlineStr">
        <is>
          <t>PPO_DATA!A1:AM3957</t>
        </is>
      </c>
      <c r="E1121" s="145" t="inlineStr">
        <is>
          <t>Normal</t>
        </is>
      </c>
      <c r="F1121" s="145" t="inlineStr">
        <is>
          <t>#2F75B5</t>
        </is>
      </c>
      <c r="G1121" s="145" t="inlineStr">
        <is>
          <t>Aptos</t>
        </is>
      </c>
      <c r="H1121" s="145" t="n">
        <v>8</v>
      </c>
      <c r="I1121" s="145" t="inlineStr">
        <is>
          <t>Yes</t>
        </is>
      </c>
      <c r="J1121" s="145" t="inlineStr">
        <is>
          <t>No</t>
        </is>
      </c>
      <c r="K1121" s="145" t="inlineStr">
        <is>
          <t>None</t>
        </is>
      </c>
      <c r="L1121" s="145" t="inlineStr">
        <is>
          <t>#FFFF00</t>
        </is>
      </c>
      <c r="M1121" s="145" t="inlineStr">
        <is>
          <t>General</t>
        </is>
      </c>
      <c r="N1121" s="145" t="inlineStr">
        <is>
          <t>Center</t>
        </is>
      </c>
      <c r="O1121" s="145" t="inlineStr">
        <is>
          <t>No</t>
        </is>
      </c>
      <c r="P1121" s="145" t="inlineStr">
        <is>
          <t>General</t>
        </is>
      </c>
      <c r="Q1121" s="145" t="inlineStr">
        <is>
          <t>General</t>
        </is>
      </c>
      <c r="R1121" s="145" t="n"/>
      <c r="S1121" s="145" t="n"/>
      <c r="T1121" s="145" t="n"/>
      <c r="U1121" s="145" t="n"/>
      <c r="V1121" s="145" t="n"/>
      <c r="W1121" s="145" t="n"/>
      <c r="X1121" s="145" t="inlineStr">
        <is>
          <t>Detailed format sample from top five used rows</t>
        </is>
      </c>
    </row>
    <row r="1122" ht="23.85" customHeight="1" s="79">
      <c r="A1122" s="145" t="inlineStr">
        <is>
          <t>PPO_DATA</t>
        </is>
      </c>
      <c r="B1122" s="145" t="inlineStr">
        <is>
          <t>Top-Row Cell Format</t>
        </is>
      </c>
      <c r="C1122" s="145" t="inlineStr">
        <is>
          <t>C2</t>
        </is>
      </c>
      <c r="D1122" s="145" t="inlineStr">
        <is>
          <t>PPO_DATA!A1:AM3957</t>
        </is>
      </c>
      <c r="E1122" s="145" t="inlineStr">
        <is>
          <t>Normal</t>
        </is>
      </c>
      <c r="F1122" s="145" t="n"/>
      <c r="G1122" s="145" t="inlineStr">
        <is>
          <t>Aptos</t>
        </is>
      </c>
      <c r="H1122" s="145" t="n">
        <v>8</v>
      </c>
      <c r="I1122" s="145" t="inlineStr">
        <is>
          <t>No</t>
        </is>
      </c>
      <c r="J1122" s="145" t="inlineStr">
        <is>
          <t>No</t>
        </is>
      </c>
      <c r="K1122" s="145" t="inlineStr">
        <is>
          <t>None</t>
        </is>
      </c>
      <c r="L1122" s="145" t="inlineStr">
        <is>
          <t>#000000</t>
        </is>
      </c>
      <c r="M1122" s="145" t="inlineStr">
        <is>
          <t>General</t>
        </is>
      </c>
      <c r="N1122" s="145" t="inlineStr">
        <is>
          <t>Center</t>
        </is>
      </c>
      <c r="O1122" s="145" t="inlineStr">
        <is>
          <t>No</t>
        </is>
      </c>
      <c r="P1122" s="145" t="inlineStr">
        <is>
          <t>General</t>
        </is>
      </c>
      <c r="Q1122" s="145" t="inlineStr">
        <is>
          <t>General</t>
        </is>
      </c>
      <c r="R1122" s="145" t="n"/>
      <c r="S1122" s="145" t="n"/>
      <c r="T1122" s="145" t="n"/>
      <c r="U1122" s="145" t="n"/>
      <c r="V1122" s="145" t="n"/>
      <c r="W1122" s="145" t="n"/>
      <c r="X1122" s="145" t="inlineStr">
        <is>
          <t>Detailed format sample from top five used rows</t>
        </is>
      </c>
    </row>
    <row r="1123" ht="23.85" customHeight="1" s="79">
      <c r="A1123" s="145" t="inlineStr">
        <is>
          <t>PPO_DATA</t>
        </is>
      </c>
      <c r="B1123" s="145" t="inlineStr">
        <is>
          <t>Top-Row Cell Format</t>
        </is>
      </c>
      <c r="C1123" s="145" t="inlineStr">
        <is>
          <t>C3</t>
        </is>
      </c>
      <c r="D1123" s="145" t="inlineStr">
        <is>
          <t>PPO_DATA!A1:AM3957</t>
        </is>
      </c>
      <c r="E1123" s="145" t="inlineStr">
        <is>
          <t>Normal</t>
        </is>
      </c>
      <c r="F1123" s="145" t="n"/>
      <c r="G1123" s="145" t="inlineStr">
        <is>
          <t>Aptos</t>
        </is>
      </c>
      <c r="H1123" s="145" t="n">
        <v>8</v>
      </c>
      <c r="I1123" s="145" t="inlineStr">
        <is>
          <t>No</t>
        </is>
      </c>
      <c r="J1123" s="145" t="inlineStr">
        <is>
          <t>No</t>
        </is>
      </c>
      <c r="K1123" s="145" t="inlineStr">
        <is>
          <t>None</t>
        </is>
      </c>
      <c r="L1123" s="145" t="inlineStr">
        <is>
          <t>#000000</t>
        </is>
      </c>
      <c r="M1123" s="145" t="inlineStr">
        <is>
          <t>General</t>
        </is>
      </c>
      <c r="N1123" s="145" t="inlineStr">
        <is>
          <t>Center</t>
        </is>
      </c>
      <c r="O1123" s="145" t="inlineStr">
        <is>
          <t>No</t>
        </is>
      </c>
      <c r="P1123" s="145" t="inlineStr">
        <is>
          <t>General</t>
        </is>
      </c>
      <c r="Q1123" s="145" t="inlineStr">
        <is>
          <t>General</t>
        </is>
      </c>
      <c r="R1123" s="145" t="n"/>
      <c r="S1123" s="145" t="n"/>
      <c r="T1123" s="145" t="n"/>
      <c r="U1123" s="145" t="n"/>
      <c r="V1123" s="145" t="n"/>
      <c r="W1123" s="145" t="n"/>
      <c r="X1123" s="145" t="inlineStr">
        <is>
          <t>Detailed format sample from top five used rows</t>
        </is>
      </c>
    </row>
    <row r="1124" ht="23.85" customHeight="1" s="79">
      <c r="A1124" s="145" t="inlineStr">
        <is>
          <t>PPO_DATA</t>
        </is>
      </c>
      <c r="B1124" s="145" t="inlineStr">
        <is>
          <t>Top-Row Cell Format</t>
        </is>
      </c>
      <c r="C1124" s="145" t="inlineStr">
        <is>
          <t>C4</t>
        </is>
      </c>
      <c r="D1124" s="145" t="inlineStr">
        <is>
          <t>PPO_DATA!A1:AM3957</t>
        </is>
      </c>
      <c r="E1124" s="145" t="inlineStr">
        <is>
          <t>Normal</t>
        </is>
      </c>
      <c r="F1124" s="145" t="n"/>
      <c r="G1124" s="145" t="inlineStr">
        <is>
          <t>Aptos</t>
        </is>
      </c>
      <c r="H1124" s="145" t="n">
        <v>8</v>
      </c>
      <c r="I1124" s="145" t="inlineStr">
        <is>
          <t>No</t>
        </is>
      </c>
      <c r="J1124" s="145" t="inlineStr">
        <is>
          <t>No</t>
        </is>
      </c>
      <c r="K1124" s="145" t="inlineStr">
        <is>
          <t>None</t>
        </is>
      </c>
      <c r="L1124" s="145" t="inlineStr">
        <is>
          <t>#000000</t>
        </is>
      </c>
      <c r="M1124" s="145" t="inlineStr">
        <is>
          <t>General</t>
        </is>
      </c>
      <c r="N1124" s="145" t="inlineStr">
        <is>
          <t>Center</t>
        </is>
      </c>
      <c r="O1124" s="145" t="inlineStr">
        <is>
          <t>No</t>
        </is>
      </c>
      <c r="P1124" s="145" t="inlineStr">
        <is>
          <t>General</t>
        </is>
      </c>
      <c r="Q1124" s="145" t="inlineStr">
        <is>
          <t>General</t>
        </is>
      </c>
      <c r="R1124" s="145" t="n"/>
      <c r="S1124" s="145" t="n"/>
      <c r="T1124" s="145" t="n"/>
      <c r="U1124" s="145" t="n"/>
      <c r="V1124" s="145" t="n"/>
      <c r="W1124" s="145" t="n"/>
      <c r="X1124" s="145" t="inlineStr">
        <is>
          <t>Detailed format sample from top five used rows</t>
        </is>
      </c>
    </row>
    <row r="1125" ht="23.85" customHeight="1" s="79">
      <c r="A1125" s="145" t="inlineStr">
        <is>
          <t>PPO_DATA</t>
        </is>
      </c>
      <c r="B1125" s="145" t="inlineStr">
        <is>
          <t>Top-Row Cell Format</t>
        </is>
      </c>
      <c r="C1125" s="145" t="inlineStr">
        <is>
          <t>C5</t>
        </is>
      </c>
      <c r="D1125" s="145" t="inlineStr">
        <is>
          <t>PPO_DATA!A1:AM3957</t>
        </is>
      </c>
      <c r="E1125" s="145" t="inlineStr">
        <is>
          <t>Normal</t>
        </is>
      </c>
      <c r="F1125" s="145" t="n"/>
      <c r="G1125" s="145" t="inlineStr">
        <is>
          <t>Aptos</t>
        </is>
      </c>
      <c r="H1125" s="145" t="n">
        <v>8</v>
      </c>
      <c r="I1125" s="145" t="inlineStr">
        <is>
          <t>No</t>
        </is>
      </c>
      <c r="J1125" s="145" t="inlineStr">
        <is>
          <t>No</t>
        </is>
      </c>
      <c r="K1125" s="145" t="inlineStr">
        <is>
          <t>None</t>
        </is>
      </c>
      <c r="L1125" s="145" t="inlineStr">
        <is>
          <t>#000000</t>
        </is>
      </c>
      <c r="M1125" s="145" t="inlineStr">
        <is>
          <t>General</t>
        </is>
      </c>
      <c r="N1125" s="145" t="inlineStr">
        <is>
          <t>Center</t>
        </is>
      </c>
      <c r="O1125" s="145" t="inlineStr">
        <is>
          <t>No</t>
        </is>
      </c>
      <c r="P1125" s="145" t="inlineStr">
        <is>
          <t>General</t>
        </is>
      </c>
      <c r="Q1125" s="145" t="inlineStr">
        <is>
          <t>General</t>
        </is>
      </c>
      <c r="R1125" s="145" t="n"/>
      <c r="S1125" s="145" t="n"/>
      <c r="T1125" s="145" t="n"/>
      <c r="U1125" s="145" t="n"/>
      <c r="V1125" s="145" t="n"/>
      <c r="W1125" s="145" t="n"/>
      <c r="X1125" s="145" t="inlineStr">
        <is>
          <t>Detailed format sample from top five used rows</t>
        </is>
      </c>
    </row>
    <row r="1126" ht="23.85" customHeight="1" s="79">
      <c r="A1126" s="145" t="inlineStr">
        <is>
          <t>PPO_DATA</t>
        </is>
      </c>
      <c r="B1126" s="145" t="inlineStr">
        <is>
          <t>Column Format</t>
        </is>
      </c>
      <c r="C1126" s="145" t="inlineStr">
        <is>
          <t>D:D</t>
        </is>
      </c>
      <c r="D1126" s="145" t="inlineStr">
        <is>
          <t>PPO_DATA!A1:AM3957</t>
        </is>
      </c>
      <c r="E1126" s="145" t="inlineStr">
        <is>
          <t>Normal</t>
        </is>
      </c>
      <c r="F1126" s="145" t="inlineStr">
        <is>
          <t>Mixed</t>
        </is>
      </c>
      <c r="G1126" s="145" t="inlineStr">
        <is>
          <t>Aptos</t>
        </is>
      </c>
      <c r="H1126" s="145" t="n">
        <v>8</v>
      </c>
      <c r="I1126" s="145" t="inlineStr">
        <is>
          <t>Mixed</t>
        </is>
      </c>
      <c r="J1126" s="145" t="inlineStr">
        <is>
          <t>No</t>
        </is>
      </c>
      <c r="K1126" s="145" t="inlineStr">
        <is>
          <t>None</t>
        </is>
      </c>
      <c r="L1126" s="145" t="inlineStr">
        <is>
          <t>Mixed</t>
        </is>
      </c>
      <c r="M1126" s="145" t="inlineStr">
        <is>
          <t>General</t>
        </is>
      </c>
      <c r="N1126" s="145" t="inlineStr">
        <is>
          <t>Center</t>
        </is>
      </c>
      <c r="O1126" s="145" t="inlineStr">
        <is>
          <t>No</t>
        </is>
      </c>
      <c r="P1126" s="145" t="n"/>
      <c r="Q1126" s="145" t="n"/>
      <c r="R1126" s="145" t="n"/>
      <c r="S1126" s="145" t="n">
        <v>45.6716417910448</v>
      </c>
      <c r="T1126" s="145" t="n"/>
      <c r="U1126" s="145" t="inlineStr">
        <is>
          <t>No</t>
        </is>
      </c>
      <c r="V1126" s="145" t="inlineStr">
        <is>
          <t>Visible</t>
        </is>
      </c>
      <c r="W1126" s="145" t="n"/>
      <c r="X1126" s="145" t="inlineStr">
        <is>
          <t>Mixed styles within used column</t>
        </is>
      </c>
    </row>
    <row r="1127" ht="23.85" customHeight="1" s="79">
      <c r="A1127" s="145" t="inlineStr">
        <is>
          <t>PPO_DATA</t>
        </is>
      </c>
      <c r="B1127" s="145" t="inlineStr">
        <is>
          <t>Top-Row Cell Format</t>
        </is>
      </c>
      <c r="C1127" s="145" t="inlineStr">
        <is>
          <t>D1</t>
        </is>
      </c>
      <c r="D1127" s="145" t="inlineStr">
        <is>
          <t>PPO_DATA!A1:AM3957</t>
        </is>
      </c>
      <c r="E1127" s="145" t="inlineStr">
        <is>
          <t>Normal</t>
        </is>
      </c>
      <c r="F1127" s="145" t="inlineStr">
        <is>
          <t>#2F75B5</t>
        </is>
      </c>
      <c r="G1127" s="145" t="inlineStr">
        <is>
          <t>Aptos</t>
        </is>
      </c>
      <c r="H1127" s="145" t="n">
        <v>8</v>
      </c>
      <c r="I1127" s="145" t="inlineStr">
        <is>
          <t>Yes</t>
        </is>
      </c>
      <c r="J1127" s="145" t="inlineStr">
        <is>
          <t>No</t>
        </is>
      </c>
      <c r="K1127" s="145" t="inlineStr">
        <is>
          <t>None</t>
        </is>
      </c>
      <c r="L1127" s="145" t="inlineStr">
        <is>
          <t>#FFFF00</t>
        </is>
      </c>
      <c r="M1127" s="145" t="inlineStr">
        <is>
          <t>General</t>
        </is>
      </c>
      <c r="N1127" s="145" t="inlineStr">
        <is>
          <t>Center</t>
        </is>
      </c>
      <c r="O1127" s="145" t="inlineStr">
        <is>
          <t>No</t>
        </is>
      </c>
      <c r="P1127" s="145" t="inlineStr">
        <is>
          <t>General</t>
        </is>
      </c>
      <c r="Q1127" s="145" t="inlineStr">
        <is>
          <t>General</t>
        </is>
      </c>
      <c r="R1127" s="145" t="n"/>
      <c r="S1127" s="145" t="n"/>
      <c r="T1127" s="145" t="n"/>
      <c r="U1127" s="145" t="n"/>
      <c r="V1127" s="145" t="n"/>
      <c r="W1127" s="145" t="n"/>
      <c r="X1127" s="145" t="inlineStr">
        <is>
          <t>Detailed format sample from top five used rows</t>
        </is>
      </c>
    </row>
    <row r="1128" ht="23.85" customHeight="1" s="79">
      <c r="A1128" s="145" t="inlineStr">
        <is>
          <t>PPO_DATA</t>
        </is>
      </c>
      <c r="B1128" s="145" t="inlineStr">
        <is>
          <t>Top-Row Cell Format</t>
        </is>
      </c>
      <c r="C1128" s="145" t="inlineStr">
        <is>
          <t>D2</t>
        </is>
      </c>
      <c r="D1128" s="145" t="inlineStr">
        <is>
          <t>PPO_DATA!A1:AM3957</t>
        </is>
      </c>
      <c r="E1128" s="145" t="inlineStr">
        <is>
          <t>Normal</t>
        </is>
      </c>
      <c r="F1128" s="145" t="n"/>
      <c r="G1128" s="145" t="inlineStr">
        <is>
          <t>Aptos</t>
        </is>
      </c>
      <c r="H1128" s="145" t="n">
        <v>8</v>
      </c>
      <c r="I1128" s="145" t="inlineStr">
        <is>
          <t>No</t>
        </is>
      </c>
      <c r="J1128" s="145" t="inlineStr">
        <is>
          <t>No</t>
        </is>
      </c>
      <c r="K1128" s="145" t="inlineStr">
        <is>
          <t>None</t>
        </is>
      </c>
      <c r="L1128" s="145" t="inlineStr">
        <is>
          <t>#000000</t>
        </is>
      </c>
      <c r="M1128" s="145" t="inlineStr">
        <is>
          <t>General</t>
        </is>
      </c>
      <c r="N1128" s="145" t="inlineStr">
        <is>
          <t>Center</t>
        </is>
      </c>
      <c r="O1128" s="145" t="inlineStr">
        <is>
          <t>No</t>
        </is>
      </c>
      <c r="P1128" s="145" t="inlineStr">
        <is>
          <t>General</t>
        </is>
      </c>
      <c r="Q1128" s="145" t="inlineStr">
        <is>
          <t>General</t>
        </is>
      </c>
      <c r="R1128" s="145" t="n"/>
      <c r="S1128" s="145" t="n"/>
      <c r="T1128" s="145" t="n"/>
      <c r="U1128" s="145" t="n"/>
      <c r="V1128" s="145" t="n"/>
      <c r="W1128" s="145" t="n"/>
      <c r="X1128" s="145" t="inlineStr">
        <is>
          <t>Detailed format sample from top five used rows</t>
        </is>
      </c>
    </row>
    <row r="1129" ht="23.85" customHeight="1" s="79">
      <c r="A1129" s="145" t="inlineStr">
        <is>
          <t>PPO_DATA</t>
        </is>
      </c>
      <c r="B1129" s="145" t="inlineStr">
        <is>
          <t>Top-Row Cell Format</t>
        </is>
      </c>
      <c r="C1129" s="145" t="inlineStr">
        <is>
          <t>D3</t>
        </is>
      </c>
      <c r="D1129" s="145" t="inlineStr">
        <is>
          <t>PPO_DATA!A1:AM3957</t>
        </is>
      </c>
      <c r="E1129" s="145" t="inlineStr">
        <is>
          <t>Normal</t>
        </is>
      </c>
      <c r="F1129" s="145" t="n"/>
      <c r="G1129" s="145" t="inlineStr">
        <is>
          <t>Aptos</t>
        </is>
      </c>
      <c r="H1129" s="145" t="n">
        <v>8</v>
      </c>
      <c r="I1129" s="145" t="inlineStr">
        <is>
          <t>No</t>
        </is>
      </c>
      <c r="J1129" s="145" t="inlineStr">
        <is>
          <t>No</t>
        </is>
      </c>
      <c r="K1129" s="145" t="inlineStr">
        <is>
          <t>None</t>
        </is>
      </c>
      <c r="L1129" s="145" t="inlineStr">
        <is>
          <t>#000000</t>
        </is>
      </c>
      <c r="M1129" s="145" t="inlineStr">
        <is>
          <t>General</t>
        </is>
      </c>
      <c r="N1129" s="145" t="inlineStr">
        <is>
          <t>Center</t>
        </is>
      </c>
      <c r="O1129" s="145" t="inlineStr">
        <is>
          <t>No</t>
        </is>
      </c>
      <c r="P1129" s="145" t="inlineStr">
        <is>
          <t>General</t>
        </is>
      </c>
      <c r="Q1129" s="145" t="inlineStr">
        <is>
          <t>General</t>
        </is>
      </c>
      <c r="R1129" s="145" t="n"/>
      <c r="S1129" s="145" t="n"/>
      <c r="T1129" s="145" t="n"/>
      <c r="U1129" s="145" t="n"/>
      <c r="V1129" s="145" t="n"/>
      <c r="W1129" s="145" t="n"/>
      <c r="X1129" s="145" t="inlineStr">
        <is>
          <t>Detailed format sample from top five used rows</t>
        </is>
      </c>
    </row>
    <row r="1130" ht="23.85" customHeight="1" s="79">
      <c r="A1130" s="145" t="inlineStr">
        <is>
          <t>PPO_DATA</t>
        </is>
      </c>
      <c r="B1130" s="145" t="inlineStr">
        <is>
          <t>Top-Row Cell Format</t>
        </is>
      </c>
      <c r="C1130" s="145" t="inlineStr">
        <is>
          <t>D4</t>
        </is>
      </c>
      <c r="D1130" s="145" t="inlineStr">
        <is>
          <t>PPO_DATA!A1:AM3957</t>
        </is>
      </c>
      <c r="E1130" s="145" t="inlineStr">
        <is>
          <t>Normal</t>
        </is>
      </c>
      <c r="F1130" s="145" t="n"/>
      <c r="G1130" s="145" t="inlineStr">
        <is>
          <t>Aptos</t>
        </is>
      </c>
      <c r="H1130" s="145" t="n">
        <v>8</v>
      </c>
      <c r="I1130" s="145" t="inlineStr">
        <is>
          <t>No</t>
        </is>
      </c>
      <c r="J1130" s="145" t="inlineStr">
        <is>
          <t>No</t>
        </is>
      </c>
      <c r="K1130" s="145" t="inlineStr">
        <is>
          <t>None</t>
        </is>
      </c>
      <c r="L1130" s="145" t="inlineStr">
        <is>
          <t>#000000</t>
        </is>
      </c>
      <c r="M1130" s="145" t="inlineStr">
        <is>
          <t>General</t>
        </is>
      </c>
      <c r="N1130" s="145" t="inlineStr">
        <is>
          <t>Center</t>
        </is>
      </c>
      <c r="O1130" s="145" t="inlineStr">
        <is>
          <t>No</t>
        </is>
      </c>
      <c r="P1130" s="145" t="inlineStr">
        <is>
          <t>General</t>
        </is>
      </c>
      <c r="Q1130" s="145" t="inlineStr">
        <is>
          <t>General</t>
        </is>
      </c>
      <c r="R1130" s="145" t="n"/>
      <c r="S1130" s="145" t="n"/>
      <c r="T1130" s="145" t="n"/>
      <c r="U1130" s="145" t="n"/>
      <c r="V1130" s="145" t="n"/>
      <c r="W1130" s="145" t="n"/>
      <c r="X1130" s="145" t="inlineStr">
        <is>
          <t>Detailed format sample from top five used rows</t>
        </is>
      </c>
    </row>
    <row r="1131" ht="23.85" customHeight="1" s="79">
      <c r="A1131" s="145" t="inlineStr">
        <is>
          <t>PPO_DATA</t>
        </is>
      </c>
      <c r="B1131" s="145" t="inlineStr">
        <is>
          <t>Top-Row Cell Format</t>
        </is>
      </c>
      <c r="C1131" s="145" t="inlineStr">
        <is>
          <t>D5</t>
        </is>
      </c>
      <c r="D1131" s="145" t="inlineStr">
        <is>
          <t>PPO_DATA!A1:AM3957</t>
        </is>
      </c>
      <c r="E1131" s="145" t="inlineStr">
        <is>
          <t>Normal</t>
        </is>
      </c>
      <c r="F1131" s="145" t="n"/>
      <c r="G1131" s="145" t="inlineStr">
        <is>
          <t>Aptos</t>
        </is>
      </c>
      <c r="H1131" s="145" t="n">
        <v>8</v>
      </c>
      <c r="I1131" s="145" t="inlineStr">
        <is>
          <t>No</t>
        </is>
      </c>
      <c r="J1131" s="145" t="inlineStr">
        <is>
          <t>No</t>
        </is>
      </c>
      <c r="K1131" s="145" t="inlineStr">
        <is>
          <t>None</t>
        </is>
      </c>
      <c r="L1131" s="145" t="inlineStr">
        <is>
          <t>#000000</t>
        </is>
      </c>
      <c r="M1131" s="145" t="inlineStr">
        <is>
          <t>General</t>
        </is>
      </c>
      <c r="N1131" s="145" t="inlineStr">
        <is>
          <t>Center</t>
        </is>
      </c>
      <c r="O1131" s="145" t="inlineStr">
        <is>
          <t>No</t>
        </is>
      </c>
      <c r="P1131" s="145" t="inlineStr">
        <is>
          <t>General</t>
        </is>
      </c>
      <c r="Q1131" s="145" t="inlineStr">
        <is>
          <t>General</t>
        </is>
      </c>
      <c r="R1131" s="145" t="n"/>
      <c r="S1131" s="145" t="n"/>
      <c r="T1131" s="145" t="n"/>
      <c r="U1131" s="145" t="n"/>
      <c r="V1131" s="145" t="n"/>
      <c r="W1131" s="145" t="n"/>
      <c r="X1131" s="145" t="inlineStr">
        <is>
          <t>Detailed format sample from top five used rows</t>
        </is>
      </c>
    </row>
    <row r="1132" ht="23.85" customHeight="1" s="79">
      <c r="A1132" s="145" t="inlineStr">
        <is>
          <t>PPO_DATA</t>
        </is>
      </c>
      <c r="B1132" s="145" t="inlineStr">
        <is>
          <t>Column Format</t>
        </is>
      </c>
      <c r="C1132" s="145" t="inlineStr">
        <is>
          <t>E:E</t>
        </is>
      </c>
      <c r="D1132" s="145" t="inlineStr">
        <is>
          <t>PPO_DATA!A1:AM3957</t>
        </is>
      </c>
      <c r="E1132" s="145" t="inlineStr">
        <is>
          <t>Normal</t>
        </is>
      </c>
      <c r="F1132" s="145" t="inlineStr">
        <is>
          <t>Mixed</t>
        </is>
      </c>
      <c r="G1132" s="145" t="inlineStr">
        <is>
          <t>Aptos</t>
        </is>
      </c>
      <c r="H1132" s="145" t="n">
        <v>8</v>
      </c>
      <c r="I1132" s="145" t="inlineStr">
        <is>
          <t>Mixed</t>
        </is>
      </c>
      <c r="J1132" s="145" t="inlineStr">
        <is>
          <t>No</t>
        </is>
      </c>
      <c r="K1132" s="145" t="inlineStr">
        <is>
          <t>None</t>
        </is>
      </c>
      <c r="L1132" s="145" t="inlineStr">
        <is>
          <t>Mixed</t>
        </is>
      </c>
      <c r="M1132" s="145" t="inlineStr">
        <is>
          <t>General</t>
        </is>
      </c>
      <c r="N1132" s="145" t="inlineStr">
        <is>
          <t>Center</t>
        </is>
      </c>
      <c r="O1132" s="145" t="inlineStr">
        <is>
          <t>No</t>
        </is>
      </c>
      <c r="P1132" s="145" t="n"/>
      <c r="Q1132" s="145" t="n"/>
      <c r="R1132" s="145" t="n"/>
      <c r="S1132" s="145" t="n">
        <v>54.8059701492537</v>
      </c>
      <c r="T1132" s="145" t="n"/>
      <c r="U1132" s="145" t="inlineStr">
        <is>
          <t>No</t>
        </is>
      </c>
      <c r="V1132" s="145" t="inlineStr">
        <is>
          <t>Visible</t>
        </is>
      </c>
      <c r="W1132" s="145" t="n"/>
      <c r="X1132" s="145" t="inlineStr">
        <is>
          <t>Mixed styles within used column</t>
        </is>
      </c>
    </row>
    <row r="1133" ht="23.85" customHeight="1" s="79">
      <c r="A1133" s="145" t="inlineStr">
        <is>
          <t>PPO_DATA</t>
        </is>
      </c>
      <c r="B1133" s="145" t="inlineStr">
        <is>
          <t>Top-Row Cell Format</t>
        </is>
      </c>
      <c r="C1133" s="145" t="inlineStr">
        <is>
          <t>E1</t>
        </is>
      </c>
      <c r="D1133" s="145" t="inlineStr">
        <is>
          <t>PPO_DATA!A1:AM3957</t>
        </is>
      </c>
      <c r="E1133" s="145" t="inlineStr">
        <is>
          <t>Normal</t>
        </is>
      </c>
      <c r="F1133" s="145" t="inlineStr">
        <is>
          <t>#2F75B5</t>
        </is>
      </c>
      <c r="G1133" s="145" t="inlineStr">
        <is>
          <t>Aptos</t>
        </is>
      </c>
      <c r="H1133" s="145" t="n">
        <v>8</v>
      </c>
      <c r="I1133" s="145" t="inlineStr">
        <is>
          <t>Yes</t>
        </is>
      </c>
      <c r="J1133" s="145" t="inlineStr">
        <is>
          <t>No</t>
        </is>
      </c>
      <c r="K1133" s="145" t="inlineStr">
        <is>
          <t>None</t>
        </is>
      </c>
      <c r="L1133" s="145" t="inlineStr">
        <is>
          <t>#FFFF00</t>
        </is>
      </c>
      <c r="M1133" s="145" t="inlineStr">
        <is>
          <t>General</t>
        </is>
      </c>
      <c r="N1133" s="145" t="inlineStr">
        <is>
          <t>Center</t>
        </is>
      </c>
      <c r="O1133" s="145" t="inlineStr">
        <is>
          <t>No</t>
        </is>
      </c>
      <c r="P1133" s="145" t="inlineStr">
        <is>
          <t>General</t>
        </is>
      </c>
      <c r="Q1133" s="145" t="inlineStr">
        <is>
          <t>General</t>
        </is>
      </c>
      <c r="R1133" s="145" t="n"/>
      <c r="S1133" s="145" t="n"/>
      <c r="T1133" s="145" t="n"/>
      <c r="U1133" s="145" t="n"/>
      <c r="V1133" s="145" t="n"/>
      <c r="W1133" s="145" t="n"/>
      <c r="X1133" s="145" t="inlineStr">
        <is>
          <t>Detailed format sample from top five used rows</t>
        </is>
      </c>
    </row>
    <row r="1134" ht="23.85" customHeight="1" s="79">
      <c r="A1134" s="145" t="inlineStr">
        <is>
          <t>PPO_DATA</t>
        </is>
      </c>
      <c r="B1134" s="145" t="inlineStr">
        <is>
          <t>Top-Row Cell Format</t>
        </is>
      </c>
      <c r="C1134" s="145" t="inlineStr">
        <is>
          <t>E2</t>
        </is>
      </c>
      <c r="D1134" s="145" t="inlineStr">
        <is>
          <t>PPO_DATA!A1:AM3957</t>
        </is>
      </c>
      <c r="E1134" s="145" t="inlineStr">
        <is>
          <t>Normal</t>
        </is>
      </c>
      <c r="F1134" s="145" t="n"/>
      <c r="G1134" s="145" t="inlineStr">
        <is>
          <t>Aptos</t>
        </is>
      </c>
      <c r="H1134" s="145" t="n">
        <v>8</v>
      </c>
      <c r="I1134" s="145" t="inlineStr">
        <is>
          <t>No</t>
        </is>
      </c>
      <c r="J1134" s="145" t="inlineStr">
        <is>
          <t>No</t>
        </is>
      </c>
      <c r="K1134" s="145" t="inlineStr">
        <is>
          <t>None</t>
        </is>
      </c>
      <c r="L1134" s="145" t="inlineStr">
        <is>
          <t>#000000</t>
        </is>
      </c>
      <c r="M1134" s="145" t="inlineStr">
        <is>
          <t>General</t>
        </is>
      </c>
      <c r="N1134" s="145" t="inlineStr">
        <is>
          <t>Center</t>
        </is>
      </c>
      <c r="O1134" s="145" t="inlineStr">
        <is>
          <t>No</t>
        </is>
      </c>
      <c r="P1134" s="145" t="inlineStr">
        <is>
          <t>General</t>
        </is>
      </c>
      <c r="Q1134" s="145" t="inlineStr">
        <is>
          <t>General</t>
        </is>
      </c>
      <c r="R1134" s="145" t="n"/>
      <c r="S1134" s="145" t="n"/>
      <c r="T1134" s="145" t="n"/>
      <c r="U1134" s="145" t="n"/>
      <c r="V1134" s="145" t="n"/>
      <c r="W1134" s="145" t="n"/>
      <c r="X1134" s="145" t="inlineStr">
        <is>
          <t>Detailed format sample from top five used rows</t>
        </is>
      </c>
    </row>
    <row r="1135" ht="23.85" customHeight="1" s="79">
      <c r="A1135" s="145" t="inlineStr">
        <is>
          <t>PPO_DATA</t>
        </is>
      </c>
      <c r="B1135" s="145" t="inlineStr">
        <is>
          <t>Top-Row Cell Format</t>
        </is>
      </c>
      <c r="C1135" s="145" t="inlineStr">
        <is>
          <t>E3</t>
        </is>
      </c>
      <c r="D1135" s="145" t="inlineStr">
        <is>
          <t>PPO_DATA!A1:AM3957</t>
        </is>
      </c>
      <c r="E1135" s="145" t="inlineStr">
        <is>
          <t>Normal</t>
        </is>
      </c>
      <c r="F1135" s="145" t="n"/>
      <c r="G1135" s="145" t="inlineStr">
        <is>
          <t>Aptos</t>
        </is>
      </c>
      <c r="H1135" s="145" t="n">
        <v>8</v>
      </c>
      <c r="I1135" s="145" t="inlineStr">
        <is>
          <t>No</t>
        </is>
      </c>
      <c r="J1135" s="145" t="inlineStr">
        <is>
          <t>No</t>
        </is>
      </c>
      <c r="K1135" s="145" t="inlineStr">
        <is>
          <t>None</t>
        </is>
      </c>
      <c r="L1135" s="145" t="inlineStr">
        <is>
          <t>#000000</t>
        </is>
      </c>
      <c r="M1135" s="145" t="inlineStr">
        <is>
          <t>General</t>
        </is>
      </c>
      <c r="N1135" s="145" t="inlineStr">
        <is>
          <t>Center</t>
        </is>
      </c>
      <c r="O1135" s="145" t="inlineStr">
        <is>
          <t>No</t>
        </is>
      </c>
      <c r="P1135" s="145" t="inlineStr">
        <is>
          <t>General</t>
        </is>
      </c>
      <c r="Q1135" s="145" t="inlineStr">
        <is>
          <t>General</t>
        </is>
      </c>
      <c r="R1135" s="145" t="n"/>
      <c r="S1135" s="145" t="n"/>
      <c r="T1135" s="145" t="n"/>
      <c r="U1135" s="145" t="n"/>
      <c r="V1135" s="145" t="n"/>
      <c r="W1135" s="145" t="n"/>
      <c r="X1135" s="145" t="inlineStr">
        <is>
          <t>Detailed format sample from top five used rows</t>
        </is>
      </c>
    </row>
    <row r="1136" ht="23.85" customHeight="1" s="79">
      <c r="A1136" s="145" t="inlineStr">
        <is>
          <t>PPO_DATA</t>
        </is>
      </c>
      <c r="B1136" s="145" t="inlineStr">
        <is>
          <t>Top-Row Cell Format</t>
        </is>
      </c>
      <c r="C1136" s="145" t="inlineStr">
        <is>
          <t>E4</t>
        </is>
      </c>
      <c r="D1136" s="145" t="inlineStr">
        <is>
          <t>PPO_DATA!A1:AM3957</t>
        </is>
      </c>
      <c r="E1136" s="145" t="inlineStr">
        <is>
          <t>Normal</t>
        </is>
      </c>
      <c r="F1136" s="145" t="n"/>
      <c r="G1136" s="145" t="inlineStr">
        <is>
          <t>Aptos</t>
        </is>
      </c>
      <c r="H1136" s="145" t="n">
        <v>8</v>
      </c>
      <c r="I1136" s="145" t="inlineStr">
        <is>
          <t>No</t>
        </is>
      </c>
      <c r="J1136" s="145" t="inlineStr">
        <is>
          <t>No</t>
        </is>
      </c>
      <c r="K1136" s="145" t="inlineStr">
        <is>
          <t>None</t>
        </is>
      </c>
      <c r="L1136" s="145" t="inlineStr">
        <is>
          <t>#000000</t>
        </is>
      </c>
      <c r="M1136" s="145" t="inlineStr">
        <is>
          <t>General</t>
        </is>
      </c>
      <c r="N1136" s="145" t="inlineStr">
        <is>
          <t>Center</t>
        </is>
      </c>
      <c r="O1136" s="145" t="inlineStr">
        <is>
          <t>No</t>
        </is>
      </c>
      <c r="P1136" s="145" t="inlineStr">
        <is>
          <t>General</t>
        </is>
      </c>
      <c r="Q1136" s="145" t="inlineStr">
        <is>
          <t>General</t>
        </is>
      </c>
      <c r="R1136" s="145" t="n"/>
      <c r="S1136" s="145" t="n"/>
      <c r="T1136" s="145" t="n"/>
      <c r="U1136" s="145" t="n"/>
      <c r="V1136" s="145" t="n"/>
      <c r="W1136" s="145" t="n"/>
      <c r="X1136" s="145" t="inlineStr">
        <is>
          <t>Detailed format sample from top five used rows</t>
        </is>
      </c>
    </row>
    <row r="1137" ht="23.85" customHeight="1" s="79">
      <c r="A1137" s="145" t="inlineStr">
        <is>
          <t>PPO_DATA</t>
        </is>
      </c>
      <c r="B1137" s="145" t="inlineStr">
        <is>
          <t>Top-Row Cell Format</t>
        </is>
      </c>
      <c r="C1137" s="145" t="inlineStr">
        <is>
          <t>E5</t>
        </is>
      </c>
      <c r="D1137" s="145" t="inlineStr">
        <is>
          <t>PPO_DATA!A1:AM3957</t>
        </is>
      </c>
      <c r="E1137" s="145" t="inlineStr">
        <is>
          <t>Normal</t>
        </is>
      </c>
      <c r="F1137" s="145" t="n"/>
      <c r="G1137" s="145" t="inlineStr">
        <is>
          <t>Aptos</t>
        </is>
      </c>
      <c r="H1137" s="145" t="n">
        <v>8</v>
      </c>
      <c r="I1137" s="145" t="inlineStr">
        <is>
          <t>No</t>
        </is>
      </c>
      <c r="J1137" s="145" t="inlineStr">
        <is>
          <t>No</t>
        </is>
      </c>
      <c r="K1137" s="145" t="inlineStr">
        <is>
          <t>None</t>
        </is>
      </c>
      <c r="L1137" s="145" t="inlineStr">
        <is>
          <t>#000000</t>
        </is>
      </c>
      <c r="M1137" s="145" t="inlineStr">
        <is>
          <t>General</t>
        </is>
      </c>
      <c r="N1137" s="145" t="inlineStr">
        <is>
          <t>Center</t>
        </is>
      </c>
      <c r="O1137" s="145" t="inlineStr">
        <is>
          <t>No</t>
        </is>
      </c>
      <c r="P1137" s="145" t="inlineStr">
        <is>
          <t>General</t>
        </is>
      </c>
      <c r="Q1137" s="145" t="inlineStr">
        <is>
          <t>General</t>
        </is>
      </c>
      <c r="R1137" s="145" t="n"/>
      <c r="S1137" s="145" t="n"/>
      <c r="T1137" s="145" t="n"/>
      <c r="U1137" s="145" t="n"/>
      <c r="V1137" s="145" t="n"/>
      <c r="W1137" s="145" t="n"/>
      <c r="X1137" s="145" t="inlineStr">
        <is>
          <t>Detailed format sample from top five used rows</t>
        </is>
      </c>
    </row>
    <row r="1138" ht="23.85" customHeight="1" s="79">
      <c r="A1138" s="145" t="inlineStr">
        <is>
          <t>PPO_DATA</t>
        </is>
      </c>
      <c r="B1138" s="145" t="inlineStr">
        <is>
          <t>Column Format</t>
        </is>
      </c>
      <c r="C1138" s="145" t="inlineStr">
        <is>
          <t>F:F</t>
        </is>
      </c>
      <c r="D1138" s="145" t="inlineStr">
        <is>
          <t>PPO_DATA!A1:AM3957</t>
        </is>
      </c>
      <c r="E1138" s="145" t="inlineStr">
        <is>
          <t>Normal</t>
        </is>
      </c>
      <c r="F1138" s="145" t="inlineStr">
        <is>
          <t>Mixed</t>
        </is>
      </c>
      <c r="G1138" s="145" t="inlineStr">
        <is>
          <t>Aptos</t>
        </is>
      </c>
      <c r="H1138" s="145" t="n">
        <v>8</v>
      </c>
      <c r="I1138" s="145" t="inlineStr">
        <is>
          <t>Mixed</t>
        </is>
      </c>
      <c r="J1138" s="145" t="inlineStr">
        <is>
          <t>No</t>
        </is>
      </c>
      <c r="K1138" s="145" t="inlineStr">
        <is>
          <t>None</t>
        </is>
      </c>
      <c r="L1138" s="145" t="inlineStr">
        <is>
          <t>Mixed</t>
        </is>
      </c>
      <c r="M1138" s="145" t="inlineStr">
        <is>
          <t>General</t>
        </is>
      </c>
      <c r="N1138" s="145" t="inlineStr">
        <is>
          <t>Center</t>
        </is>
      </c>
      <c r="O1138" s="145" t="inlineStr">
        <is>
          <t>No</t>
        </is>
      </c>
      <c r="P1138" s="145" t="n"/>
      <c r="Q1138" s="145" t="n"/>
      <c r="R1138" s="145" t="n"/>
      <c r="S1138" s="145" t="n">
        <v>52.6567164179104</v>
      </c>
      <c r="T1138" s="145" t="n"/>
      <c r="U1138" s="145" t="inlineStr">
        <is>
          <t>No</t>
        </is>
      </c>
      <c r="V1138" s="145" t="inlineStr">
        <is>
          <t>Visible</t>
        </is>
      </c>
      <c r="W1138" s="145" t="n"/>
      <c r="X1138" s="145" t="inlineStr">
        <is>
          <t>Mixed styles within used column</t>
        </is>
      </c>
    </row>
    <row r="1139" ht="23.85" customHeight="1" s="79">
      <c r="A1139" s="145" t="inlineStr">
        <is>
          <t>PPO_DATA</t>
        </is>
      </c>
      <c r="B1139" s="145" t="inlineStr">
        <is>
          <t>Top-Row Cell Format</t>
        </is>
      </c>
      <c r="C1139" s="145" t="inlineStr">
        <is>
          <t>F1</t>
        </is>
      </c>
      <c r="D1139" s="145" t="inlineStr">
        <is>
          <t>PPO_DATA!A1:AM3957</t>
        </is>
      </c>
      <c r="E1139" s="145" t="inlineStr">
        <is>
          <t>Normal</t>
        </is>
      </c>
      <c r="F1139" s="145" t="inlineStr">
        <is>
          <t>#2F75B5</t>
        </is>
      </c>
      <c r="G1139" s="145" t="inlineStr">
        <is>
          <t>Aptos</t>
        </is>
      </c>
      <c r="H1139" s="145" t="n">
        <v>8</v>
      </c>
      <c r="I1139" s="145" t="inlineStr">
        <is>
          <t>Yes</t>
        </is>
      </c>
      <c r="J1139" s="145" t="inlineStr">
        <is>
          <t>No</t>
        </is>
      </c>
      <c r="K1139" s="145" t="inlineStr">
        <is>
          <t>None</t>
        </is>
      </c>
      <c r="L1139" s="145" t="inlineStr">
        <is>
          <t>#FFFF00</t>
        </is>
      </c>
      <c r="M1139" s="145" t="inlineStr">
        <is>
          <t>General</t>
        </is>
      </c>
      <c r="N1139" s="145" t="inlineStr">
        <is>
          <t>Center</t>
        </is>
      </c>
      <c r="O1139" s="145" t="inlineStr">
        <is>
          <t>No</t>
        </is>
      </c>
      <c r="P1139" s="145" t="inlineStr">
        <is>
          <t>General</t>
        </is>
      </c>
      <c r="Q1139" s="145" t="inlineStr">
        <is>
          <t>General</t>
        </is>
      </c>
      <c r="R1139" s="145" t="n"/>
      <c r="S1139" s="145" t="n"/>
      <c r="T1139" s="145" t="n"/>
      <c r="U1139" s="145" t="n"/>
      <c r="V1139" s="145" t="n"/>
      <c r="W1139" s="145" t="n"/>
      <c r="X1139" s="145" t="inlineStr">
        <is>
          <t>Detailed format sample from top five used rows</t>
        </is>
      </c>
    </row>
    <row r="1140" ht="23.85" customHeight="1" s="79">
      <c r="A1140" s="145" t="inlineStr">
        <is>
          <t>PPO_DATA</t>
        </is>
      </c>
      <c r="B1140" s="145" t="inlineStr">
        <is>
          <t>Top-Row Cell Format</t>
        </is>
      </c>
      <c r="C1140" s="145" t="inlineStr">
        <is>
          <t>F2</t>
        </is>
      </c>
      <c r="D1140" s="145" t="inlineStr">
        <is>
          <t>PPO_DATA!A1:AM3957</t>
        </is>
      </c>
      <c r="E1140" s="145" t="inlineStr">
        <is>
          <t>Normal</t>
        </is>
      </c>
      <c r="F1140" s="145" t="n"/>
      <c r="G1140" s="145" t="inlineStr">
        <is>
          <t>Aptos</t>
        </is>
      </c>
      <c r="H1140" s="145" t="n">
        <v>8</v>
      </c>
      <c r="I1140" s="145" t="inlineStr">
        <is>
          <t>No</t>
        </is>
      </c>
      <c r="J1140" s="145" t="inlineStr">
        <is>
          <t>No</t>
        </is>
      </c>
      <c r="K1140" s="145" t="inlineStr">
        <is>
          <t>None</t>
        </is>
      </c>
      <c r="L1140" s="145" t="inlineStr">
        <is>
          <t>#000000</t>
        </is>
      </c>
      <c r="M1140" s="145" t="inlineStr">
        <is>
          <t>General</t>
        </is>
      </c>
      <c r="N1140" s="145" t="inlineStr">
        <is>
          <t>Center</t>
        </is>
      </c>
      <c r="O1140" s="145" t="inlineStr">
        <is>
          <t>No</t>
        </is>
      </c>
      <c r="P1140" s="145" t="inlineStr">
        <is>
          <t>d-mmm-yy</t>
        </is>
      </c>
      <c r="Q1140" s="145" t="inlineStr">
        <is>
          <t>Date / Time</t>
        </is>
      </c>
      <c r="R1140" s="145" t="n"/>
      <c r="S1140" s="145" t="n"/>
      <c r="T1140" s="145" t="n"/>
      <c r="U1140" s="145" t="n"/>
      <c r="V1140" s="145" t="n"/>
      <c r="W1140" s="145" t="n"/>
      <c r="X1140" s="145" t="inlineStr">
        <is>
          <t>Detailed format sample from top five used rows</t>
        </is>
      </c>
    </row>
    <row r="1141" ht="23.85" customHeight="1" s="79">
      <c r="A1141" s="145" t="inlineStr">
        <is>
          <t>PPO_DATA</t>
        </is>
      </c>
      <c r="B1141" s="145" t="inlineStr">
        <is>
          <t>Top-Row Cell Format</t>
        </is>
      </c>
      <c r="C1141" s="145" t="inlineStr">
        <is>
          <t>F3</t>
        </is>
      </c>
      <c r="D1141" s="145" t="inlineStr">
        <is>
          <t>PPO_DATA!A1:AM3957</t>
        </is>
      </c>
      <c r="E1141" s="145" t="inlineStr">
        <is>
          <t>Normal</t>
        </is>
      </c>
      <c r="F1141" s="145" t="n"/>
      <c r="G1141" s="145" t="inlineStr">
        <is>
          <t>Aptos</t>
        </is>
      </c>
      <c r="H1141" s="145" t="n">
        <v>8</v>
      </c>
      <c r="I1141" s="145" t="inlineStr">
        <is>
          <t>No</t>
        </is>
      </c>
      <c r="J1141" s="145" t="inlineStr">
        <is>
          <t>No</t>
        </is>
      </c>
      <c r="K1141" s="145" t="inlineStr">
        <is>
          <t>None</t>
        </is>
      </c>
      <c r="L1141" s="145" t="inlineStr">
        <is>
          <t>#000000</t>
        </is>
      </c>
      <c r="M1141" s="145" t="inlineStr">
        <is>
          <t>General</t>
        </is>
      </c>
      <c r="N1141" s="145" t="inlineStr">
        <is>
          <t>Center</t>
        </is>
      </c>
      <c r="O1141" s="145" t="inlineStr">
        <is>
          <t>No</t>
        </is>
      </c>
      <c r="P1141" s="145" t="inlineStr">
        <is>
          <t>d-mmm-yy</t>
        </is>
      </c>
      <c r="Q1141" s="145" t="inlineStr">
        <is>
          <t>Date / Time</t>
        </is>
      </c>
      <c r="R1141" s="145" t="n"/>
      <c r="S1141" s="145" t="n"/>
      <c r="T1141" s="145" t="n"/>
      <c r="U1141" s="145" t="n"/>
      <c r="V1141" s="145" t="n"/>
      <c r="W1141" s="145" t="n"/>
      <c r="X1141" s="145" t="inlineStr">
        <is>
          <t>Detailed format sample from top five used rows</t>
        </is>
      </c>
    </row>
    <row r="1142" ht="23.85" customHeight="1" s="79">
      <c r="A1142" s="145" t="inlineStr">
        <is>
          <t>PPO_DATA</t>
        </is>
      </c>
      <c r="B1142" s="145" t="inlineStr">
        <is>
          <t>Top-Row Cell Format</t>
        </is>
      </c>
      <c r="C1142" s="145" t="inlineStr">
        <is>
          <t>F4</t>
        </is>
      </c>
      <c r="D1142" s="145" t="inlineStr">
        <is>
          <t>PPO_DATA!A1:AM3957</t>
        </is>
      </c>
      <c r="E1142" s="145" t="inlineStr">
        <is>
          <t>Normal</t>
        </is>
      </c>
      <c r="F1142" s="145" t="n"/>
      <c r="G1142" s="145" t="inlineStr">
        <is>
          <t>Aptos</t>
        </is>
      </c>
      <c r="H1142" s="145" t="n">
        <v>8</v>
      </c>
      <c r="I1142" s="145" t="inlineStr">
        <is>
          <t>No</t>
        </is>
      </c>
      <c r="J1142" s="145" t="inlineStr">
        <is>
          <t>No</t>
        </is>
      </c>
      <c r="K1142" s="145" t="inlineStr">
        <is>
          <t>None</t>
        </is>
      </c>
      <c r="L1142" s="145" t="inlineStr">
        <is>
          <t>#000000</t>
        </is>
      </c>
      <c r="M1142" s="145" t="inlineStr">
        <is>
          <t>General</t>
        </is>
      </c>
      <c r="N1142" s="145" t="inlineStr">
        <is>
          <t>Center</t>
        </is>
      </c>
      <c r="O1142" s="145" t="inlineStr">
        <is>
          <t>No</t>
        </is>
      </c>
      <c r="P1142" s="145" t="inlineStr">
        <is>
          <t>d-mmm-yy</t>
        </is>
      </c>
      <c r="Q1142" s="145" t="inlineStr">
        <is>
          <t>Date / Time</t>
        </is>
      </c>
      <c r="R1142" s="145" t="n"/>
      <c r="S1142" s="145" t="n"/>
      <c r="T1142" s="145" t="n"/>
      <c r="U1142" s="145" t="n"/>
      <c r="V1142" s="145" t="n"/>
      <c r="W1142" s="145" t="n"/>
      <c r="X1142" s="145" t="inlineStr">
        <is>
          <t>Detailed format sample from top five used rows</t>
        </is>
      </c>
    </row>
    <row r="1143" ht="23.85" customHeight="1" s="79">
      <c r="A1143" s="145" t="inlineStr">
        <is>
          <t>PPO_DATA</t>
        </is>
      </c>
      <c r="B1143" s="145" t="inlineStr">
        <is>
          <t>Top-Row Cell Format</t>
        </is>
      </c>
      <c r="C1143" s="145" t="inlineStr">
        <is>
          <t>F5</t>
        </is>
      </c>
      <c r="D1143" s="145" t="inlineStr">
        <is>
          <t>PPO_DATA!A1:AM3957</t>
        </is>
      </c>
      <c r="E1143" s="145" t="inlineStr">
        <is>
          <t>Normal</t>
        </is>
      </c>
      <c r="F1143" s="145" t="n"/>
      <c r="G1143" s="145" t="inlineStr">
        <is>
          <t>Aptos</t>
        </is>
      </c>
      <c r="H1143" s="145" t="n">
        <v>8</v>
      </c>
      <c r="I1143" s="145" t="inlineStr">
        <is>
          <t>No</t>
        </is>
      </c>
      <c r="J1143" s="145" t="inlineStr">
        <is>
          <t>No</t>
        </is>
      </c>
      <c r="K1143" s="145" t="inlineStr">
        <is>
          <t>None</t>
        </is>
      </c>
      <c r="L1143" s="145" t="inlineStr">
        <is>
          <t>#000000</t>
        </is>
      </c>
      <c r="M1143" s="145" t="inlineStr">
        <is>
          <t>General</t>
        </is>
      </c>
      <c r="N1143" s="145" t="inlineStr">
        <is>
          <t>Center</t>
        </is>
      </c>
      <c r="O1143" s="145" t="inlineStr">
        <is>
          <t>No</t>
        </is>
      </c>
      <c r="P1143" s="145" t="inlineStr">
        <is>
          <t>d-mmm-yy</t>
        </is>
      </c>
      <c r="Q1143" s="145" t="inlineStr">
        <is>
          <t>Date / Time</t>
        </is>
      </c>
      <c r="R1143" s="145" t="n"/>
      <c r="S1143" s="145" t="n"/>
      <c r="T1143" s="145" t="n"/>
      <c r="U1143" s="145" t="n"/>
      <c r="V1143" s="145" t="n"/>
      <c r="W1143" s="145" t="n"/>
      <c r="X1143" s="145" t="inlineStr">
        <is>
          <t>Detailed format sample from top five used rows</t>
        </is>
      </c>
    </row>
    <row r="1144" ht="23.85" customHeight="1" s="79">
      <c r="A1144" s="145" t="inlineStr">
        <is>
          <t>PPO_DATA</t>
        </is>
      </c>
      <c r="B1144" s="145" t="inlineStr">
        <is>
          <t>Column Format</t>
        </is>
      </c>
      <c r="C1144" s="145" t="inlineStr">
        <is>
          <t>G:G</t>
        </is>
      </c>
      <c r="D1144" s="145" t="inlineStr">
        <is>
          <t>PPO_DATA!A1:AM3957</t>
        </is>
      </c>
      <c r="E1144" s="145" t="inlineStr">
        <is>
          <t>Normal</t>
        </is>
      </c>
      <c r="F1144" s="145" t="inlineStr">
        <is>
          <t>Mixed</t>
        </is>
      </c>
      <c r="G1144" s="145" t="inlineStr">
        <is>
          <t>Aptos</t>
        </is>
      </c>
      <c r="H1144" s="145" t="n">
        <v>8</v>
      </c>
      <c r="I1144" s="145" t="inlineStr">
        <is>
          <t>Mixed</t>
        </is>
      </c>
      <c r="J1144" s="145" t="inlineStr">
        <is>
          <t>No</t>
        </is>
      </c>
      <c r="K1144" s="145" t="inlineStr">
        <is>
          <t>None</t>
        </is>
      </c>
      <c r="L1144" s="145" t="inlineStr">
        <is>
          <t>Mixed</t>
        </is>
      </c>
      <c r="M1144" s="145" t="inlineStr">
        <is>
          <t>General</t>
        </is>
      </c>
      <c r="N1144" s="145" t="inlineStr">
        <is>
          <t>Center</t>
        </is>
      </c>
      <c r="O1144" s="145" t="inlineStr">
        <is>
          <t>No</t>
        </is>
      </c>
      <c r="P1144" s="145" t="n"/>
      <c r="Q1144" s="145" t="n"/>
      <c r="R1144" s="145" t="n"/>
      <c r="S1144" s="145" t="n">
        <v>55.3432835820896</v>
      </c>
      <c r="T1144" s="145" t="n"/>
      <c r="U1144" s="145" t="inlineStr">
        <is>
          <t>No</t>
        </is>
      </c>
      <c r="V1144" s="145" t="inlineStr">
        <is>
          <t>Visible</t>
        </is>
      </c>
      <c r="W1144" s="145" t="n"/>
      <c r="X1144" s="145" t="inlineStr">
        <is>
          <t>Mixed styles within used column</t>
        </is>
      </c>
    </row>
    <row r="1145" ht="23.85" customHeight="1" s="79">
      <c r="A1145" s="145" t="inlineStr">
        <is>
          <t>PPO_DATA</t>
        </is>
      </c>
      <c r="B1145" s="145" t="inlineStr">
        <is>
          <t>Top-Row Cell Format</t>
        </is>
      </c>
      <c r="C1145" s="145" t="inlineStr">
        <is>
          <t>G1</t>
        </is>
      </c>
      <c r="D1145" s="145" t="inlineStr">
        <is>
          <t>PPO_DATA!A1:AM3957</t>
        </is>
      </c>
      <c r="E1145" s="145" t="inlineStr">
        <is>
          <t>Normal</t>
        </is>
      </c>
      <c r="F1145" s="145" t="inlineStr">
        <is>
          <t>#BF8F00</t>
        </is>
      </c>
      <c r="G1145" s="145" t="inlineStr">
        <is>
          <t>Aptos</t>
        </is>
      </c>
      <c r="H1145" s="145" t="n">
        <v>8</v>
      </c>
      <c r="I1145" s="145" t="inlineStr">
        <is>
          <t>Yes</t>
        </is>
      </c>
      <c r="J1145" s="145" t="inlineStr">
        <is>
          <t>No</t>
        </is>
      </c>
      <c r="K1145" s="145" t="inlineStr">
        <is>
          <t>None</t>
        </is>
      </c>
      <c r="L1145" s="145" t="inlineStr">
        <is>
          <t>#FFFF00</t>
        </is>
      </c>
      <c r="M1145" s="145" t="inlineStr">
        <is>
          <t>General</t>
        </is>
      </c>
      <c r="N1145" s="145" t="inlineStr">
        <is>
          <t>Center</t>
        </is>
      </c>
      <c r="O1145" s="145" t="inlineStr">
        <is>
          <t>No</t>
        </is>
      </c>
      <c r="P1145" s="145" t="inlineStr">
        <is>
          <t>General</t>
        </is>
      </c>
      <c r="Q1145" s="145" t="inlineStr">
        <is>
          <t>General</t>
        </is>
      </c>
      <c r="R1145" s="145" t="n"/>
      <c r="S1145" s="145" t="n"/>
      <c r="T1145" s="145" t="n"/>
      <c r="U1145" s="145" t="n"/>
      <c r="V1145" s="145" t="n"/>
      <c r="W1145" s="145" t="n"/>
      <c r="X1145" s="145" t="inlineStr">
        <is>
          <t>Detailed format sample from top five used rows</t>
        </is>
      </c>
    </row>
    <row r="1146" ht="23.85" customHeight="1" s="79">
      <c r="A1146" s="145" t="inlineStr">
        <is>
          <t>PPO_DATA</t>
        </is>
      </c>
      <c r="B1146" s="145" t="inlineStr">
        <is>
          <t>Top-Row Cell Format</t>
        </is>
      </c>
      <c r="C1146" s="145" t="inlineStr">
        <is>
          <t>G2</t>
        </is>
      </c>
      <c r="D1146" s="145" t="inlineStr">
        <is>
          <t>PPO_DATA!A1:AM3957</t>
        </is>
      </c>
      <c r="E1146" s="145" t="inlineStr">
        <is>
          <t>Normal</t>
        </is>
      </c>
      <c r="F1146" s="145" t="n"/>
      <c r="G1146" s="145" t="inlineStr">
        <is>
          <t>Aptos</t>
        </is>
      </c>
      <c r="H1146" s="145" t="n">
        <v>8</v>
      </c>
      <c r="I1146" s="145" t="inlineStr">
        <is>
          <t>No</t>
        </is>
      </c>
      <c r="J1146" s="145" t="inlineStr">
        <is>
          <t>No</t>
        </is>
      </c>
      <c r="K1146" s="145" t="inlineStr">
        <is>
          <t>None</t>
        </is>
      </c>
      <c r="L1146" s="145" t="inlineStr">
        <is>
          <t>#000000</t>
        </is>
      </c>
      <c r="M1146" s="145" t="inlineStr">
        <is>
          <t>General</t>
        </is>
      </c>
      <c r="N1146" s="145" t="inlineStr">
        <is>
          <t>Center</t>
        </is>
      </c>
      <c r="O1146" s="145" t="inlineStr">
        <is>
          <t>No</t>
        </is>
      </c>
      <c r="P1146" s="145" t="inlineStr">
        <is>
          <t>d-mmm-yy</t>
        </is>
      </c>
      <c r="Q1146" s="145" t="inlineStr">
        <is>
          <t>Date / Time</t>
        </is>
      </c>
      <c r="R1146" s="145" t="n"/>
      <c r="S1146" s="145" t="n"/>
      <c r="T1146" s="145" t="n"/>
      <c r="U1146" s="145" t="n"/>
      <c r="V1146" s="145" t="n"/>
      <c r="W1146" s="145" t="n"/>
      <c r="X1146" s="145" t="inlineStr">
        <is>
          <t>Detailed format sample from top five used rows</t>
        </is>
      </c>
    </row>
    <row r="1147" ht="23.85" customHeight="1" s="79">
      <c r="A1147" s="145" t="inlineStr">
        <is>
          <t>PPO_DATA</t>
        </is>
      </c>
      <c r="B1147" s="145" t="inlineStr">
        <is>
          <t>Top-Row Cell Format</t>
        </is>
      </c>
      <c r="C1147" s="145" t="inlineStr">
        <is>
          <t>G3</t>
        </is>
      </c>
      <c r="D1147" s="145" t="inlineStr">
        <is>
          <t>PPO_DATA!A1:AM3957</t>
        </is>
      </c>
      <c r="E1147" s="145" t="inlineStr">
        <is>
          <t>Normal</t>
        </is>
      </c>
      <c r="F1147" s="145" t="n"/>
      <c r="G1147" s="145" t="inlineStr">
        <is>
          <t>Aptos</t>
        </is>
      </c>
      <c r="H1147" s="145" t="n">
        <v>8</v>
      </c>
      <c r="I1147" s="145" t="inlineStr">
        <is>
          <t>No</t>
        </is>
      </c>
      <c r="J1147" s="145" t="inlineStr">
        <is>
          <t>No</t>
        </is>
      </c>
      <c r="K1147" s="145" t="inlineStr">
        <is>
          <t>None</t>
        </is>
      </c>
      <c r="L1147" s="145" t="inlineStr">
        <is>
          <t>#000000</t>
        </is>
      </c>
      <c r="M1147" s="145" t="inlineStr">
        <is>
          <t>General</t>
        </is>
      </c>
      <c r="N1147" s="145" t="inlineStr">
        <is>
          <t>Center</t>
        </is>
      </c>
      <c r="O1147" s="145" t="inlineStr">
        <is>
          <t>No</t>
        </is>
      </c>
      <c r="P1147" s="145" t="inlineStr">
        <is>
          <t>d-mmm-yy</t>
        </is>
      </c>
      <c r="Q1147" s="145" t="inlineStr">
        <is>
          <t>Date / Time</t>
        </is>
      </c>
      <c r="R1147" s="145" t="n"/>
      <c r="S1147" s="145" t="n"/>
      <c r="T1147" s="145" t="n"/>
      <c r="U1147" s="145" t="n"/>
      <c r="V1147" s="145" t="n"/>
      <c r="W1147" s="145" t="n"/>
      <c r="X1147" s="145" t="inlineStr">
        <is>
          <t>Detailed format sample from top five used rows</t>
        </is>
      </c>
    </row>
    <row r="1148" ht="23.85" customHeight="1" s="79">
      <c r="A1148" s="145" t="inlineStr">
        <is>
          <t>PPO_DATA</t>
        </is>
      </c>
      <c r="B1148" s="145" t="inlineStr">
        <is>
          <t>Top-Row Cell Format</t>
        </is>
      </c>
      <c r="C1148" s="145" t="inlineStr">
        <is>
          <t>G4</t>
        </is>
      </c>
      <c r="D1148" s="145" t="inlineStr">
        <is>
          <t>PPO_DATA!A1:AM3957</t>
        </is>
      </c>
      <c r="E1148" s="145" t="inlineStr">
        <is>
          <t>Normal</t>
        </is>
      </c>
      <c r="F1148" s="145" t="n"/>
      <c r="G1148" s="145" t="inlineStr">
        <is>
          <t>Aptos</t>
        </is>
      </c>
      <c r="H1148" s="145" t="n">
        <v>8</v>
      </c>
      <c r="I1148" s="145" t="inlineStr">
        <is>
          <t>No</t>
        </is>
      </c>
      <c r="J1148" s="145" t="inlineStr">
        <is>
          <t>No</t>
        </is>
      </c>
      <c r="K1148" s="145" t="inlineStr">
        <is>
          <t>None</t>
        </is>
      </c>
      <c r="L1148" s="145" t="inlineStr">
        <is>
          <t>#000000</t>
        </is>
      </c>
      <c r="M1148" s="145" t="inlineStr">
        <is>
          <t>General</t>
        </is>
      </c>
      <c r="N1148" s="145" t="inlineStr">
        <is>
          <t>Center</t>
        </is>
      </c>
      <c r="O1148" s="145" t="inlineStr">
        <is>
          <t>No</t>
        </is>
      </c>
      <c r="P1148" s="145" t="inlineStr">
        <is>
          <t>d-mmm-yy</t>
        </is>
      </c>
      <c r="Q1148" s="145" t="inlineStr">
        <is>
          <t>Date / Time</t>
        </is>
      </c>
      <c r="R1148" s="145" t="n"/>
      <c r="S1148" s="145" t="n"/>
      <c r="T1148" s="145" t="n"/>
      <c r="U1148" s="145" t="n"/>
      <c r="V1148" s="145" t="n"/>
      <c r="W1148" s="145" t="n"/>
      <c r="X1148" s="145" t="inlineStr">
        <is>
          <t>Detailed format sample from top five used rows</t>
        </is>
      </c>
    </row>
    <row r="1149" ht="23.85" customHeight="1" s="79">
      <c r="A1149" s="145" t="inlineStr">
        <is>
          <t>PPO_DATA</t>
        </is>
      </c>
      <c r="B1149" s="145" t="inlineStr">
        <is>
          <t>Top-Row Cell Format</t>
        </is>
      </c>
      <c r="C1149" s="145" t="inlineStr">
        <is>
          <t>G5</t>
        </is>
      </c>
      <c r="D1149" s="145" t="inlineStr">
        <is>
          <t>PPO_DATA!A1:AM3957</t>
        </is>
      </c>
      <c r="E1149" s="145" t="inlineStr">
        <is>
          <t>Normal</t>
        </is>
      </c>
      <c r="F1149" s="145" t="n"/>
      <c r="G1149" s="145" t="inlineStr">
        <is>
          <t>Aptos</t>
        </is>
      </c>
      <c r="H1149" s="145" t="n">
        <v>8</v>
      </c>
      <c r="I1149" s="145" t="inlineStr">
        <is>
          <t>No</t>
        </is>
      </c>
      <c r="J1149" s="145" t="inlineStr">
        <is>
          <t>No</t>
        </is>
      </c>
      <c r="K1149" s="145" t="inlineStr">
        <is>
          <t>None</t>
        </is>
      </c>
      <c r="L1149" s="145" t="inlineStr">
        <is>
          <t>#000000</t>
        </is>
      </c>
      <c r="M1149" s="145" t="inlineStr">
        <is>
          <t>General</t>
        </is>
      </c>
      <c r="N1149" s="145" t="inlineStr">
        <is>
          <t>Center</t>
        </is>
      </c>
      <c r="O1149" s="145" t="inlineStr">
        <is>
          <t>No</t>
        </is>
      </c>
      <c r="P1149" s="145" t="inlineStr">
        <is>
          <t>d-mmm-yy</t>
        </is>
      </c>
      <c r="Q1149" s="145" t="inlineStr">
        <is>
          <t>Date / Time</t>
        </is>
      </c>
      <c r="R1149" s="145" t="n"/>
      <c r="S1149" s="145" t="n"/>
      <c r="T1149" s="145" t="n"/>
      <c r="U1149" s="145" t="n"/>
      <c r="V1149" s="145" t="n"/>
      <c r="W1149" s="145" t="n"/>
      <c r="X1149" s="145" t="inlineStr">
        <is>
          <t>Detailed format sample from top five used rows</t>
        </is>
      </c>
    </row>
    <row r="1150" ht="23.85" customHeight="1" s="79">
      <c r="A1150" s="145" t="inlineStr">
        <is>
          <t>PPO_DATA</t>
        </is>
      </c>
      <c r="B1150" s="145" t="inlineStr">
        <is>
          <t>Column Format</t>
        </is>
      </c>
      <c r="C1150" s="145" t="inlineStr">
        <is>
          <t>H:H</t>
        </is>
      </c>
      <c r="D1150" s="145" t="inlineStr">
        <is>
          <t>PPO_DATA!A1:AM3957</t>
        </is>
      </c>
      <c r="E1150" s="145" t="inlineStr">
        <is>
          <t>Normal</t>
        </is>
      </c>
      <c r="F1150" s="145" t="inlineStr">
        <is>
          <t>Mixed</t>
        </is>
      </c>
      <c r="G1150" s="145" t="inlineStr">
        <is>
          <t>Aptos</t>
        </is>
      </c>
      <c r="H1150" s="145" t="n">
        <v>8</v>
      </c>
      <c r="I1150" s="145" t="inlineStr">
        <is>
          <t>Mixed</t>
        </is>
      </c>
      <c r="J1150" s="145" t="inlineStr">
        <is>
          <t>No</t>
        </is>
      </c>
      <c r="K1150" s="145" t="inlineStr">
        <is>
          <t>None</t>
        </is>
      </c>
      <c r="L1150" s="145" t="inlineStr">
        <is>
          <t>Mixed</t>
        </is>
      </c>
      <c r="M1150" s="145" t="inlineStr">
        <is>
          <t>Mixed</t>
        </is>
      </c>
      <c r="N1150" s="145" t="inlineStr">
        <is>
          <t>Center</t>
        </is>
      </c>
      <c r="O1150" s="145" t="inlineStr">
        <is>
          <t>No</t>
        </is>
      </c>
      <c r="P1150" s="145" t="n"/>
      <c r="Q1150" s="145" t="n"/>
      <c r="R1150" s="145" t="n"/>
      <c r="S1150" s="145" t="n">
        <v>70.9253731343284</v>
      </c>
      <c r="T1150" s="145" t="n"/>
      <c r="U1150" s="145" t="inlineStr">
        <is>
          <t>No</t>
        </is>
      </c>
      <c r="V1150" s="145" t="inlineStr">
        <is>
          <t>Visible</t>
        </is>
      </c>
      <c r="W1150" s="145" t="n"/>
      <c r="X1150" s="145" t="inlineStr">
        <is>
          <t>Mixed styles within used column</t>
        </is>
      </c>
    </row>
    <row r="1151" ht="23.85" customHeight="1" s="79">
      <c r="A1151" s="145" t="inlineStr">
        <is>
          <t>PPO_DATA</t>
        </is>
      </c>
      <c r="B1151" s="145" t="inlineStr">
        <is>
          <t>Top-Row Cell Format</t>
        </is>
      </c>
      <c r="C1151" s="145" t="inlineStr">
        <is>
          <t>H1</t>
        </is>
      </c>
      <c r="D1151" s="145" t="inlineStr">
        <is>
          <t>PPO_DATA!A1:AM3957</t>
        </is>
      </c>
      <c r="E1151" s="145" t="inlineStr">
        <is>
          <t>Normal</t>
        </is>
      </c>
      <c r="F1151" s="145" t="inlineStr">
        <is>
          <t>#BF8F00</t>
        </is>
      </c>
      <c r="G1151" s="145" t="inlineStr">
        <is>
          <t>Aptos</t>
        </is>
      </c>
      <c r="H1151" s="145" t="n">
        <v>8</v>
      </c>
      <c r="I1151" s="145" t="inlineStr">
        <is>
          <t>Yes</t>
        </is>
      </c>
      <c r="J1151" s="145" t="inlineStr">
        <is>
          <t>No</t>
        </is>
      </c>
      <c r="K1151" s="145" t="inlineStr">
        <is>
          <t>None</t>
        </is>
      </c>
      <c r="L1151" s="145" t="inlineStr">
        <is>
          <t>#FFFF00</t>
        </is>
      </c>
      <c r="M1151" s="145" t="inlineStr">
        <is>
          <t>General</t>
        </is>
      </c>
      <c r="N1151" s="145" t="inlineStr">
        <is>
          <t>Center</t>
        </is>
      </c>
      <c r="O1151" s="145" t="inlineStr">
        <is>
          <t>No</t>
        </is>
      </c>
      <c r="P1151" s="145" t="inlineStr">
        <is>
          <t>General</t>
        </is>
      </c>
      <c r="Q1151" s="145" t="inlineStr">
        <is>
          <t>General</t>
        </is>
      </c>
      <c r="R1151" s="145" t="n"/>
      <c r="S1151" s="145" t="n"/>
      <c r="T1151" s="145" t="n"/>
      <c r="U1151" s="145" t="n"/>
      <c r="V1151" s="145" t="n"/>
      <c r="W1151" s="145" t="n"/>
      <c r="X1151" s="145" t="inlineStr">
        <is>
          <t>Detailed format sample from top five used rows</t>
        </is>
      </c>
    </row>
    <row r="1152" ht="23.85" customHeight="1" s="79">
      <c r="A1152" s="145" t="inlineStr">
        <is>
          <t>PPO_DATA</t>
        </is>
      </c>
      <c r="B1152" s="145" t="inlineStr">
        <is>
          <t>Top-Row Cell Format</t>
        </is>
      </c>
      <c r="C1152" s="145" t="inlineStr">
        <is>
          <t>H2</t>
        </is>
      </c>
      <c r="D1152" s="145" t="inlineStr">
        <is>
          <t>PPO_DATA!A1:AM3957</t>
        </is>
      </c>
      <c r="E1152" s="145" t="inlineStr">
        <is>
          <t>Normal</t>
        </is>
      </c>
      <c r="F1152" s="145" t="n"/>
      <c r="G1152" s="145" t="inlineStr">
        <is>
          <t>Aptos</t>
        </is>
      </c>
      <c r="H1152" s="145" t="n">
        <v>8</v>
      </c>
      <c r="I1152" s="145" t="inlineStr">
        <is>
          <t>No</t>
        </is>
      </c>
      <c r="J1152" s="145" t="inlineStr">
        <is>
          <t>No</t>
        </is>
      </c>
      <c r="K1152" s="145" t="inlineStr">
        <is>
          <t>None</t>
        </is>
      </c>
      <c r="L1152" s="145" t="inlineStr">
        <is>
          <t>#000000</t>
        </is>
      </c>
      <c r="M1152" s="145" t="inlineStr">
        <is>
          <t>Center</t>
        </is>
      </c>
      <c r="N1152" s="145" t="inlineStr">
        <is>
          <t>Center</t>
        </is>
      </c>
      <c r="O1152" s="145" t="inlineStr">
        <is>
          <t>No</t>
        </is>
      </c>
      <c r="P1152" s="145" t="inlineStr">
        <is>
          <t>mmm-yy</t>
        </is>
      </c>
      <c r="Q1152" s="145" t="inlineStr">
        <is>
          <t>Date / Time</t>
        </is>
      </c>
      <c r="R1152" s="145" t="n"/>
      <c r="S1152" s="145" t="n"/>
      <c r="T1152" s="145" t="n"/>
      <c r="U1152" s="145" t="n"/>
      <c r="V1152" s="145" t="n"/>
      <c r="W1152" s="145" t="n"/>
      <c r="X1152" s="145" t="inlineStr">
        <is>
          <t>Detailed format sample from top five used rows</t>
        </is>
      </c>
    </row>
    <row r="1153" ht="23.85" customHeight="1" s="79">
      <c r="A1153" s="145" t="inlineStr">
        <is>
          <t>PPO_DATA</t>
        </is>
      </c>
      <c r="B1153" s="145" t="inlineStr">
        <is>
          <t>Top-Row Cell Format</t>
        </is>
      </c>
      <c r="C1153" s="145" t="inlineStr">
        <is>
          <t>H3</t>
        </is>
      </c>
      <c r="D1153" s="145" t="inlineStr">
        <is>
          <t>PPO_DATA!A1:AM3957</t>
        </is>
      </c>
      <c r="E1153" s="145" t="inlineStr">
        <is>
          <t>Normal</t>
        </is>
      </c>
      <c r="F1153" s="145" t="n"/>
      <c r="G1153" s="145" t="inlineStr">
        <is>
          <t>Aptos</t>
        </is>
      </c>
      <c r="H1153" s="145" t="n">
        <v>8</v>
      </c>
      <c r="I1153" s="145" t="inlineStr">
        <is>
          <t>No</t>
        </is>
      </c>
      <c r="J1153" s="145" t="inlineStr">
        <is>
          <t>No</t>
        </is>
      </c>
      <c r="K1153" s="145" t="inlineStr">
        <is>
          <t>None</t>
        </is>
      </c>
      <c r="L1153" s="145" t="inlineStr">
        <is>
          <t>#000000</t>
        </is>
      </c>
      <c r="M1153" s="145" t="inlineStr">
        <is>
          <t>Center</t>
        </is>
      </c>
      <c r="N1153" s="145" t="inlineStr">
        <is>
          <t>Center</t>
        </is>
      </c>
      <c r="O1153" s="145" t="inlineStr">
        <is>
          <t>No</t>
        </is>
      </c>
      <c r="P1153" s="145" t="inlineStr">
        <is>
          <t>mmm-yy</t>
        </is>
      </c>
      <c r="Q1153" s="145" t="inlineStr">
        <is>
          <t>Date / Time</t>
        </is>
      </c>
      <c r="R1153" s="145" t="n"/>
      <c r="S1153" s="145" t="n"/>
      <c r="T1153" s="145" t="n"/>
      <c r="U1153" s="145" t="n"/>
      <c r="V1153" s="145" t="n"/>
      <c r="W1153" s="145" t="n"/>
      <c r="X1153" s="145" t="inlineStr">
        <is>
          <t>Detailed format sample from top five used rows</t>
        </is>
      </c>
    </row>
    <row r="1154" ht="23.85" customHeight="1" s="79">
      <c r="A1154" s="145" t="inlineStr">
        <is>
          <t>PPO_DATA</t>
        </is>
      </c>
      <c r="B1154" s="145" t="inlineStr">
        <is>
          <t>Top-Row Cell Format</t>
        </is>
      </c>
      <c r="C1154" s="145" t="inlineStr">
        <is>
          <t>H4</t>
        </is>
      </c>
      <c r="D1154" s="145" t="inlineStr">
        <is>
          <t>PPO_DATA!A1:AM3957</t>
        </is>
      </c>
      <c r="E1154" s="145" t="inlineStr">
        <is>
          <t>Normal</t>
        </is>
      </c>
      <c r="F1154" s="145" t="n"/>
      <c r="G1154" s="145" t="inlineStr">
        <is>
          <t>Aptos</t>
        </is>
      </c>
      <c r="H1154" s="145" t="n">
        <v>8</v>
      </c>
      <c r="I1154" s="145" t="inlineStr">
        <is>
          <t>No</t>
        </is>
      </c>
      <c r="J1154" s="145" t="inlineStr">
        <is>
          <t>No</t>
        </is>
      </c>
      <c r="K1154" s="145" t="inlineStr">
        <is>
          <t>None</t>
        </is>
      </c>
      <c r="L1154" s="145" t="inlineStr">
        <is>
          <t>#000000</t>
        </is>
      </c>
      <c r="M1154" s="145" t="inlineStr">
        <is>
          <t>Center</t>
        </is>
      </c>
      <c r="N1154" s="145" t="inlineStr">
        <is>
          <t>Center</t>
        </is>
      </c>
      <c r="O1154" s="145" t="inlineStr">
        <is>
          <t>No</t>
        </is>
      </c>
      <c r="P1154" s="145" t="inlineStr">
        <is>
          <t>mmm-yy</t>
        </is>
      </c>
      <c r="Q1154" s="145" t="inlineStr">
        <is>
          <t>Date / Time</t>
        </is>
      </c>
      <c r="R1154" s="145" t="n"/>
      <c r="S1154" s="145" t="n"/>
      <c r="T1154" s="145" t="n"/>
      <c r="U1154" s="145" t="n"/>
      <c r="V1154" s="145" t="n"/>
      <c r="W1154" s="145" t="n"/>
      <c r="X1154" s="145" t="inlineStr">
        <is>
          <t>Detailed format sample from top five used rows</t>
        </is>
      </c>
    </row>
    <row r="1155" ht="23.85" customHeight="1" s="79">
      <c r="A1155" s="145" t="inlineStr">
        <is>
          <t>PPO_DATA</t>
        </is>
      </c>
      <c r="B1155" s="145" t="inlineStr">
        <is>
          <t>Top-Row Cell Format</t>
        </is>
      </c>
      <c r="C1155" s="145" t="inlineStr">
        <is>
          <t>H5</t>
        </is>
      </c>
      <c r="D1155" s="145" t="inlineStr">
        <is>
          <t>PPO_DATA!A1:AM3957</t>
        </is>
      </c>
      <c r="E1155" s="145" t="inlineStr">
        <is>
          <t>Normal</t>
        </is>
      </c>
      <c r="F1155" s="145" t="n"/>
      <c r="G1155" s="145" t="inlineStr">
        <is>
          <t>Aptos</t>
        </is>
      </c>
      <c r="H1155" s="145" t="n">
        <v>8</v>
      </c>
      <c r="I1155" s="145" t="inlineStr">
        <is>
          <t>No</t>
        </is>
      </c>
      <c r="J1155" s="145" t="inlineStr">
        <is>
          <t>No</t>
        </is>
      </c>
      <c r="K1155" s="145" t="inlineStr">
        <is>
          <t>None</t>
        </is>
      </c>
      <c r="L1155" s="145" t="inlineStr">
        <is>
          <t>#000000</t>
        </is>
      </c>
      <c r="M1155" s="145" t="inlineStr">
        <is>
          <t>Center</t>
        </is>
      </c>
      <c r="N1155" s="145" t="inlineStr">
        <is>
          <t>Center</t>
        </is>
      </c>
      <c r="O1155" s="145" t="inlineStr">
        <is>
          <t>No</t>
        </is>
      </c>
      <c r="P1155" s="145" t="inlineStr">
        <is>
          <t>mmm-yy</t>
        </is>
      </c>
      <c r="Q1155" s="145" t="inlineStr">
        <is>
          <t>Date / Time</t>
        </is>
      </c>
      <c r="R1155" s="145" t="n"/>
      <c r="S1155" s="145" t="n"/>
      <c r="T1155" s="145" t="n"/>
      <c r="U1155" s="145" t="n"/>
      <c r="V1155" s="145" t="n"/>
      <c r="W1155" s="145" t="n"/>
      <c r="X1155" s="145" t="inlineStr">
        <is>
          <t>Detailed format sample from top five used rows</t>
        </is>
      </c>
    </row>
    <row r="1156" ht="23.85" customHeight="1" s="79">
      <c r="A1156" s="145" t="inlineStr">
        <is>
          <t>PPO_DATA</t>
        </is>
      </c>
      <c r="B1156" s="145" t="inlineStr">
        <is>
          <t>Column Format</t>
        </is>
      </c>
      <c r="C1156" s="145" t="inlineStr">
        <is>
          <t>I:I</t>
        </is>
      </c>
      <c r="D1156" s="145" t="inlineStr">
        <is>
          <t>PPO_DATA!A1:AM3957</t>
        </is>
      </c>
      <c r="E1156" s="145" t="inlineStr">
        <is>
          <t>Normal</t>
        </is>
      </c>
      <c r="F1156" s="145" t="inlineStr">
        <is>
          <t>Mixed</t>
        </is>
      </c>
      <c r="G1156" s="145" t="inlineStr">
        <is>
          <t>Aptos</t>
        </is>
      </c>
      <c r="H1156" s="145" t="n">
        <v>8</v>
      </c>
      <c r="I1156" s="145" t="inlineStr">
        <is>
          <t>Mixed</t>
        </is>
      </c>
      <c r="J1156" s="145" t="inlineStr">
        <is>
          <t>No</t>
        </is>
      </c>
      <c r="K1156" s="145" t="inlineStr">
        <is>
          <t>None</t>
        </is>
      </c>
      <c r="L1156" s="145" t="inlineStr">
        <is>
          <t>Mixed</t>
        </is>
      </c>
      <c r="M1156" s="145" t="inlineStr">
        <is>
          <t>General</t>
        </is>
      </c>
      <c r="N1156" s="145" t="inlineStr">
        <is>
          <t>Center</t>
        </is>
      </c>
      <c r="O1156" s="145" t="inlineStr">
        <is>
          <t>No</t>
        </is>
      </c>
      <c r="P1156" s="145" t="n"/>
      <c r="Q1156" s="145" t="n"/>
      <c r="R1156" s="145" t="n"/>
      <c r="S1156" s="145" t="n">
        <v>72.5373134328358</v>
      </c>
      <c r="T1156" s="145" t="n"/>
      <c r="U1156" s="145" t="inlineStr">
        <is>
          <t>No</t>
        </is>
      </c>
      <c r="V1156" s="145" t="inlineStr">
        <is>
          <t>Visible</t>
        </is>
      </c>
      <c r="W1156" s="145" t="n"/>
      <c r="X1156" s="145" t="inlineStr">
        <is>
          <t>Mixed styles within used column</t>
        </is>
      </c>
    </row>
    <row r="1157" ht="23.85" customHeight="1" s="79">
      <c r="A1157" s="145" t="inlineStr">
        <is>
          <t>PPO_DATA</t>
        </is>
      </c>
      <c r="B1157" s="145" t="inlineStr">
        <is>
          <t>Top-Row Cell Format</t>
        </is>
      </c>
      <c r="C1157" s="145" t="inlineStr">
        <is>
          <t>I1</t>
        </is>
      </c>
      <c r="D1157" s="145" t="inlineStr">
        <is>
          <t>PPO_DATA!A1:AM3957</t>
        </is>
      </c>
      <c r="E1157" s="145" t="inlineStr">
        <is>
          <t>Normal</t>
        </is>
      </c>
      <c r="F1157" s="145" t="inlineStr">
        <is>
          <t>#2F75B5</t>
        </is>
      </c>
      <c r="G1157" s="145" t="inlineStr">
        <is>
          <t>Aptos</t>
        </is>
      </c>
      <c r="H1157" s="145" t="n">
        <v>8</v>
      </c>
      <c r="I1157" s="145" t="inlineStr">
        <is>
          <t>Yes</t>
        </is>
      </c>
      <c r="J1157" s="145" t="inlineStr">
        <is>
          <t>No</t>
        </is>
      </c>
      <c r="K1157" s="145" t="inlineStr">
        <is>
          <t>None</t>
        </is>
      </c>
      <c r="L1157" s="145" t="inlineStr">
        <is>
          <t>#FFFF00</t>
        </is>
      </c>
      <c r="M1157" s="145" t="inlineStr">
        <is>
          <t>General</t>
        </is>
      </c>
      <c r="N1157" s="145" t="inlineStr">
        <is>
          <t>Center</t>
        </is>
      </c>
      <c r="O1157" s="145" t="inlineStr">
        <is>
          <t>No</t>
        </is>
      </c>
      <c r="P1157" s="145" t="inlineStr">
        <is>
          <t>General</t>
        </is>
      </c>
      <c r="Q1157" s="145" t="inlineStr">
        <is>
          <t>General</t>
        </is>
      </c>
      <c r="R1157" s="145" t="n"/>
      <c r="S1157" s="145" t="n"/>
      <c r="T1157" s="145" t="n"/>
      <c r="U1157" s="145" t="n"/>
      <c r="V1157" s="145" t="n"/>
      <c r="W1157" s="145" t="n"/>
      <c r="X1157" s="145" t="inlineStr">
        <is>
          <t>Detailed format sample from top five used rows</t>
        </is>
      </c>
    </row>
    <row r="1158" ht="23.85" customHeight="1" s="79">
      <c r="A1158" s="145" t="inlineStr">
        <is>
          <t>PPO_DATA</t>
        </is>
      </c>
      <c r="B1158" s="145" t="inlineStr">
        <is>
          <t>Top-Row Cell Format</t>
        </is>
      </c>
      <c r="C1158" s="145" t="inlineStr">
        <is>
          <t>I2</t>
        </is>
      </c>
      <c r="D1158" s="145" t="inlineStr">
        <is>
          <t>PPO_DATA!A1:AM3957</t>
        </is>
      </c>
      <c r="E1158" s="145" t="inlineStr">
        <is>
          <t>Normal</t>
        </is>
      </c>
      <c r="F1158" s="145" t="n"/>
      <c r="G1158" s="145" t="inlineStr">
        <is>
          <t>Aptos</t>
        </is>
      </c>
      <c r="H1158" s="145" t="n">
        <v>8</v>
      </c>
      <c r="I1158" s="145" t="inlineStr">
        <is>
          <t>No</t>
        </is>
      </c>
      <c r="J1158" s="145" t="inlineStr">
        <is>
          <t>No</t>
        </is>
      </c>
      <c r="K1158" s="145" t="inlineStr">
        <is>
          <t>None</t>
        </is>
      </c>
      <c r="L1158" s="145" t="inlineStr">
        <is>
          <t>#000000</t>
        </is>
      </c>
      <c r="M1158" s="145" t="inlineStr">
        <is>
          <t>General</t>
        </is>
      </c>
      <c r="N1158" s="145" t="inlineStr">
        <is>
          <t>Center</t>
        </is>
      </c>
      <c r="O1158" s="145" t="inlineStr">
        <is>
          <t>No</t>
        </is>
      </c>
      <c r="P1158" s="145" t="inlineStr">
        <is>
          <t>General</t>
        </is>
      </c>
      <c r="Q1158" s="145" t="inlineStr">
        <is>
          <t>General</t>
        </is>
      </c>
      <c r="R1158" s="145" t="n"/>
      <c r="S1158" s="145" t="n"/>
      <c r="T1158" s="145" t="n"/>
      <c r="U1158" s="145" t="n"/>
      <c r="V1158" s="145" t="n"/>
      <c r="W1158" s="145" t="n"/>
      <c r="X1158" s="145" t="inlineStr">
        <is>
          <t>Detailed format sample from top five used rows</t>
        </is>
      </c>
    </row>
    <row r="1159" ht="23.85" customHeight="1" s="79">
      <c r="A1159" s="145" t="inlineStr">
        <is>
          <t>PPO_DATA</t>
        </is>
      </c>
      <c r="B1159" s="145" t="inlineStr">
        <is>
          <t>Top-Row Cell Format</t>
        </is>
      </c>
      <c r="C1159" s="145" t="inlineStr">
        <is>
          <t>I3</t>
        </is>
      </c>
      <c r="D1159" s="145" t="inlineStr">
        <is>
          <t>PPO_DATA!A1:AM3957</t>
        </is>
      </c>
      <c r="E1159" s="145" t="inlineStr">
        <is>
          <t>Normal</t>
        </is>
      </c>
      <c r="F1159" s="145" t="n"/>
      <c r="G1159" s="145" t="inlineStr">
        <is>
          <t>Aptos</t>
        </is>
      </c>
      <c r="H1159" s="145" t="n">
        <v>8</v>
      </c>
      <c r="I1159" s="145" t="inlineStr">
        <is>
          <t>No</t>
        </is>
      </c>
      <c r="J1159" s="145" t="inlineStr">
        <is>
          <t>No</t>
        </is>
      </c>
      <c r="K1159" s="145" t="inlineStr">
        <is>
          <t>None</t>
        </is>
      </c>
      <c r="L1159" s="145" t="inlineStr">
        <is>
          <t>#000000</t>
        </is>
      </c>
      <c r="M1159" s="145" t="inlineStr">
        <is>
          <t>General</t>
        </is>
      </c>
      <c r="N1159" s="145" t="inlineStr">
        <is>
          <t>Center</t>
        </is>
      </c>
      <c r="O1159" s="145" t="inlineStr">
        <is>
          <t>No</t>
        </is>
      </c>
      <c r="P1159" s="145" t="inlineStr">
        <is>
          <t>General</t>
        </is>
      </c>
      <c r="Q1159" s="145" t="inlineStr">
        <is>
          <t>General</t>
        </is>
      </c>
      <c r="R1159" s="145" t="n"/>
      <c r="S1159" s="145" t="n"/>
      <c r="T1159" s="145" t="n"/>
      <c r="U1159" s="145" t="n"/>
      <c r="V1159" s="145" t="n"/>
      <c r="W1159" s="145" t="n"/>
      <c r="X1159" s="145" t="inlineStr">
        <is>
          <t>Detailed format sample from top five used rows</t>
        </is>
      </c>
    </row>
    <row r="1160" ht="23.85" customHeight="1" s="79">
      <c r="A1160" s="145" t="inlineStr">
        <is>
          <t>PPO_DATA</t>
        </is>
      </c>
      <c r="B1160" s="145" t="inlineStr">
        <is>
          <t>Top-Row Cell Format</t>
        </is>
      </c>
      <c r="C1160" s="145" t="inlineStr">
        <is>
          <t>I4</t>
        </is>
      </c>
      <c r="D1160" s="145" t="inlineStr">
        <is>
          <t>PPO_DATA!A1:AM3957</t>
        </is>
      </c>
      <c r="E1160" s="145" t="inlineStr">
        <is>
          <t>Normal</t>
        </is>
      </c>
      <c r="F1160" s="145" t="n"/>
      <c r="G1160" s="145" t="inlineStr">
        <is>
          <t>Aptos</t>
        </is>
      </c>
      <c r="H1160" s="145" t="n">
        <v>8</v>
      </c>
      <c r="I1160" s="145" t="inlineStr">
        <is>
          <t>No</t>
        </is>
      </c>
      <c r="J1160" s="145" t="inlineStr">
        <is>
          <t>No</t>
        </is>
      </c>
      <c r="K1160" s="145" t="inlineStr">
        <is>
          <t>None</t>
        </is>
      </c>
      <c r="L1160" s="145" t="inlineStr">
        <is>
          <t>#000000</t>
        </is>
      </c>
      <c r="M1160" s="145" t="inlineStr">
        <is>
          <t>General</t>
        </is>
      </c>
      <c r="N1160" s="145" t="inlineStr">
        <is>
          <t>Center</t>
        </is>
      </c>
      <c r="O1160" s="145" t="inlineStr">
        <is>
          <t>No</t>
        </is>
      </c>
      <c r="P1160" s="145" t="inlineStr">
        <is>
          <t>General</t>
        </is>
      </c>
      <c r="Q1160" s="145" t="inlineStr">
        <is>
          <t>General</t>
        </is>
      </c>
      <c r="R1160" s="145" t="n"/>
      <c r="S1160" s="145" t="n"/>
      <c r="T1160" s="145" t="n"/>
      <c r="U1160" s="145" t="n"/>
      <c r="V1160" s="145" t="n"/>
      <c r="W1160" s="145" t="n"/>
      <c r="X1160" s="145" t="inlineStr">
        <is>
          <t>Detailed format sample from top five used rows</t>
        </is>
      </c>
    </row>
    <row r="1161" ht="23.85" customHeight="1" s="79">
      <c r="A1161" s="145" t="inlineStr">
        <is>
          <t>PPO_DATA</t>
        </is>
      </c>
      <c r="B1161" s="145" t="inlineStr">
        <is>
          <t>Top-Row Cell Format</t>
        </is>
      </c>
      <c r="C1161" s="145" t="inlineStr">
        <is>
          <t>I5</t>
        </is>
      </c>
      <c r="D1161" s="145" t="inlineStr">
        <is>
          <t>PPO_DATA!A1:AM3957</t>
        </is>
      </c>
      <c r="E1161" s="145" t="inlineStr">
        <is>
          <t>Normal</t>
        </is>
      </c>
      <c r="F1161" s="145" t="n"/>
      <c r="G1161" s="145" t="inlineStr">
        <is>
          <t>Aptos</t>
        </is>
      </c>
      <c r="H1161" s="145" t="n">
        <v>8</v>
      </c>
      <c r="I1161" s="145" t="inlineStr">
        <is>
          <t>No</t>
        </is>
      </c>
      <c r="J1161" s="145" t="inlineStr">
        <is>
          <t>No</t>
        </is>
      </c>
      <c r="K1161" s="145" t="inlineStr">
        <is>
          <t>None</t>
        </is>
      </c>
      <c r="L1161" s="145" t="inlineStr">
        <is>
          <t>#000000</t>
        </is>
      </c>
      <c r="M1161" s="145" t="inlineStr">
        <is>
          <t>General</t>
        </is>
      </c>
      <c r="N1161" s="145" t="inlineStr">
        <is>
          <t>Center</t>
        </is>
      </c>
      <c r="O1161" s="145" t="inlineStr">
        <is>
          <t>No</t>
        </is>
      </c>
      <c r="P1161" s="145" t="inlineStr">
        <is>
          <t>General</t>
        </is>
      </c>
      <c r="Q1161" s="145" t="inlineStr">
        <is>
          <t>General</t>
        </is>
      </c>
      <c r="R1161" s="145" t="n"/>
      <c r="S1161" s="145" t="n"/>
      <c r="T1161" s="145" t="n"/>
      <c r="U1161" s="145" t="n"/>
      <c r="V1161" s="145" t="n"/>
      <c r="W1161" s="145" t="n"/>
      <c r="X1161" s="145" t="inlineStr">
        <is>
          <t>Detailed format sample from top five used rows</t>
        </is>
      </c>
    </row>
    <row r="1162" ht="23.85" customHeight="1" s="79">
      <c r="A1162" s="145" t="inlineStr">
        <is>
          <t>PPO_DATA</t>
        </is>
      </c>
      <c r="B1162" s="145" t="inlineStr">
        <is>
          <t>Column Format</t>
        </is>
      </c>
      <c r="C1162" s="145" t="inlineStr">
        <is>
          <t>J:J</t>
        </is>
      </c>
      <c r="D1162" s="145" t="inlineStr">
        <is>
          <t>PPO_DATA!A1:AM3957</t>
        </is>
      </c>
      <c r="E1162" s="145" t="inlineStr">
        <is>
          <t>Normal</t>
        </is>
      </c>
      <c r="F1162" s="145" t="inlineStr">
        <is>
          <t>Mixed</t>
        </is>
      </c>
      <c r="G1162" s="145" t="inlineStr">
        <is>
          <t>Aptos</t>
        </is>
      </c>
      <c r="H1162" s="145" t="n">
        <v>8</v>
      </c>
      <c r="I1162" s="145" t="inlineStr">
        <is>
          <t>Mixed</t>
        </is>
      </c>
      <c r="J1162" s="145" t="inlineStr">
        <is>
          <t>No</t>
        </is>
      </c>
      <c r="K1162" s="145" t="inlineStr">
        <is>
          <t>None</t>
        </is>
      </c>
      <c r="L1162" s="145" t="inlineStr">
        <is>
          <t>Mixed</t>
        </is>
      </c>
      <c r="M1162" s="145" t="inlineStr">
        <is>
          <t>General</t>
        </is>
      </c>
      <c r="N1162" s="145" t="inlineStr">
        <is>
          <t>Center</t>
        </is>
      </c>
      <c r="O1162" s="145" t="inlineStr">
        <is>
          <t>No</t>
        </is>
      </c>
      <c r="P1162" s="145" t="n"/>
      <c r="Q1162" s="145" t="n"/>
      <c r="R1162" s="145" t="n"/>
      <c r="S1162" s="145" t="n">
        <v>68.2388059701493</v>
      </c>
      <c r="T1162" s="145" t="n"/>
      <c r="U1162" s="145" t="inlineStr">
        <is>
          <t>No</t>
        </is>
      </c>
      <c r="V1162" s="145" t="inlineStr">
        <is>
          <t>Visible</t>
        </is>
      </c>
      <c r="W1162" s="145" t="n"/>
      <c r="X1162" s="145" t="inlineStr">
        <is>
          <t>Mixed styles within used column</t>
        </is>
      </c>
    </row>
    <row r="1163" ht="23.85" customHeight="1" s="79">
      <c r="A1163" s="145" t="inlineStr">
        <is>
          <t>PPO_DATA</t>
        </is>
      </c>
      <c r="B1163" s="145" t="inlineStr">
        <is>
          <t>Top-Row Cell Format</t>
        </is>
      </c>
      <c r="C1163" s="145" t="inlineStr">
        <is>
          <t>J1</t>
        </is>
      </c>
      <c r="D1163" s="145" t="inlineStr">
        <is>
          <t>PPO_DATA!A1:AM3957</t>
        </is>
      </c>
      <c r="E1163" s="145" t="inlineStr">
        <is>
          <t>Normal</t>
        </is>
      </c>
      <c r="F1163" s="145" t="inlineStr">
        <is>
          <t>#2F75B5</t>
        </is>
      </c>
      <c r="G1163" s="145" t="inlineStr">
        <is>
          <t>Aptos</t>
        </is>
      </c>
      <c r="H1163" s="145" t="n">
        <v>8</v>
      </c>
      <c r="I1163" s="145" t="inlineStr">
        <is>
          <t>Yes</t>
        </is>
      </c>
      <c r="J1163" s="145" t="inlineStr">
        <is>
          <t>No</t>
        </is>
      </c>
      <c r="K1163" s="145" t="inlineStr">
        <is>
          <t>None</t>
        </is>
      </c>
      <c r="L1163" s="145" t="inlineStr">
        <is>
          <t>#FFFF00</t>
        </is>
      </c>
      <c r="M1163" s="145" t="inlineStr">
        <is>
          <t>General</t>
        </is>
      </c>
      <c r="N1163" s="145" t="inlineStr">
        <is>
          <t>Center</t>
        </is>
      </c>
      <c r="O1163" s="145" t="inlineStr">
        <is>
          <t>No</t>
        </is>
      </c>
      <c r="P1163" s="145" t="inlineStr">
        <is>
          <t>General</t>
        </is>
      </c>
      <c r="Q1163" s="145" t="inlineStr">
        <is>
          <t>General</t>
        </is>
      </c>
      <c r="R1163" s="145" t="n"/>
      <c r="S1163" s="145" t="n"/>
      <c r="T1163" s="145" t="n"/>
      <c r="U1163" s="145" t="n"/>
      <c r="V1163" s="145" t="n"/>
      <c r="W1163" s="145" t="n"/>
      <c r="X1163" s="145" t="inlineStr">
        <is>
          <t>Detailed format sample from top five used rows</t>
        </is>
      </c>
    </row>
    <row r="1164" ht="23.85" customHeight="1" s="79">
      <c r="A1164" s="145" t="inlineStr">
        <is>
          <t>PPO_DATA</t>
        </is>
      </c>
      <c r="B1164" s="145" t="inlineStr">
        <is>
          <t>Top-Row Cell Format</t>
        </is>
      </c>
      <c r="C1164" s="145" t="inlineStr">
        <is>
          <t>J2</t>
        </is>
      </c>
      <c r="D1164" s="145" t="inlineStr">
        <is>
          <t>PPO_DATA!A1:AM3957</t>
        </is>
      </c>
      <c r="E1164" s="145" t="inlineStr">
        <is>
          <t>Normal</t>
        </is>
      </c>
      <c r="F1164" s="145" t="n"/>
      <c r="G1164" s="145" t="inlineStr">
        <is>
          <t>Aptos</t>
        </is>
      </c>
      <c r="H1164" s="145" t="n">
        <v>8</v>
      </c>
      <c r="I1164" s="145" t="inlineStr">
        <is>
          <t>No</t>
        </is>
      </c>
      <c r="J1164" s="145" t="inlineStr">
        <is>
          <t>No</t>
        </is>
      </c>
      <c r="K1164" s="145" t="inlineStr">
        <is>
          <t>None</t>
        </is>
      </c>
      <c r="L1164" s="145" t="inlineStr">
        <is>
          <t>#000000</t>
        </is>
      </c>
      <c r="M1164" s="145" t="inlineStr">
        <is>
          <t>General</t>
        </is>
      </c>
      <c r="N1164" s="145" t="inlineStr">
        <is>
          <t>Center</t>
        </is>
      </c>
      <c r="O1164" s="145" t="inlineStr">
        <is>
          <t>No</t>
        </is>
      </c>
      <c r="P1164" s="145" t="inlineStr">
        <is>
          <t>General</t>
        </is>
      </c>
      <c r="Q1164" s="145" t="inlineStr">
        <is>
          <t>General</t>
        </is>
      </c>
      <c r="R1164" s="145" t="n"/>
      <c r="S1164" s="145" t="n"/>
      <c r="T1164" s="145" t="n"/>
      <c r="U1164" s="145" t="n"/>
      <c r="V1164" s="145" t="n"/>
      <c r="W1164" s="145" t="n"/>
      <c r="X1164" s="145" t="inlineStr">
        <is>
          <t>Detailed format sample from top five used rows</t>
        </is>
      </c>
    </row>
    <row r="1165" ht="23.85" customHeight="1" s="79">
      <c r="A1165" s="145" t="inlineStr">
        <is>
          <t>PPO_DATA</t>
        </is>
      </c>
      <c r="B1165" s="145" t="inlineStr">
        <is>
          <t>Top-Row Cell Format</t>
        </is>
      </c>
      <c r="C1165" s="145" t="inlineStr">
        <is>
          <t>J3</t>
        </is>
      </c>
      <c r="D1165" s="145" t="inlineStr">
        <is>
          <t>PPO_DATA!A1:AM3957</t>
        </is>
      </c>
      <c r="E1165" s="145" t="inlineStr">
        <is>
          <t>Normal</t>
        </is>
      </c>
      <c r="F1165" s="145" t="n"/>
      <c r="G1165" s="145" t="inlineStr">
        <is>
          <t>Aptos</t>
        </is>
      </c>
      <c r="H1165" s="145" t="n">
        <v>8</v>
      </c>
      <c r="I1165" s="145" t="inlineStr">
        <is>
          <t>No</t>
        </is>
      </c>
      <c r="J1165" s="145" t="inlineStr">
        <is>
          <t>No</t>
        </is>
      </c>
      <c r="K1165" s="145" t="inlineStr">
        <is>
          <t>None</t>
        </is>
      </c>
      <c r="L1165" s="145" t="inlineStr">
        <is>
          <t>#000000</t>
        </is>
      </c>
      <c r="M1165" s="145" t="inlineStr">
        <is>
          <t>General</t>
        </is>
      </c>
      <c r="N1165" s="145" t="inlineStr">
        <is>
          <t>Center</t>
        </is>
      </c>
      <c r="O1165" s="145" t="inlineStr">
        <is>
          <t>No</t>
        </is>
      </c>
      <c r="P1165" s="145" t="inlineStr">
        <is>
          <t>General</t>
        </is>
      </c>
      <c r="Q1165" s="145" t="inlineStr">
        <is>
          <t>General</t>
        </is>
      </c>
      <c r="R1165" s="145" t="n"/>
      <c r="S1165" s="145" t="n"/>
      <c r="T1165" s="145" t="n"/>
      <c r="U1165" s="145" t="n"/>
      <c r="V1165" s="145" t="n"/>
      <c r="W1165" s="145" t="n"/>
      <c r="X1165" s="145" t="inlineStr">
        <is>
          <t>Detailed format sample from top five used rows</t>
        </is>
      </c>
    </row>
    <row r="1166" ht="23.85" customHeight="1" s="79">
      <c r="A1166" s="145" t="inlineStr">
        <is>
          <t>PPO_DATA</t>
        </is>
      </c>
      <c r="B1166" s="145" t="inlineStr">
        <is>
          <t>Top-Row Cell Format</t>
        </is>
      </c>
      <c r="C1166" s="145" t="inlineStr">
        <is>
          <t>J4</t>
        </is>
      </c>
      <c r="D1166" s="145" t="inlineStr">
        <is>
          <t>PPO_DATA!A1:AM3957</t>
        </is>
      </c>
      <c r="E1166" s="145" t="inlineStr">
        <is>
          <t>Normal</t>
        </is>
      </c>
      <c r="F1166" s="145" t="n"/>
      <c r="G1166" s="145" t="inlineStr">
        <is>
          <t>Aptos</t>
        </is>
      </c>
      <c r="H1166" s="145" t="n">
        <v>8</v>
      </c>
      <c r="I1166" s="145" t="inlineStr">
        <is>
          <t>No</t>
        </is>
      </c>
      <c r="J1166" s="145" t="inlineStr">
        <is>
          <t>No</t>
        </is>
      </c>
      <c r="K1166" s="145" t="inlineStr">
        <is>
          <t>None</t>
        </is>
      </c>
      <c r="L1166" s="145" t="inlineStr">
        <is>
          <t>#000000</t>
        </is>
      </c>
      <c r="M1166" s="145" t="inlineStr">
        <is>
          <t>General</t>
        </is>
      </c>
      <c r="N1166" s="145" t="inlineStr">
        <is>
          <t>Center</t>
        </is>
      </c>
      <c r="O1166" s="145" t="inlineStr">
        <is>
          <t>No</t>
        </is>
      </c>
      <c r="P1166" s="145" t="inlineStr">
        <is>
          <t>General</t>
        </is>
      </c>
      <c r="Q1166" s="145" t="inlineStr">
        <is>
          <t>General</t>
        </is>
      </c>
      <c r="R1166" s="145" t="n"/>
      <c r="S1166" s="145" t="n"/>
      <c r="T1166" s="145" t="n"/>
      <c r="U1166" s="145" t="n"/>
      <c r="V1166" s="145" t="n"/>
      <c r="W1166" s="145" t="n"/>
      <c r="X1166" s="145" t="inlineStr">
        <is>
          <t>Detailed format sample from top five used rows</t>
        </is>
      </c>
    </row>
    <row r="1167" ht="23.85" customHeight="1" s="79">
      <c r="A1167" s="145" t="inlineStr">
        <is>
          <t>PPO_DATA</t>
        </is>
      </c>
      <c r="B1167" s="145" t="inlineStr">
        <is>
          <t>Top-Row Cell Format</t>
        </is>
      </c>
      <c r="C1167" s="145" t="inlineStr">
        <is>
          <t>J5</t>
        </is>
      </c>
      <c r="D1167" s="145" t="inlineStr">
        <is>
          <t>PPO_DATA!A1:AM3957</t>
        </is>
      </c>
      <c r="E1167" s="145" t="inlineStr">
        <is>
          <t>Normal</t>
        </is>
      </c>
      <c r="F1167" s="145" t="n"/>
      <c r="G1167" s="145" t="inlineStr">
        <is>
          <t>Aptos</t>
        </is>
      </c>
      <c r="H1167" s="145" t="n">
        <v>8</v>
      </c>
      <c r="I1167" s="145" t="inlineStr">
        <is>
          <t>No</t>
        </is>
      </c>
      <c r="J1167" s="145" t="inlineStr">
        <is>
          <t>No</t>
        </is>
      </c>
      <c r="K1167" s="145" t="inlineStr">
        <is>
          <t>None</t>
        </is>
      </c>
      <c r="L1167" s="145" t="inlineStr">
        <is>
          <t>#000000</t>
        </is>
      </c>
      <c r="M1167" s="145" t="inlineStr">
        <is>
          <t>General</t>
        </is>
      </c>
      <c r="N1167" s="145" t="inlineStr">
        <is>
          <t>Center</t>
        </is>
      </c>
      <c r="O1167" s="145" t="inlineStr">
        <is>
          <t>No</t>
        </is>
      </c>
      <c r="P1167" s="145" t="inlineStr">
        <is>
          <t>General</t>
        </is>
      </c>
      <c r="Q1167" s="145" t="inlineStr">
        <is>
          <t>General</t>
        </is>
      </c>
      <c r="R1167" s="145" t="n"/>
      <c r="S1167" s="145" t="n"/>
      <c r="T1167" s="145" t="n"/>
      <c r="U1167" s="145" t="n"/>
      <c r="V1167" s="145" t="n"/>
      <c r="W1167" s="145" t="n"/>
      <c r="X1167" s="145" t="inlineStr">
        <is>
          <t>Detailed format sample from top five used rows</t>
        </is>
      </c>
    </row>
    <row r="1168" ht="23.85" customHeight="1" s="79">
      <c r="A1168" s="145" t="inlineStr">
        <is>
          <t>PPO_DATA</t>
        </is>
      </c>
      <c r="B1168" s="145" t="inlineStr">
        <is>
          <t>Column Format</t>
        </is>
      </c>
      <c r="C1168" s="145" t="inlineStr">
        <is>
          <t>K:K</t>
        </is>
      </c>
      <c r="D1168" s="145" t="inlineStr">
        <is>
          <t>PPO_DATA!A1:AM3957</t>
        </is>
      </c>
      <c r="E1168" s="145" t="inlineStr">
        <is>
          <t>Normal</t>
        </is>
      </c>
      <c r="F1168" s="145" t="inlineStr">
        <is>
          <t>Mixed</t>
        </is>
      </c>
      <c r="G1168" s="145" t="inlineStr">
        <is>
          <t>Aptos</t>
        </is>
      </c>
      <c r="H1168" s="145" t="n">
        <v>8</v>
      </c>
      <c r="I1168" s="145" t="inlineStr">
        <is>
          <t>Mixed</t>
        </is>
      </c>
      <c r="J1168" s="145" t="inlineStr">
        <is>
          <t>No</t>
        </is>
      </c>
      <c r="K1168" s="145" t="inlineStr">
        <is>
          <t>None</t>
        </is>
      </c>
      <c r="L1168" s="145" t="inlineStr">
        <is>
          <t>Mixed</t>
        </is>
      </c>
      <c r="M1168" s="145" t="inlineStr">
        <is>
          <t>General</t>
        </is>
      </c>
      <c r="N1168" s="145" t="inlineStr">
        <is>
          <t>Center</t>
        </is>
      </c>
      <c r="O1168" s="145" t="inlineStr">
        <is>
          <t>No</t>
        </is>
      </c>
      <c r="P1168" s="145" t="n"/>
      <c r="Q1168" s="145" t="n"/>
      <c r="R1168" s="145" t="n"/>
      <c r="S1168" s="145" t="n">
        <v>56.4179104477612</v>
      </c>
      <c r="T1168" s="145" t="n"/>
      <c r="U1168" s="145" t="inlineStr">
        <is>
          <t>No</t>
        </is>
      </c>
      <c r="V1168" s="145" t="inlineStr">
        <is>
          <t>Visible</t>
        </is>
      </c>
      <c r="W1168" s="145" t="n"/>
      <c r="X1168" s="145" t="inlineStr">
        <is>
          <t>Mixed styles within used column</t>
        </is>
      </c>
    </row>
    <row r="1169" ht="23.85" customHeight="1" s="79">
      <c r="A1169" s="145" t="inlineStr">
        <is>
          <t>PPO_DATA</t>
        </is>
      </c>
      <c r="B1169" s="145" t="inlineStr">
        <is>
          <t>Top-Row Cell Format</t>
        </is>
      </c>
      <c r="C1169" s="145" t="inlineStr">
        <is>
          <t>K1</t>
        </is>
      </c>
      <c r="D1169" s="145" t="inlineStr">
        <is>
          <t>PPO_DATA!A1:AM3957</t>
        </is>
      </c>
      <c r="E1169" s="145" t="inlineStr">
        <is>
          <t>Normal</t>
        </is>
      </c>
      <c r="F1169" s="145" t="inlineStr">
        <is>
          <t>#2F75B5</t>
        </is>
      </c>
      <c r="G1169" s="145" t="inlineStr">
        <is>
          <t>Aptos</t>
        </is>
      </c>
      <c r="H1169" s="145" t="n">
        <v>8</v>
      </c>
      <c r="I1169" s="145" t="inlineStr">
        <is>
          <t>Yes</t>
        </is>
      </c>
      <c r="J1169" s="145" t="inlineStr">
        <is>
          <t>No</t>
        </is>
      </c>
      <c r="K1169" s="145" t="inlineStr">
        <is>
          <t>None</t>
        </is>
      </c>
      <c r="L1169" s="145" t="inlineStr">
        <is>
          <t>#FFFF00</t>
        </is>
      </c>
      <c r="M1169" s="145" t="inlineStr">
        <is>
          <t>General</t>
        </is>
      </c>
      <c r="N1169" s="145" t="inlineStr">
        <is>
          <t>Center</t>
        </is>
      </c>
      <c r="O1169" s="145" t="inlineStr">
        <is>
          <t>No</t>
        </is>
      </c>
      <c r="P1169" s="145" t="inlineStr">
        <is>
          <t>General</t>
        </is>
      </c>
      <c r="Q1169" s="145" t="inlineStr">
        <is>
          <t>General</t>
        </is>
      </c>
      <c r="R1169" s="145" t="n"/>
      <c r="S1169" s="145" t="n"/>
      <c r="T1169" s="145" t="n"/>
      <c r="U1169" s="145" t="n"/>
      <c r="V1169" s="145" t="n"/>
      <c r="W1169" s="145" t="n"/>
      <c r="X1169" s="145" t="inlineStr">
        <is>
          <t>Detailed format sample from top five used rows</t>
        </is>
      </c>
    </row>
    <row r="1170" ht="23.85" customHeight="1" s="79">
      <c r="A1170" s="145" t="inlineStr">
        <is>
          <t>PPO_DATA</t>
        </is>
      </c>
      <c r="B1170" s="145" t="inlineStr">
        <is>
          <t>Top-Row Cell Format</t>
        </is>
      </c>
      <c r="C1170" s="145" t="inlineStr">
        <is>
          <t>K2</t>
        </is>
      </c>
      <c r="D1170" s="145" t="inlineStr">
        <is>
          <t>PPO_DATA!A1:AM3957</t>
        </is>
      </c>
      <c r="E1170" s="145" t="inlineStr">
        <is>
          <t>Normal</t>
        </is>
      </c>
      <c r="F1170" s="145" t="n"/>
      <c r="G1170" s="145" t="inlineStr">
        <is>
          <t>Aptos</t>
        </is>
      </c>
      <c r="H1170" s="145" t="n">
        <v>8</v>
      </c>
      <c r="I1170" s="145" t="inlineStr">
        <is>
          <t>No</t>
        </is>
      </c>
      <c r="J1170" s="145" t="inlineStr">
        <is>
          <t>No</t>
        </is>
      </c>
      <c r="K1170" s="145" t="inlineStr">
        <is>
          <t>None</t>
        </is>
      </c>
      <c r="L1170" s="145" t="inlineStr">
        <is>
          <t>#000000</t>
        </is>
      </c>
      <c r="M1170" s="145" t="inlineStr">
        <is>
          <t>General</t>
        </is>
      </c>
      <c r="N1170" s="145" t="inlineStr">
        <is>
          <t>Center</t>
        </is>
      </c>
      <c r="O1170" s="145" t="inlineStr">
        <is>
          <t>No</t>
        </is>
      </c>
      <c r="P1170" s="145" t="inlineStr">
        <is>
          <t>General</t>
        </is>
      </c>
      <c r="Q1170" s="145" t="inlineStr">
        <is>
          <t>General</t>
        </is>
      </c>
      <c r="R1170" s="145" t="n"/>
      <c r="S1170" s="145" t="n"/>
      <c r="T1170" s="145" t="n"/>
      <c r="U1170" s="145" t="n"/>
      <c r="V1170" s="145" t="n"/>
      <c r="W1170" s="145" t="n"/>
      <c r="X1170" s="145" t="inlineStr">
        <is>
          <t>Detailed format sample from top five used rows</t>
        </is>
      </c>
    </row>
    <row r="1171" ht="23.85" customHeight="1" s="79">
      <c r="A1171" s="145" t="inlineStr">
        <is>
          <t>PPO_DATA</t>
        </is>
      </c>
      <c r="B1171" s="145" t="inlineStr">
        <is>
          <t>Top-Row Cell Format</t>
        </is>
      </c>
      <c r="C1171" s="145" t="inlineStr">
        <is>
          <t>K3</t>
        </is>
      </c>
      <c r="D1171" s="145" t="inlineStr">
        <is>
          <t>PPO_DATA!A1:AM3957</t>
        </is>
      </c>
      <c r="E1171" s="145" t="inlineStr">
        <is>
          <t>Normal</t>
        </is>
      </c>
      <c r="F1171" s="145" t="n"/>
      <c r="G1171" s="145" t="inlineStr">
        <is>
          <t>Aptos</t>
        </is>
      </c>
      <c r="H1171" s="145" t="n">
        <v>8</v>
      </c>
      <c r="I1171" s="145" t="inlineStr">
        <is>
          <t>No</t>
        </is>
      </c>
      <c r="J1171" s="145" t="inlineStr">
        <is>
          <t>No</t>
        </is>
      </c>
      <c r="K1171" s="145" t="inlineStr">
        <is>
          <t>None</t>
        </is>
      </c>
      <c r="L1171" s="145" t="inlineStr">
        <is>
          <t>#000000</t>
        </is>
      </c>
      <c r="M1171" s="145" t="inlineStr">
        <is>
          <t>General</t>
        </is>
      </c>
      <c r="N1171" s="145" t="inlineStr">
        <is>
          <t>Center</t>
        </is>
      </c>
      <c r="O1171" s="145" t="inlineStr">
        <is>
          <t>No</t>
        </is>
      </c>
      <c r="P1171" s="145" t="inlineStr">
        <is>
          <t>General</t>
        </is>
      </c>
      <c r="Q1171" s="145" t="inlineStr">
        <is>
          <t>General</t>
        </is>
      </c>
      <c r="R1171" s="145" t="n"/>
      <c r="S1171" s="145" t="n"/>
      <c r="T1171" s="145" t="n"/>
      <c r="U1171" s="145" t="n"/>
      <c r="V1171" s="145" t="n"/>
      <c r="W1171" s="145" t="n"/>
      <c r="X1171" s="145" t="inlineStr">
        <is>
          <t>Detailed format sample from top five used rows</t>
        </is>
      </c>
    </row>
    <row r="1172" ht="23.85" customHeight="1" s="79">
      <c r="A1172" s="145" t="inlineStr">
        <is>
          <t>PPO_DATA</t>
        </is>
      </c>
      <c r="B1172" s="145" t="inlineStr">
        <is>
          <t>Top-Row Cell Format</t>
        </is>
      </c>
      <c r="C1172" s="145" t="inlineStr">
        <is>
          <t>K4</t>
        </is>
      </c>
      <c r="D1172" s="145" t="inlineStr">
        <is>
          <t>PPO_DATA!A1:AM3957</t>
        </is>
      </c>
      <c r="E1172" s="145" t="inlineStr">
        <is>
          <t>Normal</t>
        </is>
      </c>
      <c r="F1172" s="145" t="n"/>
      <c r="G1172" s="145" t="inlineStr">
        <is>
          <t>Aptos</t>
        </is>
      </c>
      <c r="H1172" s="145" t="n">
        <v>8</v>
      </c>
      <c r="I1172" s="145" t="inlineStr">
        <is>
          <t>No</t>
        </is>
      </c>
      <c r="J1172" s="145" t="inlineStr">
        <is>
          <t>No</t>
        </is>
      </c>
      <c r="K1172" s="145" t="inlineStr">
        <is>
          <t>None</t>
        </is>
      </c>
      <c r="L1172" s="145" t="inlineStr">
        <is>
          <t>#000000</t>
        </is>
      </c>
      <c r="M1172" s="145" t="inlineStr">
        <is>
          <t>General</t>
        </is>
      </c>
      <c r="N1172" s="145" t="inlineStr">
        <is>
          <t>Center</t>
        </is>
      </c>
      <c r="O1172" s="145" t="inlineStr">
        <is>
          <t>No</t>
        </is>
      </c>
      <c r="P1172" s="145" t="inlineStr">
        <is>
          <t>General</t>
        </is>
      </c>
      <c r="Q1172" s="145" t="inlineStr">
        <is>
          <t>General</t>
        </is>
      </c>
      <c r="R1172" s="145" t="n"/>
      <c r="S1172" s="145" t="n"/>
      <c r="T1172" s="145" t="n"/>
      <c r="U1172" s="145" t="n"/>
      <c r="V1172" s="145" t="n"/>
      <c r="W1172" s="145" t="n"/>
      <c r="X1172" s="145" t="inlineStr">
        <is>
          <t>Detailed format sample from top five used rows</t>
        </is>
      </c>
    </row>
    <row r="1173" ht="23.85" customHeight="1" s="79">
      <c r="A1173" s="145" t="inlineStr">
        <is>
          <t>PPO_DATA</t>
        </is>
      </c>
      <c r="B1173" s="145" t="inlineStr">
        <is>
          <t>Top-Row Cell Format</t>
        </is>
      </c>
      <c r="C1173" s="145" t="inlineStr">
        <is>
          <t>K5</t>
        </is>
      </c>
      <c r="D1173" s="145" t="inlineStr">
        <is>
          <t>PPO_DATA!A1:AM3957</t>
        </is>
      </c>
      <c r="E1173" s="145" t="inlineStr">
        <is>
          <t>Normal</t>
        </is>
      </c>
      <c r="F1173" s="145" t="n"/>
      <c r="G1173" s="145" t="inlineStr">
        <is>
          <t>Aptos</t>
        </is>
      </c>
      <c r="H1173" s="145" t="n">
        <v>8</v>
      </c>
      <c r="I1173" s="145" t="inlineStr">
        <is>
          <t>No</t>
        </is>
      </c>
      <c r="J1173" s="145" t="inlineStr">
        <is>
          <t>No</t>
        </is>
      </c>
      <c r="K1173" s="145" t="inlineStr">
        <is>
          <t>None</t>
        </is>
      </c>
      <c r="L1173" s="145" t="inlineStr">
        <is>
          <t>#000000</t>
        </is>
      </c>
      <c r="M1173" s="145" t="inlineStr">
        <is>
          <t>General</t>
        </is>
      </c>
      <c r="N1173" s="145" t="inlineStr">
        <is>
          <t>Center</t>
        </is>
      </c>
      <c r="O1173" s="145" t="inlineStr">
        <is>
          <t>No</t>
        </is>
      </c>
      <c r="P1173" s="145" t="inlineStr">
        <is>
          <t>General</t>
        </is>
      </c>
      <c r="Q1173" s="145" t="inlineStr">
        <is>
          <t>General</t>
        </is>
      </c>
      <c r="R1173" s="145" t="n"/>
      <c r="S1173" s="145" t="n"/>
      <c r="T1173" s="145" t="n"/>
      <c r="U1173" s="145" t="n"/>
      <c r="V1173" s="145" t="n"/>
      <c r="W1173" s="145" t="n"/>
      <c r="X1173" s="145" t="inlineStr">
        <is>
          <t>Detailed format sample from top five used rows</t>
        </is>
      </c>
    </row>
    <row r="1174" ht="23.85" customHeight="1" s="79">
      <c r="A1174" s="145" t="inlineStr">
        <is>
          <t>PPO_DATA</t>
        </is>
      </c>
      <c r="B1174" s="145" t="inlineStr">
        <is>
          <t>Column Format</t>
        </is>
      </c>
      <c r="C1174" s="145" t="inlineStr">
        <is>
          <t>L:L</t>
        </is>
      </c>
      <c r="D1174" s="145" t="inlineStr">
        <is>
          <t>PPO_DATA!A1:AM3957</t>
        </is>
      </c>
      <c r="E1174" s="145" t="inlineStr">
        <is>
          <t>Normal</t>
        </is>
      </c>
      <c r="F1174" s="145" t="inlineStr">
        <is>
          <t>Mixed</t>
        </is>
      </c>
      <c r="G1174" s="145" t="inlineStr">
        <is>
          <t>Aptos</t>
        </is>
      </c>
      <c r="H1174" s="145" t="n">
        <v>8</v>
      </c>
      <c r="I1174" s="145" t="inlineStr">
        <is>
          <t>Mixed</t>
        </is>
      </c>
      <c r="J1174" s="145" t="inlineStr">
        <is>
          <t>No</t>
        </is>
      </c>
      <c r="K1174" s="145" t="inlineStr">
        <is>
          <t>None</t>
        </is>
      </c>
      <c r="L1174" s="145" t="inlineStr">
        <is>
          <t>Mixed</t>
        </is>
      </c>
      <c r="M1174" s="145" t="inlineStr">
        <is>
          <t>General</t>
        </is>
      </c>
      <c r="N1174" s="145" t="inlineStr">
        <is>
          <t>Center</t>
        </is>
      </c>
      <c r="O1174" s="145" t="inlineStr">
        <is>
          <t>No</t>
        </is>
      </c>
      <c r="P1174" s="145" t="n"/>
      <c r="Q1174" s="145" t="n"/>
      <c r="R1174" s="145" t="n"/>
      <c r="S1174" s="145" t="n">
        <v>51.044776119403</v>
      </c>
      <c r="T1174" s="145" t="n"/>
      <c r="U1174" s="145" t="inlineStr">
        <is>
          <t>No</t>
        </is>
      </c>
      <c r="V1174" s="145" t="inlineStr">
        <is>
          <t>Visible</t>
        </is>
      </c>
      <c r="W1174" s="145" t="n"/>
      <c r="X1174" s="145" t="inlineStr">
        <is>
          <t>Mixed styles within used column</t>
        </is>
      </c>
    </row>
    <row r="1175" ht="23.85" customHeight="1" s="79">
      <c r="A1175" s="145" t="inlineStr">
        <is>
          <t>PPO_DATA</t>
        </is>
      </c>
      <c r="B1175" s="145" t="inlineStr">
        <is>
          <t>Top-Row Cell Format</t>
        </is>
      </c>
      <c r="C1175" s="145" t="inlineStr">
        <is>
          <t>L1</t>
        </is>
      </c>
      <c r="D1175" s="145" t="inlineStr">
        <is>
          <t>PPO_DATA!A1:AM3957</t>
        </is>
      </c>
      <c r="E1175" s="145" t="inlineStr">
        <is>
          <t>Normal</t>
        </is>
      </c>
      <c r="F1175" s="145" t="inlineStr">
        <is>
          <t>#2F75B5</t>
        </is>
      </c>
      <c r="G1175" s="145" t="inlineStr">
        <is>
          <t>Aptos</t>
        </is>
      </c>
      <c r="H1175" s="145" t="n">
        <v>8</v>
      </c>
      <c r="I1175" s="145" t="inlineStr">
        <is>
          <t>Yes</t>
        </is>
      </c>
      <c r="J1175" s="145" t="inlineStr">
        <is>
          <t>No</t>
        </is>
      </c>
      <c r="K1175" s="145" t="inlineStr">
        <is>
          <t>None</t>
        </is>
      </c>
      <c r="L1175" s="145" t="inlineStr">
        <is>
          <t>#FFFF00</t>
        </is>
      </c>
      <c r="M1175" s="145" t="inlineStr">
        <is>
          <t>General</t>
        </is>
      </c>
      <c r="N1175" s="145" t="inlineStr">
        <is>
          <t>Center</t>
        </is>
      </c>
      <c r="O1175" s="145" t="inlineStr">
        <is>
          <t>No</t>
        </is>
      </c>
      <c r="P1175" s="145" t="inlineStr">
        <is>
          <t>General</t>
        </is>
      </c>
      <c r="Q1175" s="145" t="inlineStr">
        <is>
          <t>General</t>
        </is>
      </c>
      <c r="R1175" s="145" t="n"/>
      <c r="S1175" s="145" t="n"/>
      <c r="T1175" s="145" t="n"/>
      <c r="U1175" s="145" t="n"/>
      <c r="V1175" s="145" t="n"/>
      <c r="W1175" s="145" t="n"/>
      <c r="X1175" s="145" t="inlineStr">
        <is>
          <t>Detailed format sample from top five used rows</t>
        </is>
      </c>
    </row>
    <row r="1176" ht="23.85" customHeight="1" s="79">
      <c r="A1176" s="145" t="inlineStr">
        <is>
          <t>PPO_DATA</t>
        </is>
      </c>
      <c r="B1176" s="145" t="inlineStr">
        <is>
          <t>Top-Row Cell Format</t>
        </is>
      </c>
      <c r="C1176" s="145" t="inlineStr">
        <is>
          <t>L2</t>
        </is>
      </c>
      <c r="D1176" s="145" t="inlineStr">
        <is>
          <t>PPO_DATA!A1:AM3957</t>
        </is>
      </c>
      <c r="E1176" s="145" t="inlineStr">
        <is>
          <t>Normal</t>
        </is>
      </c>
      <c r="F1176" s="145" t="n"/>
      <c r="G1176" s="145" t="inlineStr">
        <is>
          <t>Aptos</t>
        </is>
      </c>
      <c r="H1176" s="145" t="n">
        <v>8</v>
      </c>
      <c r="I1176" s="145" t="inlineStr">
        <is>
          <t>No</t>
        </is>
      </c>
      <c r="J1176" s="145" t="inlineStr">
        <is>
          <t>No</t>
        </is>
      </c>
      <c r="K1176" s="145" t="inlineStr">
        <is>
          <t>None</t>
        </is>
      </c>
      <c r="L1176" s="145" t="inlineStr">
        <is>
          <t>#000000</t>
        </is>
      </c>
      <c r="M1176" s="145" t="inlineStr">
        <is>
          <t>General</t>
        </is>
      </c>
      <c r="N1176" s="145" t="inlineStr">
        <is>
          <t>Center</t>
        </is>
      </c>
      <c r="O1176" s="145" t="inlineStr">
        <is>
          <t>No</t>
        </is>
      </c>
      <c r="P1176" s="145" t="inlineStr">
        <is>
          <t>General</t>
        </is>
      </c>
      <c r="Q1176" s="145" t="inlineStr">
        <is>
          <t>General</t>
        </is>
      </c>
      <c r="R1176" s="145" t="n"/>
      <c r="S1176" s="145" t="n"/>
      <c r="T1176" s="145" t="n"/>
      <c r="U1176" s="145" t="n"/>
      <c r="V1176" s="145" t="n"/>
      <c r="W1176" s="145" t="n"/>
      <c r="X1176" s="145" t="inlineStr">
        <is>
          <t>Detailed format sample from top five used rows</t>
        </is>
      </c>
    </row>
    <row r="1177" ht="23.85" customHeight="1" s="79">
      <c r="A1177" s="145" t="inlineStr">
        <is>
          <t>PPO_DATA</t>
        </is>
      </c>
      <c r="B1177" s="145" t="inlineStr">
        <is>
          <t>Top-Row Cell Format</t>
        </is>
      </c>
      <c r="C1177" s="145" t="inlineStr">
        <is>
          <t>L3</t>
        </is>
      </c>
      <c r="D1177" s="145" t="inlineStr">
        <is>
          <t>PPO_DATA!A1:AM3957</t>
        </is>
      </c>
      <c r="E1177" s="145" t="inlineStr">
        <is>
          <t>Normal</t>
        </is>
      </c>
      <c r="F1177" s="145" t="n"/>
      <c r="G1177" s="145" t="inlineStr">
        <is>
          <t>Aptos</t>
        </is>
      </c>
      <c r="H1177" s="145" t="n">
        <v>8</v>
      </c>
      <c r="I1177" s="145" t="inlineStr">
        <is>
          <t>No</t>
        </is>
      </c>
      <c r="J1177" s="145" t="inlineStr">
        <is>
          <t>No</t>
        </is>
      </c>
      <c r="K1177" s="145" t="inlineStr">
        <is>
          <t>None</t>
        </is>
      </c>
      <c r="L1177" s="145" t="inlineStr">
        <is>
          <t>#000000</t>
        </is>
      </c>
      <c r="M1177" s="145" t="inlineStr">
        <is>
          <t>General</t>
        </is>
      </c>
      <c r="N1177" s="145" t="inlineStr">
        <is>
          <t>Center</t>
        </is>
      </c>
      <c r="O1177" s="145" t="inlineStr">
        <is>
          <t>No</t>
        </is>
      </c>
      <c r="P1177" s="145" t="inlineStr">
        <is>
          <t>General</t>
        </is>
      </c>
      <c r="Q1177" s="145" t="inlineStr">
        <is>
          <t>General</t>
        </is>
      </c>
      <c r="R1177" s="145" t="n"/>
      <c r="S1177" s="145" t="n"/>
      <c r="T1177" s="145" t="n"/>
      <c r="U1177" s="145" t="n"/>
      <c r="V1177" s="145" t="n"/>
      <c r="W1177" s="145" t="n"/>
      <c r="X1177" s="145" t="inlineStr">
        <is>
          <t>Detailed format sample from top five used rows</t>
        </is>
      </c>
    </row>
    <row r="1178" ht="23.85" customHeight="1" s="79">
      <c r="A1178" s="145" t="inlineStr">
        <is>
          <t>PPO_DATA</t>
        </is>
      </c>
      <c r="B1178" s="145" t="inlineStr">
        <is>
          <t>Top-Row Cell Format</t>
        </is>
      </c>
      <c r="C1178" s="145" t="inlineStr">
        <is>
          <t>L4</t>
        </is>
      </c>
      <c r="D1178" s="145" t="inlineStr">
        <is>
          <t>PPO_DATA!A1:AM3957</t>
        </is>
      </c>
      <c r="E1178" s="145" t="inlineStr">
        <is>
          <t>Normal</t>
        </is>
      </c>
      <c r="F1178" s="145" t="n"/>
      <c r="G1178" s="145" t="inlineStr">
        <is>
          <t>Aptos</t>
        </is>
      </c>
      <c r="H1178" s="145" t="n">
        <v>8</v>
      </c>
      <c r="I1178" s="145" t="inlineStr">
        <is>
          <t>No</t>
        </is>
      </c>
      <c r="J1178" s="145" t="inlineStr">
        <is>
          <t>No</t>
        </is>
      </c>
      <c r="K1178" s="145" t="inlineStr">
        <is>
          <t>None</t>
        </is>
      </c>
      <c r="L1178" s="145" t="inlineStr">
        <is>
          <t>#000000</t>
        </is>
      </c>
      <c r="M1178" s="145" t="inlineStr">
        <is>
          <t>General</t>
        </is>
      </c>
      <c r="N1178" s="145" t="inlineStr">
        <is>
          <t>Center</t>
        </is>
      </c>
      <c r="O1178" s="145" t="inlineStr">
        <is>
          <t>No</t>
        </is>
      </c>
      <c r="P1178" s="145" t="inlineStr">
        <is>
          <t>General</t>
        </is>
      </c>
      <c r="Q1178" s="145" t="inlineStr">
        <is>
          <t>General</t>
        </is>
      </c>
      <c r="R1178" s="145" t="n"/>
      <c r="S1178" s="145" t="n"/>
      <c r="T1178" s="145" t="n"/>
      <c r="U1178" s="145" t="n"/>
      <c r="V1178" s="145" t="n"/>
      <c r="W1178" s="145" t="n"/>
      <c r="X1178" s="145" t="inlineStr">
        <is>
          <t>Detailed format sample from top five used rows</t>
        </is>
      </c>
    </row>
    <row r="1179" ht="23.85" customHeight="1" s="79">
      <c r="A1179" s="145" t="inlineStr">
        <is>
          <t>PPO_DATA</t>
        </is>
      </c>
      <c r="B1179" s="145" t="inlineStr">
        <is>
          <t>Top-Row Cell Format</t>
        </is>
      </c>
      <c r="C1179" s="145" t="inlineStr">
        <is>
          <t>L5</t>
        </is>
      </c>
      <c r="D1179" s="145" t="inlineStr">
        <is>
          <t>PPO_DATA!A1:AM3957</t>
        </is>
      </c>
      <c r="E1179" s="145" t="inlineStr">
        <is>
          <t>Normal</t>
        </is>
      </c>
      <c r="F1179" s="145" t="n"/>
      <c r="G1179" s="145" t="inlineStr">
        <is>
          <t>Aptos</t>
        </is>
      </c>
      <c r="H1179" s="145" t="n">
        <v>8</v>
      </c>
      <c r="I1179" s="145" t="inlineStr">
        <is>
          <t>No</t>
        </is>
      </c>
      <c r="J1179" s="145" t="inlineStr">
        <is>
          <t>No</t>
        </is>
      </c>
      <c r="K1179" s="145" t="inlineStr">
        <is>
          <t>None</t>
        </is>
      </c>
      <c r="L1179" s="145" t="inlineStr">
        <is>
          <t>#000000</t>
        </is>
      </c>
      <c r="M1179" s="145" t="inlineStr">
        <is>
          <t>General</t>
        </is>
      </c>
      <c r="N1179" s="145" t="inlineStr">
        <is>
          <t>Center</t>
        </is>
      </c>
      <c r="O1179" s="145" t="inlineStr">
        <is>
          <t>No</t>
        </is>
      </c>
      <c r="P1179" s="145" t="inlineStr">
        <is>
          <t>General</t>
        </is>
      </c>
      <c r="Q1179" s="145" t="inlineStr">
        <is>
          <t>General</t>
        </is>
      </c>
      <c r="R1179" s="145" t="n"/>
      <c r="S1179" s="145" t="n"/>
      <c r="T1179" s="145" t="n"/>
      <c r="U1179" s="145" t="n"/>
      <c r="V1179" s="145" t="n"/>
      <c r="W1179" s="145" t="n"/>
      <c r="X1179" s="145" t="inlineStr">
        <is>
          <t>Detailed format sample from top five used rows</t>
        </is>
      </c>
    </row>
    <row r="1180" ht="23.85" customHeight="1" s="79">
      <c r="A1180" s="145" t="inlineStr">
        <is>
          <t>PPO_DATA</t>
        </is>
      </c>
      <c r="B1180" s="145" t="inlineStr">
        <is>
          <t>Column Format</t>
        </is>
      </c>
      <c r="C1180" s="145" t="inlineStr">
        <is>
          <t>M:M</t>
        </is>
      </c>
      <c r="D1180" s="145" t="inlineStr">
        <is>
          <t>PPO_DATA!A1:AM3957</t>
        </is>
      </c>
      <c r="E1180" s="145" t="inlineStr">
        <is>
          <t>Normal</t>
        </is>
      </c>
      <c r="F1180" s="145" t="inlineStr">
        <is>
          <t>Mixed</t>
        </is>
      </c>
      <c r="G1180" s="145" t="inlineStr">
        <is>
          <t>Aptos</t>
        </is>
      </c>
      <c r="H1180" s="145" t="n">
        <v>8</v>
      </c>
      <c r="I1180" s="145" t="inlineStr">
        <is>
          <t>Mixed</t>
        </is>
      </c>
      <c r="J1180" s="145" t="inlineStr">
        <is>
          <t>No</t>
        </is>
      </c>
      <c r="K1180" s="145" t="inlineStr">
        <is>
          <t>None</t>
        </is>
      </c>
      <c r="L1180" s="145" t="inlineStr">
        <is>
          <t>Mixed</t>
        </is>
      </c>
      <c r="M1180" s="145" t="inlineStr">
        <is>
          <t>General</t>
        </is>
      </c>
      <c r="N1180" s="145" t="inlineStr">
        <is>
          <t>Center</t>
        </is>
      </c>
      <c r="O1180" s="145" t="inlineStr">
        <is>
          <t>No</t>
        </is>
      </c>
      <c r="P1180" s="145" t="n"/>
      <c r="Q1180" s="145" t="n"/>
      <c r="R1180" s="145" t="n"/>
      <c r="S1180" s="145" t="n">
        <v>34.9253731343284</v>
      </c>
      <c r="T1180" s="145" t="n"/>
      <c r="U1180" s="145" t="inlineStr">
        <is>
          <t>No</t>
        </is>
      </c>
      <c r="V1180" s="145" t="inlineStr">
        <is>
          <t>Visible</t>
        </is>
      </c>
      <c r="W1180" s="145" t="n"/>
      <c r="X1180" s="145" t="inlineStr">
        <is>
          <t>Mixed styles within used column</t>
        </is>
      </c>
    </row>
    <row r="1181" ht="23.85" customHeight="1" s="79">
      <c r="A1181" s="145" t="inlineStr">
        <is>
          <t>PPO_DATA</t>
        </is>
      </c>
      <c r="B1181" s="145" t="inlineStr">
        <is>
          <t>Top-Row Cell Format</t>
        </is>
      </c>
      <c r="C1181" s="145" t="inlineStr">
        <is>
          <t>M1</t>
        </is>
      </c>
      <c r="D1181" s="145" t="inlineStr">
        <is>
          <t>PPO_DATA!A1:AM3957</t>
        </is>
      </c>
      <c r="E1181" s="145" t="inlineStr">
        <is>
          <t>Normal</t>
        </is>
      </c>
      <c r="F1181" s="145" t="inlineStr">
        <is>
          <t>#2F75B5</t>
        </is>
      </c>
      <c r="G1181" s="145" t="inlineStr">
        <is>
          <t>Aptos</t>
        </is>
      </c>
      <c r="H1181" s="145" t="n">
        <v>8</v>
      </c>
      <c r="I1181" s="145" t="inlineStr">
        <is>
          <t>Yes</t>
        </is>
      </c>
      <c r="J1181" s="145" t="inlineStr">
        <is>
          <t>No</t>
        </is>
      </c>
      <c r="K1181" s="145" t="inlineStr">
        <is>
          <t>None</t>
        </is>
      </c>
      <c r="L1181" s="145" t="inlineStr">
        <is>
          <t>#FFFF00</t>
        </is>
      </c>
      <c r="M1181" s="145" t="inlineStr">
        <is>
          <t>General</t>
        </is>
      </c>
      <c r="N1181" s="145" t="inlineStr">
        <is>
          <t>Center</t>
        </is>
      </c>
      <c r="O1181" s="145" t="inlineStr">
        <is>
          <t>No</t>
        </is>
      </c>
      <c r="P1181" s="145" t="inlineStr">
        <is>
          <t>General</t>
        </is>
      </c>
      <c r="Q1181" s="145" t="inlineStr">
        <is>
          <t>General</t>
        </is>
      </c>
      <c r="R1181" s="145" t="n"/>
      <c r="S1181" s="145" t="n"/>
      <c r="T1181" s="145" t="n"/>
      <c r="U1181" s="145" t="n"/>
      <c r="V1181" s="145" t="n"/>
      <c r="W1181" s="145" t="n"/>
      <c r="X1181" s="145" t="inlineStr">
        <is>
          <t>Detailed format sample from top five used rows</t>
        </is>
      </c>
    </row>
    <row r="1182" ht="23.85" customHeight="1" s="79">
      <c r="A1182" s="145" t="inlineStr">
        <is>
          <t>PPO_DATA</t>
        </is>
      </c>
      <c r="B1182" s="145" t="inlineStr">
        <is>
          <t>Top-Row Cell Format</t>
        </is>
      </c>
      <c r="C1182" s="145" t="inlineStr">
        <is>
          <t>M2</t>
        </is>
      </c>
      <c r="D1182" s="145" t="inlineStr">
        <is>
          <t>PPO_DATA!A1:AM3957</t>
        </is>
      </c>
      <c r="E1182" s="145" t="inlineStr">
        <is>
          <t>Normal</t>
        </is>
      </c>
      <c r="F1182" s="145" t="n"/>
      <c r="G1182" s="145" t="inlineStr">
        <is>
          <t>Aptos</t>
        </is>
      </c>
      <c r="H1182" s="145" t="n">
        <v>8</v>
      </c>
      <c r="I1182" s="145" t="inlineStr">
        <is>
          <t>No</t>
        </is>
      </c>
      <c r="J1182" s="145" t="inlineStr">
        <is>
          <t>No</t>
        </is>
      </c>
      <c r="K1182" s="145" t="inlineStr">
        <is>
          <t>None</t>
        </is>
      </c>
      <c r="L1182" s="145" t="inlineStr">
        <is>
          <t>#000000</t>
        </is>
      </c>
      <c r="M1182" s="145" t="inlineStr">
        <is>
          <t>General</t>
        </is>
      </c>
      <c r="N1182" s="145" t="inlineStr">
        <is>
          <t>Center</t>
        </is>
      </c>
      <c r="O1182" s="145" t="inlineStr">
        <is>
          <t>No</t>
        </is>
      </c>
      <c r="P1182" s="145" t="inlineStr">
        <is>
          <t>General</t>
        </is>
      </c>
      <c r="Q1182" s="145" t="inlineStr">
        <is>
          <t>General</t>
        </is>
      </c>
      <c r="R1182" s="145" t="n"/>
      <c r="S1182" s="145" t="n"/>
      <c r="T1182" s="145" t="n"/>
      <c r="U1182" s="145" t="n"/>
      <c r="V1182" s="145" t="n"/>
      <c r="W1182" s="145" t="n"/>
      <c r="X1182" s="145" t="inlineStr">
        <is>
          <t>Detailed format sample from top five used rows</t>
        </is>
      </c>
    </row>
    <row r="1183" ht="23.85" customHeight="1" s="79">
      <c r="A1183" s="145" t="inlineStr">
        <is>
          <t>PPO_DATA</t>
        </is>
      </c>
      <c r="B1183" s="145" t="inlineStr">
        <is>
          <t>Top-Row Cell Format</t>
        </is>
      </c>
      <c r="C1183" s="145" t="inlineStr">
        <is>
          <t>M3</t>
        </is>
      </c>
      <c r="D1183" s="145" t="inlineStr">
        <is>
          <t>PPO_DATA!A1:AM3957</t>
        </is>
      </c>
      <c r="E1183" s="145" t="inlineStr">
        <is>
          <t>Normal</t>
        </is>
      </c>
      <c r="F1183" s="145" t="n"/>
      <c r="G1183" s="145" t="inlineStr">
        <is>
          <t>Aptos</t>
        </is>
      </c>
      <c r="H1183" s="145" t="n">
        <v>8</v>
      </c>
      <c r="I1183" s="145" t="inlineStr">
        <is>
          <t>No</t>
        </is>
      </c>
      <c r="J1183" s="145" t="inlineStr">
        <is>
          <t>No</t>
        </is>
      </c>
      <c r="K1183" s="145" t="inlineStr">
        <is>
          <t>None</t>
        </is>
      </c>
      <c r="L1183" s="145" t="inlineStr">
        <is>
          <t>#000000</t>
        </is>
      </c>
      <c r="M1183" s="145" t="inlineStr">
        <is>
          <t>General</t>
        </is>
      </c>
      <c r="N1183" s="145" t="inlineStr">
        <is>
          <t>Center</t>
        </is>
      </c>
      <c r="O1183" s="145" t="inlineStr">
        <is>
          <t>No</t>
        </is>
      </c>
      <c r="P1183" s="145" t="inlineStr">
        <is>
          <t>General</t>
        </is>
      </c>
      <c r="Q1183" s="145" t="inlineStr">
        <is>
          <t>General</t>
        </is>
      </c>
      <c r="R1183" s="145" t="n"/>
      <c r="S1183" s="145" t="n"/>
      <c r="T1183" s="145" t="n"/>
      <c r="U1183" s="145" t="n"/>
      <c r="V1183" s="145" t="n"/>
      <c r="W1183" s="145" t="n"/>
      <c r="X1183" s="145" t="inlineStr">
        <is>
          <t>Detailed format sample from top five used rows</t>
        </is>
      </c>
    </row>
    <row r="1184" ht="23.85" customHeight="1" s="79">
      <c r="A1184" s="145" t="inlineStr">
        <is>
          <t>PPO_DATA</t>
        </is>
      </c>
      <c r="B1184" s="145" t="inlineStr">
        <is>
          <t>Top-Row Cell Format</t>
        </is>
      </c>
      <c r="C1184" s="145" t="inlineStr">
        <is>
          <t>M4</t>
        </is>
      </c>
      <c r="D1184" s="145" t="inlineStr">
        <is>
          <t>PPO_DATA!A1:AM3957</t>
        </is>
      </c>
      <c r="E1184" s="145" t="inlineStr">
        <is>
          <t>Normal</t>
        </is>
      </c>
      <c r="F1184" s="145" t="n"/>
      <c r="G1184" s="145" t="inlineStr">
        <is>
          <t>Aptos</t>
        </is>
      </c>
      <c r="H1184" s="145" t="n">
        <v>8</v>
      </c>
      <c r="I1184" s="145" t="inlineStr">
        <is>
          <t>No</t>
        </is>
      </c>
      <c r="J1184" s="145" t="inlineStr">
        <is>
          <t>No</t>
        </is>
      </c>
      <c r="K1184" s="145" t="inlineStr">
        <is>
          <t>None</t>
        </is>
      </c>
      <c r="L1184" s="145" t="inlineStr">
        <is>
          <t>#000000</t>
        </is>
      </c>
      <c r="M1184" s="145" t="inlineStr">
        <is>
          <t>General</t>
        </is>
      </c>
      <c r="N1184" s="145" t="inlineStr">
        <is>
          <t>Center</t>
        </is>
      </c>
      <c r="O1184" s="145" t="inlineStr">
        <is>
          <t>No</t>
        </is>
      </c>
      <c r="P1184" s="145" t="inlineStr">
        <is>
          <t>General</t>
        </is>
      </c>
      <c r="Q1184" s="145" t="inlineStr">
        <is>
          <t>General</t>
        </is>
      </c>
      <c r="R1184" s="145" t="n"/>
      <c r="S1184" s="145" t="n"/>
      <c r="T1184" s="145" t="n"/>
      <c r="U1184" s="145" t="n"/>
      <c r="V1184" s="145" t="n"/>
      <c r="W1184" s="145" t="n"/>
      <c r="X1184" s="145" t="inlineStr">
        <is>
          <t>Detailed format sample from top five used rows</t>
        </is>
      </c>
    </row>
    <row r="1185" ht="23.85" customHeight="1" s="79">
      <c r="A1185" s="145" t="inlineStr">
        <is>
          <t>PPO_DATA</t>
        </is>
      </c>
      <c r="B1185" s="145" t="inlineStr">
        <is>
          <t>Top-Row Cell Format</t>
        </is>
      </c>
      <c r="C1185" s="145" t="inlineStr">
        <is>
          <t>M5</t>
        </is>
      </c>
      <c r="D1185" s="145" t="inlineStr">
        <is>
          <t>PPO_DATA!A1:AM3957</t>
        </is>
      </c>
      <c r="E1185" s="145" t="inlineStr">
        <is>
          <t>Normal</t>
        </is>
      </c>
      <c r="F1185" s="145" t="n"/>
      <c r="G1185" s="145" t="inlineStr">
        <is>
          <t>Aptos</t>
        </is>
      </c>
      <c r="H1185" s="145" t="n">
        <v>8</v>
      </c>
      <c r="I1185" s="145" t="inlineStr">
        <is>
          <t>No</t>
        </is>
      </c>
      <c r="J1185" s="145" t="inlineStr">
        <is>
          <t>No</t>
        </is>
      </c>
      <c r="K1185" s="145" t="inlineStr">
        <is>
          <t>None</t>
        </is>
      </c>
      <c r="L1185" s="145" t="inlineStr">
        <is>
          <t>#000000</t>
        </is>
      </c>
      <c r="M1185" s="145" t="inlineStr">
        <is>
          <t>General</t>
        </is>
      </c>
      <c r="N1185" s="145" t="inlineStr">
        <is>
          <t>Center</t>
        </is>
      </c>
      <c r="O1185" s="145" t="inlineStr">
        <is>
          <t>No</t>
        </is>
      </c>
      <c r="P1185" s="145" t="inlineStr">
        <is>
          <t>General</t>
        </is>
      </c>
      <c r="Q1185" s="145" t="inlineStr">
        <is>
          <t>General</t>
        </is>
      </c>
      <c r="R1185" s="145" t="n"/>
      <c r="S1185" s="145" t="n"/>
      <c r="T1185" s="145" t="n"/>
      <c r="U1185" s="145" t="n"/>
      <c r="V1185" s="145" t="n"/>
      <c r="W1185" s="145" t="n"/>
      <c r="X1185" s="145" t="inlineStr">
        <is>
          <t>Detailed format sample from top five used rows</t>
        </is>
      </c>
    </row>
    <row r="1186" ht="23.85" customHeight="1" s="79">
      <c r="A1186" s="145" t="inlineStr">
        <is>
          <t>PPO_DATA</t>
        </is>
      </c>
      <c r="B1186" s="145" t="inlineStr">
        <is>
          <t>Column Format</t>
        </is>
      </c>
      <c r="C1186" s="145" t="inlineStr">
        <is>
          <t>N:N</t>
        </is>
      </c>
      <c r="D1186" s="145" t="inlineStr">
        <is>
          <t>PPO_DATA!A1:AM3957</t>
        </is>
      </c>
      <c r="E1186" s="145" t="inlineStr">
        <is>
          <t>Normal</t>
        </is>
      </c>
      <c r="F1186" s="145" t="inlineStr">
        <is>
          <t>Mixed</t>
        </is>
      </c>
      <c r="G1186" s="145" t="inlineStr">
        <is>
          <t>Aptos</t>
        </is>
      </c>
      <c r="H1186" s="145" t="n">
        <v>8</v>
      </c>
      <c r="I1186" s="145" t="inlineStr">
        <is>
          <t>Mixed</t>
        </is>
      </c>
      <c r="J1186" s="145" t="inlineStr">
        <is>
          <t>No</t>
        </is>
      </c>
      <c r="K1186" s="145" t="inlineStr">
        <is>
          <t>None</t>
        </is>
      </c>
      <c r="L1186" s="145" t="inlineStr">
        <is>
          <t>Mixed</t>
        </is>
      </c>
      <c r="M1186" s="145" t="inlineStr">
        <is>
          <t>General</t>
        </is>
      </c>
      <c r="N1186" s="145" t="inlineStr">
        <is>
          <t>Center</t>
        </is>
      </c>
      <c r="O1186" s="145" t="inlineStr">
        <is>
          <t>No</t>
        </is>
      </c>
      <c r="P1186" s="145" t="n"/>
      <c r="Q1186" s="145" t="n"/>
      <c r="R1186" s="145" t="n"/>
      <c r="S1186" s="145" t="n">
        <v>56.4179104477612</v>
      </c>
      <c r="T1186" s="145" t="n"/>
      <c r="U1186" s="145" t="inlineStr">
        <is>
          <t>No</t>
        </is>
      </c>
      <c r="V1186" s="145" t="inlineStr">
        <is>
          <t>Visible</t>
        </is>
      </c>
      <c r="W1186" s="145" t="n"/>
      <c r="X1186" s="145" t="inlineStr">
        <is>
          <t>Mixed styles within used column</t>
        </is>
      </c>
    </row>
    <row r="1187" ht="23.85" customHeight="1" s="79">
      <c r="A1187" s="145" t="inlineStr">
        <is>
          <t>PPO_DATA</t>
        </is>
      </c>
      <c r="B1187" s="145" t="inlineStr">
        <is>
          <t>Top-Row Cell Format</t>
        </is>
      </c>
      <c r="C1187" s="145" t="inlineStr">
        <is>
          <t>N1</t>
        </is>
      </c>
      <c r="D1187" s="145" t="inlineStr">
        <is>
          <t>PPO_DATA!A1:AM3957</t>
        </is>
      </c>
      <c r="E1187" s="145" t="inlineStr">
        <is>
          <t>Normal</t>
        </is>
      </c>
      <c r="F1187" s="145" t="inlineStr">
        <is>
          <t>#2F75B5</t>
        </is>
      </c>
      <c r="G1187" s="145" t="inlineStr">
        <is>
          <t>Aptos</t>
        </is>
      </c>
      <c r="H1187" s="145" t="n">
        <v>8</v>
      </c>
      <c r="I1187" s="145" t="inlineStr">
        <is>
          <t>Yes</t>
        </is>
      </c>
      <c r="J1187" s="145" t="inlineStr">
        <is>
          <t>No</t>
        </is>
      </c>
      <c r="K1187" s="145" t="inlineStr">
        <is>
          <t>None</t>
        </is>
      </c>
      <c r="L1187" s="145" t="inlineStr">
        <is>
          <t>#FFFF00</t>
        </is>
      </c>
      <c r="M1187" s="145" t="inlineStr">
        <is>
          <t>General</t>
        </is>
      </c>
      <c r="N1187" s="145" t="inlineStr">
        <is>
          <t>Center</t>
        </is>
      </c>
      <c r="O1187" s="145" t="inlineStr">
        <is>
          <t>No</t>
        </is>
      </c>
      <c r="P1187" s="145" t="inlineStr">
        <is>
          <t>General</t>
        </is>
      </c>
      <c r="Q1187" s="145" t="inlineStr">
        <is>
          <t>General</t>
        </is>
      </c>
      <c r="R1187" s="145" t="n"/>
      <c r="S1187" s="145" t="n"/>
      <c r="T1187" s="145" t="n"/>
      <c r="U1187" s="145" t="n"/>
      <c r="V1187" s="145" t="n"/>
      <c r="W1187" s="145" t="n"/>
      <c r="X1187" s="145" t="inlineStr">
        <is>
          <t>Detailed format sample from top five used rows</t>
        </is>
      </c>
    </row>
    <row r="1188" ht="23.85" customHeight="1" s="79">
      <c r="A1188" s="145" t="inlineStr">
        <is>
          <t>PPO_DATA</t>
        </is>
      </c>
      <c r="B1188" s="145" t="inlineStr">
        <is>
          <t>Top-Row Cell Format</t>
        </is>
      </c>
      <c r="C1188" s="145" t="inlineStr">
        <is>
          <t>N2</t>
        </is>
      </c>
      <c r="D1188" s="145" t="inlineStr">
        <is>
          <t>PPO_DATA!A1:AM3957</t>
        </is>
      </c>
      <c r="E1188" s="145" t="inlineStr">
        <is>
          <t>Normal</t>
        </is>
      </c>
      <c r="F1188" s="145" t="n"/>
      <c r="G1188" s="145" t="inlineStr">
        <is>
          <t>Aptos</t>
        </is>
      </c>
      <c r="H1188" s="145" t="n">
        <v>8</v>
      </c>
      <c r="I1188" s="145" t="inlineStr">
        <is>
          <t>No</t>
        </is>
      </c>
      <c r="J1188" s="145" t="inlineStr">
        <is>
          <t>No</t>
        </is>
      </c>
      <c r="K1188" s="145" t="inlineStr">
        <is>
          <t>None</t>
        </is>
      </c>
      <c r="L1188" s="145" t="inlineStr">
        <is>
          <t>#000000</t>
        </is>
      </c>
      <c r="M1188" s="145" t="inlineStr">
        <is>
          <t>General</t>
        </is>
      </c>
      <c r="N1188" s="145" t="inlineStr">
        <is>
          <t>Center</t>
        </is>
      </c>
      <c r="O1188" s="145" t="inlineStr">
        <is>
          <t>No</t>
        </is>
      </c>
      <c r="P1188" s="145" t="inlineStr">
        <is>
          <t>General</t>
        </is>
      </c>
      <c r="Q1188" s="145" t="inlineStr">
        <is>
          <t>General</t>
        </is>
      </c>
      <c r="R1188" s="145" t="n"/>
      <c r="S1188" s="145" t="n"/>
      <c r="T1188" s="145" t="n"/>
      <c r="U1188" s="145" t="n"/>
      <c r="V1188" s="145" t="n"/>
      <c r="W1188" s="145" t="n"/>
      <c r="X1188" s="145" t="inlineStr">
        <is>
          <t>Detailed format sample from top five used rows</t>
        </is>
      </c>
    </row>
    <row r="1189" ht="23.85" customHeight="1" s="79">
      <c r="A1189" s="145" t="inlineStr">
        <is>
          <t>PPO_DATA</t>
        </is>
      </c>
      <c r="B1189" s="145" t="inlineStr">
        <is>
          <t>Top-Row Cell Format</t>
        </is>
      </c>
      <c r="C1189" s="145" t="inlineStr">
        <is>
          <t>N3</t>
        </is>
      </c>
      <c r="D1189" s="145" t="inlineStr">
        <is>
          <t>PPO_DATA!A1:AM3957</t>
        </is>
      </c>
      <c r="E1189" s="145" t="inlineStr">
        <is>
          <t>Normal</t>
        </is>
      </c>
      <c r="F1189" s="145" t="n"/>
      <c r="G1189" s="145" t="inlineStr">
        <is>
          <t>Aptos</t>
        </is>
      </c>
      <c r="H1189" s="145" t="n">
        <v>8</v>
      </c>
      <c r="I1189" s="145" t="inlineStr">
        <is>
          <t>No</t>
        </is>
      </c>
      <c r="J1189" s="145" t="inlineStr">
        <is>
          <t>No</t>
        </is>
      </c>
      <c r="K1189" s="145" t="inlineStr">
        <is>
          <t>None</t>
        </is>
      </c>
      <c r="L1189" s="145" t="inlineStr">
        <is>
          <t>#000000</t>
        </is>
      </c>
      <c r="M1189" s="145" t="inlineStr">
        <is>
          <t>General</t>
        </is>
      </c>
      <c r="N1189" s="145" t="inlineStr">
        <is>
          <t>Center</t>
        </is>
      </c>
      <c r="O1189" s="145" t="inlineStr">
        <is>
          <t>No</t>
        </is>
      </c>
      <c r="P1189" s="145" t="inlineStr">
        <is>
          <t>General</t>
        </is>
      </c>
      <c r="Q1189" s="145" t="inlineStr">
        <is>
          <t>General</t>
        </is>
      </c>
      <c r="R1189" s="145" t="n"/>
      <c r="S1189" s="145" t="n"/>
      <c r="T1189" s="145" t="n"/>
      <c r="U1189" s="145" t="n"/>
      <c r="V1189" s="145" t="n"/>
      <c r="W1189" s="145" t="n"/>
      <c r="X1189" s="145" t="inlineStr">
        <is>
          <t>Detailed format sample from top five used rows</t>
        </is>
      </c>
    </row>
    <row r="1190" ht="23.85" customHeight="1" s="79">
      <c r="A1190" s="145" t="inlineStr">
        <is>
          <t>PPO_DATA</t>
        </is>
      </c>
      <c r="B1190" s="145" t="inlineStr">
        <is>
          <t>Top-Row Cell Format</t>
        </is>
      </c>
      <c r="C1190" s="145" t="inlineStr">
        <is>
          <t>N4</t>
        </is>
      </c>
      <c r="D1190" s="145" t="inlineStr">
        <is>
          <t>PPO_DATA!A1:AM3957</t>
        </is>
      </c>
      <c r="E1190" s="145" t="inlineStr">
        <is>
          <t>Normal</t>
        </is>
      </c>
      <c r="F1190" s="145" t="n"/>
      <c r="G1190" s="145" t="inlineStr">
        <is>
          <t>Aptos</t>
        </is>
      </c>
      <c r="H1190" s="145" t="n">
        <v>8</v>
      </c>
      <c r="I1190" s="145" t="inlineStr">
        <is>
          <t>No</t>
        </is>
      </c>
      <c r="J1190" s="145" t="inlineStr">
        <is>
          <t>No</t>
        </is>
      </c>
      <c r="K1190" s="145" t="inlineStr">
        <is>
          <t>None</t>
        </is>
      </c>
      <c r="L1190" s="145" t="inlineStr">
        <is>
          <t>#000000</t>
        </is>
      </c>
      <c r="M1190" s="145" t="inlineStr">
        <is>
          <t>General</t>
        </is>
      </c>
      <c r="N1190" s="145" t="inlineStr">
        <is>
          <t>Center</t>
        </is>
      </c>
      <c r="O1190" s="145" t="inlineStr">
        <is>
          <t>No</t>
        </is>
      </c>
      <c r="P1190" s="145" t="inlineStr">
        <is>
          <t>General</t>
        </is>
      </c>
      <c r="Q1190" s="145" t="inlineStr">
        <is>
          <t>General</t>
        </is>
      </c>
      <c r="R1190" s="145" t="n"/>
      <c r="S1190" s="145" t="n"/>
      <c r="T1190" s="145" t="n"/>
      <c r="U1190" s="145" t="n"/>
      <c r="V1190" s="145" t="n"/>
      <c r="W1190" s="145" t="n"/>
      <c r="X1190" s="145" t="inlineStr">
        <is>
          <t>Detailed format sample from top five used rows</t>
        </is>
      </c>
    </row>
    <row r="1191" ht="23.85" customHeight="1" s="79">
      <c r="A1191" s="145" t="inlineStr">
        <is>
          <t>PPO_DATA</t>
        </is>
      </c>
      <c r="B1191" s="145" t="inlineStr">
        <is>
          <t>Top-Row Cell Format</t>
        </is>
      </c>
      <c r="C1191" s="145" t="inlineStr">
        <is>
          <t>N5</t>
        </is>
      </c>
      <c r="D1191" s="145" t="inlineStr">
        <is>
          <t>PPO_DATA!A1:AM3957</t>
        </is>
      </c>
      <c r="E1191" s="145" t="inlineStr">
        <is>
          <t>Normal</t>
        </is>
      </c>
      <c r="F1191" s="145" t="n"/>
      <c r="G1191" s="145" t="inlineStr">
        <is>
          <t>Aptos</t>
        </is>
      </c>
      <c r="H1191" s="145" t="n">
        <v>8</v>
      </c>
      <c r="I1191" s="145" t="inlineStr">
        <is>
          <t>No</t>
        </is>
      </c>
      <c r="J1191" s="145" t="inlineStr">
        <is>
          <t>No</t>
        </is>
      </c>
      <c r="K1191" s="145" t="inlineStr">
        <is>
          <t>None</t>
        </is>
      </c>
      <c r="L1191" s="145" t="inlineStr">
        <is>
          <t>#000000</t>
        </is>
      </c>
      <c r="M1191" s="145" t="inlineStr">
        <is>
          <t>General</t>
        </is>
      </c>
      <c r="N1191" s="145" t="inlineStr">
        <is>
          <t>Center</t>
        </is>
      </c>
      <c r="O1191" s="145" t="inlineStr">
        <is>
          <t>No</t>
        </is>
      </c>
      <c r="P1191" s="145" t="inlineStr">
        <is>
          <t>General</t>
        </is>
      </c>
      <c r="Q1191" s="145" t="inlineStr">
        <is>
          <t>General</t>
        </is>
      </c>
      <c r="R1191" s="145" t="n"/>
      <c r="S1191" s="145" t="n"/>
      <c r="T1191" s="145" t="n"/>
      <c r="U1191" s="145" t="n"/>
      <c r="V1191" s="145" t="n"/>
      <c r="W1191" s="145" t="n"/>
      <c r="X1191" s="145" t="inlineStr">
        <is>
          <t>Detailed format sample from top five used rows</t>
        </is>
      </c>
    </row>
    <row r="1192" ht="23.85" customHeight="1" s="79">
      <c r="A1192" s="145" t="inlineStr">
        <is>
          <t>PPO_DATA</t>
        </is>
      </c>
      <c r="B1192" s="145" t="inlineStr">
        <is>
          <t>Column Format</t>
        </is>
      </c>
      <c r="C1192" s="145" t="inlineStr">
        <is>
          <t>O:O</t>
        </is>
      </c>
      <c r="D1192" s="145" t="inlineStr">
        <is>
          <t>PPO_DATA!A1:AM3957</t>
        </is>
      </c>
      <c r="E1192" s="145" t="inlineStr">
        <is>
          <t>Normal</t>
        </is>
      </c>
      <c r="F1192" s="145" t="inlineStr">
        <is>
          <t>Mixed</t>
        </is>
      </c>
      <c r="G1192" s="145" t="inlineStr">
        <is>
          <t>Aptos</t>
        </is>
      </c>
      <c r="H1192" s="145" t="n">
        <v>8</v>
      </c>
      <c r="I1192" s="145" t="inlineStr">
        <is>
          <t>Mixed</t>
        </is>
      </c>
      <c r="J1192" s="145" t="inlineStr">
        <is>
          <t>No</t>
        </is>
      </c>
      <c r="K1192" s="145" t="inlineStr">
        <is>
          <t>None</t>
        </is>
      </c>
      <c r="L1192" s="145" t="inlineStr">
        <is>
          <t>Mixed</t>
        </is>
      </c>
      <c r="M1192" s="145" t="inlineStr">
        <is>
          <t>General</t>
        </is>
      </c>
      <c r="N1192" s="145" t="inlineStr">
        <is>
          <t>Center</t>
        </is>
      </c>
      <c r="O1192" s="145" t="inlineStr">
        <is>
          <t>No</t>
        </is>
      </c>
      <c r="P1192" s="145" t="n"/>
      <c r="Q1192" s="145" t="n"/>
      <c r="R1192" s="145" t="n"/>
      <c r="S1192" s="145" t="n">
        <v>87.5820895522388</v>
      </c>
      <c r="T1192" s="145" t="n"/>
      <c r="U1192" s="145" t="inlineStr">
        <is>
          <t>No</t>
        </is>
      </c>
      <c r="V1192" s="145" t="inlineStr">
        <is>
          <t>Visible</t>
        </is>
      </c>
      <c r="W1192" s="145" t="n"/>
      <c r="X1192" s="145" t="inlineStr">
        <is>
          <t>Mixed styles within used column</t>
        </is>
      </c>
    </row>
    <row r="1193" ht="23.85" customHeight="1" s="79">
      <c r="A1193" s="145" t="inlineStr">
        <is>
          <t>PPO_DATA</t>
        </is>
      </c>
      <c r="B1193" s="145" t="inlineStr">
        <is>
          <t>Top-Row Cell Format</t>
        </is>
      </c>
      <c r="C1193" s="145" t="inlineStr">
        <is>
          <t>O1</t>
        </is>
      </c>
      <c r="D1193" s="145" t="inlineStr">
        <is>
          <t>PPO_DATA!A1:AM3957</t>
        </is>
      </c>
      <c r="E1193" s="145" t="inlineStr">
        <is>
          <t>Normal</t>
        </is>
      </c>
      <c r="F1193" s="145" t="inlineStr">
        <is>
          <t>#2F75B5</t>
        </is>
      </c>
      <c r="G1193" s="145" t="inlineStr">
        <is>
          <t>Aptos</t>
        </is>
      </c>
      <c r="H1193" s="145" t="n">
        <v>8</v>
      </c>
      <c r="I1193" s="145" t="inlineStr">
        <is>
          <t>Yes</t>
        </is>
      </c>
      <c r="J1193" s="145" t="inlineStr">
        <is>
          <t>No</t>
        </is>
      </c>
      <c r="K1193" s="145" t="inlineStr">
        <is>
          <t>None</t>
        </is>
      </c>
      <c r="L1193" s="145" t="inlineStr">
        <is>
          <t>#FFFF00</t>
        </is>
      </c>
      <c r="M1193" s="145" t="inlineStr">
        <is>
          <t>General</t>
        </is>
      </c>
      <c r="N1193" s="145" t="inlineStr">
        <is>
          <t>Center</t>
        </is>
      </c>
      <c r="O1193" s="145" t="inlineStr">
        <is>
          <t>No</t>
        </is>
      </c>
      <c r="P1193" s="145" t="inlineStr">
        <is>
          <t>General</t>
        </is>
      </c>
      <c r="Q1193" s="145" t="inlineStr">
        <is>
          <t>General</t>
        </is>
      </c>
      <c r="R1193" s="145" t="n"/>
      <c r="S1193" s="145" t="n"/>
      <c r="T1193" s="145" t="n"/>
      <c r="U1193" s="145" t="n"/>
      <c r="V1193" s="145" t="n"/>
      <c r="W1193" s="145" t="n"/>
      <c r="X1193" s="145" t="inlineStr">
        <is>
          <t>Detailed format sample from top five used rows</t>
        </is>
      </c>
    </row>
    <row r="1194" ht="23.85" customHeight="1" s="79">
      <c r="A1194" s="145" t="inlineStr">
        <is>
          <t>PPO_DATA</t>
        </is>
      </c>
      <c r="B1194" s="145" t="inlineStr">
        <is>
          <t>Top-Row Cell Format</t>
        </is>
      </c>
      <c r="C1194" s="145" t="inlineStr">
        <is>
          <t>O2</t>
        </is>
      </c>
      <c r="D1194" s="145" t="inlineStr">
        <is>
          <t>PPO_DATA!A1:AM3957</t>
        </is>
      </c>
      <c r="E1194" s="145" t="inlineStr">
        <is>
          <t>Normal</t>
        </is>
      </c>
      <c r="F1194" s="145" t="n"/>
      <c r="G1194" s="145" t="inlineStr">
        <is>
          <t>Aptos</t>
        </is>
      </c>
      <c r="H1194" s="145" t="n">
        <v>8</v>
      </c>
      <c r="I1194" s="145" t="inlineStr">
        <is>
          <t>No</t>
        </is>
      </c>
      <c r="J1194" s="145" t="inlineStr">
        <is>
          <t>No</t>
        </is>
      </c>
      <c r="K1194" s="145" t="inlineStr">
        <is>
          <t>None</t>
        </is>
      </c>
      <c r="L1194" s="145" t="inlineStr">
        <is>
          <t>#000000</t>
        </is>
      </c>
      <c r="M1194" s="145" t="inlineStr">
        <is>
          <t>General</t>
        </is>
      </c>
      <c r="N1194" s="145" t="inlineStr">
        <is>
          <t>Center</t>
        </is>
      </c>
      <c r="O1194" s="145" t="inlineStr">
        <is>
          <t>No</t>
        </is>
      </c>
      <c r="P1194" s="145" t="inlineStr">
        <is>
          <t>General</t>
        </is>
      </c>
      <c r="Q1194" s="145" t="inlineStr">
        <is>
          <t>General</t>
        </is>
      </c>
      <c r="R1194" s="145" t="n"/>
      <c r="S1194" s="145" t="n"/>
      <c r="T1194" s="145" t="n"/>
      <c r="U1194" s="145" t="n"/>
      <c r="V1194" s="145" t="n"/>
      <c r="W1194" s="145" t="n"/>
      <c r="X1194" s="145" t="inlineStr">
        <is>
          <t>Detailed format sample from top five used rows</t>
        </is>
      </c>
    </row>
    <row r="1195" ht="23.85" customHeight="1" s="79">
      <c r="A1195" s="145" t="inlineStr">
        <is>
          <t>PPO_DATA</t>
        </is>
      </c>
      <c r="B1195" s="145" t="inlineStr">
        <is>
          <t>Top-Row Cell Format</t>
        </is>
      </c>
      <c r="C1195" s="145" t="inlineStr">
        <is>
          <t>O3</t>
        </is>
      </c>
      <c r="D1195" s="145" t="inlineStr">
        <is>
          <t>PPO_DATA!A1:AM3957</t>
        </is>
      </c>
      <c r="E1195" s="145" t="inlineStr">
        <is>
          <t>Normal</t>
        </is>
      </c>
      <c r="F1195" s="145" t="n"/>
      <c r="G1195" s="145" t="inlineStr">
        <is>
          <t>Aptos</t>
        </is>
      </c>
      <c r="H1195" s="145" t="n">
        <v>8</v>
      </c>
      <c r="I1195" s="145" t="inlineStr">
        <is>
          <t>No</t>
        </is>
      </c>
      <c r="J1195" s="145" t="inlineStr">
        <is>
          <t>No</t>
        </is>
      </c>
      <c r="K1195" s="145" t="inlineStr">
        <is>
          <t>None</t>
        </is>
      </c>
      <c r="L1195" s="145" t="inlineStr">
        <is>
          <t>#000000</t>
        </is>
      </c>
      <c r="M1195" s="145" t="inlineStr">
        <is>
          <t>General</t>
        </is>
      </c>
      <c r="N1195" s="145" t="inlineStr">
        <is>
          <t>Center</t>
        </is>
      </c>
      <c r="O1195" s="145" t="inlineStr">
        <is>
          <t>No</t>
        </is>
      </c>
      <c r="P1195" s="145" t="inlineStr">
        <is>
          <t>General</t>
        </is>
      </c>
      <c r="Q1195" s="145" t="inlineStr">
        <is>
          <t>General</t>
        </is>
      </c>
      <c r="R1195" s="145" t="n"/>
      <c r="S1195" s="145" t="n"/>
      <c r="T1195" s="145" t="n"/>
      <c r="U1195" s="145" t="n"/>
      <c r="V1195" s="145" t="n"/>
      <c r="W1195" s="145" t="n"/>
      <c r="X1195" s="145" t="inlineStr">
        <is>
          <t>Detailed format sample from top five used rows</t>
        </is>
      </c>
    </row>
    <row r="1196" ht="23.85" customHeight="1" s="79">
      <c r="A1196" s="145" t="inlineStr">
        <is>
          <t>PPO_DATA</t>
        </is>
      </c>
      <c r="B1196" s="145" t="inlineStr">
        <is>
          <t>Top-Row Cell Format</t>
        </is>
      </c>
      <c r="C1196" s="145" t="inlineStr">
        <is>
          <t>O4</t>
        </is>
      </c>
      <c r="D1196" s="145" t="inlineStr">
        <is>
          <t>PPO_DATA!A1:AM3957</t>
        </is>
      </c>
      <c r="E1196" s="145" t="inlineStr">
        <is>
          <t>Normal</t>
        </is>
      </c>
      <c r="F1196" s="145" t="n"/>
      <c r="G1196" s="145" t="inlineStr">
        <is>
          <t>Aptos</t>
        </is>
      </c>
      <c r="H1196" s="145" t="n">
        <v>8</v>
      </c>
      <c r="I1196" s="145" t="inlineStr">
        <is>
          <t>No</t>
        </is>
      </c>
      <c r="J1196" s="145" t="inlineStr">
        <is>
          <t>No</t>
        </is>
      </c>
      <c r="K1196" s="145" t="inlineStr">
        <is>
          <t>None</t>
        </is>
      </c>
      <c r="L1196" s="145" t="inlineStr">
        <is>
          <t>#000000</t>
        </is>
      </c>
      <c r="M1196" s="145" t="inlineStr">
        <is>
          <t>General</t>
        </is>
      </c>
      <c r="N1196" s="145" t="inlineStr">
        <is>
          <t>Center</t>
        </is>
      </c>
      <c r="O1196" s="145" t="inlineStr">
        <is>
          <t>No</t>
        </is>
      </c>
      <c r="P1196" s="145" t="inlineStr">
        <is>
          <t>General</t>
        </is>
      </c>
      <c r="Q1196" s="145" t="inlineStr">
        <is>
          <t>General</t>
        </is>
      </c>
      <c r="R1196" s="145" t="n"/>
      <c r="S1196" s="145" t="n"/>
      <c r="T1196" s="145" t="n"/>
      <c r="U1196" s="145" t="n"/>
      <c r="V1196" s="145" t="n"/>
      <c r="W1196" s="145" t="n"/>
      <c r="X1196" s="145" t="inlineStr">
        <is>
          <t>Detailed format sample from top five used rows</t>
        </is>
      </c>
    </row>
    <row r="1197" ht="23.85" customHeight="1" s="79">
      <c r="A1197" s="145" t="inlineStr">
        <is>
          <t>PPO_DATA</t>
        </is>
      </c>
      <c r="B1197" s="145" t="inlineStr">
        <is>
          <t>Top-Row Cell Format</t>
        </is>
      </c>
      <c r="C1197" s="145" t="inlineStr">
        <is>
          <t>O5</t>
        </is>
      </c>
      <c r="D1197" s="145" t="inlineStr">
        <is>
          <t>PPO_DATA!A1:AM3957</t>
        </is>
      </c>
      <c r="E1197" s="145" t="inlineStr">
        <is>
          <t>Normal</t>
        </is>
      </c>
      <c r="F1197" s="145" t="n"/>
      <c r="G1197" s="145" t="inlineStr">
        <is>
          <t>Aptos</t>
        </is>
      </c>
      <c r="H1197" s="145" t="n">
        <v>8</v>
      </c>
      <c r="I1197" s="145" t="inlineStr">
        <is>
          <t>No</t>
        </is>
      </c>
      <c r="J1197" s="145" t="inlineStr">
        <is>
          <t>No</t>
        </is>
      </c>
      <c r="K1197" s="145" t="inlineStr">
        <is>
          <t>None</t>
        </is>
      </c>
      <c r="L1197" s="145" t="inlineStr">
        <is>
          <t>#000000</t>
        </is>
      </c>
      <c r="M1197" s="145" t="inlineStr">
        <is>
          <t>General</t>
        </is>
      </c>
      <c r="N1197" s="145" t="inlineStr">
        <is>
          <t>Center</t>
        </is>
      </c>
      <c r="O1197" s="145" t="inlineStr">
        <is>
          <t>No</t>
        </is>
      </c>
      <c r="P1197" s="145" t="inlineStr">
        <is>
          <t>General</t>
        </is>
      </c>
      <c r="Q1197" s="145" t="inlineStr">
        <is>
          <t>General</t>
        </is>
      </c>
      <c r="R1197" s="145" t="n"/>
      <c r="S1197" s="145" t="n"/>
      <c r="T1197" s="145" t="n"/>
      <c r="U1197" s="145" t="n"/>
      <c r="V1197" s="145" t="n"/>
      <c r="W1197" s="145" t="n"/>
      <c r="X1197" s="145" t="inlineStr">
        <is>
          <t>Detailed format sample from top five used rows</t>
        </is>
      </c>
    </row>
    <row r="1198" ht="23.85" customHeight="1" s="79">
      <c r="A1198" s="145" t="inlineStr">
        <is>
          <t>PPO_DATA</t>
        </is>
      </c>
      <c r="B1198" s="145" t="inlineStr">
        <is>
          <t>Column Format</t>
        </is>
      </c>
      <c r="C1198" s="145" t="inlineStr">
        <is>
          <t>P:P</t>
        </is>
      </c>
      <c r="D1198" s="145" t="inlineStr">
        <is>
          <t>PPO_DATA!A1:AM3957</t>
        </is>
      </c>
      <c r="E1198" s="145" t="inlineStr">
        <is>
          <t>Normal</t>
        </is>
      </c>
      <c r="F1198" s="145" t="inlineStr">
        <is>
          <t>Mixed</t>
        </is>
      </c>
      <c r="G1198" s="145" t="inlineStr">
        <is>
          <t>Aptos</t>
        </is>
      </c>
      <c r="H1198" s="145" t="n">
        <v>8</v>
      </c>
      <c r="I1198" s="145" t="inlineStr">
        <is>
          <t>Mixed</t>
        </is>
      </c>
      <c r="J1198" s="145" t="inlineStr">
        <is>
          <t>No</t>
        </is>
      </c>
      <c r="K1198" s="145" t="inlineStr">
        <is>
          <t>None</t>
        </is>
      </c>
      <c r="L1198" s="145" t="inlineStr">
        <is>
          <t>Mixed</t>
        </is>
      </c>
      <c r="M1198" s="145" t="inlineStr">
        <is>
          <t>General</t>
        </is>
      </c>
      <c r="N1198" s="145" t="inlineStr">
        <is>
          <t>Center</t>
        </is>
      </c>
      <c r="O1198" s="145" t="inlineStr">
        <is>
          <t>No</t>
        </is>
      </c>
      <c r="P1198" s="145" t="n"/>
      <c r="Q1198" s="145" t="n"/>
      <c r="R1198" s="145" t="n"/>
      <c r="S1198" s="145" t="n">
        <v>33.8507462686567</v>
      </c>
      <c r="T1198" s="145" t="n"/>
      <c r="U1198" s="145" t="inlineStr">
        <is>
          <t>No</t>
        </is>
      </c>
      <c r="V1198" s="145" t="inlineStr">
        <is>
          <t>Visible</t>
        </is>
      </c>
      <c r="W1198" s="145" t="n"/>
      <c r="X1198" s="145" t="inlineStr">
        <is>
          <t>Mixed styles within used column</t>
        </is>
      </c>
    </row>
    <row r="1199" ht="23.85" customHeight="1" s="79">
      <c r="A1199" s="145" t="inlineStr">
        <is>
          <t>PPO_DATA</t>
        </is>
      </c>
      <c r="B1199" s="145" t="inlineStr">
        <is>
          <t>Top-Row Cell Format</t>
        </is>
      </c>
      <c r="C1199" s="145" t="inlineStr">
        <is>
          <t>P1</t>
        </is>
      </c>
      <c r="D1199" s="145" t="inlineStr">
        <is>
          <t>PPO_DATA!A1:AM3957</t>
        </is>
      </c>
      <c r="E1199" s="145" t="inlineStr">
        <is>
          <t>Normal</t>
        </is>
      </c>
      <c r="F1199" s="145" t="inlineStr">
        <is>
          <t>#2F75B5</t>
        </is>
      </c>
      <c r="G1199" s="145" t="inlineStr">
        <is>
          <t>Aptos</t>
        </is>
      </c>
      <c r="H1199" s="145" t="n">
        <v>8</v>
      </c>
      <c r="I1199" s="145" t="inlineStr">
        <is>
          <t>Yes</t>
        </is>
      </c>
      <c r="J1199" s="145" t="inlineStr">
        <is>
          <t>No</t>
        </is>
      </c>
      <c r="K1199" s="145" t="inlineStr">
        <is>
          <t>None</t>
        </is>
      </c>
      <c r="L1199" s="145" t="inlineStr">
        <is>
          <t>#FFFF00</t>
        </is>
      </c>
      <c r="M1199" s="145" t="inlineStr">
        <is>
          <t>General</t>
        </is>
      </c>
      <c r="N1199" s="145" t="inlineStr">
        <is>
          <t>Center</t>
        </is>
      </c>
      <c r="O1199" s="145" t="inlineStr">
        <is>
          <t>No</t>
        </is>
      </c>
      <c r="P1199" s="145" t="inlineStr">
        <is>
          <t>General</t>
        </is>
      </c>
      <c r="Q1199" s="145" t="inlineStr">
        <is>
          <t>General</t>
        </is>
      </c>
      <c r="R1199" s="145" t="n"/>
      <c r="S1199" s="145" t="n"/>
      <c r="T1199" s="145" t="n"/>
      <c r="U1199" s="145" t="n"/>
      <c r="V1199" s="145" t="n"/>
      <c r="W1199" s="145" t="n"/>
      <c r="X1199" s="145" t="inlineStr">
        <is>
          <t>Detailed format sample from top five used rows</t>
        </is>
      </c>
    </row>
    <row r="1200" ht="23.85" customHeight="1" s="79">
      <c r="A1200" s="145" t="inlineStr">
        <is>
          <t>PPO_DATA</t>
        </is>
      </c>
      <c r="B1200" s="145" t="inlineStr">
        <is>
          <t>Top-Row Cell Format</t>
        </is>
      </c>
      <c r="C1200" s="145" t="inlineStr">
        <is>
          <t>P2</t>
        </is>
      </c>
      <c r="D1200" s="145" t="inlineStr">
        <is>
          <t>PPO_DATA!A1:AM3957</t>
        </is>
      </c>
      <c r="E1200" s="145" t="inlineStr">
        <is>
          <t>Normal</t>
        </is>
      </c>
      <c r="F1200" s="145" t="n"/>
      <c r="G1200" s="145" t="inlineStr">
        <is>
          <t>Aptos</t>
        </is>
      </c>
      <c r="H1200" s="145" t="n">
        <v>8</v>
      </c>
      <c r="I1200" s="145" t="inlineStr">
        <is>
          <t>No</t>
        </is>
      </c>
      <c r="J1200" s="145" t="inlineStr">
        <is>
          <t>No</t>
        </is>
      </c>
      <c r="K1200" s="145" t="inlineStr">
        <is>
          <t>None</t>
        </is>
      </c>
      <c r="L1200" s="145" t="inlineStr">
        <is>
          <t>#000000</t>
        </is>
      </c>
      <c r="M1200" s="145" t="inlineStr">
        <is>
          <t>General</t>
        </is>
      </c>
      <c r="N1200" s="145" t="inlineStr">
        <is>
          <t>Center</t>
        </is>
      </c>
      <c r="O1200" s="145" t="inlineStr">
        <is>
          <t>No</t>
        </is>
      </c>
      <c r="P1200" s="145" t="inlineStr">
        <is>
          <t>General</t>
        </is>
      </c>
      <c r="Q1200" s="145" t="inlineStr">
        <is>
          <t>General</t>
        </is>
      </c>
      <c r="R1200" s="145" t="n"/>
      <c r="S1200" s="145" t="n"/>
      <c r="T1200" s="145" t="n"/>
      <c r="U1200" s="145" t="n"/>
      <c r="V1200" s="145" t="n"/>
      <c r="W1200" s="145" t="n"/>
      <c r="X1200" s="145" t="inlineStr">
        <is>
          <t>Detailed format sample from top five used rows</t>
        </is>
      </c>
    </row>
    <row r="1201" ht="23.85" customHeight="1" s="79">
      <c r="A1201" s="145" t="inlineStr">
        <is>
          <t>PPO_DATA</t>
        </is>
      </c>
      <c r="B1201" s="145" t="inlineStr">
        <is>
          <t>Top-Row Cell Format</t>
        </is>
      </c>
      <c r="C1201" s="145" t="inlineStr">
        <is>
          <t>P3</t>
        </is>
      </c>
      <c r="D1201" s="145" t="inlineStr">
        <is>
          <t>PPO_DATA!A1:AM3957</t>
        </is>
      </c>
      <c r="E1201" s="145" t="inlineStr">
        <is>
          <t>Normal</t>
        </is>
      </c>
      <c r="F1201" s="145" t="n"/>
      <c r="G1201" s="145" t="inlineStr">
        <is>
          <t>Aptos</t>
        </is>
      </c>
      <c r="H1201" s="145" t="n">
        <v>8</v>
      </c>
      <c r="I1201" s="145" t="inlineStr">
        <is>
          <t>No</t>
        </is>
      </c>
      <c r="J1201" s="145" t="inlineStr">
        <is>
          <t>No</t>
        </is>
      </c>
      <c r="K1201" s="145" t="inlineStr">
        <is>
          <t>None</t>
        </is>
      </c>
      <c r="L1201" s="145" t="inlineStr">
        <is>
          <t>#000000</t>
        </is>
      </c>
      <c r="M1201" s="145" t="inlineStr">
        <is>
          <t>General</t>
        </is>
      </c>
      <c r="N1201" s="145" t="inlineStr">
        <is>
          <t>Center</t>
        </is>
      </c>
      <c r="O1201" s="145" t="inlineStr">
        <is>
          <t>No</t>
        </is>
      </c>
      <c r="P1201" s="145" t="inlineStr">
        <is>
          <t>General</t>
        </is>
      </c>
      <c r="Q1201" s="145" t="inlineStr">
        <is>
          <t>General</t>
        </is>
      </c>
      <c r="R1201" s="145" t="n"/>
      <c r="S1201" s="145" t="n"/>
      <c r="T1201" s="145" t="n"/>
      <c r="U1201" s="145" t="n"/>
      <c r="V1201" s="145" t="n"/>
      <c r="W1201" s="145" t="n"/>
      <c r="X1201" s="145" t="inlineStr">
        <is>
          <t>Detailed format sample from top five used rows</t>
        </is>
      </c>
    </row>
    <row r="1202" ht="23.85" customHeight="1" s="79">
      <c r="A1202" s="145" t="inlineStr">
        <is>
          <t>PPO_DATA</t>
        </is>
      </c>
      <c r="B1202" s="145" t="inlineStr">
        <is>
          <t>Top-Row Cell Format</t>
        </is>
      </c>
      <c r="C1202" s="145" t="inlineStr">
        <is>
          <t>P4</t>
        </is>
      </c>
      <c r="D1202" s="145" t="inlineStr">
        <is>
          <t>PPO_DATA!A1:AM3957</t>
        </is>
      </c>
      <c r="E1202" s="145" t="inlineStr">
        <is>
          <t>Normal</t>
        </is>
      </c>
      <c r="F1202" s="145" t="n"/>
      <c r="G1202" s="145" t="inlineStr">
        <is>
          <t>Aptos</t>
        </is>
      </c>
      <c r="H1202" s="145" t="n">
        <v>8</v>
      </c>
      <c r="I1202" s="145" t="inlineStr">
        <is>
          <t>No</t>
        </is>
      </c>
      <c r="J1202" s="145" t="inlineStr">
        <is>
          <t>No</t>
        </is>
      </c>
      <c r="K1202" s="145" t="inlineStr">
        <is>
          <t>None</t>
        </is>
      </c>
      <c r="L1202" s="145" t="inlineStr">
        <is>
          <t>#000000</t>
        </is>
      </c>
      <c r="M1202" s="145" t="inlineStr">
        <is>
          <t>General</t>
        </is>
      </c>
      <c r="N1202" s="145" t="inlineStr">
        <is>
          <t>Center</t>
        </is>
      </c>
      <c r="O1202" s="145" t="inlineStr">
        <is>
          <t>No</t>
        </is>
      </c>
      <c r="P1202" s="145" t="inlineStr">
        <is>
          <t>General</t>
        </is>
      </c>
      <c r="Q1202" s="145" t="inlineStr">
        <is>
          <t>General</t>
        </is>
      </c>
      <c r="R1202" s="145" t="n"/>
      <c r="S1202" s="145" t="n"/>
      <c r="T1202" s="145" t="n"/>
      <c r="U1202" s="145" t="n"/>
      <c r="V1202" s="145" t="n"/>
      <c r="W1202" s="145" t="n"/>
      <c r="X1202" s="145" t="inlineStr">
        <is>
          <t>Detailed format sample from top five used rows</t>
        </is>
      </c>
    </row>
    <row r="1203" ht="23.85" customHeight="1" s="79">
      <c r="A1203" s="145" t="inlineStr">
        <is>
          <t>PPO_DATA</t>
        </is>
      </c>
      <c r="B1203" s="145" t="inlineStr">
        <is>
          <t>Top-Row Cell Format</t>
        </is>
      </c>
      <c r="C1203" s="145" t="inlineStr">
        <is>
          <t>P5</t>
        </is>
      </c>
      <c r="D1203" s="145" t="inlineStr">
        <is>
          <t>PPO_DATA!A1:AM3957</t>
        </is>
      </c>
      <c r="E1203" s="145" t="inlineStr">
        <is>
          <t>Normal</t>
        </is>
      </c>
      <c r="F1203" s="145" t="n"/>
      <c r="G1203" s="145" t="inlineStr">
        <is>
          <t>Aptos</t>
        </is>
      </c>
      <c r="H1203" s="145" t="n">
        <v>8</v>
      </c>
      <c r="I1203" s="145" t="inlineStr">
        <is>
          <t>No</t>
        </is>
      </c>
      <c r="J1203" s="145" t="inlineStr">
        <is>
          <t>No</t>
        </is>
      </c>
      <c r="K1203" s="145" t="inlineStr">
        <is>
          <t>None</t>
        </is>
      </c>
      <c r="L1203" s="145" t="inlineStr">
        <is>
          <t>#000000</t>
        </is>
      </c>
      <c r="M1203" s="145" t="inlineStr">
        <is>
          <t>General</t>
        </is>
      </c>
      <c r="N1203" s="145" t="inlineStr">
        <is>
          <t>Center</t>
        </is>
      </c>
      <c r="O1203" s="145" t="inlineStr">
        <is>
          <t>No</t>
        </is>
      </c>
      <c r="P1203" s="145" t="inlineStr">
        <is>
          <t>General</t>
        </is>
      </c>
      <c r="Q1203" s="145" t="inlineStr">
        <is>
          <t>General</t>
        </is>
      </c>
      <c r="R1203" s="145" t="n"/>
      <c r="S1203" s="145" t="n"/>
      <c r="T1203" s="145" t="n"/>
      <c r="U1203" s="145" t="n"/>
      <c r="V1203" s="145" t="n"/>
      <c r="W1203" s="145" t="n"/>
      <c r="X1203" s="145" t="inlineStr">
        <is>
          <t>Detailed format sample from top five used rows</t>
        </is>
      </c>
    </row>
    <row r="1204" ht="23.85" customHeight="1" s="79">
      <c r="A1204" s="145" t="inlineStr">
        <is>
          <t>PPO_DATA</t>
        </is>
      </c>
      <c r="B1204" s="145" t="inlineStr">
        <is>
          <t>Column Format</t>
        </is>
      </c>
      <c r="C1204" s="145" t="inlineStr">
        <is>
          <t>Q:Q</t>
        </is>
      </c>
      <c r="D1204" s="145" t="inlineStr">
        <is>
          <t>PPO_DATA!A1:AM3957</t>
        </is>
      </c>
      <c r="E1204" s="145" t="inlineStr">
        <is>
          <t>Normal</t>
        </is>
      </c>
      <c r="F1204" s="145" t="inlineStr">
        <is>
          <t>Mixed</t>
        </is>
      </c>
      <c r="G1204" s="145" t="inlineStr">
        <is>
          <t>Aptos</t>
        </is>
      </c>
      <c r="H1204" s="145" t="n">
        <v>8</v>
      </c>
      <c r="I1204" s="145" t="inlineStr">
        <is>
          <t>Mixed</t>
        </is>
      </c>
      <c r="J1204" s="145" t="inlineStr">
        <is>
          <t>No</t>
        </is>
      </c>
      <c r="K1204" s="145" t="inlineStr">
        <is>
          <t>None</t>
        </is>
      </c>
      <c r="L1204" s="145" t="inlineStr">
        <is>
          <t>Mixed</t>
        </is>
      </c>
      <c r="M1204" s="145" t="inlineStr">
        <is>
          <t>General</t>
        </is>
      </c>
      <c r="N1204" s="145" t="inlineStr">
        <is>
          <t>Center</t>
        </is>
      </c>
      <c r="O1204" s="145" t="inlineStr">
        <is>
          <t>No</t>
        </is>
      </c>
      <c r="P1204" s="145" t="n"/>
      <c r="Q1204" s="145" t="n"/>
      <c r="R1204" s="145" t="n"/>
      <c r="S1204" s="145" t="n">
        <v>25.2537313432836</v>
      </c>
      <c r="T1204" s="145" t="n"/>
      <c r="U1204" s="145" t="inlineStr">
        <is>
          <t>No</t>
        </is>
      </c>
      <c r="V1204" s="145" t="inlineStr">
        <is>
          <t>Visible</t>
        </is>
      </c>
      <c r="W1204" s="145" t="n"/>
      <c r="X1204" s="145" t="inlineStr">
        <is>
          <t>Mixed styles within used column</t>
        </is>
      </c>
    </row>
    <row r="1205" ht="23.85" customHeight="1" s="79">
      <c r="A1205" s="145" t="inlineStr">
        <is>
          <t>PPO_DATA</t>
        </is>
      </c>
      <c r="B1205" s="145" t="inlineStr">
        <is>
          <t>Top-Row Cell Format</t>
        </is>
      </c>
      <c r="C1205" s="145" t="inlineStr">
        <is>
          <t>Q1</t>
        </is>
      </c>
      <c r="D1205" s="145" t="inlineStr">
        <is>
          <t>PPO_DATA!A1:AM3957</t>
        </is>
      </c>
      <c r="E1205" s="145" t="inlineStr">
        <is>
          <t>Normal</t>
        </is>
      </c>
      <c r="F1205" s="145" t="inlineStr">
        <is>
          <t>#2F75B5</t>
        </is>
      </c>
      <c r="G1205" s="145" t="inlineStr">
        <is>
          <t>Aptos</t>
        </is>
      </c>
      <c r="H1205" s="145" t="n">
        <v>8</v>
      </c>
      <c r="I1205" s="145" t="inlineStr">
        <is>
          <t>Yes</t>
        </is>
      </c>
      <c r="J1205" s="145" t="inlineStr">
        <is>
          <t>No</t>
        </is>
      </c>
      <c r="K1205" s="145" t="inlineStr">
        <is>
          <t>None</t>
        </is>
      </c>
      <c r="L1205" s="145" t="inlineStr">
        <is>
          <t>#FFFF00</t>
        </is>
      </c>
      <c r="M1205" s="145" t="inlineStr">
        <is>
          <t>General</t>
        </is>
      </c>
      <c r="N1205" s="145" t="inlineStr">
        <is>
          <t>Center</t>
        </is>
      </c>
      <c r="O1205" s="145" t="inlineStr">
        <is>
          <t>No</t>
        </is>
      </c>
      <c r="P1205" s="145" t="inlineStr">
        <is>
          <t>General</t>
        </is>
      </c>
      <c r="Q1205" s="145" t="inlineStr">
        <is>
          <t>General</t>
        </is>
      </c>
      <c r="R1205" s="145" t="n"/>
      <c r="S1205" s="145" t="n"/>
      <c r="T1205" s="145" t="n"/>
      <c r="U1205" s="145" t="n"/>
      <c r="V1205" s="145" t="n"/>
      <c r="W1205" s="145" t="n"/>
      <c r="X1205" s="145" t="inlineStr">
        <is>
          <t>Detailed format sample from top five used rows</t>
        </is>
      </c>
    </row>
    <row r="1206" ht="23.85" customHeight="1" s="79">
      <c r="A1206" s="145" t="inlineStr">
        <is>
          <t>PPO_DATA</t>
        </is>
      </c>
      <c r="B1206" s="145" t="inlineStr">
        <is>
          <t>Top-Row Cell Format</t>
        </is>
      </c>
      <c r="C1206" s="145" t="inlineStr">
        <is>
          <t>Q2</t>
        </is>
      </c>
      <c r="D1206" s="145" t="inlineStr">
        <is>
          <t>PPO_DATA!A1:AM3957</t>
        </is>
      </c>
      <c r="E1206" s="145" t="inlineStr">
        <is>
          <t>Normal</t>
        </is>
      </c>
      <c r="F1206" s="145" t="n"/>
      <c r="G1206" s="145" t="inlineStr">
        <is>
          <t>Aptos</t>
        </is>
      </c>
      <c r="H1206" s="145" t="n">
        <v>8</v>
      </c>
      <c r="I1206" s="145" t="inlineStr">
        <is>
          <t>No</t>
        </is>
      </c>
      <c r="J1206" s="145" t="inlineStr">
        <is>
          <t>No</t>
        </is>
      </c>
      <c r="K1206" s="145" t="inlineStr">
        <is>
          <t>None</t>
        </is>
      </c>
      <c r="L1206" s="145" t="inlineStr">
        <is>
          <t>#000000</t>
        </is>
      </c>
      <c r="M1206" s="145" t="inlineStr">
        <is>
          <t>General</t>
        </is>
      </c>
      <c r="N1206" s="145" t="inlineStr">
        <is>
          <t>Center</t>
        </is>
      </c>
      <c r="O1206" s="145" t="inlineStr">
        <is>
          <t>No</t>
        </is>
      </c>
      <c r="P1206" s="145" t="inlineStr">
        <is>
          <t>General</t>
        </is>
      </c>
      <c r="Q1206" s="145" t="inlineStr">
        <is>
          <t>General</t>
        </is>
      </c>
      <c r="R1206" s="145" t="n"/>
      <c r="S1206" s="145" t="n"/>
      <c r="T1206" s="145" t="n"/>
      <c r="U1206" s="145" t="n"/>
      <c r="V1206" s="145" t="n"/>
      <c r="W1206" s="145" t="n"/>
      <c r="X1206" s="145" t="inlineStr">
        <is>
          <t>Detailed format sample from top five used rows</t>
        </is>
      </c>
    </row>
    <row r="1207" ht="23.85" customHeight="1" s="79">
      <c r="A1207" s="145" t="inlineStr">
        <is>
          <t>PPO_DATA</t>
        </is>
      </c>
      <c r="B1207" s="145" t="inlineStr">
        <is>
          <t>Top-Row Cell Format</t>
        </is>
      </c>
      <c r="C1207" s="145" t="inlineStr">
        <is>
          <t>Q3</t>
        </is>
      </c>
      <c r="D1207" s="145" t="inlineStr">
        <is>
          <t>PPO_DATA!A1:AM3957</t>
        </is>
      </c>
      <c r="E1207" s="145" t="inlineStr">
        <is>
          <t>Normal</t>
        </is>
      </c>
      <c r="F1207" s="145" t="n"/>
      <c r="G1207" s="145" t="inlineStr">
        <is>
          <t>Aptos</t>
        </is>
      </c>
      <c r="H1207" s="145" t="n">
        <v>8</v>
      </c>
      <c r="I1207" s="145" t="inlineStr">
        <is>
          <t>No</t>
        </is>
      </c>
      <c r="J1207" s="145" t="inlineStr">
        <is>
          <t>No</t>
        </is>
      </c>
      <c r="K1207" s="145" t="inlineStr">
        <is>
          <t>None</t>
        </is>
      </c>
      <c r="L1207" s="145" t="inlineStr">
        <is>
          <t>#000000</t>
        </is>
      </c>
      <c r="M1207" s="145" t="inlineStr">
        <is>
          <t>General</t>
        </is>
      </c>
      <c r="N1207" s="145" t="inlineStr">
        <is>
          <t>Center</t>
        </is>
      </c>
      <c r="O1207" s="145" t="inlineStr">
        <is>
          <t>No</t>
        </is>
      </c>
      <c r="P1207" s="145" t="inlineStr">
        <is>
          <t>General</t>
        </is>
      </c>
      <c r="Q1207" s="145" t="inlineStr">
        <is>
          <t>General</t>
        </is>
      </c>
      <c r="R1207" s="145" t="n"/>
      <c r="S1207" s="145" t="n"/>
      <c r="T1207" s="145" t="n"/>
      <c r="U1207" s="145" t="n"/>
      <c r="V1207" s="145" t="n"/>
      <c r="W1207" s="145" t="n"/>
      <c r="X1207" s="145" t="inlineStr">
        <is>
          <t>Detailed format sample from top five used rows</t>
        </is>
      </c>
    </row>
    <row r="1208" ht="23.85" customHeight="1" s="79">
      <c r="A1208" s="145" t="inlineStr">
        <is>
          <t>PPO_DATA</t>
        </is>
      </c>
      <c r="B1208" s="145" t="inlineStr">
        <is>
          <t>Top-Row Cell Format</t>
        </is>
      </c>
      <c r="C1208" s="145" t="inlineStr">
        <is>
          <t>Q4</t>
        </is>
      </c>
      <c r="D1208" s="145" t="inlineStr">
        <is>
          <t>PPO_DATA!A1:AM3957</t>
        </is>
      </c>
      <c r="E1208" s="145" t="inlineStr">
        <is>
          <t>Normal</t>
        </is>
      </c>
      <c r="F1208" s="145" t="n"/>
      <c r="G1208" s="145" t="inlineStr">
        <is>
          <t>Aptos</t>
        </is>
      </c>
      <c r="H1208" s="145" t="n">
        <v>8</v>
      </c>
      <c r="I1208" s="145" t="inlineStr">
        <is>
          <t>No</t>
        </is>
      </c>
      <c r="J1208" s="145" t="inlineStr">
        <is>
          <t>No</t>
        </is>
      </c>
      <c r="K1208" s="145" t="inlineStr">
        <is>
          <t>None</t>
        </is>
      </c>
      <c r="L1208" s="145" t="inlineStr">
        <is>
          <t>#000000</t>
        </is>
      </c>
      <c r="M1208" s="145" t="inlineStr">
        <is>
          <t>General</t>
        </is>
      </c>
      <c r="N1208" s="145" t="inlineStr">
        <is>
          <t>Center</t>
        </is>
      </c>
      <c r="O1208" s="145" t="inlineStr">
        <is>
          <t>No</t>
        </is>
      </c>
      <c r="P1208" s="145" t="inlineStr">
        <is>
          <t>General</t>
        </is>
      </c>
      <c r="Q1208" s="145" t="inlineStr">
        <is>
          <t>General</t>
        </is>
      </c>
      <c r="R1208" s="145" t="n"/>
      <c r="S1208" s="145" t="n"/>
      <c r="T1208" s="145" t="n"/>
      <c r="U1208" s="145" t="n"/>
      <c r="V1208" s="145" t="n"/>
      <c r="W1208" s="145" t="n"/>
      <c r="X1208" s="145" t="inlineStr">
        <is>
          <t>Detailed format sample from top five used rows</t>
        </is>
      </c>
    </row>
    <row r="1209" ht="23.85" customHeight="1" s="79">
      <c r="A1209" s="145" t="inlineStr">
        <is>
          <t>PPO_DATA</t>
        </is>
      </c>
      <c r="B1209" s="145" t="inlineStr">
        <is>
          <t>Top-Row Cell Format</t>
        </is>
      </c>
      <c r="C1209" s="145" t="inlineStr">
        <is>
          <t>Q5</t>
        </is>
      </c>
      <c r="D1209" s="145" t="inlineStr">
        <is>
          <t>PPO_DATA!A1:AM3957</t>
        </is>
      </c>
      <c r="E1209" s="145" t="inlineStr">
        <is>
          <t>Normal</t>
        </is>
      </c>
      <c r="F1209" s="145" t="n"/>
      <c r="G1209" s="145" t="inlineStr">
        <is>
          <t>Aptos</t>
        </is>
      </c>
      <c r="H1209" s="145" t="n">
        <v>8</v>
      </c>
      <c r="I1209" s="145" t="inlineStr">
        <is>
          <t>No</t>
        </is>
      </c>
      <c r="J1209" s="145" t="inlineStr">
        <is>
          <t>No</t>
        </is>
      </c>
      <c r="K1209" s="145" t="inlineStr">
        <is>
          <t>None</t>
        </is>
      </c>
      <c r="L1209" s="145" t="inlineStr">
        <is>
          <t>#000000</t>
        </is>
      </c>
      <c r="M1209" s="145" t="inlineStr">
        <is>
          <t>General</t>
        </is>
      </c>
      <c r="N1209" s="145" t="inlineStr">
        <is>
          <t>Center</t>
        </is>
      </c>
      <c r="O1209" s="145" t="inlineStr">
        <is>
          <t>No</t>
        </is>
      </c>
      <c r="P1209" s="145" t="inlineStr">
        <is>
          <t>General</t>
        </is>
      </c>
      <c r="Q1209" s="145" t="inlineStr">
        <is>
          <t>General</t>
        </is>
      </c>
      <c r="R1209" s="145" t="n"/>
      <c r="S1209" s="145" t="n"/>
      <c r="T1209" s="145" t="n"/>
      <c r="U1209" s="145" t="n"/>
      <c r="V1209" s="145" t="n"/>
      <c r="W1209" s="145" t="n"/>
      <c r="X1209" s="145" t="inlineStr">
        <is>
          <t>Detailed format sample from top five used rows</t>
        </is>
      </c>
    </row>
    <row r="1210" ht="23.85" customHeight="1" s="79">
      <c r="A1210" s="145" t="inlineStr">
        <is>
          <t>PPO_DATA</t>
        </is>
      </c>
      <c r="B1210" s="145" t="inlineStr">
        <is>
          <t>Column Format</t>
        </is>
      </c>
      <c r="C1210" s="145" t="inlineStr">
        <is>
          <t>R:R</t>
        </is>
      </c>
      <c r="D1210" s="145" t="inlineStr">
        <is>
          <t>PPO_DATA!A1:AM3957</t>
        </is>
      </c>
      <c r="E1210" s="145" t="inlineStr">
        <is>
          <t>Normal</t>
        </is>
      </c>
      <c r="F1210" s="145" t="inlineStr">
        <is>
          <t>Mixed</t>
        </is>
      </c>
      <c r="G1210" s="145" t="inlineStr">
        <is>
          <t>Aptos</t>
        </is>
      </c>
      <c r="H1210" s="145" t="n">
        <v>8</v>
      </c>
      <c r="I1210" s="145" t="inlineStr">
        <is>
          <t>Mixed</t>
        </is>
      </c>
      <c r="J1210" s="145" t="inlineStr">
        <is>
          <t>No</t>
        </is>
      </c>
      <c r="K1210" s="145" t="inlineStr">
        <is>
          <t>None</t>
        </is>
      </c>
      <c r="L1210" s="145" t="inlineStr">
        <is>
          <t>Mixed</t>
        </is>
      </c>
      <c r="M1210" s="145" t="inlineStr">
        <is>
          <t>General</t>
        </is>
      </c>
      <c r="N1210" s="145" t="inlineStr">
        <is>
          <t>Center</t>
        </is>
      </c>
      <c r="O1210" s="145" t="inlineStr">
        <is>
          <t>No</t>
        </is>
      </c>
      <c r="P1210" s="145" t="n"/>
      <c r="Q1210" s="145" t="n"/>
      <c r="R1210" s="145" t="n"/>
      <c r="S1210" s="145" t="n">
        <v>25.2537313432836</v>
      </c>
      <c r="T1210" s="145" t="n"/>
      <c r="U1210" s="145" t="inlineStr">
        <is>
          <t>No</t>
        </is>
      </c>
      <c r="V1210" s="145" t="inlineStr">
        <is>
          <t>Visible</t>
        </is>
      </c>
      <c r="W1210" s="145" t="n"/>
      <c r="X1210" s="145" t="inlineStr">
        <is>
          <t>Mixed styles within used column</t>
        </is>
      </c>
    </row>
    <row r="1211" ht="23.85" customHeight="1" s="79">
      <c r="A1211" s="145" t="inlineStr">
        <is>
          <t>PPO_DATA</t>
        </is>
      </c>
      <c r="B1211" s="145" t="inlineStr">
        <is>
          <t>Top-Row Cell Format</t>
        </is>
      </c>
      <c r="C1211" s="145" t="inlineStr">
        <is>
          <t>R1</t>
        </is>
      </c>
      <c r="D1211" s="145" t="inlineStr">
        <is>
          <t>PPO_DATA!A1:AM3957</t>
        </is>
      </c>
      <c r="E1211" s="145" t="inlineStr">
        <is>
          <t>Normal</t>
        </is>
      </c>
      <c r="F1211" s="145" t="inlineStr">
        <is>
          <t>#2F75B5</t>
        </is>
      </c>
      <c r="G1211" s="145" t="inlineStr">
        <is>
          <t>Aptos</t>
        </is>
      </c>
      <c r="H1211" s="145" t="n">
        <v>8</v>
      </c>
      <c r="I1211" s="145" t="inlineStr">
        <is>
          <t>Yes</t>
        </is>
      </c>
      <c r="J1211" s="145" t="inlineStr">
        <is>
          <t>No</t>
        </is>
      </c>
      <c r="K1211" s="145" t="inlineStr">
        <is>
          <t>None</t>
        </is>
      </c>
      <c r="L1211" s="145" t="inlineStr">
        <is>
          <t>#FFFF00</t>
        </is>
      </c>
      <c r="M1211" s="145" t="inlineStr">
        <is>
          <t>General</t>
        </is>
      </c>
      <c r="N1211" s="145" t="inlineStr">
        <is>
          <t>Center</t>
        </is>
      </c>
      <c r="O1211" s="145" t="inlineStr">
        <is>
          <t>No</t>
        </is>
      </c>
      <c r="P1211" s="145" t="inlineStr">
        <is>
          <t>General</t>
        </is>
      </c>
      <c r="Q1211" s="145" t="inlineStr">
        <is>
          <t>General</t>
        </is>
      </c>
      <c r="R1211" s="145" t="n"/>
      <c r="S1211" s="145" t="n"/>
      <c r="T1211" s="145" t="n"/>
      <c r="U1211" s="145" t="n"/>
      <c r="V1211" s="145" t="n"/>
      <c r="W1211" s="145" t="n"/>
      <c r="X1211" s="145" t="inlineStr">
        <is>
          <t>Detailed format sample from top five used rows</t>
        </is>
      </c>
    </row>
    <row r="1212" ht="23.85" customHeight="1" s="79">
      <c r="A1212" s="145" t="inlineStr">
        <is>
          <t>PPO_DATA</t>
        </is>
      </c>
      <c r="B1212" s="145" t="inlineStr">
        <is>
          <t>Top-Row Cell Format</t>
        </is>
      </c>
      <c r="C1212" s="145" t="inlineStr">
        <is>
          <t>R2</t>
        </is>
      </c>
      <c r="D1212" s="145" t="inlineStr">
        <is>
          <t>PPO_DATA!A1:AM3957</t>
        </is>
      </c>
      <c r="E1212" s="145" t="inlineStr">
        <is>
          <t>Normal</t>
        </is>
      </c>
      <c r="F1212" s="145" t="n"/>
      <c r="G1212" s="145" t="inlineStr">
        <is>
          <t>Aptos</t>
        </is>
      </c>
      <c r="H1212" s="145" t="n">
        <v>8</v>
      </c>
      <c r="I1212" s="145" t="inlineStr">
        <is>
          <t>No</t>
        </is>
      </c>
      <c r="J1212" s="145" t="inlineStr">
        <is>
          <t>No</t>
        </is>
      </c>
      <c r="K1212" s="145" t="inlineStr">
        <is>
          <t>None</t>
        </is>
      </c>
      <c r="L1212" s="145" t="inlineStr">
        <is>
          <t>#000000</t>
        </is>
      </c>
      <c r="M1212" s="145" t="inlineStr">
        <is>
          <t>General</t>
        </is>
      </c>
      <c r="N1212" s="145" t="inlineStr">
        <is>
          <t>Center</t>
        </is>
      </c>
      <c r="O1212" s="145" t="inlineStr">
        <is>
          <t>No</t>
        </is>
      </c>
      <c r="P1212" s="145" t="inlineStr">
        <is>
          <t>General</t>
        </is>
      </c>
      <c r="Q1212" s="145" t="inlineStr">
        <is>
          <t>General</t>
        </is>
      </c>
      <c r="R1212" s="145" t="n"/>
      <c r="S1212" s="145" t="n"/>
      <c r="T1212" s="145" t="n"/>
      <c r="U1212" s="145" t="n"/>
      <c r="V1212" s="145" t="n"/>
      <c r="W1212" s="145" t="n"/>
      <c r="X1212" s="145" t="inlineStr">
        <is>
          <t>Detailed format sample from top five used rows</t>
        </is>
      </c>
    </row>
    <row r="1213" ht="23.85" customHeight="1" s="79">
      <c r="A1213" s="145" t="inlineStr">
        <is>
          <t>PPO_DATA</t>
        </is>
      </c>
      <c r="B1213" s="145" t="inlineStr">
        <is>
          <t>Top-Row Cell Format</t>
        </is>
      </c>
      <c r="C1213" s="145" t="inlineStr">
        <is>
          <t>R3</t>
        </is>
      </c>
      <c r="D1213" s="145" t="inlineStr">
        <is>
          <t>PPO_DATA!A1:AM3957</t>
        </is>
      </c>
      <c r="E1213" s="145" t="inlineStr">
        <is>
          <t>Normal</t>
        </is>
      </c>
      <c r="F1213" s="145" t="n"/>
      <c r="G1213" s="145" t="inlineStr">
        <is>
          <t>Aptos</t>
        </is>
      </c>
      <c r="H1213" s="145" t="n">
        <v>8</v>
      </c>
      <c r="I1213" s="145" t="inlineStr">
        <is>
          <t>No</t>
        </is>
      </c>
      <c r="J1213" s="145" t="inlineStr">
        <is>
          <t>No</t>
        </is>
      </c>
      <c r="K1213" s="145" t="inlineStr">
        <is>
          <t>None</t>
        </is>
      </c>
      <c r="L1213" s="145" t="inlineStr">
        <is>
          <t>#000000</t>
        </is>
      </c>
      <c r="M1213" s="145" t="inlineStr">
        <is>
          <t>General</t>
        </is>
      </c>
      <c r="N1213" s="145" t="inlineStr">
        <is>
          <t>Center</t>
        </is>
      </c>
      <c r="O1213" s="145" t="inlineStr">
        <is>
          <t>No</t>
        </is>
      </c>
      <c r="P1213" s="145" t="inlineStr">
        <is>
          <t>General</t>
        </is>
      </c>
      <c r="Q1213" s="145" t="inlineStr">
        <is>
          <t>General</t>
        </is>
      </c>
      <c r="R1213" s="145" t="n"/>
      <c r="S1213" s="145" t="n"/>
      <c r="T1213" s="145" t="n"/>
      <c r="U1213" s="145" t="n"/>
      <c r="V1213" s="145" t="n"/>
      <c r="W1213" s="145" t="n"/>
      <c r="X1213" s="145" t="inlineStr">
        <is>
          <t>Detailed format sample from top five used rows</t>
        </is>
      </c>
    </row>
    <row r="1214" ht="23.85" customHeight="1" s="79">
      <c r="A1214" s="145" t="inlineStr">
        <is>
          <t>PPO_DATA</t>
        </is>
      </c>
      <c r="B1214" s="145" t="inlineStr">
        <is>
          <t>Top-Row Cell Format</t>
        </is>
      </c>
      <c r="C1214" s="145" t="inlineStr">
        <is>
          <t>R4</t>
        </is>
      </c>
      <c r="D1214" s="145" t="inlineStr">
        <is>
          <t>PPO_DATA!A1:AM3957</t>
        </is>
      </c>
      <c r="E1214" s="145" t="inlineStr">
        <is>
          <t>Normal</t>
        </is>
      </c>
      <c r="F1214" s="145" t="n"/>
      <c r="G1214" s="145" t="inlineStr">
        <is>
          <t>Aptos</t>
        </is>
      </c>
      <c r="H1214" s="145" t="n">
        <v>8</v>
      </c>
      <c r="I1214" s="145" t="inlineStr">
        <is>
          <t>No</t>
        </is>
      </c>
      <c r="J1214" s="145" t="inlineStr">
        <is>
          <t>No</t>
        </is>
      </c>
      <c r="K1214" s="145" t="inlineStr">
        <is>
          <t>None</t>
        </is>
      </c>
      <c r="L1214" s="145" t="inlineStr">
        <is>
          <t>#000000</t>
        </is>
      </c>
      <c r="M1214" s="145" t="inlineStr">
        <is>
          <t>General</t>
        </is>
      </c>
      <c r="N1214" s="145" t="inlineStr">
        <is>
          <t>Center</t>
        </is>
      </c>
      <c r="O1214" s="145" t="inlineStr">
        <is>
          <t>No</t>
        </is>
      </c>
      <c r="P1214" s="145" t="inlineStr">
        <is>
          <t>General</t>
        </is>
      </c>
      <c r="Q1214" s="145" t="inlineStr">
        <is>
          <t>General</t>
        </is>
      </c>
      <c r="R1214" s="145" t="n"/>
      <c r="S1214" s="145" t="n"/>
      <c r="T1214" s="145" t="n"/>
      <c r="U1214" s="145" t="n"/>
      <c r="V1214" s="145" t="n"/>
      <c r="W1214" s="145" t="n"/>
      <c r="X1214" s="145" t="inlineStr">
        <is>
          <t>Detailed format sample from top five used rows</t>
        </is>
      </c>
    </row>
    <row r="1215" ht="23.85" customHeight="1" s="79">
      <c r="A1215" s="145" t="inlineStr">
        <is>
          <t>PPO_DATA</t>
        </is>
      </c>
      <c r="B1215" s="145" t="inlineStr">
        <is>
          <t>Top-Row Cell Format</t>
        </is>
      </c>
      <c r="C1215" s="145" t="inlineStr">
        <is>
          <t>R5</t>
        </is>
      </c>
      <c r="D1215" s="145" t="inlineStr">
        <is>
          <t>PPO_DATA!A1:AM3957</t>
        </is>
      </c>
      <c r="E1215" s="145" t="inlineStr">
        <is>
          <t>Normal</t>
        </is>
      </c>
      <c r="F1215" s="145" t="n"/>
      <c r="G1215" s="145" t="inlineStr">
        <is>
          <t>Aptos</t>
        </is>
      </c>
      <c r="H1215" s="145" t="n">
        <v>8</v>
      </c>
      <c r="I1215" s="145" t="inlineStr">
        <is>
          <t>No</t>
        </is>
      </c>
      <c r="J1215" s="145" t="inlineStr">
        <is>
          <t>No</t>
        </is>
      </c>
      <c r="K1215" s="145" t="inlineStr">
        <is>
          <t>None</t>
        </is>
      </c>
      <c r="L1215" s="145" t="inlineStr">
        <is>
          <t>#000000</t>
        </is>
      </c>
      <c r="M1215" s="145" t="inlineStr">
        <is>
          <t>General</t>
        </is>
      </c>
      <c r="N1215" s="145" t="inlineStr">
        <is>
          <t>Center</t>
        </is>
      </c>
      <c r="O1215" s="145" t="inlineStr">
        <is>
          <t>No</t>
        </is>
      </c>
      <c r="P1215" s="145" t="inlineStr">
        <is>
          <t>General</t>
        </is>
      </c>
      <c r="Q1215" s="145" t="inlineStr">
        <is>
          <t>General</t>
        </is>
      </c>
      <c r="R1215" s="145" t="n"/>
      <c r="S1215" s="145" t="n"/>
      <c r="T1215" s="145" t="n"/>
      <c r="U1215" s="145" t="n"/>
      <c r="V1215" s="145" t="n"/>
      <c r="W1215" s="145" t="n"/>
      <c r="X1215" s="145" t="inlineStr">
        <is>
          <t>Detailed format sample from top five used rows</t>
        </is>
      </c>
    </row>
    <row r="1216" ht="23.85" customHeight="1" s="79">
      <c r="A1216" s="145" t="inlineStr">
        <is>
          <t>PPO_DATA</t>
        </is>
      </c>
      <c r="B1216" s="145" t="inlineStr">
        <is>
          <t>Column Format</t>
        </is>
      </c>
      <c r="C1216" s="145" t="inlineStr">
        <is>
          <t>S:S</t>
        </is>
      </c>
      <c r="D1216" s="145" t="inlineStr">
        <is>
          <t>PPO_DATA!A1:AM3957</t>
        </is>
      </c>
      <c r="E1216" s="145" t="inlineStr">
        <is>
          <t>Normal</t>
        </is>
      </c>
      <c r="F1216" s="145" t="inlineStr">
        <is>
          <t>Mixed</t>
        </is>
      </c>
      <c r="G1216" s="145" t="inlineStr">
        <is>
          <t>Aptos</t>
        </is>
      </c>
      <c r="H1216" s="145" t="n">
        <v>8</v>
      </c>
      <c r="I1216" s="145" t="inlineStr">
        <is>
          <t>Mixed</t>
        </is>
      </c>
      <c r="J1216" s="145" t="inlineStr">
        <is>
          <t>No</t>
        </is>
      </c>
      <c r="K1216" s="145" t="inlineStr">
        <is>
          <t>None</t>
        </is>
      </c>
      <c r="L1216" s="145" t="inlineStr">
        <is>
          <t>Mixed</t>
        </is>
      </c>
      <c r="M1216" s="145" t="inlineStr">
        <is>
          <t>General</t>
        </is>
      </c>
      <c r="N1216" s="145" t="inlineStr">
        <is>
          <t>Center</t>
        </is>
      </c>
      <c r="O1216" s="145" t="inlineStr">
        <is>
          <t>No</t>
        </is>
      </c>
      <c r="P1216" s="145" t="n"/>
      <c r="Q1216" s="145" t="n"/>
      <c r="R1216" s="145" t="n"/>
      <c r="S1216" s="145" t="n">
        <v>25.7910447761194</v>
      </c>
      <c r="T1216" s="145" t="n"/>
      <c r="U1216" s="145" t="inlineStr">
        <is>
          <t>No</t>
        </is>
      </c>
      <c r="V1216" s="145" t="inlineStr">
        <is>
          <t>Visible</t>
        </is>
      </c>
      <c r="W1216" s="145" t="n"/>
      <c r="X1216" s="145" t="inlineStr">
        <is>
          <t>Mixed styles within used column</t>
        </is>
      </c>
    </row>
    <row r="1217" ht="23.85" customHeight="1" s="79">
      <c r="A1217" s="145" t="inlineStr">
        <is>
          <t>PPO_DATA</t>
        </is>
      </c>
      <c r="B1217" s="145" t="inlineStr">
        <is>
          <t>Top-Row Cell Format</t>
        </is>
      </c>
      <c r="C1217" s="145" t="inlineStr">
        <is>
          <t>S1</t>
        </is>
      </c>
      <c r="D1217" s="145" t="inlineStr">
        <is>
          <t>PPO_DATA!A1:AM3957</t>
        </is>
      </c>
      <c r="E1217" s="145" t="inlineStr">
        <is>
          <t>Normal</t>
        </is>
      </c>
      <c r="F1217" s="145" t="inlineStr">
        <is>
          <t>#2F75B5</t>
        </is>
      </c>
      <c r="G1217" s="145" t="inlineStr">
        <is>
          <t>Aptos</t>
        </is>
      </c>
      <c r="H1217" s="145" t="n">
        <v>8</v>
      </c>
      <c r="I1217" s="145" t="inlineStr">
        <is>
          <t>Yes</t>
        </is>
      </c>
      <c r="J1217" s="145" t="inlineStr">
        <is>
          <t>No</t>
        </is>
      </c>
      <c r="K1217" s="145" t="inlineStr">
        <is>
          <t>None</t>
        </is>
      </c>
      <c r="L1217" s="145" t="inlineStr">
        <is>
          <t>#FFFF00</t>
        </is>
      </c>
      <c r="M1217" s="145" t="inlineStr">
        <is>
          <t>General</t>
        </is>
      </c>
      <c r="N1217" s="145" t="inlineStr">
        <is>
          <t>Center</t>
        </is>
      </c>
      <c r="O1217" s="145" t="inlineStr">
        <is>
          <t>No</t>
        </is>
      </c>
      <c r="P1217" s="145" t="inlineStr">
        <is>
          <t>General</t>
        </is>
      </c>
      <c r="Q1217" s="145" t="inlineStr">
        <is>
          <t>General</t>
        </is>
      </c>
      <c r="R1217" s="145" t="n"/>
      <c r="S1217" s="145" t="n"/>
      <c r="T1217" s="145" t="n"/>
      <c r="U1217" s="145" t="n"/>
      <c r="V1217" s="145" t="n"/>
      <c r="W1217" s="145" t="n"/>
      <c r="X1217" s="145" t="inlineStr">
        <is>
          <t>Detailed format sample from top five used rows</t>
        </is>
      </c>
    </row>
    <row r="1218" ht="23.85" customHeight="1" s="79">
      <c r="A1218" s="145" t="inlineStr">
        <is>
          <t>PPO_DATA</t>
        </is>
      </c>
      <c r="B1218" s="145" t="inlineStr">
        <is>
          <t>Top-Row Cell Format</t>
        </is>
      </c>
      <c r="C1218" s="145" t="inlineStr">
        <is>
          <t>S2</t>
        </is>
      </c>
      <c r="D1218" s="145" t="inlineStr">
        <is>
          <t>PPO_DATA!A1:AM3957</t>
        </is>
      </c>
      <c r="E1218" s="145" t="inlineStr">
        <is>
          <t>Normal</t>
        </is>
      </c>
      <c r="F1218" s="145" t="n"/>
      <c r="G1218" s="145" t="inlineStr">
        <is>
          <t>Aptos</t>
        </is>
      </c>
      <c r="H1218" s="145" t="n">
        <v>8</v>
      </c>
      <c r="I1218" s="145" t="inlineStr">
        <is>
          <t>No</t>
        </is>
      </c>
      <c r="J1218" s="145" t="inlineStr">
        <is>
          <t>No</t>
        </is>
      </c>
      <c r="K1218" s="145" t="inlineStr">
        <is>
          <t>None</t>
        </is>
      </c>
      <c r="L1218" s="145" t="inlineStr">
        <is>
          <t>#000000</t>
        </is>
      </c>
      <c r="M1218" s="145" t="inlineStr">
        <is>
          <t>General</t>
        </is>
      </c>
      <c r="N1218" s="145" t="inlineStr">
        <is>
          <t>Center</t>
        </is>
      </c>
      <c r="O1218" s="145" t="inlineStr">
        <is>
          <t>No</t>
        </is>
      </c>
      <c r="P1218" s="145" t="inlineStr">
        <is>
          <t>General</t>
        </is>
      </c>
      <c r="Q1218" s="145" t="inlineStr">
        <is>
          <t>General</t>
        </is>
      </c>
      <c r="R1218" s="145" t="n"/>
      <c r="S1218" s="145" t="n"/>
      <c r="T1218" s="145" t="n"/>
      <c r="U1218" s="145" t="n"/>
      <c r="V1218" s="145" t="n"/>
      <c r="W1218" s="145" t="n"/>
      <c r="X1218" s="145" t="inlineStr">
        <is>
          <t>Detailed format sample from top five used rows</t>
        </is>
      </c>
    </row>
    <row r="1219" ht="23.85" customHeight="1" s="79">
      <c r="A1219" s="145" t="inlineStr">
        <is>
          <t>PPO_DATA</t>
        </is>
      </c>
      <c r="B1219" s="145" t="inlineStr">
        <is>
          <t>Top-Row Cell Format</t>
        </is>
      </c>
      <c r="C1219" s="145" t="inlineStr">
        <is>
          <t>S3</t>
        </is>
      </c>
      <c r="D1219" s="145" t="inlineStr">
        <is>
          <t>PPO_DATA!A1:AM3957</t>
        </is>
      </c>
      <c r="E1219" s="145" t="inlineStr">
        <is>
          <t>Normal</t>
        </is>
      </c>
      <c r="F1219" s="145" t="n"/>
      <c r="G1219" s="145" t="inlineStr">
        <is>
          <t>Aptos</t>
        </is>
      </c>
      <c r="H1219" s="145" t="n">
        <v>8</v>
      </c>
      <c r="I1219" s="145" t="inlineStr">
        <is>
          <t>No</t>
        </is>
      </c>
      <c r="J1219" s="145" t="inlineStr">
        <is>
          <t>No</t>
        </is>
      </c>
      <c r="K1219" s="145" t="inlineStr">
        <is>
          <t>None</t>
        </is>
      </c>
      <c r="L1219" s="145" t="inlineStr">
        <is>
          <t>#000000</t>
        </is>
      </c>
      <c r="M1219" s="145" t="inlineStr">
        <is>
          <t>General</t>
        </is>
      </c>
      <c r="N1219" s="145" t="inlineStr">
        <is>
          <t>Center</t>
        </is>
      </c>
      <c r="O1219" s="145" t="inlineStr">
        <is>
          <t>No</t>
        </is>
      </c>
      <c r="P1219" s="145" t="inlineStr">
        <is>
          <t>General</t>
        </is>
      </c>
      <c r="Q1219" s="145" t="inlineStr">
        <is>
          <t>General</t>
        </is>
      </c>
      <c r="R1219" s="145" t="n"/>
      <c r="S1219" s="145" t="n"/>
      <c r="T1219" s="145" t="n"/>
      <c r="U1219" s="145" t="n"/>
      <c r="V1219" s="145" t="n"/>
      <c r="W1219" s="145" t="n"/>
      <c r="X1219" s="145" t="inlineStr">
        <is>
          <t>Detailed format sample from top five used rows</t>
        </is>
      </c>
    </row>
    <row r="1220" ht="23.85" customHeight="1" s="79">
      <c r="A1220" s="145" t="inlineStr">
        <is>
          <t>PPO_DATA</t>
        </is>
      </c>
      <c r="B1220" s="145" t="inlineStr">
        <is>
          <t>Top-Row Cell Format</t>
        </is>
      </c>
      <c r="C1220" s="145" t="inlineStr">
        <is>
          <t>S4</t>
        </is>
      </c>
      <c r="D1220" s="145" t="inlineStr">
        <is>
          <t>PPO_DATA!A1:AM3957</t>
        </is>
      </c>
      <c r="E1220" s="145" t="inlineStr">
        <is>
          <t>Normal</t>
        </is>
      </c>
      <c r="F1220" s="145" t="n"/>
      <c r="G1220" s="145" t="inlineStr">
        <is>
          <t>Aptos</t>
        </is>
      </c>
      <c r="H1220" s="145" t="n">
        <v>8</v>
      </c>
      <c r="I1220" s="145" t="inlineStr">
        <is>
          <t>No</t>
        </is>
      </c>
      <c r="J1220" s="145" t="inlineStr">
        <is>
          <t>No</t>
        </is>
      </c>
      <c r="K1220" s="145" t="inlineStr">
        <is>
          <t>None</t>
        </is>
      </c>
      <c r="L1220" s="145" t="inlineStr">
        <is>
          <t>#000000</t>
        </is>
      </c>
      <c r="M1220" s="145" t="inlineStr">
        <is>
          <t>General</t>
        </is>
      </c>
      <c r="N1220" s="145" t="inlineStr">
        <is>
          <t>Center</t>
        </is>
      </c>
      <c r="O1220" s="145" t="inlineStr">
        <is>
          <t>No</t>
        </is>
      </c>
      <c r="P1220" s="145" t="inlineStr">
        <is>
          <t>General</t>
        </is>
      </c>
      <c r="Q1220" s="145" t="inlineStr">
        <is>
          <t>General</t>
        </is>
      </c>
      <c r="R1220" s="145" t="n"/>
      <c r="S1220" s="145" t="n"/>
      <c r="T1220" s="145" t="n"/>
      <c r="U1220" s="145" t="n"/>
      <c r="V1220" s="145" t="n"/>
      <c r="W1220" s="145" t="n"/>
      <c r="X1220" s="145" t="inlineStr">
        <is>
          <t>Detailed format sample from top five used rows</t>
        </is>
      </c>
    </row>
    <row r="1221" ht="23.85" customHeight="1" s="79">
      <c r="A1221" s="145" t="inlineStr">
        <is>
          <t>PPO_DATA</t>
        </is>
      </c>
      <c r="B1221" s="145" t="inlineStr">
        <is>
          <t>Top-Row Cell Format</t>
        </is>
      </c>
      <c r="C1221" s="145" t="inlineStr">
        <is>
          <t>S5</t>
        </is>
      </c>
      <c r="D1221" s="145" t="inlineStr">
        <is>
          <t>PPO_DATA!A1:AM3957</t>
        </is>
      </c>
      <c r="E1221" s="145" t="inlineStr">
        <is>
          <t>Normal</t>
        </is>
      </c>
      <c r="F1221" s="145" t="n"/>
      <c r="G1221" s="145" t="inlineStr">
        <is>
          <t>Aptos</t>
        </is>
      </c>
      <c r="H1221" s="145" t="n">
        <v>8</v>
      </c>
      <c r="I1221" s="145" t="inlineStr">
        <is>
          <t>No</t>
        </is>
      </c>
      <c r="J1221" s="145" t="inlineStr">
        <is>
          <t>No</t>
        </is>
      </c>
      <c r="K1221" s="145" t="inlineStr">
        <is>
          <t>None</t>
        </is>
      </c>
      <c r="L1221" s="145" t="inlineStr">
        <is>
          <t>#000000</t>
        </is>
      </c>
      <c r="M1221" s="145" t="inlineStr">
        <is>
          <t>General</t>
        </is>
      </c>
      <c r="N1221" s="145" t="inlineStr">
        <is>
          <t>Center</t>
        </is>
      </c>
      <c r="O1221" s="145" t="inlineStr">
        <is>
          <t>No</t>
        </is>
      </c>
      <c r="P1221" s="145" t="inlineStr">
        <is>
          <t>General</t>
        </is>
      </c>
      <c r="Q1221" s="145" t="inlineStr">
        <is>
          <t>General</t>
        </is>
      </c>
      <c r="R1221" s="145" t="n"/>
      <c r="S1221" s="145" t="n"/>
      <c r="T1221" s="145" t="n"/>
      <c r="U1221" s="145" t="n"/>
      <c r="V1221" s="145" t="n"/>
      <c r="W1221" s="145" t="n"/>
      <c r="X1221" s="145" t="inlineStr">
        <is>
          <t>Detailed format sample from top five used rows</t>
        </is>
      </c>
    </row>
    <row r="1222" ht="23.85" customHeight="1" s="79">
      <c r="A1222" s="145" t="inlineStr">
        <is>
          <t>PPO_DATA</t>
        </is>
      </c>
      <c r="B1222" s="145" t="inlineStr">
        <is>
          <t>Column Format</t>
        </is>
      </c>
      <c r="C1222" s="145" t="inlineStr">
        <is>
          <t>T:T</t>
        </is>
      </c>
      <c r="D1222" s="145" t="inlineStr">
        <is>
          <t>PPO_DATA!A1:AM3957</t>
        </is>
      </c>
      <c r="E1222" s="145" t="inlineStr">
        <is>
          <t>Normal</t>
        </is>
      </c>
      <c r="F1222" s="145" t="inlineStr">
        <is>
          <t>Mixed</t>
        </is>
      </c>
      <c r="G1222" s="145" t="inlineStr">
        <is>
          <t>Aptos</t>
        </is>
      </c>
      <c r="H1222" s="145" t="n">
        <v>8</v>
      </c>
      <c r="I1222" s="145" t="inlineStr">
        <is>
          <t>Mixed</t>
        </is>
      </c>
      <c r="J1222" s="145" t="inlineStr">
        <is>
          <t>No</t>
        </is>
      </c>
      <c r="K1222" s="145" t="inlineStr">
        <is>
          <t>None</t>
        </is>
      </c>
      <c r="L1222" s="145" t="inlineStr">
        <is>
          <t>Mixed</t>
        </is>
      </c>
      <c r="M1222" s="145" t="inlineStr">
        <is>
          <t>General</t>
        </is>
      </c>
      <c r="N1222" s="145" t="inlineStr">
        <is>
          <t>Center</t>
        </is>
      </c>
      <c r="O1222" s="145" t="inlineStr">
        <is>
          <t>No</t>
        </is>
      </c>
      <c r="P1222" s="145" t="n"/>
      <c r="Q1222" s="145" t="n"/>
      <c r="R1222" s="145" t="n"/>
      <c r="S1222" s="145" t="n">
        <v>25.2537313432836</v>
      </c>
      <c r="T1222" s="145" t="n"/>
      <c r="U1222" s="145" t="inlineStr">
        <is>
          <t>No</t>
        </is>
      </c>
      <c r="V1222" s="145" t="inlineStr">
        <is>
          <t>Visible</t>
        </is>
      </c>
      <c r="W1222" s="145" t="n"/>
      <c r="X1222" s="145" t="inlineStr">
        <is>
          <t>Mixed styles within used column</t>
        </is>
      </c>
    </row>
    <row r="1223" ht="23.85" customHeight="1" s="79">
      <c r="A1223" s="145" t="inlineStr">
        <is>
          <t>PPO_DATA</t>
        </is>
      </c>
      <c r="B1223" s="145" t="inlineStr">
        <is>
          <t>Top-Row Cell Format</t>
        </is>
      </c>
      <c r="C1223" s="145" t="inlineStr">
        <is>
          <t>T1</t>
        </is>
      </c>
      <c r="D1223" s="145" t="inlineStr">
        <is>
          <t>PPO_DATA!A1:AM3957</t>
        </is>
      </c>
      <c r="E1223" s="145" t="inlineStr">
        <is>
          <t>Normal</t>
        </is>
      </c>
      <c r="F1223" s="145" t="inlineStr">
        <is>
          <t>#2F75B5</t>
        </is>
      </c>
      <c r="G1223" s="145" t="inlineStr">
        <is>
          <t>Aptos</t>
        </is>
      </c>
      <c r="H1223" s="145" t="n">
        <v>8</v>
      </c>
      <c r="I1223" s="145" t="inlineStr">
        <is>
          <t>Yes</t>
        </is>
      </c>
      <c r="J1223" s="145" t="inlineStr">
        <is>
          <t>No</t>
        </is>
      </c>
      <c r="K1223" s="145" t="inlineStr">
        <is>
          <t>None</t>
        </is>
      </c>
      <c r="L1223" s="145" t="inlineStr">
        <is>
          <t>#FFFF00</t>
        </is>
      </c>
      <c r="M1223" s="145" t="inlineStr">
        <is>
          <t>General</t>
        </is>
      </c>
      <c r="N1223" s="145" t="inlineStr">
        <is>
          <t>Center</t>
        </is>
      </c>
      <c r="O1223" s="145" t="inlineStr">
        <is>
          <t>No</t>
        </is>
      </c>
      <c r="P1223" s="145" t="inlineStr">
        <is>
          <t>General</t>
        </is>
      </c>
      <c r="Q1223" s="145" t="inlineStr">
        <is>
          <t>General</t>
        </is>
      </c>
      <c r="R1223" s="145" t="n"/>
      <c r="S1223" s="145" t="n"/>
      <c r="T1223" s="145" t="n"/>
      <c r="U1223" s="145" t="n"/>
      <c r="V1223" s="145" t="n"/>
      <c r="W1223" s="145" t="n"/>
      <c r="X1223" s="145" t="inlineStr">
        <is>
          <t>Detailed format sample from top five used rows</t>
        </is>
      </c>
    </row>
    <row r="1224" ht="23.85" customHeight="1" s="79">
      <c r="A1224" s="145" t="inlineStr">
        <is>
          <t>PPO_DATA</t>
        </is>
      </c>
      <c r="B1224" s="145" t="inlineStr">
        <is>
          <t>Top-Row Cell Format</t>
        </is>
      </c>
      <c r="C1224" s="145" t="inlineStr">
        <is>
          <t>T2</t>
        </is>
      </c>
      <c r="D1224" s="145" t="inlineStr">
        <is>
          <t>PPO_DATA!A1:AM3957</t>
        </is>
      </c>
      <c r="E1224" s="145" t="inlineStr">
        <is>
          <t>Normal</t>
        </is>
      </c>
      <c r="F1224" s="145" t="n"/>
      <c r="G1224" s="145" t="inlineStr">
        <is>
          <t>Aptos</t>
        </is>
      </c>
      <c r="H1224" s="145" t="n">
        <v>8</v>
      </c>
      <c r="I1224" s="145" t="inlineStr">
        <is>
          <t>No</t>
        </is>
      </c>
      <c r="J1224" s="145" t="inlineStr">
        <is>
          <t>No</t>
        </is>
      </c>
      <c r="K1224" s="145" t="inlineStr">
        <is>
          <t>None</t>
        </is>
      </c>
      <c r="L1224" s="145" t="inlineStr">
        <is>
          <t>#000000</t>
        </is>
      </c>
      <c r="M1224" s="145" t="inlineStr">
        <is>
          <t>General</t>
        </is>
      </c>
      <c r="N1224" s="145" t="inlineStr">
        <is>
          <t>Center</t>
        </is>
      </c>
      <c r="O1224" s="145" t="inlineStr">
        <is>
          <t>No</t>
        </is>
      </c>
      <c r="P1224" s="145" t="inlineStr">
        <is>
          <t>General</t>
        </is>
      </c>
      <c r="Q1224" s="145" t="inlineStr">
        <is>
          <t>General</t>
        </is>
      </c>
      <c r="R1224" s="145" t="n"/>
      <c r="S1224" s="145" t="n"/>
      <c r="T1224" s="145" t="n"/>
      <c r="U1224" s="145" t="n"/>
      <c r="V1224" s="145" t="n"/>
      <c r="W1224" s="145" t="n"/>
      <c r="X1224" s="145" t="inlineStr">
        <is>
          <t>Detailed format sample from top five used rows</t>
        </is>
      </c>
    </row>
    <row r="1225" ht="23.85" customHeight="1" s="79">
      <c r="A1225" s="145" t="inlineStr">
        <is>
          <t>PPO_DATA</t>
        </is>
      </c>
      <c r="B1225" s="145" t="inlineStr">
        <is>
          <t>Top-Row Cell Format</t>
        </is>
      </c>
      <c r="C1225" s="145" t="inlineStr">
        <is>
          <t>T3</t>
        </is>
      </c>
      <c r="D1225" s="145" t="inlineStr">
        <is>
          <t>PPO_DATA!A1:AM3957</t>
        </is>
      </c>
      <c r="E1225" s="145" t="inlineStr">
        <is>
          <t>Normal</t>
        </is>
      </c>
      <c r="F1225" s="145" t="n"/>
      <c r="G1225" s="145" t="inlineStr">
        <is>
          <t>Aptos</t>
        </is>
      </c>
      <c r="H1225" s="145" t="n">
        <v>8</v>
      </c>
      <c r="I1225" s="145" t="inlineStr">
        <is>
          <t>No</t>
        </is>
      </c>
      <c r="J1225" s="145" t="inlineStr">
        <is>
          <t>No</t>
        </is>
      </c>
      <c r="K1225" s="145" t="inlineStr">
        <is>
          <t>None</t>
        </is>
      </c>
      <c r="L1225" s="145" t="inlineStr">
        <is>
          <t>#000000</t>
        </is>
      </c>
      <c r="M1225" s="145" t="inlineStr">
        <is>
          <t>General</t>
        </is>
      </c>
      <c r="N1225" s="145" t="inlineStr">
        <is>
          <t>Center</t>
        </is>
      </c>
      <c r="O1225" s="145" t="inlineStr">
        <is>
          <t>No</t>
        </is>
      </c>
      <c r="P1225" s="145" t="inlineStr">
        <is>
          <t>General</t>
        </is>
      </c>
      <c r="Q1225" s="145" t="inlineStr">
        <is>
          <t>General</t>
        </is>
      </c>
      <c r="R1225" s="145" t="n"/>
      <c r="S1225" s="145" t="n"/>
      <c r="T1225" s="145" t="n"/>
      <c r="U1225" s="145" t="n"/>
      <c r="V1225" s="145" t="n"/>
      <c r="W1225" s="145" t="n"/>
      <c r="X1225" s="145" t="inlineStr">
        <is>
          <t>Detailed format sample from top five used rows</t>
        </is>
      </c>
    </row>
    <row r="1226" ht="23.85" customHeight="1" s="79">
      <c r="A1226" s="145" t="inlineStr">
        <is>
          <t>PPO_DATA</t>
        </is>
      </c>
      <c r="B1226" s="145" t="inlineStr">
        <is>
          <t>Top-Row Cell Format</t>
        </is>
      </c>
      <c r="C1226" s="145" t="inlineStr">
        <is>
          <t>T4</t>
        </is>
      </c>
      <c r="D1226" s="145" t="inlineStr">
        <is>
          <t>PPO_DATA!A1:AM3957</t>
        </is>
      </c>
      <c r="E1226" s="145" t="inlineStr">
        <is>
          <t>Normal</t>
        </is>
      </c>
      <c r="F1226" s="145" t="n"/>
      <c r="G1226" s="145" t="inlineStr">
        <is>
          <t>Aptos</t>
        </is>
      </c>
      <c r="H1226" s="145" t="n">
        <v>8</v>
      </c>
      <c r="I1226" s="145" t="inlineStr">
        <is>
          <t>No</t>
        </is>
      </c>
      <c r="J1226" s="145" t="inlineStr">
        <is>
          <t>No</t>
        </is>
      </c>
      <c r="K1226" s="145" t="inlineStr">
        <is>
          <t>None</t>
        </is>
      </c>
      <c r="L1226" s="145" t="inlineStr">
        <is>
          <t>#000000</t>
        </is>
      </c>
      <c r="M1226" s="145" t="inlineStr">
        <is>
          <t>General</t>
        </is>
      </c>
      <c r="N1226" s="145" t="inlineStr">
        <is>
          <t>Center</t>
        </is>
      </c>
      <c r="O1226" s="145" t="inlineStr">
        <is>
          <t>No</t>
        </is>
      </c>
      <c r="P1226" s="145" t="inlineStr">
        <is>
          <t>General</t>
        </is>
      </c>
      <c r="Q1226" s="145" t="inlineStr">
        <is>
          <t>General</t>
        </is>
      </c>
      <c r="R1226" s="145" t="n"/>
      <c r="S1226" s="145" t="n"/>
      <c r="T1226" s="145" t="n"/>
      <c r="U1226" s="145" t="n"/>
      <c r="V1226" s="145" t="n"/>
      <c r="W1226" s="145" t="n"/>
      <c r="X1226" s="145" t="inlineStr">
        <is>
          <t>Detailed format sample from top five used rows</t>
        </is>
      </c>
    </row>
    <row r="1227" ht="23.85" customHeight="1" s="79">
      <c r="A1227" s="145" t="inlineStr">
        <is>
          <t>PPO_DATA</t>
        </is>
      </c>
      <c r="B1227" s="145" t="inlineStr">
        <is>
          <t>Top-Row Cell Format</t>
        </is>
      </c>
      <c r="C1227" s="145" t="inlineStr">
        <is>
          <t>T5</t>
        </is>
      </c>
      <c r="D1227" s="145" t="inlineStr">
        <is>
          <t>PPO_DATA!A1:AM3957</t>
        </is>
      </c>
      <c r="E1227" s="145" t="inlineStr">
        <is>
          <t>Normal</t>
        </is>
      </c>
      <c r="F1227" s="145" t="n"/>
      <c r="G1227" s="145" t="inlineStr">
        <is>
          <t>Aptos</t>
        </is>
      </c>
      <c r="H1227" s="145" t="n">
        <v>8</v>
      </c>
      <c r="I1227" s="145" t="inlineStr">
        <is>
          <t>No</t>
        </is>
      </c>
      <c r="J1227" s="145" t="inlineStr">
        <is>
          <t>No</t>
        </is>
      </c>
      <c r="K1227" s="145" t="inlineStr">
        <is>
          <t>None</t>
        </is>
      </c>
      <c r="L1227" s="145" t="inlineStr">
        <is>
          <t>#000000</t>
        </is>
      </c>
      <c r="M1227" s="145" t="inlineStr">
        <is>
          <t>General</t>
        </is>
      </c>
      <c r="N1227" s="145" t="inlineStr">
        <is>
          <t>Center</t>
        </is>
      </c>
      <c r="O1227" s="145" t="inlineStr">
        <is>
          <t>No</t>
        </is>
      </c>
      <c r="P1227" s="145" t="inlineStr">
        <is>
          <t>General</t>
        </is>
      </c>
      <c r="Q1227" s="145" t="inlineStr">
        <is>
          <t>General</t>
        </is>
      </c>
      <c r="R1227" s="145" t="n"/>
      <c r="S1227" s="145" t="n"/>
      <c r="T1227" s="145" t="n"/>
      <c r="U1227" s="145" t="n"/>
      <c r="V1227" s="145" t="n"/>
      <c r="W1227" s="145" t="n"/>
      <c r="X1227" s="145" t="inlineStr">
        <is>
          <t>Detailed format sample from top five used rows</t>
        </is>
      </c>
    </row>
    <row r="1228" ht="23.85" customHeight="1" s="79">
      <c r="A1228" s="145" t="inlineStr">
        <is>
          <t>PPO_DATA</t>
        </is>
      </c>
      <c r="B1228" s="145" t="inlineStr">
        <is>
          <t>Column Format</t>
        </is>
      </c>
      <c r="C1228" s="145" t="inlineStr">
        <is>
          <t>U:U</t>
        </is>
      </c>
      <c r="D1228" s="145" t="inlineStr">
        <is>
          <t>PPO_DATA!A1:AM3957</t>
        </is>
      </c>
      <c r="E1228" s="145" t="inlineStr">
        <is>
          <t>Normal</t>
        </is>
      </c>
      <c r="F1228" s="145" t="inlineStr">
        <is>
          <t>Mixed</t>
        </is>
      </c>
      <c r="G1228" s="145" t="inlineStr">
        <is>
          <t>Aptos</t>
        </is>
      </c>
      <c r="H1228" s="145" t="n">
        <v>8</v>
      </c>
      <c r="I1228" s="145" t="inlineStr">
        <is>
          <t>Mixed</t>
        </is>
      </c>
      <c r="J1228" s="145" t="inlineStr">
        <is>
          <t>No</t>
        </is>
      </c>
      <c r="K1228" s="145" t="inlineStr">
        <is>
          <t>None</t>
        </is>
      </c>
      <c r="L1228" s="145" t="inlineStr">
        <is>
          <t>Mixed</t>
        </is>
      </c>
      <c r="M1228" s="145" t="inlineStr">
        <is>
          <t>General</t>
        </is>
      </c>
      <c r="N1228" s="145" t="inlineStr">
        <is>
          <t>Center</t>
        </is>
      </c>
      <c r="O1228" s="145" t="inlineStr">
        <is>
          <t>No</t>
        </is>
      </c>
      <c r="P1228" s="145" t="n"/>
      <c r="Q1228" s="145" t="n"/>
      <c r="R1228" s="145" t="n"/>
      <c r="S1228" s="145" t="n">
        <v>52.1194029850746</v>
      </c>
      <c r="T1228" s="145" t="n"/>
      <c r="U1228" s="145" t="inlineStr">
        <is>
          <t>No</t>
        </is>
      </c>
      <c r="V1228" s="145" t="inlineStr">
        <is>
          <t>Visible</t>
        </is>
      </c>
      <c r="W1228" s="145" t="n"/>
      <c r="X1228" s="145" t="inlineStr">
        <is>
          <t>Mixed styles within used column</t>
        </is>
      </c>
    </row>
    <row r="1229" ht="23.85" customHeight="1" s="79">
      <c r="A1229" s="145" t="inlineStr">
        <is>
          <t>PPO_DATA</t>
        </is>
      </c>
      <c r="B1229" s="145" t="inlineStr">
        <is>
          <t>Top-Row Cell Format</t>
        </is>
      </c>
      <c r="C1229" s="145" t="inlineStr">
        <is>
          <t>U1</t>
        </is>
      </c>
      <c r="D1229" s="145" t="inlineStr">
        <is>
          <t>PPO_DATA!A1:AM3957</t>
        </is>
      </c>
      <c r="E1229" s="145" t="inlineStr">
        <is>
          <t>Normal</t>
        </is>
      </c>
      <c r="F1229" s="145" t="inlineStr">
        <is>
          <t>#2F75B5</t>
        </is>
      </c>
      <c r="G1229" s="145" t="inlineStr">
        <is>
          <t>Aptos</t>
        </is>
      </c>
      <c r="H1229" s="145" t="n">
        <v>8</v>
      </c>
      <c r="I1229" s="145" t="inlineStr">
        <is>
          <t>Yes</t>
        </is>
      </c>
      <c r="J1229" s="145" t="inlineStr">
        <is>
          <t>No</t>
        </is>
      </c>
      <c r="K1229" s="145" t="inlineStr">
        <is>
          <t>None</t>
        </is>
      </c>
      <c r="L1229" s="145" t="inlineStr">
        <is>
          <t>#FFFF00</t>
        </is>
      </c>
      <c r="M1229" s="145" t="inlineStr">
        <is>
          <t>General</t>
        </is>
      </c>
      <c r="N1229" s="145" t="inlineStr">
        <is>
          <t>Center</t>
        </is>
      </c>
      <c r="O1229" s="145" t="inlineStr">
        <is>
          <t>No</t>
        </is>
      </c>
      <c r="P1229" s="145" t="inlineStr">
        <is>
          <t>General</t>
        </is>
      </c>
      <c r="Q1229" s="145" t="inlineStr">
        <is>
          <t>General</t>
        </is>
      </c>
      <c r="R1229" s="145" t="n"/>
      <c r="S1229" s="145" t="n"/>
      <c r="T1229" s="145" t="n"/>
      <c r="U1229" s="145" t="n"/>
      <c r="V1229" s="145" t="n"/>
      <c r="W1229" s="145" t="n"/>
      <c r="X1229" s="145" t="inlineStr">
        <is>
          <t>Detailed format sample from top five used rows</t>
        </is>
      </c>
    </row>
    <row r="1230" ht="23.85" customHeight="1" s="79">
      <c r="A1230" s="145" t="inlineStr">
        <is>
          <t>PPO_DATA</t>
        </is>
      </c>
      <c r="B1230" s="145" t="inlineStr">
        <is>
          <t>Top-Row Cell Format</t>
        </is>
      </c>
      <c r="C1230" s="145" t="inlineStr">
        <is>
          <t>U2</t>
        </is>
      </c>
      <c r="D1230" s="145" t="inlineStr">
        <is>
          <t>PPO_DATA!A1:AM3957</t>
        </is>
      </c>
      <c r="E1230" s="145" t="inlineStr">
        <is>
          <t>Normal</t>
        </is>
      </c>
      <c r="F1230" s="145" t="n"/>
      <c r="G1230" s="145" t="inlineStr">
        <is>
          <t>Aptos</t>
        </is>
      </c>
      <c r="H1230" s="145" t="n">
        <v>8</v>
      </c>
      <c r="I1230" s="145" t="inlineStr">
        <is>
          <t>No</t>
        </is>
      </c>
      <c r="J1230" s="145" t="inlineStr">
        <is>
          <t>No</t>
        </is>
      </c>
      <c r="K1230" s="145" t="inlineStr">
        <is>
          <t>None</t>
        </is>
      </c>
      <c r="L1230" s="145" t="inlineStr">
        <is>
          <t>#000000</t>
        </is>
      </c>
      <c r="M1230" s="145" t="inlineStr">
        <is>
          <t>General</t>
        </is>
      </c>
      <c r="N1230" s="145" t="inlineStr">
        <is>
          <t>Center</t>
        </is>
      </c>
      <c r="O1230" s="145" t="inlineStr">
        <is>
          <t>No</t>
        </is>
      </c>
      <c r="P1230" s="145" t="inlineStr">
        <is>
          <t>General</t>
        </is>
      </c>
      <c r="Q1230" s="145" t="inlineStr">
        <is>
          <t>General</t>
        </is>
      </c>
      <c r="R1230" s="145" t="n"/>
      <c r="S1230" s="145" t="n"/>
      <c r="T1230" s="145" t="n"/>
      <c r="U1230" s="145" t="n"/>
      <c r="V1230" s="145" t="n"/>
      <c r="W1230" s="145" t="n"/>
      <c r="X1230" s="145" t="inlineStr">
        <is>
          <t>Detailed format sample from top five used rows</t>
        </is>
      </c>
    </row>
    <row r="1231" ht="23.85" customHeight="1" s="79">
      <c r="A1231" s="145" t="inlineStr">
        <is>
          <t>PPO_DATA</t>
        </is>
      </c>
      <c r="B1231" s="145" t="inlineStr">
        <is>
          <t>Top-Row Cell Format</t>
        </is>
      </c>
      <c r="C1231" s="145" t="inlineStr">
        <is>
          <t>U3</t>
        </is>
      </c>
      <c r="D1231" s="145" t="inlineStr">
        <is>
          <t>PPO_DATA!A1:AM3957</t>
        </is>
      </c>
      <c r="E1231" s="145" t="inlineStr">
        <is>
          <t>Normal</t>
        </is>
      </c>
      <c r="F1231" s="145" t="n"/>
      <c r="G1231" s="145" t="inlineStr">
        <is>
          <t>Aptos</t>
        </is>
      </c>
      <c r="H1231" s="145" t="n">
        <v>8</v>
      </c>
      <c r="I1231" s="145" t="inlineStr">
        <is>
          <t>No</t>
        </is>
      </c>
      <c r="J1231" s="145" t="inlineStr">
        <is>
          <t>No</t>
        </is>
      </c>
      <c r="K1231" s="145" t="inlineStr">
        <is>
          <t>None</t>
        </is>
      </c>
      <c r="L1231" s="145" t="inlineStr">
        <is>
          <t>#000000</t>
        </is>
      </c>
      <c r="M1231" s="145" t="inlineStr">
        <is>
          <t>General</t>
        </is>
      </c>
      <c r="N1231" s="145" t="inlineStr">
        <is>
          <t>Center</t>
        </is>
      </c>
      <c r="O1231" s="145" t="inlineStr">
        <is>
          <t>No</t>
        </is>
      </c>
      <c r="P1231" s="145" t="inlineStr">
        <is>
          <t>General</t>
        </is>
      </c>
      <c r="Q1231" s="145" t="inlineStr">
        <is>
          <t>General</t>
        </is>
      </c>
      <c r="R1231" s="145" t="n"/>
      <c r="S1231" s="145" t="n"/>
      <c r="T1231" s="145" t="n"/>
      <c r="U1231" s="145" t="n"/>
      <c r="V1231" s="145" t="n"/>
      <c r="W1231" s="145" t="n"/>
      <c r="X1231" s="145" t="inlineStr">
        <is>
          <t>Detailed format sample from top five used rows</t>
        </is>
      </c>
    </row>
    <row r="1232" ht="23.85" customHeight="1" s="79">
      <c r="A1232" s="145" t="inlineStr">
        <is>
          <t>PPO_DATA</t>
        </is>
      </c>
      <c r="B1232" s="145" t="inlineStr">
        <is>
          <t>Top-Row Cell Format</t>
        </is>
      </c>
      <c r="C1232" s="145" t="inlineStr">
        <is>
          <t>U4</t>
        </is>
      </c>
      <c r="D1232" s="145" t="inlineStr">
        <is>
          <t>PPO_DATA!A1:AM3957</t>
        </is>
      </c>
      <c r="E1232" s="145" t="inlineStr">
        <is>
          <t>Normal</t>
        </is>
      </c>
      <c r="F1232" s="145" t="n"/>
      <c r="G1232" s="145" t="inlineStr">
        <is>
          <t>Aptos</t>
        </is>
      </c>
      <c r="H1232" s="145" t="n">
        <v>8</v>
      </c>
      <c r="I1232" s="145" t="inlineStr">
        <is>
          <t>No</t>
        </is>
      </c>
      <c r="J1232" s="145" t="inlineStr">
        <is>
          <t>No</t>
        </is>
      </c>
      <c r="K1232" s="145" t="inlineStr">
        <is>
          <t>None</t>
        </is>
      </c>
      <c r="L1232" s="145" t="inlineStr">
        <is>
          <t>#000000</t>
        </is>
      </c>
      <c r="M1232" s="145" t="inlineStr">
        <is>
          <t>General</t>
        </is>
      </c>
      <c r="N1232" s="145" t="inlineStr">
        <is>
          <t>Center</t>
        </is>
      </c>
      <c r="O1232" s="145" t="inlineStr">
        <is>
          <t>No</t>
        </is>
      </c>
      <c r="P1232" s="145" t="inlineStr">
        <is>
          <t>General</t>
        </is>
      </c>
      <c r="Q1232" s="145" t="inlineStr">
        <is>
          <t>General</t>
        </is>
      </c>
      <c r="R1232" s="145" t="n"/>
      <c r="S1232" s="145" t="n"/>
      <c r="T1232" s="145" t="n"/>
      <c r="U1232" s="145" t="n"/>
      <c r="V1232" s="145" t="n"/>
      <c r="W1232" s="145" t="n"/>
      <c r="X1232" s="145" t="inlineStr">
        <is>
          <t>Detailed format sample from top five used rows</t>
        </is>
      </c>
    </row>
    <row r="1233" ht="23.85" customHeight="1" s="79">
      <c r="A1233" s="145" t="inlineStr">
        <is>
          <t>PPO_DATA</t>
        </is>
      </c>
      <c r="B1233" s="145" t="inlineStr">
        <is>
          <t>Top-Row Cell Format</t>
        </is>
      </c>
      <c r="C1233" s="145" t="inlineStr">
        <is>
          <t>U5</t>
        </is>
      </c>
      <c r="D1233" s="145" t="inlineStr">
        <is>
          <t>PPO_DATA!A1:AM3957</t>
        </is>
      </c>
      <c r="E1233" s="145" t="inlineStr">
        <is>
          <t>Normal</t>
        </is>
      </c>
      <c r="F1233" s="145" t="n"/>
      <c r="G1233" s="145" t="inlineStr">
        <is>
          <t>Aptos</t>
        </is>
      </c>
      <c r="H1233" s="145" t="n">
        <v>8</v>
      </c>
      <c r="I1233" s="145" t="inlineStr">
        <is>
          <t>No</t>
        </is>
      </c>
      <c r="J1233" s="145" t="inlineStr">
        <is>
          <t>No</t>
        </is>
      </c>
      <c r="K1233" s="145" t="inlineStr">
        <is>
          <t>None</t>
        </is>
      </c>
      <c r="L1233" s="145" t="inlineStr">
        <is>
          <t>#000000</t>
        </is>
      </c>
      <c r="M1233" s="145" t="inlineStr">
        <is>
          <t>General</t>
        </is>
      </c>
      <c r="N1233" s="145" t="inlineStr">
        <is>
          <t>Center</t>
        </is>
      </c>
      <c r="O1233" s="145" t="inlineStr">
        <is>
          <t>No</t>
        </is>
      </c>
      <c r="P1233" s="145" t="inlineStr">
        <is>
          <t>General</t>
        </is>
      </c>
      <c r="Q1233" s="145" t="inlineStr">
        <is>
          <t>General</t>
        </is>
      </c>
      <c r="R1233" s="145" t="n"/>
      <c r="S1233" s="145" t="n"/>
      <c r="T1233" s="145" t="n"/>
      <c r="U1233" s="145" t="n"/>
      <c r="V1233" s="145" t="n"/>
      <c r="W1233" s="145" t="n"/>
      <c r="X1233" s="145" t="inlineStr">
        <is>
          <t>Detailed format sample from top five used rows</t>
        </is>
      </c>
    </row>
    <row r="1234" ht="23.85" customHeight="1" s="79">
      <c r="A1234" s="145" t="inlineStr">
        <is>
          <t>PPO_DATA</t>
        </is>
      </c>
      <c r="B1234" s="145" t="inlineStr">
        <is>
          <t>Column Format</t>
        </is>
      </c>
      <c r="C1234" s="145" t="inlineStr">
        <is>
          <t>V:V</t>
        </is>
      </c>
      <c r="D1234" s="145" t="inlineStr">
        <is>
          <t>PPO_DATA!A1:AM3957</t>
        </is>
      </c>
      <c r="E1234" s="145" t="inlineStr">
        <is>
          <t>Normal</t>
        </is>
      </c>
      <c r="F1234" s="145" t="inlineStr">
        <is>
          <t>Mixed</t>
        </is>
      </c>
      <c r="G1234" s="145" t="inlineStr">
        <is>
          <t>Aptos</t>
        </is>
      </c>
      <c r="H1234" s="145" t="n">
        <v>8</v>
      </c>
      <c r="I1234" s="145" t="inlineStr">
        <is>
          <t>Mixed</t>
        </is>
      </c>
      <c r="J1234" s="145" t="inlineStr">
        <is>
          <t>No</t>
        </is>
      </c>
      <c r="K1234" s="145" t="inlineStr">
        <is>
          <t>None</t>
        </is>
      </c>
      <c r="L1234" s="145" t="inlineStr">
        <is>
          <t>Mixed</t>
        </is>
      </c>
      <c r="M1234" s="145" t="inlineStr">
        <is>
          <t>General</t>
        </is>
      </c>
      <c r="N1234" s="145" t="inlineStr">
        <is>
          <t>Center</t>
        </is>
      </c>
      <c r="O1234" s="145" t="inlineStr">
        <is>
          <t>No</t>
        </is>
      </c>
      <c r="P1234" s="145" t="n"/>
      <c r="Q1234" s="145" t="n"/>
      <c r="R1234" s="145" t="n"/>
      <c r="S1234" s="145" t="n">
        <v>26.865671641791</v>
      </c>
      <c r="T1234" s="145" t="n"/>
      <c r="U1234" s="145" t="inlineStr">
        <is>
          <t>No</t>
        </is>
      </c>
      <c r="V1234" s="145" t="inlineStr">
        <is>
          <t>Visible</t>
        </is>
      </c>
      <c r="W1234" s="145" t="n"/>
      <c r="X1234" s="145" t="inlineStr">
        <is>
          <t>Mixed styles within used column</t>
        </is>
      </c>
    </row>
    <row r="1235" ht="23.85" customHeight="1" s="79">
      <c r="A1235" s="145" t="inlineStr">
        <is>
          <t>PPO_DATA</t>
        </is>
      </c>
      <c r="B1235" s="145" t="inlineStr">
        <is>
          <t>Top-Row Cell Format</t>
        </is>
      </c>
      <c r="C1235" s="145" t="inlineStr">
        <is>
          <t>V1</t>
        </is>
      </c>
      <c r="D1235" s="145" t="inlineStr">
        <is>
          <t>PPO_DATA!A1:AM3957</t>
        </is>
      </c>
      <c r="E1235" s="145" t="inlineStr">
        <is>
          <t>Normal</t>
        </is>
      </c>
      <c r="F1235" s="145" t="inlineStr">
        <is>
          <t>#2F75B5</t>
        </is>
      </c>
      <c r="G1235" s="145" t="inlineStr">
        <is>
          <t>Aptos</t>
        </is>
      </c>
      <c r="H1235" s="145" t="n">
        <v>8</v>
      </c>
      <c r="I1235" s="145" t="inlineStr">
        <is>
          <t>Yes</t>
        </is>
      </c>
      <c r="J1235" s="145" t="inlineStr">
        <is>
          <t>No</t>
        </is>
      </c>
      <c r="K1235" s="145" t="inlineStr">
        <is>
          <t>None</t>
        </is>
      </c>
      <c r="L1235" s="145" t="inlineStr">
        <is>
          <t>#FFFF00</t>
        </is>
      </c>
      <c r="M1235" s="145" t="inlineStr">
        <is>
          <t>General</t>
        </is>
      </c>
      <c r="N1235" s="145" t="inlineStr">
        <is>
          <t>Center</t>
        </is>
      </c>
      <c r="O1235" s="145" t="inlineStr">
        <is>
          <t>No</t>
        </is>
      </c>
      <c r="P1235" s="145" t="inlineStr">
        <is>
          <t>General</t>
        </is>
      </c>
      <c r="Q1235" s="145" t="inlineStr">
        <is>
          <t>General</t>
        </is>
      </c>
      <c r="R1235" s="145" t="n"/>
      <c r="S1235" s="145" t="n"/>
      <c r="T1235" s="145" t="n"/>
      <c r="U1235" s="145" t="n"/>
      <c r="V1235" s="145" t="n"/>
      <c r="W1235" s="145" t="n"/>
      <c r="X1235" s="145" t="inlineStr">
        <is>
          <t>Detailed format sample from top five used rows</t>
        </is>
      </c>
    </row>
    <row r="1236" ht="23.85" customHeight="1" s="79">
      <c r="A1236" s="145" t="inlineStr">
        <is>
          <t>PPO_DATA</t>
        </is>
      </c>
      <c r="B1236" s="145" t="inlineStr">
        <is>
          <t>Top-Row Cell Format</t>
        </is>
      </c>
      <c r="C1236" s="145" t="inlineStr">
        <is>
          <t>V2</t>
        </is>
      </c>
      <c r="D1236" s="145" t="inlineStr">
        <is>
          <t>PPO_DATA!A1:AM3957</t>
        </is>
      </c>
      <c r="E1236" s="145" t="inlineStr">
        <is>
          <t>Normal</t>
        </is>
      </c>
      <c r="F1236" s="145" t="n"/>
      <c r="G1236" s="145" t="inlineStr">
        <is>
          <t>Aptos</t>
        </is>
      </c>
      <c r="H1236" s="145" t="n">
        <v>8</v>
      </c>
      <c r="I1236" s="145" t="inlineStr">
        <is>
          <t>No</t>
        </is>
      </c>
      <c r="J1236" s="145" t="inlineStr">
        <is>
          <t>No</t>
        </is>
      </c>
      <c r="K1236" s="145" t="inlineStr">
        <is>
          <t>None</t>
        </is>
      </c>
      <c r="L1236" s="145" t="inlineStr">
        <is>
          <t>#000000</t>
        </is>
      </c>
      <c r="M1236" s="145" t="inlineStr">
        <is>
          <t>General</t>
        </is>
      </c>
      <c r="N1236" s="145" t="inlineStr">
        <is>
          <t>Center</t>
        </is>
      </c>
      <c r="O1236" s="145" t="inlineStr">
        <is>
          <t>No</t>
        </is>
      </c>
      <c r="P1236" s="145" t="inlineStr">
        <is>
          <t>General</t>
        </is>
      </c>
      <c r="Q1236" s="145" t="inlineStr">
        <is>
          <t>General</t>
        </is>
      </c>
      <c r="R1236" s="145" t="n"/>
      <c r="S1236" s="145" t="n"/>
      <c r="T1236" s="145" t="n"/>
      <c r="U1236" s="145" t="n"/>
      <c r="V1236" s="145" t="n"/>
      <c r="W1236" s="145" t="n"/>
      <c r="X1236" s="145" t="inlineStr">
        <is>
          <t>Detailed format sample from top five used rows</t>
        </is>
      </c>
    </row>
    <row r="1237" ht="23.85" customHeight="1" s="79">
      <c r="A1237" s="145" t="inlineStr">
        <is>
          <t>PPO_DATA</t>
        </is>
      </c>
      <c r="B1237" s="145" t="inlineStr">
        <is>
          <t>Top-Row Cell Format</t>
        </is>
      </c>
      <c r="C1237" s="145" t="inlineStr">
        <is>
          <t>V3</t>
        </is>
      </c>
      <c r="D1237" s="145" t="inlineStr">
        <is>
          <t>PPO_DATA!A1:AM3957</t>
        </is>
      </c>
      <c r="E1237" s="145" t="inlineStr">
        <is>
          <t>Normal</t>
        </is>
      </c>
      <c r="F1237" s="145" t="n"/>
      <c r="G1237" s="145" t="inlineStr">
        <is>
          <t>Aptos</t>
        </is>
      </c>
      <c r="H1237" s="145" t="n">
        <v>8</v>
      </c>
      <c r="I1237" s="145" t="inlineStr">
        <is>
          <t>No</t>
        </is>
      </c>
      <c r="J1237" s="145" t="inlineStr">
        <is>
          <t>No</t>
        </is>
      </c>
      <c r="K1237" s="145" t="inlineStr">
        <is>
          <t>None</t>
        </is>
      </c>
      <c r="L1237" s="145" t="inlineStr">
        <is>
          <t>#000000</t>
        </is>
      </c>
      <c r="M1237" s="145" t="inlineStr">
        <is>
          <t>General</t>
        </is>
      </c>
      <c r="N1237" s="145" t="inlineStr">
        <is>
          <t>Center</t>
        </is>
      </c>
      <c r="O1237" s="145" t="inlineStr">
        <is>
          <t>No</t>
        </is>
      </c>
      <c r="P1237" s="145" t="inlineStr">
        <is>
          <t>General</t>
        </is>
      </c>
      <c r="Q1237" s="145" t="inlineStr">
        <is>
          <t>General</t>
        </is>
      </c>
      <c r="R1237" s="145" t="n"/>
      <c r="S1237" s="145" t="n"/>
      <c r="T1237" s="145" t="n"/>
      <c r="U1237" s="145" t="n"/>
      <c r="V1237" s="145" t="n"/>
      <c r="W1237" s="145" t="n"/>
      <c r="X1237" s="145" t="inlineStr">
        <is>
          <t>Detailed format sample from top five used rows</t>
        </is>
      </c>
    </row>
    <row r="1238" ht="23.85" customHeight="1" s="79">
      <c r="A1238" s="145" t="inlineStr">
        <is>
          <t>PPO_DATA</t>
        </is>
      </c>
      <c r="B1238" s="145" t="inlineStr">
        <is>
          <t>Top-Row Cell Format</t>
        </is>
      </c>
      <c r="C1238" s="145" t="inlineStr">
        <is>
          <t>V4</t>
        </is>
      </c>
      <c r="D1238" s="145" t="inlineStr">
        <is>
          <t>PPO_DATA!A1:AM3957</t>
        </is>
      </c>
      <c r="E1238" s="145" t="inlineStr">
        <is>
          <t>Normal</t>
        </is>
      </c>
      <c r="F1238" s="145" t="n"/>
      <c r="G1238" s="145" t="inlineStr">
        <is>
          <t>Aptos</t>
        </is>
      </c>
      <c r="H1238" s="145" t="n">
        <v>8</v>
      </c>
      <c r="I1238" s="145" t="inlineStr">
        <is>
          <t>No</t>
        </is>
      </c>
      <c r="J1238" s="145" t="inlineStr">
        <is>
          <t>No</t>
        </is>
      </c>
      <c r="K1238" s="145" t="inlineStr">
        <is>
          <t>None</t>
        </is>
      </c>
      <c r="L1238" s="145" t="inlineStr">
        <is>
          <t>#000000</t>
        </is>
      </c>
      <c r="M1238" s="145" t="inlineStr">
        <is>
          <t>General</t>
        </is>
      </c>
      <c r="N1238" s="145" t="inlineStr">
        <is>
          <t>Center</t>
        </is>
      </c>
      <c r="O1238" s="145" t="inlineStr">
        <is>
          <t>No</t>
        </is>
      </c>
      <c r="P1238" s="145" t="inlineStr">
        <is>
          <t>General</t>
        </is>
      </c>
      <c r="Q1238" s="145" t="inlineStr">
        <is>
          <t>General</t>
        </is>
      </c>
      <c r="R1238" s="145" t="n"/>
      <c r="S1238" s="145" t="n"/>
      <c r="T1238" s="145" t="n"/>
      <c r="U1238" s="145" t="n"/>
      <c r="V1238" s="145" t="n"/>
      <c r="W1238" s="145" t="n"/>
      <c r="X1238" s="145" t="inlineStr">
        <is>
          <t>Detailed format sample from top five used rows</t>
        </is>
      </c>
    </row>
    <row r="1239" ht="23.85" customHeight="1" s="79">
      <c r="A1239" s="145" t="inlineStr">
        <is>
          <t>PPO_DATA</t>
        </is>
      </c>
      <c r="B1239" s="145" t="inlineStr">
        <is>
          <t>Top-Row Cell Format</t>
        </is>
      </c>
      <c r="C1239" s="145" t="inlineStr">
        <is>
          <t>V5</t>
        </is>
      </c>
      <c r="D1239" s="145" t="inlineStr">
        <is>
          <t>PPO_DATA!A1:AM3957</t>
        </is>
      </c>
      <c r="E1239" s="145" t="inlineStr">
        <is>
          <t>Normal</t>
        </is>
      </c>
      <c r="F1239" s="145" t="n"/>
      <c r="G1239" s="145" t="inlineStr">
        <is>
          <t>Aptos</t>
        </is>
      </c>
      <c r="H1239" s="145" t="n">
        <v>8</v>
      </c>
      <c r="I1239" s="145" t="inlineStr">
        <is>
          <t>No</t>
        </is>
      </c>
      <c r="J1239" s="145" t="inlineStr">
        <is>
          <t>No</t>
        </is>
      </c>
      <c r="K1239" s="145" t="inlineStr">
        <is>
          <t>None</t>
        </is>
      </c>
      <c r="L1239" s="145" t="inlineStr">
        <is>
          <t>#000000</t>
        </is>
      </c>
      <c r="M1239" s="145" t="inlineStr">
        <is>
          <t>General</t>
        </is>
      </c>
      <c r="N1239" s="145" t="inlineStr">
        <is>
          <t>Center</t>
        </is>
      </c>
      <c r="O1239" s="145" t="inlineStr">
        <is>
          <t>No</t>
        </is>
      </c>
      <c r="P1239" s="145" t="inlineStr">
        <is>
          <t>General</t>
        </is>
      </c>
      <c r="Q1239" s="145" t="inlineStr">
        <is>
          <t>General</t>
        </is>
      </c>
      <c r="R1239" s="145" t="n"/>
      <c r="S1239" s="145" t="n"/>
      <c r="T1239" s="145" t="n"/>
      <c r="U1239" s="145" t="n"/>
      <c r="V1239" s="145" t="n"/>
      <c r="W1239" s="145" t="n"/>
      <c r="X1239" s="145" t="inlineStr">
        <is>
          <t>Detailed format sample from top five used rows</t>
        </is>
      </c>
    </row>
    <row r="1240" ht="23.85" customHeight="1" s="79">
      <c r="A1240" s="145" t="inlineStr">
        <is>
          <t>PPO_DATA</t>
        </is>
      </c>
      <c r="B1240" s="145" t="inlineStr">
        <is>
          <t>Column Format</t>
        </is>
      </c>
      <c r="C1240" s="145" t="inlineStr">
        <is>
          <t>W:W</t>
        </is>
      </c>
      <c r="D1240" s="145" t="inlineStr">
        <is>
          <t>PPO_DATA!A1:AM3957</t>
        </is>
      </c>
      <c r="E1240" s="145" t="inlineStr">
        <is>
          <t>Normal</t>
        </is>
      </c>
      <c r="F1240" s="145" t="inlineStr">
        <is>
          <t>Mixed</t>
        </is>
      </c>
      <c r="G1240" s="145" t="inlineStr">
        <is>
          <t>Aptos</t>
        </is>
      </c>
      <c r="H1240" s="145" t="n">
        <v>8</v>
      </c>
      <c r="I1240" s="145" t="inlineStr">
        <is>
          <t>Mixed</t>
        </is>
      </c>
      <c r="J1240" s="145" t="inlineStr">
        <is>
          <t>No</t>
        </is>
      </c>
      <c r="K1240" s="145" t="inlineStr">
        <is>
          <t>None</t>
        </is>
      </c>
      <c r="L1240" s="145" t="inlineStr">
        <is>
          <t>Mixed</t>
        </is>
      </c>
      <c r="M1240" s="145" t="inlineStr">
        <is>
          <t>General</t>
        </is>
      </c>
      <c r="N1240" s="145" t="inlineStr">
        <is>
          <t>Center</t>
        </is>
      </c>
      <c r="O1240" s="145" t="inlineStr">
        <is>
          <t>No</t>
        </is>
      </c>
      <c r="P1240" s="145" t="n"/>
      <c r="Q1240" s="145" t="n"/>
      <c r="R1240" s="145" t="n"/>
      <c r="S1240" s="145" t="n">
        <v>26.865671641791</v>
      </c>
      <c r="T1240" s="145" t="n"/>
      <c r="U1240" s="145" t="inlineStr">
        <is>
          <t>No</t>
        </is>
      </c>
      <c r="V1240" s="145" t="inlineStr">
        <is>
          <t>Visible</t>
        </is>
      </c>
      <c r="W1240" s="145" t="n"/>
      <c r="X1240" s="145" t="inlineStr">
        <is>
          <t>Mixed styles within used column</t>
        </is>
      </c>
    </row>
    <row r="1241" ht="23.85" customHeight="1" s="79">
      <c r="A1241" s="145" t="inlineStr">
        <is>
          <t>PPO_DATA</t>
        </is>
      </c>
      <c r="B1241" s="145" t="inlineStr">
        <is>
          <t>Top-Row Cell Format</t>
        </is>
      </c>
      <c r="C1241" s="145" t="inlineStr">
        <is>
          <t>W1</t>
        </is>
      </c>
      <c r="D1241" s="145" t="inlineStr">
        <is>
          <t>PPO_DATA!A1:AM3957</t>
        </is>
      </c>
      <c r="E1241" s="145" t="inlineStr">
        <is>
          <t>Normal</t>
        </is>
      </c>
      <c r="F1241" s="145" t="inlineStr">
        <is>
          <t>#2F75B5</t>
        </is>
      </c>
      <c r="G1241" s="145" t="inlineStr">
        <is>
          <t>Aptos</t>
        </is>
      </c>
      <c r="H1241" s="145" t="n">
        <v>8</v>
      </c>
      <c r="I1241" s="145" t="inlineStr">
        <is>
          <t>Yes</t>
        </is>
      </c>
      <c r="J1241" s="145" t="inlineStr">
        <is>
          <t>No</t>
        </is>
      </c>
      <c r="K1241" s="145" t="inlineStr">
        <is>
          <t>None</t>
        </is>
      </c>
      <c r="L1241" s="145" t="inlineStr">
        <is>
          <t>#FFFF00</t>
        </is>
      </c>
      <c r="M1241" s="145" t="inlineStr">
        <is>
          <t>General</t>
        </is>
      </c>
      <c r="N1241" s="145" t="inlineStr">
        <is>
          <t>Center</t>
        </is>
      </c>
      <c r="O1241" s="145" t="inlineStr">
        <is>
          <t>No</t>
        </is>
      </c>
      <c r="P1241" s="145" t="inlineStr">
        <is>
          <t>General</t>
        </is>
      </c>
      <c r="Q1241" s="145" t="inlineStr">
        <is>
          <t>General</t>
        </is>
      </c>
      <c r="R1241" s="145" t="n"/>
      <c r="S1241" s="145" t="n"/>
      <c r="T1241" s="145" t="n"/>
      <c r="U1241" s="145" t="n"/>
      <c r="V1241" s="145" t="n"/>
      <c r="W1241" s="145" t="n"/>
      <c r="X1241" s="145" t="inlineStr">
        <is>
          <t>Detailed format sample from top five used rows</t>
        </is>
      </c>
    </row>
    <row r="1242" ht="23.85" customHeight="1" s="79">
      <c r="A1242" s="145" t="inlineStr">
        <is>
          <t>PPO_DATA</t>
        </is>
      </c>
      <c r="B1242" s="145" t="inlineStr">
        <is>
          <t>Top-Row Cell Format</t>
        </is>
      </c>
      <c r="C1242" s="145" t="inlineStr">
        <is>
          <t>W2</t>
        </is>
      </c>
      <c r="D1242" s="145" t="inlineStr">
        <is>
          <t>PPO_DATA!A1:AM3957</t>
        </is>
      </c>
      <c r="E1242" s="145" t="inlineStr">
        <is>
          <t>Normal</t>
        </is>
      </c>
      <c r="F1242" s="145" t="n"/>
      <c r="G1242" s="145" t="inlineStr">
        <is>
          <t>Aptos</t>
        </is>
      </c>
      <c r="H1242" s="145" t="n">
        <v>8</v>
      </c>
      <c r="I1242" s="145" t="inlineStr">
        <is>
          <t>No</t>
        </is>
      </c>
      <c r="J1242" s="145" t="inlineStr">
        <is>
          <t>No</t>
        </is>
      </c>
      <c r="K1242" s="145" t="inlineStr">
        <is>
          <t>None</t>
        </is>
      </c>
      <c r="L1242" s="145" t="inlineStr">
        <is>
          <t>#000000</t>
        </is>
      </c>
      <c r="M1242" s="145" t="inlineStr">
        <is>
          <t>General</t>
        </is>
      </c>
      <c r="N1242" s="145" t="inlineStr">
        <is>
          <t>Center</t>
        </is>
      </c>
      <c r="O1242" s="145" t="inlineStr">
        <is>
          <t>No</t>
        </is>
      </c>
      <c r="P1242" s="145" t="inlineStr">
        <is>
          <t>General</t>
        </is>
      </c>
      <c r="Q1242" s="145" t="inlineStr">
        <is>
          <t>General</t>
        </is>
      </c>
      <c r="R1242" s="145" t="n"/>
      <c r="S1242" s="145" t="n"/>
      <c r="T1242" s="145" t="n"/>
      <c r="U1242" s="145" t="n"/>
      <c r="V1242" s="145" t="n"/>
      <c r="W1242" s="145" t="n"/>
      <c r="X1242" s="145" t="inlineStr">
        <is>
          <t>Detailed format sample from top five used rows</t>
        </is>
      </c>
    </row>
    <row r="1243" ht="23.85" customHeight="1" s="79">
      <c r="A1243" s="145" t="inlineStr">
        <is>
          <t>PPO_DATA</t>
        </is>
      </c>
      <c r="B1243" s="145" t="inlineStr">
        <is>
          <t>Top-Row Cell Format</t>
        </is>
      </c>
      <c r="C1243" s="145" t="inlineStr">
        <is>
          <t>W3</t>
        </is>
      </c>
      <c r="D1243" s="145" t="inlineStr">
        <is>
          <t>PPO_DATA!A1:AM3957</t>
        </is>
      </c>
      <c r="E1243" s="145" t="inlineStr">
        <is>
          <t>Normal</t>
        </is>
      </c>
      <c r="F1243" s="145" t="n"/>
      <c r="G1243" s="145" t="inlineStr">
        <is>
          <t>Aptos</t>
        </is>
      </c>
      <c r="H1243" s="145" t="n">
        <v>8</v>
      </c>
      <c r="I1243" s="145" t="inlineStr">
        <is>
          <t>No</t>
        </is>
      </c>
      <c r="J1243" s="145" t="inlineStr">
        <is>
          <t>No</t>
        </is>
      </c>
      <c r="K1243" s="145" t="inlineStr">
        <is>
          <t>None</t>
        </is>
      </c>
      <c r="L1243" s="145" t="inlineStr">
        <is>
          <t>#000000</t>
        </is>
      </c>
      <c r="M1243" s="145" t="inlineStr">
        <is>
          <t>General</t>
        </is>
      </c>
      <c r="N1243" s="145" t="inlineStr">
        <is>
          <t>Center</t>
        </is>
      </c>
      <c r="O1243" s="145" t="inlineStr">
        <is>
          <t>No</t>
        </is>
      </c>
      <c r="P1243" s="145" t="inlineStr">
        <is>
          <t>General</t>
        </is>
      </c>
      <c r="Q1243" s="145" t="inlineStr">
        <is>
          <t>General</t>
        </is>
      </c>
      <c r="R1243" s="145" t="n"/>
      <c r="S1243" s="145" t="n"/>
      <c r="T1243" s="145" t="n"/>
      <c r="U1243" s="145" t="n"/>
      <c r="V1243" s="145" t="n"/>
      <c r="W1243" s="145" t="n"/>
      <c r="X1243" s="145" t="inlineStr">
        <is>
          <t>Detailed format sample from top five used rows</t>
        </is>
      </c>
    </row>
    <row r="1244" ht="23.85" customHeight="1" s="79">
      <c r="A1244" s="145" t="inlineStr">
        <is>
          <t>PPO_DATA</t>
        </is>
      </c>
      <c r="B1244" s="145" t="inlineStr">
        <is>
          <t>Top-Row Cell Format</t>
        </is>
      </c>
      <c r="C1244" s="145" t="inlineStr">
        <is>
          <t>W4</t>
        </is>
      </c>
      <c r="D1244" s="145" t="inlineStr">
        <is>
          <t>PPO_DATA!A1:AM3957</t>
        </is>
      </c>
      <c r="E1244" s="145" t="inlineStr">
        <is>
          <t>Normal</t>
        </is>
      </c>
      <c r="F1244" s="145" t="n"/>
      <c r="G1244" s="145" t="inlineStr">
        <is>
          <t>Aptos</t>
        </is>
      </c>
      <c r="H1244" s="145" t="n">
        <v>8</v>
      </c>
      <c r="I1244" s="145" t="inlineStr">
        <is>
          <t>No</t>
        </is>
      </c>
      <c r="J1244" s="145" t="inlineStr">
        <is>
          <t>No</t>
        </is>
      </c>
      <c r="K1244" s="145" t="inlineStr">
        <is>
          <t>None</t>
        </is>
      </c>
      <c r="L1244" s="145" t="inlineStr">
        <is>
          <t>#000000</t>
        </is>
      </c>
      <c r="M1244" s="145" t="inlineStr">
        <is>
          <t>General</t>
        </is>
      </c>
      <c r="N1244" s="145" t="inlineStr">
        <is>
          <t>Center</t>
        </is>
      </c>
      <c r="O1244" s="145" t="inlineStr">
        <is>
          <t>No</t>
        </is>
      </c>
      <c r="P1244" s="145" t="inlineStr">
        <is>
          <t>General</t>
        </is>
      </c>
      <c r="Q1244" s="145" t="inlineStr">
        <is>
          <t>General</t>
        </is>
      </c>
      <c r="R1244" s="145" t="n"/>
      <c r="S1244" s="145" t="n"/>
      <c r="T1244" s="145" t="n"/>
      <c r="U1244" s="145" t="n"/>
      <c r="V1244" s="145" t="n"/>
      <c r="W1244" s="145" t="n"/>
      <c r="X1244" s="145" t="inlineStr">
        <is>
          <t>Detailed format sample from top five used rows</t>
        </is>
      </c>
    </row>
    <row r="1245" ht="23.85" customHeight="1" s="79">
      <c r="A1245" s="145" t="inlineStr">
        <is>
          <t>PPO_DATA</t>
        </is>
      </c>
      <c r="B1245" s="145" t="inlineStr">
        <is>
          <t>Top-Row Cell Format</t>
        </is>
      </c>
      <c r="C1245" s="145" t="inlineStr">
        <is>
          <t>W5</t>
        </is>
      </c>
      <c r="D1245" s="145" t="inlineStr">
        <is>
          <t>PPO_DATA!A1:AM3957</t>
        </is>
      </c>
      <c r="E1245" s="145" t="inlineStr">
        <is>
          <t>Normal</t>
        </is>
      </c>
      <c r="F1245" s="145" t="n"/>
      <c r="G1245" s="145" t="inlineStr">
        <is>
          <t>Aptos</t>
        </is>
      </c>
      <c r="H1245" s="145" t="n">
        <v>8</v>
      </c>
      <c r="I1245" s="145" t="inlineStr">
        <is>
          <t>No</t>
        </is>
      </c>
      <c r="J1245" s="145" t="inlineStr">
        <is>
          <t>No</t>
        </is>
      </c>
      <c r="K1245" s="145" t="inlineStr">
        <is>
          <t>None</t>
        </is>
      </c>
      <c r="L1245" s="145" t="inlineStr">
        <is>
          <t>#000000</t>
        </is>
      </c>
      <c r="M1245" s="145" t="inlineStr">
        <is>
          <t>General</t>
        </is>
      </c>
      <c r="N1245" s="145" t="inlineStr">
        <is>
          <t>Center</t>
        </is>
      </c>
      <c r="O1245" s="145" t="inlineStr">
        <is>
          <t>No</t>
        </is>
      </c>
      <c r="P1245" s="145" t="inlineStr">
        <is>
          <t>General</t>
        </is>
      </c>
      <c r="Q1245" s="145" t="inlineStr">
        <is>
          <t>General</t>
        </is>
      </c>
      <c r="R1245" s="145" t="n"/>
      <c r="S1245" s="145" t="n"/>
      <c r="T1245" s="145" t="n"/>
      <c r="U1245" s="145" t="n"/>
      <c r="V1245" s="145" t="n"/>
      <c r="W1245" s="145" t="n"/>
      <c r="X1245" s="145" t="inlineStr">
        <is>
          <t>Detailed format sample from top five used rows</t>
        </is>
      </c>
    </row>
    <row r="1246" ht="23.85" customHeight="1" s="79">
      <c r="A1246" s="145" t="inlineStr">
        <is>
          <t>PPO_DATA</t>
        </is>
      </c>
      <c r="B1246" s="145" t="inlineStr">
        <is>
          <t>Column Format</t>
        </is>
      </c>
      <c r="C1246" s="145" t="inlineStr">
        <is>
          <t>X:X</t>
        </is>
      </c>
      <c r="D1246" s="145" t="inlineStr">
        <is>
          <t>PPO_DATA!A1:AM3957</t>
        </is>
      </c>
      <c r="E1246" s="145" t="inlineStr">
        <is>
          <t>Normal</t>
        </is>
      </c>
      <c r="F1246" s="145" t="inlineStr">
        <is>
          <t>Mixed</t>
        </is>
      </c>
      <c r="G1246" s="145" t="inlineStr">
        <is>
          <t>Aptos</t>
        </is>
      </c>
      <c r="H1246" s="145" t="n">
        <v>8</v>
      </c>
      <c r="I1246" s="145" t="inlineStr">
        <is>
          <t>Mixed</t>
        </is>
      </c>
      <c r="J1246" s="145" t="inlineStr">
        <is>
          <t>No</t>
        </is>
      </c>
      <c r="K1246" s="145" t="inlineStr">
        <is>
          <t>None</t>
        </is>
      </c>
      <c r="L1246" s="145" t="inlineStr">
        <is>
          <t>Mixed</t>
        </is>
      </c>
      <c r="M1246" s="145" t="inlineStr">
        <is>
          <t>General</t>
        </is>
      </c>
      <c r="N1246" s="145" t="inlineStr">
        <is>
          <t>Center</t>
        </is>
      </c>
      <c r="O1246" s="145" t="inlineStr">
        <is>
          <t>No</t>
        </is>
      </c>
      <c r="P1246" s="145" t="n"/>
      <c r="Q1246" s="145" t="n"/>
      <c r="R1246" s="145" t="n"/>
      <c r="S1246" s="145" t="n">
        <v>27.9402985074627</v>
      </c>
      <c r="T1246" s="145" t="n"/>
      <c r="U1246" s="145" t="inlineStr">
        <is>
          <t>No</t>
        </is>
      </c>
      <c r="V1246" s="145" t="inlineStr">
        <is>
          <t>Visible</t>
        </is>
      </c>
      <c r="W1246" s="145" t="n"/>
      <c r="X1246" s="145" t="inlineStr">
        <is>
          <t>Mixed styles within used column</t>
        </is>
      </c>
    </row>
    <row r="1247" ht="23.85" customHeight="1" s="79">
      <c r="A1247" s="145" t="inlineStr">
        <is>
          <t>PPO_DATA</t>
        </is>
      </c>
      <c r="B1247" s="145" t="inlineStr">
        <is>
          <t>Top-Row Cell Format</t>
        </is>
      </c>
      <c r="C1247" s="145" t="inlineStr">
        <is>
          <t>X1</t>
        </is>
      </c>
      <c r="D1247" s="145" t="inlineStr">
        <is>
          <t>PPO_DATA!A1:AM3957</t>
        </is>
      </c>
      <c r="E1247" s="145" t="inlineStr">
        <is>
          <t>Normal</t>
        </is>
      </c>
      <c r="F1247" s="145" t="inlineStr">
        <is>
          <t>#2F75B5</t>
        </is>
      </c>
      <c r="G1247" s="145" t="inlineStr">
        <is>
          <t>Aptos</t>
        </is>
      </c>
      <c r="H1247" s="145" t="n">
        <v>8</v>
      </c>
      <c r="I1247" s="145" t="inlineStr">
        <is>
          <t>Yes</t>
        </is>
      </c>
      <c r="J1247" s="145" t="inlineStr">
        <is>
          <t>No</t>
        </is>
      </c>
      <c r="K1247" s="145" t="inlineStr">
        <is>
          <t>None</t>
        </is>
      </c>
      <c r="L1247" s="145" t="inlineStr">
        <is>
          <t>#FFFF00</t>
        </is>
      </c>
      <c r="M1247" s="145" t="inlineStr">
        <is>
          <t>General</t>
        </is>
      </c>
      <c r="N1247" s="145" t="inlineStr">
        <is>
          <t>Center</t>
        </is>
      </c>
      <c r="O1247" s="145" t="inlineStr">
        <is>
          <t>No</t>
        </is>
      </c>
      <c r="P1247" s="145" t="inlineStr">
        <is>
          <t>General</t>
        </is>
      </c>
      <c r="Q1247" s="145" t="inlineStr">
        <is>
          <t>General</t>
        </is>
      </c>
      <c r="R1247" s="145" t="n"/>
      <c r="S1247" s="145" t="n"/>
      <c r="T1247" s="145" t="n"/>
      <c r="U1247" s="145" t="n"/>
      <c r="V1247" s="145" t="n"/>
      <c r="W1247" s="145" t="n"/>
      <c r="X1247" s="145" t="inlineStr">
        <is>
          <t>Detailed format sample from top five used rows</t>
        </is>
      </c>
    </row>
    <row r="1248" ht="23.85" customHeight="1" s="79">
      <c r="A1248" s="145" t="inlineStr">
        <is>
          <t>PPO_DATA</t>
        </is>
      </c>
      <c r="B1248" s="145" t="inlineStr">
        <is>
          <t>Top-Row Cell Format</t>
        </is>
      </c>
      <c r="C1248" s="145" t="inlineStr">
        <is>
          <t>X2</t>
        </is>
      </c>
      <c r="D1248" s="145" t="inlineStr">
        <is>
          <t>PPO_DATA!A1:AM3957</t>
        </is>
      </c>
      <c r="E1248" s="145" t="inlineStr">
        <is>
          <t>Normal</t>
        </is>
      </c>
      <c r="F1248" s="145" t="n"/>
      <c r="G1248" s="145" t="inlineStr">
        <is>
          <t>Aptos</t>
        </is>
      </c>
      <c r="H1248" s="145" t="n">
        <v>8</v>
      </c>
      <c r="I1248" s="145" t="inlineStr">
        <is>
          <t>No</t>
        </is>
      </c>
      <c r="J1248" s="145" t="inlineStr">
        <is>
          <t>No</t>
        </is>
      </c>
      <c r="K1248" s="145" t="inlineStr">
        <is>
          <t>None</t>
        </is>
      </c>
      <c r="L1248" s="145" t="inlineStr">
        <is>
          <t>#000000</t>
        </is>
      </c>
      <c r="M1248" s="145" t="inlineStr">
        <is>
          <t>General</t>
        </is>
      </c>
      <c r="N1248" s="145" t="inlineStr">
        <is>
          <t>Center</t>
        </is>
      </c>
      <c r="O1248" s="145" t="inlineStr">
        <is>
          <t>No</t>
        </is>
      </c>
      <c r="P1248" s="145" t="inlineStr">
        <is>
          <t>General</t>
        </is>
      </c>
      <c r="Q1248" s="145" t="inlineStr">
        <is>
          <t>General</t>
        </is>
      </c>
      <c r="R1248" s="145" t="n"/>
      <c r="S1248" s="145" t="n"/>
      <c r="T1248" s="145" t="n"/>
      <c r="U1248" s="145" t="n"/>
      <c r="V1248" s="145" t="n"/>
      <c r="W1248" s="145" t="n"/>
      <c r="X1248" s="145" t="inlineStr">
        <is>
          <t>Detailed format sample from top five used rows</t>
        </is>
      </c>
    </row>
    <row r="1249" ht="23.85" customHeight="1" s="79">
      <c r="A1249" s="145" t="inlineStr">
        <is>
          <t>PPO_DATA</t>
        </is>
      </c>
      <c r="B1249" s="145" t="inlineStr">
        <is>
          <t>Top-Row Cell Format</t>
        </is>
      </c>
      <c r="C1249" s="145" t="inlineStr">
        <is>
          <t>X3</t>
        </is>
      </c>
      <c r="D1249" s="145" t="inlineStr">
        <is>
          <t>PPO_DATA!A1:AM3957</t>
        </is>
      </c>
      <c r="E1249" s="145" t="inlineStr">
        <is>
          <t>Normal</t>
        </is>
      </c>
      <c r="F1249" s="145" t="n"/>
      <c r="G1249" s="145" t="inlineStr">
        <is>
          <t>Aptos</t>
        </is>
      </c>
      <c r="H1249" s="145" t="n">
        <v>8</v>
      </c>
      <c r="I1249" s="145" t="inlineStr">
        <is>
          <t>No</t>
        </is>
      </c>
      <c r="J1249" s="145" t="inlineStr">
        <is>
          <t>No</t>
        </is>
      </c>
      <c r="K1249" s="145" t="inlineStr">
        <is>
          <t>None</t>
        </is>
      </c>
      <c r="L1249" s="145" t="inlineStr">
        <is>
          <t>#000000</t>
        </is>
      </c>
      <c r="M1249" s="145" t="inlineStr">
        <is>
          <t>General</t>
        </is>
      </c>
      <c r="N1249" s="145" t="inlineStr">
        <is>
          <t>Center</t>
        </is>
      </c>
      <c r="O1249" s="145" t="inlineStr">
        <is>
          <t>No</t>
        </is>
      </c>
      <c r="P1249" s="145" t="inlineStr">
        <is>
          <t>General</t>
        </is>
      </c>
      <c r="Q1249" s="145" t="inlineStr">
        <is>
          <t>General</t>
        </is>
      </c>
      <c r="R1249" s="145" t="n"/>
      <c r="S1249" s="145" t="n"/>
      <c r="T1249" s="145" t="n"/>
      <c r="U1249" s="145" t="n"/>
      <c r="V1249" s="145" t="n"/>
      <c r="W1249" s="145" t="n"/>
      <c r="X1249" s="145" t="inlineStr">
        <is>
          <t>Detailed format sample from top five used rows</t>
        </is>
      </c>
    </row>
    <row r="1250" ht="23.85" customHeight="1" s="79">
      <c r="A1250" s="145" t="inlineStr">
        <is>
          <t>PPO_DATA</t>
        </is>
      </c>
      <c r="B1250" s="145" t="inlineStr">
        <is>
          <t>Top-Row Cell Format</t>
        </is>
      </c>
      <c r="C1250" s="145" t="inlineStr">
        <is>
          <t>X4</t>
        </is>
      </c>
      <c r="D1250" s="145" t="inlineStr">
        <is>
          <t>PPO_DATA!A1:AM3957</t>
        </is>
      </c>
      <c r="E1250" s="145" t="inlineStr">
        <is>
          <t>Normal</t>
        </is>
      </c>
      <c r="F1250" s="145" t="n"/>
      <c r="G1250" s="145" t="inlineStr">
        <is>
          <t>Aptos</t>
        </is>
      </c>
      <c r="H1250" s="145" t="n">
        <v>8</v>
      </c>
      <c r="I1250" s="145" t="inlineStr">
        <is>
          <t>No</t>
        </is>
      </c>
      <c r="J1250" s="145" t="inlineStr">
        <is>
          <t>No</t>
        </is>
      </c>
      <c r="K1250" s="145" t="inlineStr">
        <is>
          <t>None</t>
        </is>
      </c>
      <c r="L1250" s="145" t="inlineStr">
        <is>
          <t>#000000</t>
        </is>
      </c>
      <c r="M1250" s="145" t="inlineStr">
        <is>
          <t>General</t>
        </is>
      </c>
      <c r="N1250" s="145" t="inlineStr">
        <is>
          <t>Center</t>
        </is>
      </c>
      <c r="O1250" s="145" t="inlineStr">
        <is>
          <t>No</t>
        </is>
      </c>
      <c r="P1250" s="145" t="inlineStr">
        <is>
          <t>General</t>
        </is>
      </c>
      <c r="Q1250" s="145" t="inlineStr">
        <is>
          <t>General</t>
        </is>
      </c>
      <c r="R1250" s="145" t="n"/>
      <c r="S1250" s="145" t="n"/>
      <c r="T1250" s="145" t="n"/>
      <c r="U1250" s="145" t="n"/>
      <c r="V1250" s="145" t="n"/>
      <c r="W1250" s="145" t="n"/>
      <c r="X1250" s="145" t="inlineStr">
        <is>
          <t>Detailed format sample from top five used rows</t>
        </is>
      </c>
    </row>
    <row r="1251" ht="23.85" customHeight="1" s="79">
      <c r="A1251" s="145" t="inlineStr">
        <is>
          <t>PPO_DATA</t>
        </is>
      </c>
      <c r="B1251" s="145" t="inlineStr">
        <is>
          <t>Top-Row Cell Format</t>
        </is>
      </c>
      <c r="C1251" s="145" t="inlineStr">
        <is>
          <t>X5</t>
        </is>
      </c>
      <c r="D1251" s="145" t="inlineStr">
        <is>
          <t>PPO_DATA!A1:AM3957</t>
        </is>
      </c>
      <c r="E1251" s="145" t="inlineStr">
        <is>
          <t>Normal</t>
        </is>
      </c>
      <c r="F1251" s="145" t="n"/>
      <c r="G1251" s="145" t="inlineStr">
        <is>
          <t>Aptos</t>
        </is>
      </c>
      <c r="H1251" s="145" t="n">
        <v>8</v>
      </c>
      <c r="I1251" s="145" t="inlineStr">
        <is>
          <t>No</t>
        </is>
      </c>
      <c r="J1251" s="145" t="inlineStr">
        <is>
          <t>No</t>
        </is>
      </c>
      <c r="K1251" s="145" t="inlineStr">
        <is>
          <t>None</t>
        </is>
      </c>
      <c r="L1251" s="145" t="inlineStr">
        <is>
          <t>#000000</t>
        </is>
      </c>
      <c r="M1251" s="145" t="inlineStr">
        <is>
          <t>General</t>
        </is>
      </c>
      <c r="N1251" s="145" t="inlineStr">
        <is>
          <t>Center</t>
        </is>
      </c>
      <c r="O1251" s="145" t="inlineStr">
        <is>
          <t>No</t>
        </is>
      </c>
      <c r="P1251" s="145" t="inlineStr">
        <is>
          <t>General</t>
        </is>
      </c>
      <c r="Q1251" s="145" t="inlineStr">
        <is>
          <t>General</t>
        </is>
      </c>
      <c r="R1251" s="145" t="n"/>
      <c r="S1251" s="145" t="n"/>
      <c r="T1251" s="145" t="n"/>
      <c r="U1251" s="145" t="n"/>
      <c r="V1251" s="145" t="n"/>
      <c r="W1251" s="145" t="n"/>
      <c r="X1251" s="145" t="inlineStr">
        <is>
          <t>Detailed format sample from top five used rows</t>
        </is>
      </c>
    </row>
    <row r="1252" ht="23.85" customHeight="1" s="79">
      <c r="A1252" s="145" t="inlineStr">
        <is>
          <t>PPO_DATA</t>
        </is>
      </c>
      <c r="B1252" s="145" t="inlineStr">
        <is>
          <t>Column Format</t>
        </is>
      </c>
      <c r="C1252" s="145" t="inlineStr">
        <is>
          <t>Y:Y</t>
        </is>
      </c>
      <c r="D1252" s="145" t="inlineStr">
        <is>
          <t>PPO_DATA!A1:AM3957</t>
        </is>
      </c>
      <c r="E1252" s="145" t="inlineStr">
        <is>
          <t>Normal</t>
        </is>
      </c>
      <c r="F1252" s="145" t="inlineStr">
        <is>
          <t>Mixed</t>
        </is>
      </c>
      <c r="G1252" s="145" t="inlineStr">
        <is>
          <t>Aptos</t>
        </is>
      </c>
      <c r="H1252" s="145" t="n">
        <v>8</v>
      </c>
      <c r="I1252" s="145" t="inlineStr">
        <is>
          <t>Mixed</t>
        </is>
      </c>
      <c r="J1252" s="145" t="inlineStr">
        <is>
          <t>No</t>
        </is>
      </c>
      <c r="K1252" s="145" t="inlineStr">
        <is>
          <t>None</t>
        </is>
      </c>
      <c r="L1252" s="145" t="inlineStr">
        <is>
          <t>Mixed</t>
        </is>
      </c>
      <c r="M1252" s="145" t="inlineStr">
        <is>
          <t>General</t>
        </is>
      </c>
      <c r="N1252" s="145" t="inlineStr">
        <is>
          <t>Center</t>
        </is>
      </c>
      <c r="O1252" s="145" t="inlineStr">
        <is>
          <t>No</t>
        </is>
      </c>
      <c r="P1252" s="145" t="n"/>
      <c r="Q1252" s="145" t="n"/>
      <c r="R1252" s="145" t="n"/>
      <c r="S1252" s="145" t="n">
        <v>27.9402985074627</v>
      </c>
      <c r="T1252" s="145" t="n"/>
      <c r="U1252" s="145" t="inlineStr">
        <is>
          <t>No</t>
        </is>
      </c>
      <c r="V1252" s="145" t="inlineStr">
        <is>
          <t>Visible</t>
        </is>
      </c>
      <c r="W1252" s="145" t="n"/>
      <c r="X1252" s="145" t="inlineStr">
        <is>
          <t>Mixed styles within used column</t>
        </is>
      </c>
    </row>
    <row r="1253" ht="23.85" customHeight="1" s="79">
      <c r="A1253" s="145" t="inlineStr">
        <is>
          <t>PPO_DATA</t>
        </is>
      </c>
      <c r="B1253" s="145" t="inlineStr">
        <is>
          <t>Top-Row Cell Format</t>
        </is>
      </c>
      <c r="C1253" s="145" t="inlineStr">
        <is>
          <t>Y1</t>
        </is>
      </c>
      <c r="D1253" s="145" t="inlineStr">
        <is>
          <t>PPO_DATA!A1:AM3957</t>
        </is>
      </c>
      <c r="E1253" s="145" t="inlineStr">
        <is>
          <t>Normal</t>
        </is>
      </c>
      <c r="F1253" s="145" t="inlineStr">
        <is>
          <t>#2F75B5</t>
        </is>
      </c>
      <c r="G1253" s="145" t="inlineStr">
        <is>
          <t>Aptos</t>
        </is>
      </c>
      <c r="H1253" s="145" t="n">
        <v>8</v>
      </c>
      <c r="I1253" s="145" t="inlineStr">
        <is>
          <t>Yes</t>
        </is>
      </c>
      <c r="J1253" s="145" t="inlineStr">
        <is>
          <t>No</t>
        </is>
      </c>
      <c r="K1253" s="145" t="inlineStr">
        <is>
          <t>None</t>
        </is>
      </c>
      <c r="L1253" s="145" t="inlineStr">
        <is>
          <t>#FFFF00</t>
        </is>
      </c>
      <c r="M1253" s="145" t="inlineStr">
        <is>
          <t>General</t>
        </is>
      </c>
      <c r="N1253" s="145" t="inlineStr">
        <is>
          <t>Center</t>
        </is>
      </c>
      <c r="O1253" s="145" t="inlineStr">
        <is>
          <t>No</t>
        </is>
      </c>
      <c r="P1253" s="145" t="inlineStr">
        <is>
          <t>General</t>
        </is>
      </c>
      <c r="Q1253" s="145" t="inlineStr">
        <is>
          <t>General</t>
        </is>
      </c>
      <c r="R1253" s="145" t="n"/>
      <c r="S1253" s="145" t="n"/>
      <c r="T1253" s="145" t="n"/>
      <c r="U1253" s="145" t="n"/>
      <c r="V1253" s="145" t="n"/>
      <c r="W1253" s="145" t="n"/>
      <c r="X1253" s="145" t="inlineStr">
        <is>
          <t>Detailed format sample from top five used rows</t>
        </is>
      </c>
    </row>
    <row r="1254" ht="23.85" customHeight="1" s="79">
      <c r="A1254" s="145" t="inlineStr">
        <is>
          <t>PPO_DATA</t>
        </is>
      </c>
      <c r="B1254" s="145" t="inlineStr">
        <is>
          <t>Top-Row Cell Format</t>
        </is>
      </c>
      <c r="C1254" s="145" t="inlineStr">
        <is>
          <t>Y2</t>
        </is>
      </c>
      <c r="D1254" s="145" t="inlineStr">
        <is>
          <t>PPO_DATA!A1:AM3957</t>
        </is>
      </c>
      <c r="E1254" s="145" t="inlineStr">
        <is>
          <t>Normal</t>
        </is>
      </c>
      <c r="F1254" s="145" t="n"/>
      <c r="G1254" s="145" t="inlineStr">
        <is>
          <t>Aptos</t>
        </is>
      </c>
      <c r="H1254" s="145" t="n">
        <v>8</v>
      </c>
      <c r="I1254" s="145" t="inlineStr">
        <is>
          <t>No</t>
        </is>
      </c>
      <c r="J1254" s="145" t="inlineStr">
        <is>
          <t>No</t>
        </is>
      </c>
      <c r="K1254" s="145" t="inlineStr">
        <is>
          <t>None</t>
        </is>
      </c>
      <c r="L1254" s="145" t="inlineStr">
        <is>
          <t>#000000</t>
        </is>
      </c>
      <c r="M1254" s="145" t="inlineStr">
        <is>
          <t>General</t>
        </is>
      </c>
      <c r="N1254" s="145" t="inlineStr">
        <is>
          <t>Center</t>
        </is>
      </c>
      <c r="O1254" s="145" t="inlineStr">
        <is>
          <t>No</t>
        </is>
      </c>
      <c r="P1254" s="145" t="inlineStr">
        <is>
          <t>General</t>
        </is>
      </c>
      <c r="Q1254" s="145" t="inlineStr">
        <is>
          <t>General</t>
        </is>
      </c>
      <c r="R1254" s="145" t="n"/>
      <c r="S1254" s="145" t="n"/>
      <c r="T1254" s="145" t="n"/>
      <c r="U1254" s="145" t="n"/>
      <c r="V1254" s="145" t="n"/>
      <c r="W1254" s="145" t="n"/>
      <c r="X1254" s="145" t="inlineStr">
        <is>
          <t>Detailed format sample from top five used rows</t>
        </is>
      </c>
    </row>
    <row r="1255" ht="23.85" customHeight="1" s="79">
      <c r="A1255" s="145" t="inlineStr">
        <is>
          <t>PPO_DATA</t>
        </is>
      </c>
      <c r="B1255" s="145" t="inlineStr">
        <is>
          <t>Top-Row Cell Format</t>
        </is>
      </c>
      <c r="C1255" s="145" t="inlineStr">
        <is>
          <t>Y3</t>
        </is>
      </c>
      <c r="D1255" s="145" t="inlineStr">
        <is>
          <t>PPO_DATA!A1:AM3957</t>
        </is>
      </c>
      <c r="E1255" s="145" t="inlineStr">
        <is>
          <t>Normal</t>
        </is>
      </c>
      <c r="F1255" s="145" t="n"/>
      <c r="G1255" s="145" t="inlineStr">
        <is>
          <t>Aptos</t>
        </is>
      </c>
      <c r="H1255" s="145" t="n">
        <v>8</v>
      </c>
      <c r="I1255" s="145" t="inlineStr">
        <is>
          <t>No</t>
        </is>
      </c>
      <c r="J1255" s="145" t="inlineStr">
        <is>
          <t>No</t>
        </is>
      </c>
      <c r="K1255" s="145" t="inlineStr">
        <is>
          <t>None</t>
        </is>
      </c>
      <c r="L1255" s="145" t="inlineStr">
        <is>
          <t>#000000</t>
        </is>
      </c>
      <c r="M1255" s="145" t="inlineStr">
        <is>
          <t>General</t>
        </is>
      </c>
      <c r="N1255" s="145" t="inlineStr">
        <is>
          <t>Center</t>
        </is>
      </c>
      <c r="O1255" s="145" t="inlineStr">
        <is>
          <t>No</t>
        </is>
      </c>
      <c r="P1255" s="145" t="inlineStr">
        <is>
          <t>General</t>
        </is>
      </c>
      <c r="Q1255" s="145" t="inlineStr">
        <is>
          <t>General</t>
        </is>
      </c>
      <c r="R1255" s="145" t="n"/>
      <c r="S1255" s="145" t="n"/>
      <c r="T1255" s="145" t="n"/>
      <c r="U1255" s="145" t="n"/>
      <c r="V1255" s="145" t="n"/>
      <c r="W1255" s="145" t="n"/>
      <c r="X1255" s="145" t="inlineStr">
        <is>
          <t>Detailed format sample from top five used rows</t>
        </is>
      </c>
    </row>
    <row r="1256" ht="23.85" customHeight="1" s="79">
      <c r="A1256" s="145" t="inlineStr">
        <is>
          <t>PPO_DATA</t>
        </is>
      </c>
      <c r="B1256" s="145" t="inlineStr">
        <is>
          <t>Top-Row Cell Format</t>
        </is>
      </c>
      <c r="C1256" s="145" t="inlineStr">
        <is>
          <t>Y4</t>
        </is>
      </c>
      <c r="D1256" s="145" t="inlineStr">
        <is>
          <t>PPO_DATA!A1:AM3957</t>
        </is>
      </c>
      <c r="E1256" s="145" t="inlineStr">
        <is>
          <t>Normal</t>
        </is>
      </c>
      <c r="F1256" s="145" t="n"/>
      <c r="G1256" s="145" t="inlineStr">
        <is>
          <t>Aptos</t>
        </is>
      </c>
      <c r="H1256" s="145" t="n">
        <v>8</v>
      </c>
      <c r="I1256" s="145" t="inlineStr">
        <is>
          <t>No</t>
        </is>
      </c>
      <c r="J1256" s="145" t="inlineStr">
        <is>
          <t>No</t>
        </is>
      </c>
      <c r="K1256" s="145" t="inlineStr">
        <is>
          <t>None</t>
        </is>
      </c>
      <c r="L1256" s="145" t="inlineStr">
        <is>
          <t>#000000</t>
        </is>
      </c>
      <c r="M1256" s="145" t="inlineStr">
        <is>
          <t>General</t>
        </is>
      </c>
      <c r="N1256" s="145" t="inlineStr">
        <is>
          <t>Center</t>
        </is>
      </c>
      <c r="O1256" s="145" t="inlineStr">
        <is>
          <t>No</t>
        </is>
      </c>
      <c r="P1256" s="145" t="inlineStr">
        <is>
          <t>General</t>
        </is>
      </c>
      <c r="Q1256" s="145" t="inlineStr">
        <is>
          <t>General</t>
        </is>
      </c>
      <c r="R1256" s="145" t="n"/>
      <c r="S1256" s="145" t="n"/>
      <c r="T1256" s="145" t="n"/>
      <c r="U1256" s="145" t="n"/>
      <c r="V1256" s="145" t="n"/>
      <c r="W1256" s="145" t="n"/>
      <c r="X1256" s="145" t="inlineStr">
        <is>
          <t>Detailed format sample from top five used rows</t>
        </is>
      </c>
    </row>
    <row r="1257" ht="23.85" customHeight="1" s="79">
      <c r="A1257" s="145" t="inlineStr">
        <is>
          <t>PPO_DATA</t>
        </is>
      </c>
      <c r="B1257" s="145" t="inlineStr">
        <is>
          <t>Top-Row Cell Format</t>
        </is>
      </c>
      <c r="C1257" s="145" t="inlineStr">
        <is>
          <t>Y5</t>
        </is>
      </c>
      <c r="D1257" s="145" t="inlineStr">
        <is>
          <t>PPO_DATA!A1:AM3957</t>
        </is>
      </c>
      <c r="E1257" s="145" t="inlineStr">
        <is>
          <t>Normal</t>
        </is>
      </c>
      <c r="F1257" s="145" t="n"/>
      <c r="G1257" s="145" t="inlineStr">
        <is>
          <t>Aptos</t>
        </is>
      </c>
      <c r="H1257" s="145" t="n">
        <v>8</v>
      </c>
      <c r="I1257" s="145" t="inlineStr">
        <is>
          <t>No</t>
        </is>
      </c>
      <c r="J1257" s="145" t="inlineStr">
        <is>
          <t>No</t>
        </is>
      </c>
      <c r="K1257" s="145" t="inlineStr">
        <is>
          <t>None</t>
        </is>
      </c>
      <c r="L1257" s="145" t="inlineStr">
        <is>
          <t>#000000</t>
        </is>
      </c>
      <c r="M1257" s="145" t="inlineStr">
        <is>
          <t>General</t>
        </is>
      </c>
      <c r="N1257" s="145" t="inlineStr">
        <is>
          <t>Center</t>
        </is>
      </c>
      <c r="O1257" s="145" t="inlineStr">
        <is>
          <t>No</t>
        </is>
      </c>
      <c r="P1257" s="145" t="inlineStr">
        <is>
          <t>General</t>
        </is>
      </c>
      <c r="Q1257" s="145" t="inlineStr">
        <is>
          <t>General</t>
        </is>
      </c>
      <c r="R1257" s="145" t="n"/>
      <c r="S1257" s="145" t="n"/>
      <c r="T1257" s="145" t="n"/>
      <c r="U1257" s="145" t="n"/>
      <c r="V1257" s="145" t="n"/>
      <c r="W1257" s="145" t="n"/>
      <c r="X1257" s="145" t="inlineStr">
        <is>
          <t>Detailed format sample from top five used rows</t>
        </is>
      </c>
    </row>
    <row r="1258" ht="23.85" customHeight="1" s="79">
      <c r="A1258" s="145" t="inlineStr">
        <is>
          <t>PPO_DATA</t>
        </is>
      </c>
      <c r="B1258" s="145" t="inlineStr">
        <is>
          <t>Column Format</t>
        </is>
      </c>
      <c r="C1258" s="145" t="inlineStr">
        <is>
          <t>Z:Z</t>
        </is>
      </c>
      <c r="D1258" s="145" t="inlineStr">
        <is>
          <t>PPO_DATA!A1:AM3957</t>
        </is>
      </c>
      <c r="E1258" s="145" t="inlineStr">
        <is>
          <t>Normal</t>
        </is>
      </c>
      <c r="F1258" s="145" t="inlineStr">
        <is>
          <t>Mixed</t>
        </is>
      </c>
      <c r="G1258" s="145" t="inlineStr">
        <is>
          <t>Aptos</t>
        </is>
      </c>
      <c r="H1258" s="145" t="n">
        <v>8</v>
      </c>
      <c r="I1258" s="145" t="inlineStr">
        <is>
          <t>Mixed</t>
        </is>
      </c>
      <c r="J1258" s="145" t="inlineStr">
        <is>
          <t>No</t>
        </is>
      </c>
      <c r="K1258" s="145" t="inlineStr">
        <is>
          <t>None</t>
        </is>
      </c>
      <c r="L1258" s="145" t="inlineStr">
        <is>
          <t>Mixed</t>
        </is>
      </c>
      <c r="M1258" s="145" t="inlineStr">
        <is>
          <t>General</t>
        </is>
      </c>
      <c r="N1258" s="145" t="inlineStr">
        <is>
          <t>Center</t>
        </is>
      </c>
      <c r="O1258" s="145" t="inlineStr">
        <is>
          <t>No</t>
        </is>
      </c>
      <c r="P1258" s="145" t="n"/>
      <c r="Q1258" s="145" t="n"/>
      <c r="R1258" s="145" t="n"/>
      <c r="S1258" s="145" t="n">
        <v>26.865671641791</v>
      </c>
      <c r="T1258" s="145" t="n"/>
      <c r="U1258" s="145" t="inlineStr">
        <is>
          <t>No</t>
        </is>
      </c>
      <c r="V1258" s="145" t="inlineStr">
        <is>
          <t>Visible</t>
        </is>
      </c>
      <c r="W1258" s="145" t="n"/>
      <c r="X1258" s="145" t="inlineStr">
        <is>
          <t>Mixed styles within used column</t>
        </is>
      </c>
    </row>
    <row r="1259" ht="23.85" customHeight="1" s="79">
      <c r="A1259" s="145" t="inlineStr">
        <is>
          <t>PPO_DATA</t>
        </is>
      </c>
      <c r="B1259" s="145" t="inlineStr">
        <is>
          <t>Top-Row Cell Format</t>
        </is>
      </c>
      <c r="C1259" s="145" t="inlineStr">
        <is>
          <t>Z1</t>
        </is>
      </c>
      <c r="D1259" s="145" t="inlineStr">
        <is>
          <t>PPO_DATA!A1:AM3957</t>
        </is>
      </c>
      <c r="E1259" s="145" t="inlineStr">
        <is>
          <t>Normal</t>
        </is>
      </c>
      <c r="F1259" s="145" t="inlineStr">
        <is>
          <t>#2F75B5</t>
        </is>
      </c>
      <c r="G1259" s="145" t="inlineStr">
        <is>
          <t>Aptos</t>
        </is>
      </c>
      <c r="H1259" s="145" t="n">
        <v>8</v>
      </c>
      <c r="I1259" s="145" t="inlineStr">
        <is>
          <t>Yes</t>
        </is>
      </c>
      <c r="J1259" s="145" t="inlineStr">
        <is>
          <t>No</t>
        </is>
      </c>
      <c r="K1259" s="145" t="inlineStr">
        <is>
          <t>None</t>
        </is>
      </c>
      <c r="L1259" s="145" t="inlineStr">
        <is>
          <t>#FFFF00</t>
        </is>
      </c>
      <c r="M1259" s="145" t="inlineStr">
        <is>
          <t>General</t>
        </is>
      </c>
      <c r="N1259" s="145" t="inlineStr">
        <is>
          <t>Center</t>
        </is>
      </c>
      <c r="O1259" s="145" t="inlineStr">
        <is>
          <t>No</t>
        </is>
      </c>
      <c r="P1259" s="145" t="inlineStr">
        <is>
          <t>General</t>
        </is>
      </c>
      <c r="Q1259" s="145" t="inlineStr">
        <is>
          <t>General</t>
        </is>
      </c>
      <c r="R1259" s="145" t="n"/>
      <c r="S1259" s="145" t="n"/>
      <c r="T1259" s="145" t="n"/>
      <c r="U1259" s="145" t="n"/>
      <c r="V1259" s="145" t="n"/>
      <c r="W1259" s="145" t="n"/>
      <c r="X1259" s="145" t="inlineStr">
        <is>
          <t>Detailed format sample from top five used rows</t>
        </is>
      </c>
    </row>
    <row r="1260" ht="23.85" customHeight="1" s="79">
      <c r="A1260" s="145" t="inlineStr">
        <is>
          <t>PPO_DATA</t>
        </is>
      </c>
      <c r="B1260" s="145" t="inlineStr">
        <is>
          <t>Top-Row Cell Format</t>
        </is>
      </c>
      <c r="C1260" s="145" t="inlineStr">
        <is>
          <t>Z2</t>
        </is>
      </c>
      <c r="D1260" s="145" t="inlineStr">
        <is>
          <t>PPO_DATA!A1:AM3957</t>
        </is>
      </c>
      <c r="E1260" s="145" t="inlineStr">
        <is>
          <t>Normal</t>
        </is>
      </c>
      <c r="F1260" s="145" t="n"/>
      <c r="G1260" s="145" t="inlineStr">
        <is>
          <t>Aptos</t>
        </is>
      </c>
      <c r="H1260" s="145" t="n">
        <v>8</v>
      </c>
      <c r="I1260" s="145" t="inlineStr">
        <is>
          <t>No</t>
        </is>
      </c>
      <c r="J1260" s="145" t="inlineStr">
        <is>
          <t>No</t>
        </is>
      </c>
      <c r="K1260" s="145" t="inlineStr">
        <is>
          <t>None</t>
        </is>
      </c>
      <c r="L1260" s="145" t="inlineStr">
        <is>
          <t>#000000</t>
        </is>
      </c>
      <c r="M1260" s="145" t="inlineStr">
        <is>
          <t>General</t>
        </is>
      </c>
      <c r="N1260" s="145" t="inlineStr">
        <is>
          <t>Center</t>
        </is>
      </c>
      <c r="O1260" s="145" t="inlineStr">
        <is>
          <t>No</t>
        </is>
      </c>
      <c r="P1260" s="145" t="inlineStr">
        <is>
          <t>General</t>
        </is>
      </c>
      <c r="Q1260" s="145" t="inlineStr">
        <is>
          <t>General</t>
        </is>
      </c>
      <c r="R1260" s="145" t="n"/>
      <c r="S1260" s="145" t="n"/>
      <c r="T1260" s="145" t="n"/>
      <c r="U1260" s="145" t="n"/>
      <c r="V1260" s="145" t="n"/>
      <c r="W1260" s="145" t="n"/>
      <c r="X1260" s="145" t="inlineStr">
        <is>
          <t>Detailed format sample from top five used rows</t>
        </is>
      </c>
    </row>
    <row r="1261" ht="23.85" customHeight="1" s="79">
      <c r="A1261" s="145" t="inlineStr">
        <is>
          <t>PPO_DATA</t>
        </is>
      </c>
      <c r="B1261" s="145" t="inlineStr">
        <is>
          <t>Top-Row Cell Format</t>
        </is>
      </c>
      <c r="C1261" s="145" t="inlineStr">
        <is>
          <t>Z3</t>
        </is>
      </c>
      <c r="D1261" s="145" t="inlineStr">
        <is>
          <t>PPO_DATA!A1:AM3957</t>
        </is>
      </c>
      <c r="E1261" s="145" t="inlineStr">
        <is>
          <t>Normal</t>
        </is>
      </c>
      <c r="F1261" s="145" t="n"/>
      <c r="G1261" s="145" t="inlineStr">
        <is>
          <t>Aptos</t>
        </is>
      </c>
      <c r="H1261" s="145" t="n">
        <v>8</v>
      </c>
      <c r="I1261" s="145" t="inlineStr">
        <is>
          <t>No</t>
        </is>
      </c>
      <c r="J1261" s="145" t="inlineStr">
        <is>
          <t>No</t>
        </is>
      </c>
      <c r="K1261" s="145" t="inlineStr">
        <is>
          <t>None</t>
        </is>
      </c>
      <c r="L1261" s="145" t="inlineStr">
        <is>
          <t>#000000</t>
        </is>
      </c>
      <c r="M1261" s="145" t="inlineStr">
        <is>
          <t>General</t>
        </is>
      </c>
      <c r="N1261" s="145" t="inlineStr">
        <is>
          <t>Center</t>
        </is>
      </c>
      <c r="O1261" s="145" t="inlineStr">
        <is>
          <t>No</t>
        </is>
      </c>
      <c r="P1261" s="145" t="inlineStr">
        <is>
          <t>General</t>
        </is>
      </c>
      <c r="Q1261" s="145" t="inlineStr">
        <is>
          <t>General</t>
        </is>
      </c>
      <c r="R1261" s="145" t="n"/>
      <c r="S1261" s="145" t="n"/>
      <c r="T1261" s="145" t="n"/>
      <c r="U1261" s="145" t="n"/>
      <c r="V1261" s="145" t="n"/>
      <c r="W1261" s="145" t="n"/>
      <c r="X1261" s="145" t="inlineStr">
        <is>
          <t>Detailed format sample from top five used rows</t>
        </is>
      </c>
    </row>
    <row r="1262" ht="23.85" customHeight="1" s="79">
      <c r="A1262" s="145" t="inlineStr">
        <is>
          <t>PPO_DATA</t>
        </is>
      </c>
      <c r="B1262" s="145" t="inlineStr">
        <is>
          <t>Top-Row Cell Format</t>
        </is>
      </c>
      <c r="C1262" s="145" t="inlineStr">
        <is>
          <t>Z4</t>
        </is>
      </c>
      <c r="D1262" s="145" t="inlineStr">
        <is>
          <t>PPO_DATA!A1:AM3957</t>
        </is>
      </c>
      <c r="E1262" s="145" t="inlineStr">
        <is>
          <t>Normal</t>
        </is>
      </c>
      <c r="F1262" s="145" t="n"/>
      <c r="G1262" s="145" t="inlineStr">
        <is>
          <t>Aptos</t>
        </is>
      </c>
      <c r="H1262" s="145" t="n">
        <v>8</v>
      </c>
      <c r="I1262" s="145" t="inlineStr">
        <is>
          <t>No</t>
        </is>
      </c>
      <c r="J1262" s="145" t="inlineStr">
        <is>
          <t>No</t>
        </is>
      </c>
      <c r="K1262" s="145" t="inlineStr">
        <is>
          <t>None</t>
        </is>
      </c>
      <c r="L1262" s="145" t="inlineStr">
        <is>
          <t>#000000</t>
        </is>
      </c>
      <c r="M1262" s="145" t="inlineStr">
        <is>
          <t>General</t>
        </is>
      </c>
      <c r="N1262" s="145" t="inlineStr">
        <is>
          <t>Center</t>
        </is>
      </c>
      <c r="O1262" s="145" t="inlineStr">
        <is>
          <t>No</t>
        </is>
      </c>
      <c r="P1262" s="145" t="inlineStr">
        <is>
          <t>General</t>
        </is>
      </c>
      <c r="Q1262" s="145" t="inlineStr">
        <is>
          <t>General</t>
        </is>
      </c>
      <c r="R1262" s="145" t="n"/>
      <c r="S1262" s="145" t="n"/>
      <c r="T1262" s="145" t="n"/>
      <c r="U1262" s="145" t="n"/>
      <c r="V1262" s="145" t="n"/>
      <c r="W1262" s="145" t="n"/>
      <c r="X1262" s="145" t="inlineStr">
        <is>
          <t>Detailed format sample from top five used rows</t>
        </is>
      </c>
    </row>
    <row r="1263" ht="23.85" customHeight="1" s="79">
      <c r="A1263" s="145" t="inlineStr">
        <is>
          <t>PPO_DATA</t>
        </is>
      </c>
      <c r="B1263" s="145" t="inlineStr">
        <is>
          <t>Top-Row Cell Format</t>
        </is>
      </c>
      <c r="C1263" s="145" t="inlineStr">
        <is>
          <t>Z5</t>
        </is>
      </c>
      <c r="D1263" s="145" t="inlineStr">
        <is>
          <t>PPO_DATA!A1:AM3957</t>
        </is>
      </c>
      <c r="E1263" s="145" t="inlineStr">
        <is>
          <t>Normal</t>
        </is>
      </c>
      <c r="F1263" s="145" t="n"/>
      <c r="G1263" s="145" t="inlineStr">
        <is>
          <t>Aptos</t>
        </is>
      </c>
      <c r="H1263" s="145" t="n">
        <v>8</v>
      </c>
      <c r="I1263" s="145" t="inlineStr">
        <is>
          <t>No</t>
        </is>
      </c>
      <c r="J1263" s="145" t="inlineStr">
        <is>
          <t>No</t>
        </is>
      </c>
      <c r="K1263" s="145" t="inlineStr">
        <is>
          <t>None</t>
        </is>
      </c>
      <c r="L1263" s="145" t="inlineStr">
        <is>
          <t>#000000</t>
        </is>
      </c>
      <c r="M1263" s="145" t="inlineStr">
        <is>
          <t>General</t>
        </is>
      </c>
      <c r="N1263" s="145" t="inlineStr">
        <is>
          <t>Center</t>
        </is>
      </c>
      <c r="O1263" s="145" t="inlineStr">
        <is>
          <t>No</t>
        </is>
      </c>
      <c r="P1263" s="145" t="inlineStr">
        <is>
          <t>General</t>
        </is>
      </c>
      <c r="Q1263" s="145" t="inlineStr">
        <is>
          <t>General</t>
        </is>
      </c>
      <c r="R1263" s="145" t="n"/>
      <c r="S1263" s="145" t="n"/>
      <c r="T1263" s="145" t="n"/>
      <c r="U1263" s="145" t="n"/>
      <c r="V1263" s="145" t="n"/>
      <c r="W1263" s="145" t="n"/>
      <c r="X1263" s="145" t="inlineStr">
        <is>
          <t>Detailed format sample from top five used rows</t>
        </is>
      </c>
    </row>
    <row r="1264" ht="23.85" customHeight="1" s="79">
      <c r="A1264" s="145" t="inlineStr">
        <is>
          <t>PPO_DATA</t>
        </is>
      </c>
      <c r="B1264" s="145" t="inlineStr">
        <is>
          <t>Column Format</t>
        </is>
      </c>
      <c r="C1264" s="145" t="inlineStr">
        <is>
          <t>AA:AA</t>
        </is>
      </c>
      <c r="D1264" s="145" t="inlineStr">
        <is>
          <t>PPO_DATA!A1:AM3957</t>
        </is>
      </c>
      <c r="E1264" s="145" t="inlineStr">
        <is>
          <t>Normal</t>
        </is>
      </c>
      <c r="F1264" s="145" t="inlineStr">
        <is>
          <t>Mixed</t>
        </is>
      </c>
      <c r="G1264" s="145" t="inlineStr">
        <is>
          <t>Aptos</t>
        </is>
      </c>
      <c r="H1264" s="145" t="n">
        <v>8</v>
      </c>
      <c r="I1264" s="145" t="inlineStr">
        <is>
          <t>Mixed</t>
        </is>
      </c>
      <c r="J1264" s="145" t="inlineStr">
        <is>
          <t>No</t>
        </is>
      </c>
      <c r="K1264" s="145" t="inlineStr">
        <is>
          <t>None</t>
        </is>
      </c>
      <c r="L1264" s="145" t="inlineStr">
        <is>
          <t>Mixed</t>
        </is>
      </c>
      <c r="M1264" s="145" t="inlineStr">
        <is>
          <t>General</t>
        </is>
      </c>
      <c r="N1264" s="145" t="inlineStr">
        <is>
          <t>Center</t>
        </is>
      </c>
      <c r="O1264" s="145" t="inlineStr">
        <is>
          <t>No</t>
        </is>
      </c>
      <c r="P1264" s="145" t="n"/>
      <c r="Q1264" s="145" t="n"/>
      <c r="R1264" s="145" t="n"/>
      <c r="S1264" s="145" t="n">
        <v>26.865671641791</v>
      </c>
      <c r="T1264" s="145" t="n"/>
      <c r="U1264" s="145" t="inlineStr">
        <is>
          <t>No</t>
        </is>
      </c>
      <c r="V1264" s="145" t="inlineStr">
        <is>
          <t>Visible</t>
        </is>
      </c>
      <c r="W1264" s="145" t="n"/>
      <c r="X1264" s="145" t="inlineStr">
        <is>
          <t>Mixed styles within used column</t>
        </is>
      </c>
    </row>
    <row r="1265" ht="23.85" customHeight="1" s="79">
      <c r="A1265" s="145" t="inlineStr">
        <is>
          <t>PPO_DATA</t>
        </is>
      </c>
      <c r="B1265" s="145" t="inlineStr">
        <is>
          <t>Top-Row Cell Format</t>
        </is>
      </c>
      <c r="C1265" s="145" t="inlineStr">
        <is>
          <t>AA1</t>
        </is>
      </c>
      <c r="D1265" s="145" t="inlineStr">
        <is>
          <t>PPO_DATA!A1:AM3957</t>
        </is>
      </c>
      <c r="E1265" s="145" t="inlineStr">
        <is>
          <t>Normal</t>
        </is>
      </c>
      <c r="F1265" s="145" t="inlineStr">
        <is>
          <t>#2F75B5</t>
        </is>
      </c>
      <c r="G1265" s="145" t="inlineStr">
        <is>
          <t>Aptos</t>
        </is>
      </c>
      <c r="H1265" s="145" t="n">
        <v>8</v>
      </c>
      <c r="I1265" s="145" t="inlineStr">
        <is>
          <t>Yes</t>
        </is>
      </c>
      <c r="J1265" s="145" t="inlineStr">
        <is>
          <t>No</t>
        </is>
      </c>
      <c r="K1265" s="145" t="inlineStr">
        <is>
          <t>None</t>
        </is>
      </c>
      <c r="L1265" s="145" t="inlineStr">
        <is>
          <t>#FFFF00</t>
        </is>
      </c>
      <c r="M1265" s="145" t="inlineStr">
        <is>
          <t>General</t>
        </is>
      </c>
      <c r="N1265" s="145" t="inlineStr">
        <is>
          <t>Center</t>
        </is>
      </c>
      <c r="O1265" s="145" t="inlineStr">
        <is>
          <t>No</t>
        </is>
      </c>
      <c r="P1265" s="145" t="inlineStr">
        <is>
          <t>General</t>
        </is>
      </c>
      <c r="Q1265" s="145" t="inlineStr">
        <is>
          <t>General</t>
        </is>
      </c>
      <c r="R1265" s="145" t="n"/>
      <c r="S1265" s="145" t="n"/>
      <c r="T1265" s="145" t="n"/>
      <c r="U1265" s="145" t="n"/>
      <c r="V1265" s="145" t="n"/>
      <c r="W1265" s="145" t="n"/>
      <c r="X1265" s="145" t="inlineStr">
        <is>
          <t>Detailed format sample from top five used rows</t>
        </is>
      </c>
    </row>
    <row r="1266" ht="23.85" customHeight="1" s="79">
      <c r="A1266" s="145" t="inlineStr">
        <is>
          <t>PPO_DATA</t>
        </is>
      </c>
      <c r="B1266" s="145" t="inlineStr">
        <is>
          <t>Top-Row Cell Format</t>
        </is>
      </c>
      <c r="C1266" s="145" t="inlineStr">
        <is>
          <t>AA2</t>
        </is>
      </c>
      <c r="D1266" s="145" t="inlineStr">
        <is>
          <t>PPO_DATA!A1:AM3957</t>
        </is>
      </c>
      <c r="E1266" s="145" t="inlineStr">
        <is>
          <t>Normal</t>
        </is>
      </c>
      <c r="F1266" s="145" t="n"/>
      <c r="G1266" s="145" t="inlineStr">
        <is>
          <t>Aptos</t>
        </is>
      </c>
      <c r="H1266" s="145" t="n">
        <v>8</v>
      </c>
      <c r="I1266" s="145" t="inlineStr">
        <is>
          <t>No</t>
        </is>
      </c>
      <c r="J1266" s="145" t="inlineStr">
        <is>
          <t>No</t>
        </is>
      </c>
      <c r="K1266" s="145" t="inlineStr">
        <is>
          <t>None</t>
        </is>
      </c>
      <c r="L1266" s="145" t="inlineStr">
        <is>
          <t>#000000</t>
        </is>
      </c>
      <c r="M1266" s="145" t="inlineStr">
        <is>
          <t>General</t>
        </is>
      </c>
      <c r="N1266" s="145" t="inlineStr">
        <is>
          <t>Center</t>
        </is>
      </c>
      <c r="O1266" s="145" t="inlineStr">
        <is>
          <t>No</t>
        </is>
      </c>
      <c r="P1266" s="145" t="inlineStr">
        <is>
          <t>General</t>
        </is>
      </c>
      <c r="Q1266" s="145" t="inlineStr">
        <is>
          <t>General</t>
        </is>
      </c>
      <c r="R1266" s="145" t="n"/>
      <c r="S1266" s="145" t="n"/>
      <c r="T1266" s="145" t="n"/>
      <c r="U1266" s="145" t="n"/>
      <c r="V1266" s="145" t="n"/>
      <c r="W1266" s="145" t="n"/>
      <c r="X1266" s="145" t="inlineStr">
        <is>
          <t>Detailed format sample from top five used rows</t>
        </is>
      </c>
    </row>
    <row r="1267" ht="23.85" customHeight="1" s="79">
      <c r="A1267" s="145" t="inlineStr">
        <is>
          <t>PPO_DATA</t>
        </is>
      </c>
      <c r="B1267" s="145" t="inlineStr">
        <is>
          <t>Top-Row Cell Format</t>
        </is>
      </c>
      <c r="C1267" s="145" t="inlineStr">
        <is>
          <t>AA3</t>
        </is>
      </c>
      <c r="D1267" s="145" t="inlineStr">
        <is>
          <t>PPO_DATA!A1:AM3957</t>
        </is>
      </c>
      <c r="E1267" s="145" t="inlineStr">
        <is>
          <t>Normal</t>
        </is>
      </c>
      <c r="F1267" s="145" t="n"/>
      <c r="G1267" s="145" t="inlineStr">
        <is>
          <t>Aptos</t>
        </is>
      </c>
      <c r="H1267" s="145" t="n">
        <v>8</v>
      </c>
      <c r="I1267" s="145" t="inlineStr">
        <is>
          <t>No</t>
        </is>
      </c>
      <c r="J1267" s="145" t="inlineStr">
        <is>
          <t>No</t>
        </is>
      </c>
      <c r="K1267" s="145" t="inlineStr">
        <is>
          <t>None</t>
        </is>
      </c>
      <c r="L1267" s="145" t="inlineStr">
        <is>
          <t>#000000</t>
        </is>
      </c>
      <c r="M1267" s="145" t="inlineStr">
        <is>
          <t>General</t>
        </is>
      </c>
      <c r="N1267" s="145" t="inlineStr">
        <is>
          <t>Center</t>
        </is>
      </c>
      <c r="O1267" s="145" t="inlineStr">
        <is>
          <t>No</t>
        </is>
      </c>
      <c r="P1267" s="145" t="inlineStr">
        <is>
          <t>General</t>
        </is>
      </c>
      <c r="Q1267" s="145" t="inlineStr">
        <is>
          <t>General</t>
        </is>
      </c>
      <c r="R1267" s="145" t="n"/>
      <c r="S1267" s="145" t="n"/>
      <c r="T1267" s="145" t="n"/>
      <c r="U1267" s="145" t="n"/>
      <c r="V1267" s="145" t="n"/>
      <c r="W1267" s="145" t="n"/>
      <c r="X1267" s="145" t="inlineStr">
        <is>
          <t>Detailed format sample from top five used rows</t>
        </is>
      </c>
    </row>
    <row r="1268" ht="23.85" customHeight="1" s="79">
      <c r="A1268" s="145" t="inlineStr">
        <is>
          <t>PPO_DATA</t>
        </is>
      </c>
      <c r="B1268" s="145" t="inlineStr">
        <is>
          <t>Top-Row Cell Format</t>
        </is>
      </c>
      <c r="C1268" s="145" t="inlineStr">
        <is>
          <t>AA4</t>
        </is>
      </c>
      <c r="D1268" s="145" t="inlineStr">
        <is>
          <t>PPO_DATA!A1:AM3957</t>
        </is>
      </c>
      <c r="E1268" s="145" t="inlineStr">
        <is>
          <t>Normal</t>
        </is>
      </c>
      <c r="F1268" s="145" t="n"/>
      <c r="G1268" s="145" t="inlineStr">
        <is>
          <t>Aptos</t>
        </is>
      </c>
      <c r="H1268" s="145" t="n">
        <v>8</v>
      </c>
      <c r="I1268" s="145" t="inlineStr">
        <is>
          <t>No</t>
        </is>
      </c>
      <c r="J1268" s="145" t="inlineStr">
        <is>
          <t>No</t>
        </is>
      </c>
      <c r="K1268" s="145" t="inlineStr">
        <is>
          <t>None</t>
        </is>
      </c>
      <c r="L1268" s="145" t="inlineStr">
        <is>
          <t>#000000</t>
        </is>
      </c>
      <c r="M1268" s="145" t="inlineStr">
        <is>
          <t>General</t>
        </is>
      </c>
      <c r="N1268" s="145" t="inlineStr">
        <is>
          <t>Center</t>
        </is>
      </c>
      <c r="O1268" s="145" t="inlineStr">
        <is>
          <t>No</t>
        </is>
      </c>
      <c r="P1268" s="145" t="inlineStr">
        <is>
          <t>General</t>
        </is>
      </c>
      <c r="Q1268" s="145" t="inlineStr">
        <is>
          <t>General</t>
        </is>
      </c>
      <c r="R1268" s="145" t="n"/>
      <c r="S1268" s="145" t="n"/>
      <c r="T1268" s="145" t="n"/>
      <c r="U1268" s="145" t="n"/>
      <c r="V1268" s="145" t="n"/>
      <c r="W1268" s="145" t="n"/>
      <c r="X1268" s="145" t="inlineStr">
        <is>
          <t>Detailed format sample from top five used rows</t>
        </is>
      </c>
    </row>
    <row r="1269" ht="23.85" customHeight="1" s="79">
      <c r="A1269" s="145" t="inlineStr">
        <is>
          <t>PPO_DATA</t>
        </is>
      </c>
      <c r="B1269" s="145" t="inlineStr">
        <is>
          <t>Top-Row Cell Format</t>
        </is>
      </c>
      <c r="C1269" s="145" t="inlineStr">
        <is>
          <t>AA5</t>
        </is>
      </c>
      <c r="D1269" s="145" t="inlineStr">
        <is>
          <t>PPO_DATA!A1:AM3957</t>
        </is>
      </c>
      <c r="E1269" s="145" t="inlineStr">
        <is>
          <t>Normal</t>
        </is>
      </c>
      <c r="F1269" s="145" t="n"/>
      <c r="G1269" s="145" t="inlineStr">
        <is>
          <t>Aptos</t>
        </is>
      </c>
      <c r="H1269" s="145" t="n">
        <v>8</v>
      </c>
      <c r="I1269" s="145" t="inlineStr">
        <is>
          <t>No</t>
        </is>
      </c>
      <c r="J1269" s="145" t="inlineStr">
        <is>
          <t>No</t>
        </is>
      </c>
      <c r="K1269" s="145" t="inlineStr">
        <is>
          <t>None</t>
        </is>
      </c>
      <c r="L1269" s="145" t="inlineStr">
        <is>
          <t>#000000</t>
        </is>
      </c>
      <c r="M1269" s="145" t="inlineStr">
        <is>
          <t>General</t>
        </is>
      </c>
      <c r="N1269" s="145" t="inlineStr">
        <is>
          <t>Center</t>
        </is>
      </c>
      <c r="O1269" s="145" t="inlineStr">
        <is>
          <t>No</t>
        </is>
      </c>
      <c r="P1269" s="145" t="inlineStr">
        <is>
          <t>General</t>
        </is>
      </c>
      <c r="Q1269" s="145" t="inlineStr">
        <is>
          <t>General</t>
        </is>
      </c>
      <c r="R1269" s="145" t="n"/>
      <c r="S1269" s="145" t="n"/>
      <c r="T1269" s="145" t="n"/>
      <c r="U1269" s="145" t="n"/>
      <c r="V1269" s="145" t="n"/>
      <c r="W1269" s="145" t="n"/>
      <c r="X1269" s="145" t="inlineStr">
        <is>
          <t>Detailed format sample from top five used rows</t>
        </is>
      </c>
    </row>
    <row r="1270" ht="23.85" customHeight="1" s="79">
      <c r="A1270" s="145" t="inlineStr">
        <is>
          <t>PPO_DATA</t>
        </is>
      </c>
      <c r="B1270" s="145" t="inlineStr">
        <is>
          <t>Column Format</t>
        </is>
      </c>
      <c r="C1270" s="145" t="inlineStr">
        <is>
          <t>AB:AB</t>
        </is>
      </c>
      <c r="D1270" s="145" t="inlineStr">
        <is>
          <t>PPO_DATA!A1:AM3957</t>
        </is>
      </c>
      <c r="E1270" s="145" t="inlineStr">
        <is>
          <t>Normal</t>
        </is>
      </c>
      <c r="F1270" s="145" t="inlineStr">
        <is>
          <t>Mixed</t>
        </is>
      </c>
      <c r="G1270" s="145" t="inlineStr">
        <is>
          <t>Aptos</t>
        </is>
      </c>
      <c r="H1270" s="145" t="n">
        <v>8</v>
      </c>
      <c r="I1270" s="145" t="inlineStr">
        <is>
          <t>Mixed</t>
        </is>
      </c>
      <c r="J1270" s="145" t="inlineStr">
        <is>
          <t>No</t>
        </is>
      </c>
      <c r="K1270" s="145" t="inlineStr">
        <is>
          <t>None</t>
        </is>
      </c>
      <c r="L1270" s="145" t="inlineStr">
        <is>
          <t>Mixed</t>
        </is>
      </c>
      <c r="M1270" s="145" t="inlineStr">
        <is>
          <t>General</t>
        </is>
      </c>
      <c r="N1270" s="145" t="inlineStr">
        <is>
          <t>Center</t>
        </is>
      </c>
      <c r="O1270" s="145" t="inlineStr">
        <is>
          <t>No</t>
        </is>
      </c>
      <c r="P1270" s="145" t="n"/>
      <c r="Q1270" s="145" t="n"/>
      <c r="R1270" s="145" t="n"/>
      <c r="S1270" s="145" t="n">
        <v>32.2388059701493</v>
      </c>
      <c r="T1270" s="145" t="n"/>
      <c r="U1270" s="145" t="inlineStr">
        <is>
          <t>No</t>
        </is>
      </c>
      <c r="V1270" s="145" t="inlineStr">
        <is>
          <t>Visible</t>
        </is>
      </c>
      <c r="W1270" s="145" t="n"/>
      <c r="X1270" s="145" t="inlineStr">
        <is>
          <t>Mixed styles within used column</t>
        </is>
      </c>
    </row>
    <row r="1271" ht="23.85" customHeight="1" s="79">
      <c r="A1271" s="145" t="inlineStr">
        <is>
          <t>PPO_DATA</t>
        </is>
      </c>
      <c r="B1271" s="145" t="inlineStr">
        <is>
          <t>Top-Row Cell Format</t>
        </is>
      </c>
      <c r="C1271" s="145" t="inlineStr">
        <is>
          <t>AB1</t>
        </is>
      </c>
      <c r="D1271" s="145" t="inlineStr">
        <is>
          <t>PPO_DATA!A1:AM3957</t>
        </is>
      </c>
      <c r="E1271" s="145" t="inlineStr">
        <is>
          <t>Normal</t>
        </is>
      </c>
      <c r="F1271" s="145" t="inlineStr">
        <is>
          <t>#2F75B5</t>
        </is>
      </c>
      <c r="G1271" s="145" t="inlineStr">
        <is>
          <t>Aptos</t>
        </is>
      </c>
      <c r="H1271" s="145" t="n">
        <v>8</v>
      </c>
      <c r="I1271" s="145" t="inlineStr">
        <is>
          <t>Yes</t>
        </is>
      </c>
      <c r="J1271" s="145" t="inlineStr">
        <is>
          <t>No</t>
        </is>
      </c>
      <c r="K1271" s="145" t="inlineStr">
        <is>
          <t>None</t>
        </is>
      </c>
      <c r="L1271" s="145" t="inlineStr">
        <is>
          <t>#FFFF00</t>
        </is>
      </c>
      <c r="M1271" s="145" t="inlineStr">
        <is>
          <t>General</t>
        </is>
      </c>
      <c r="N1271" s="145" t="inlineStr">
        <is>
          <t>Center</t>
        </is>
      </c>
      <c r="O1271" s="145" t="inlineStr">
        <is>
          <t>No</t>
        </is>
      </c>
      <c r="P1271" s="145" t="inlineStr">
        <is>
          <t>General</t>
        </is>
      </c>
      <c r="Q1271" s="145" t="inlineStr">
        <is>
          <t>General</t>
        </is>
      </c>
      <c r="R1271" s="145" t="n"/>
      <c r="S1271" s="145" t="n"/>
      <c r="T1271" s="145" t="n"/>
      <c r="U1271" s="145" t="n"/>
      <c r="V1271" s="145" t="n"/>
      <c r="W1271" s="145" t="n"/>
      <c r="X1271" s="145" t="inlineStr">
        <is>
          <t>Detailed format sample from top five used rows</t>
        </is>
      </c>
    </row>
    <row r="1272" ht="23.85" customHeight="1" s="79">
      <c r="A1272" s="145" t="inlineStr">
        <is>
          <t>PPO_DATA</t>
        </is>
      </c>
      <c r="B1272" s="145" t="inlineStr">
        <is>
          <t>Top-Row Cell Format</t>
        </is>
      </c>
      <c r="C1272" s="145" t="inlineStr">
        <is>
          <t>AB2</t>
        </is>
      </c>
      <c r="D1272" s="145" t="inlineStr">
        <is>
          <t>PPO_DATA!A1:AM3957</t>
        </is>
      </c>
      <c r="E1272" s="145" t="inlineStr">
        <is>
          <t>Normal</t>
        </is>
      </c>
      <c r="F1272" s="145" t="n"/>
      <c r="G1272" s="145" t="inlineStr">
        <is>
          <t>Aptos</t>
        </is>
      </c>
      <c r="H1272" s="145" t="n">
        <v>8</v>
      </c>
      <c r="I1272" s="145" t="inlineStr">
        <is>
          <t>No</t>
        </is>
      </c>
      <c r="J1272" s="145" t="inlineStr">
        <is>
          <t>No</t>
        </is>
      </c>
      <c r="K1272" s="145" t="inlineStr">
        <is>
          <t>None</t>
        </is>
      </c>
      <c r="L1272" s="145" t="inlineStr">
        <is>
          <t>#000000</t>
        </is>
      </c>
      <c r="M1272" s="145" t="inlineStr">
        <is>
          <t>General</t>
        </is>
      </c>
      <c r="N1272" s="145" t="inlineStr">
        <is>
          <t>Center</t>
        </is>
      </c>
      <c r="O1272" s="145" t="inlineStr">
        <is>
          <t>No</t>
        </is>
      </c>
      <c r="P1272" s="145" t="inlineStr">
        <is>
          <t>General</t>
        </is>
      </c>
      <c r="Q1272" s="145" t="inlineStr">
        <is>
          <t>General</t>
        </is>
      </c>
      <c r="R1272" s="145" t="n"/>
      <c r="S1272" s="145" t="n"/>
      <c r="T1272" s="145" t="n"/>
      <c r="U1272" s="145" t="n"/>
      <c r="V1272" s="145" t="n"/>
      <c r="W1272" s="145" t="n"/>
      <c r="X1272" s="145" t="inlineStr">
        <is>
          <t>Detailed format sample from top five used rows</t>
        </is>
      </c>
    </row>
    <row r="1273" ht="23.85" customHeight="1" s="79">
      <c r="A1273" s="145" t="inlineStr">
        <is>
          <t>PPO_DATA</t>
        </is>
      </c>
      <c r="B1273" s="145" t="inlineStr">
        <is>
          <t>Top-Row Cell Format</t>
        </is>
      </c>
      <c r="C1273" s="145" t="inlineStr">
        <is>
          <t>AB3</t>
        </is>
      </c>
      <c r="D1273" s="145" t="inlineStr">
        <is>
          <t>PPO_DATA!A1:AM3957</t>
        </is>
      </c>
      <c r="E1273" s="145" t="inlineStr">
        <is>
          <t>Normal</t>
        </is>
      </c>
      <c r="F1273" s="145" t="n"/>
      <c r="G1273" s="145" t="inlineStr">
        <is>
          <t>Aptos</t>
        </is>
      </c>
      <c r="H1273" s="145" t="n">
        <v>8</v>
      </c>
      <c r="I1273" s="145" t="inlineStr">
        <is>
          <t>No</t>
        </is>
      </c>
      <c r="J1273" s="145" t="inlineStr">
        <is>
          <t>No</t>
        </is>
      </c>
      <c r="K1273" s="145" t="inlineStr">
        <is>
          <t>None</t>
        </is>
      </c>
      <c r="L1273" s="145" t="inlineStr">
        <is>
          <t>#000000</t>
        </is>
      </c>
      <c r="M1273" s="145" t="inlineStr">
        <is>
          <t>General</t>
        </is>
      </c>
      <c r="N1273" s="145" t="inlineStr">
        <is>
          <t>Center</t>
        </is>
      </c>
      <c r="O1273" s="145" t="inlineStr">
        <is>
          <t>No</t>
        </is>
      </c>
      <c r="P1273" s="145" t="inlineStr">
        <is>
          <t>General</t>
        </is>
      </c>
      <c r="Q1273" s="145" t="inlineStr">
        <is>
          <t>General</t>
        </is>
      </c>
      <c r="R1273" s="145" t="n"/>
      <c r="S1273" s="145" t="n"/>
      <c r="T1273" s="145" t="n"/>
      <c r="U1273" s="145" t="n"/>
      <c r="V1273" s="145" t="n"/>
      <c r="W1273" s="145" t="n"/>
      <c r="X1273" s="145" t="inlineStr">
        <is>
          <t>Detailed format sample from top five used rows</t>
        </is>
      </c>
    </row>
    <row r="1274" ht="23.85" customHeight="1" s="79">
      <c r="A1274" s="145" t="inlineStr">
        <is>
          <t>PPO_DATA</t>
        </is>
      </c>
      <c r="B1274" s="145" t="inlineStr">
        <is>
          <t>Top-Row Cell Format</t>
        </is>
      </c>
      <c r="C1274" s="145" t="inlineStr">
        <is>
          <t>AB4</t>
        </is>
      </c>
      <c r="D1274" s="145" t="inlineStr">
        <is>
          <t>PPO_DATA!A1:AM3957</t>
        </is>
      </c>
      <c r="E1274" s="145" t="inlineStr">
        <is>
          <t>Normal</t>
        </is>
      </c>
      <c r="F1274" s="145" t="n"/>
      <c r="G1274" s="145" t="inlineStr">
        <is>
          <t>Aptos</t>
        </is>
      </c>
      <c r="H1274" s="145" t="n">
        <v>8</v>
      </c>
      <c r="I1274" s="145" t="inlineStr">
        <is>
          <t>No</t>
        </is>
      </c>
      <c r="J1274" s="145" t="inlineStr">
        <is>
          <t>No</t>
        </is>
      </c>
      <c r="K1274" s="145" t="inlineStr">
        <is>
          <t>None</t>
        </is>
      </c>
      <c r="L1274" s="145" t="inlineStr">
        <is>
          <t>#000000</t>
        </is>
      </c>
      <c r="M1274" s="145" t="inlineStr">
        <is>
          <t>General</t>
        </is>
      </c>
      <c r="N1274" s="145" t="inlineStr">
        <is>
          <t>Center</t>
        </is>
      </c>
      <c r="O1274" s="145" t="inlineStr">
        <is>
          <t>No</t>
        </is>
      </c>
      <c r="P1274" s="145" t="inlineStr">
        <is>
          <t>General</t>
        </is>
      </c>
      <c r="Q1274" s="145" t="inlineStr">
        <is>
          <t>General</t>
        </is>
      </c>
      <c r="R1274" s="145" t="n"/>
      <c r="S1274" s="145" t="n"/>
      <c r="T1274" s="145" t="n"/>
      <c r="U1274" s="145" t="n"/>
      <c r="V1274" s="145" t="n"/>
      <c r="W1274" s="145" t="n"/>
      <c r="X1274" s="145" t="inlineStr">
        <is>
          <t>Detailed format sample from top five used rows</t>
        </is>
      </c>
    </row>
    <row r="1275" ht="23.85" customHeight="1" s="79">
      <c r="A1275" s="145" t="inlineStr">
        <is>
          <t>PPO_DATA</t>
        </is>
      </c>
      <c r="B1275" s="145" t="inlineStr">
        <is>
          <t>Top-Row Cell Format</t>
        </is>
      </c>
      <c r="C1275" s="145" t="inlineStr">
        <is>
          <t>AB5</t>
        </is>
      </c>
      <c r="D1275" s="145" t="inlineStr">
        <is>
          <t>PPO_DATA!A1:AM3957</t>
        </is>
      </c>
      <c r="E1275" s="145" t="inlineStr">
        <is>
          <t>Normal</t>
        </is>
      </c>
      <c r="F1275" s="145" t="n"/>
      <c r="G1275" s="145" t="inlineStr">
        <is>
          <t>Aptos</t>
        </is>
      </c>
      <c r="H1275" s="145" t="n">
        <v>8</v>
      </c>
      <c r="I1275" s="145" t="inlineStr">
        <is>
          <t>No</t>
        </is>
      </c>
      <c r="J1275" s="145" t="inlineStr">
        <is>
          <t>No</t>
        </is>
      </c>
      <c r="K1275" s="145" t="inlineStr">
        <is>
          <t>None</t>
        </is>
      </c>
      <c r="L1275" s="145" t="inlineStr">
        <is>
          <t>#000000</t>
        </is>
      </c>
      <c r="M1275" s="145" t="inlineStr">
        <is>
          <t>General</t>
        </is>
      </c>
      <c r="N1275" s="145" t="inlineStr">
        <is>
          <t>Center</t>
        </is>
      </c>
      <c r="O1275" s="145" t="inlineStr">
        <is>
          <t>No</t>
        </is>
      </c>
      <c r="P1275" s="145" t="inlineStr">
        <is>
          <t>General</t>
        </is>
      </c>
      <c r="Q1275" s="145" t="inlineStr">
        <is>
          <t>General</t>
        </is>
      </c>
      <c r="R1275" s="145" t="n"/>
      <c r="S1275" s="145" t="n"/>
      <c r="T1275" s="145" t="n"/>
      <c r="U1275" s="145" t="n"/>
      <c r="V1275" s="145" t="n"/>
      <c r="W1275" s="145" t="n"/>
      <c r="X1275" s="145" t="inlineStr">
        <is>
          <t>Detailed format sample from top five used rows</t>
        </is>
      </c>
    </row>
    <row r="1276" ht="23.85" customHeight="1" s="79">
      <c r="A1276" s="145" t="inlineStr">
        <is>
          <t>PPO_DATA</t>
        </is>
      </c>
      <c r="B1276" s="145" t="inlineStr">
        <is>
          <t>Column Format</t>
        </is>
      </c>
      <c r="C1276" s="145" t="inlineStr">
        <is>
          <t>AC:AC</t>
        </is>
      </c>
      <c r="D1276" s="145" t="inlineStr">
        <is>
          <t>PPO_DATA!A1:AM3957</t>
        </is>
      </c>
      <c r="E1276" s="145" t="inlineStr">
        <is>
          <t>Normal</t>
        </is>
      </c>
      <c r="F1276" s="145" t="inlineStr">
        <is>
          <t>Mixed</t>
        </is>
      </c>
      <c r="G1276" s="145" t="inlineStr">
        <is>
          <t>Aptos</t>
        </is>
      </c>
      <c r="H1276" s="145" t="n">
        <v>8</v>
      </c>
      <c r="I1276" s="145" t="inlineStr">
        <is>
          <t>Mixed</t>
        </is>
      </c>
      <c r="J1276" s="145" t="inlineStr">
        <is>
          <t>No</t>
        </is>
      </c>
      <c r="K1276" s="145" t="inlineStr">
        <is>
          <t>None</t>
        </is>
      </c>
      <c r="L1276" s="145" t="inlineStr">
        <is>
          <t>Mixed</t>
        </is>
      </c>
      <c r="M1276" s="145" t="inlineStr">
        <is>
          <t>General</t>
        </is>
      </c>
      <c r="N1276" s="145" t="inlineStr">
        <is>
          <t>Center</t>
        </is>
      </c>
      <c r="O1276" s="145" t="inlineStr">
        <is>
          <t>No</t>
        </is>
      </c>
      <c r="P1276" s="145" t="n"/>
      <c r="Q1276" s="145" t="n"/>
      <c r="R1276" s="145" t="n"/>
      <c r="S1276" s="145" t="n">
        <v>67.1641791044776</v>
      </c>
      <c r="T1276" s="145" t="n"/>
      <c r="U1276" s="145" t="inlineStr">
        <is>
          <t>No</t>
        </is>
      </c>
      <c r="V1276" s="145" t="inlineStr">
        <is>
          <t>Visible</t>
        </is>
      </c>
      <c r="W1276" s="145" t="n"/>
      <c r="X1276" s="145" t="inlineStr">
        <is>
          <t>Mixed styles within used column</t>
        </is>
      </c>
    </row>
    <row r="1277" ht="23.85" customHeight="1" s="79">
      <c r="A1277" s="145" t="inlineStr">
        <is>
          <t>PPO_DATA</t>
        </is>
      </c>
      <c r="B1277" s="145" t="inlineStr">
        <is>
          <t>Top-Row Cell Format</t>
        </is>
      </c>
      <c r="C1277" s="145" t="inlineStr">
        <is>
          <t>AC1</t>
        </is>
      </c>
      <c r="D1277" s="145" t="inlineStr">
        <is>
          <t>PPO_DATA!A1:AM3957</t>
        </is>
      </c>
      <c r="E1277" s="145" t="inlineStr">
        <is>
          <t>Normal</t>
        </is>
      </c>
      <c r="F1277" s="145" t="inlineStr">
        <is>
          <t>#2F75B5</t>
        </is>
      </c>
      <c r="G1277" s="145" t="inlineStr">
        <is>
          <t>Aptos</t>
        </is>
      </c>
      <c r="H1277" s="145" t="n">
        <v>8</v>
      </c>
      <c r="I1277" s="145" t="inlineStr">
        <is>
          <t>Yes</t>
        </is>
      </c>
      <c r="J1277" s="145" t="inlineStr">
        <is>
          <t>No</t>
        </is>
      </c>
      <c r="K1277" s="145" t="inlineStr">
        <is>
          <t>None</t>
        </is>
      </c>
      <c r="L1277" s="145" t="inlineStr">
        <is>
          <t>#FFFF00</t>
        </is>
      </c>
      <c r="M1277" s="145" t="inlineStr">
        <is>
          <t>General</t>
        </is>
      </c>
      <c r="N1277" s="145" t="inlineStr">
        <is>
          <t>Center</t>
        </is>
      </c>
      <c r="O1277" s="145" t="inlineStr">
        <is>
          <t>No</t>
        </is>
      </c>
      <c r="P1277" s="145" t="inlineStr">
        <is>
          <t>General</t>
        </is>
      </c>
      <c r="Q1277" s="145" t="inlineStr">
        <is>
          <t>General</t>
        </is>
      </c>
      <c r="R1277" s="145" t="n"/>
      <c r="S1277" s="145" t="n"/>
      <c r="T1277" s="145" t="n"/>
      <c r="U1277" s="145" t="n"/>
      <c r="V1277" s="145" t="n"/>
      <c r="W1277" s="145" t="n"/>
      <c r="X1277" s="145" t="inlineStr">
        <is>
          <t>Detailed format sample from top five used rows</t>
        </is>
      </c>
    </row>
    <row r="1278" ht="23.85" customHeight="1" s="79">
      <c r="A1278" s="145" t="inlineStr">
        <is>
          <t>PPO_DATA</t>
        </is>
      </c>
      <c r="B1278" s="145" t="inlineStr">
        <is>
          <t>Top-Row Cell Format</t>
        </is>
      </c>
      <c r="C1278" s="145" t="inlineStr">
        <is>
          <t>AC2</t>
        </is>
      </c>
      <c r="D1278" s="145" t="inlineStr">
        <is>
          <t>PPO_DATA!A1:AM3957</t>
        </is>
      </c>
      <c r="E1278" s="145" t="inlineStr">
        <is>
          <t>Normal</t>
        </is>
      </c>
      <c r="F1278" s="145" t="n"/>
      <c r="G1278" s="145" t="inlineStr">
        <is>
          <t>Aptos</t>
        </is>
      </c>
      <c r="H1278" s="145" t="n">
        <v>8</v>
      </c>
      <c r="I1278" s="145" t="inlineStr">
        <is>
          <t>No</t>
        </is>
      </c>
      <c r="J1278" s="145" t="inlineStr">
        <is>
          <t>No</t>
        </is>
      </c>
      <c r="K1278" s="145" t="inlineStr">
        <is>
          <t>None</t>
        </is>
      </c>
      <c r="L1278" s="145" t="inlineStr">
        <is>
          <t>#000000</t>
        </is>
      </c>
      <c r="M1278" s="145" t="inlineStr">
        <is>
          <t>General</t>
        </is>
      </c>
      <c r="N1278" s="145" t="inlineStr">
        <is>
          <t>Center</t>
        </is>
      </c>
      <c r="O1278" s="145" t="inlineStr">
        <is>
          <t>No</t>
        </is>
      </c>
      <c r="P1278" s="145" t="inlineStr">
        <is>
          <t>General</t>
        </is>
      </c>
      <c r="Q1278" s="145" t="inlineStr">
        <is>
          <t>General</t>
        </is>
      </c>
      <c r="R1278" s="145" t="n"/>
      <c r="S1278" s="145" t="n"/>
      <c r="T1278" s="145" t="n"/>
      <c r="U1278" s="145" t="n"/>
      <c r="V1278" s="145" t="n"/>
      <c r="W1278" s="145" t="n"/>
      <c r="X1278" s="145" t="inlineStr">
        <is>
          <t>Detailed format sample from top five used rows</t>
        </is>
      </c>
    </row>
    <row r="1279" ht="23.85" customHeight="1" s="79">
      <c r="A1279" s="145" t="inlineStr">
        <is>
          <t>PPO_DATA</t>
        </is>
      </c>
      <c r="B1279" s="145" t="inlineStr">
        <is>
          <t>Top-Row Cell Format</t>
        </is>
      </c>
      <c r="C1279" s="145" t="inlineStr">
        <is>
          <t>AC3</t>
        </is>
      </c>
      <c r="D1279" s="145" t="inlineStr">
        <is>
          <t>PPO_DATA!A1:AM3957</t>
        </is>
      </c>
      <c r="E1279" s="145" t="inlineStr">
        <is>
          <t>Normal</t>
        </is>
      </c>
      <c r="F1279" s="145" t="n"/>
      <c r="G1279" s="145" t="inlineStr">
        <is>
          <t>Aptos</t>
        </is>
      </c>
      <c r="H1279" s="145" t="n">
        <v>8</v>
      </c>
      <c r="I1279" s="145" t="inlineStr">
        <is>
          <t>No</t>
        </is>
      </c>
      <c r="J1279" s="145" t="inlineStr">
        <is>
          <t>No</t>
        </is>
      </c>
      <c r="K1279" s="145" t="inlineStr">
        <is>
          <t>None</t>
        </is>
      </c>
      <c r="L1279" s="145" t="inlineStr">
        <is>
          <t>#000000</t>
        </is>
      </c>
      <c r="M1279" s="145" t="inlineStr">
        <is>
          <t>General</t>
        </is>
      </c>
      <c r="N1279" s="145" t="inlineStr">
        <is>
          <t>Center</t>
        </is>
      </c>
      <c r="O1279" s="145" t="inlineStr">
        <is>
          <t>No</t>
        </is>
      </c>
      <c r="P1279" s="145" t="inlineStr">
        <is>
          <t>General</t>
        </is>
      </c>
      <c r="Q1279" s="145" t="inlineStr">
        <is>
          <t>General</t>
        </is>
      </c>
      <c r="R1279" s="145" t="n"/>
      <c r="S1279" s="145" t="n"/>
      <c r="T1279" s="145" t="n"/>
      <c r="U1279" s="145" t="n"/>
      <c r="V1279" s="145" t="n"/>
      <c r="W1279" s="145" t="n"/>
      <c r="X1279" s="145" t="inlineStr">
        <is>
          <t>Detailed format sample from top five used rows</t>
        </is>
      </c>
    </row>
    <row r="1280" ht="23.85" customHeight="1" s="79">
      <c r="A1280" s="145" t="inlineStr">
        <is>
          <t>PPO_DATA</t>
        </is>
      </c>
      <c r="B1280" s="145" t="inlineStr">
        <is>
          <t>Top-Row Cell Format</t>
        </is>
      </c>
      <c r="C1280" s="145" t="inlineStr">
        <is>
          <t>AC4</t>
        </is>
      </c>
      <c r="D1280" s="145" t="inlineStr">
        <is>
          <t>PPO_DATA!A1:AM3957</t>
        </is>
      </c>
      <c r="E1280" s="145" t="inlineStr">
        <is>
          <t>Normal</t>
        </is>
      </c>
      <c r="F1280" s="145" t="n"/>
      <c r="G1280" s="145" t="inlineStr">
        <is>
          <t>Aptos</t>
        </is>
      </c>
      <c r="H1280" s="145" t="n">
        <v>8</v>
      </c>
      <c r="I1280" s="145" t="inlineStr">
        <is>
          <t>No</t>
        </is>
      </c>
      <c r="J1280" s="145" t="inlineStr">
        <is>
          <t>No</t>
        </is>
      </c>
      <c r="K1280" s="145" t="inlineStr">
        <is>
          <t>None</t>
        </is>
      </c>
      <c r="L1280" s="145" t="inlineStr">
        <is>
          <t>#000000</t>
        </is>
      </c>
      <c r="M1280" s="145" t="inlineStr">
        <is>
          <t>General</t>
        </is>
      </c>
      <c r="N1280" s="145" t="inlineStr">
        <is>
          <t>Center</t>
        </is>
      </c>
      <c r="O1280" s="145" t="inlineStr">
        <is>
          <t>No</t>
        </is>
      </c>
      <c r="P1280" s="145" t="inlineStr">
        <is>
          <t>General</t>
        </is>
      </c>
      <c r="Q1280" s="145" t="inlineStr">
        <is>
          <t>General</t>
        </is>
      </c>
      <c r="R1280" s="145" t="n"/>
      <c r="S1280" s="145" t="n"/>
      <c r="T1280" s="145" t="n"/>
      <c r="U1280" s="145" t="n"/>
      <c r="V1280" s="145" t="n"/>
      <c r="W1280" s="145" t="n"/>
      <c r="X1280" s="145" t="inlineStr">
        <is>
          <t>Detailed format sample from top five used rows</t>
        </is>
      </c>
    </row>
    <row r="1281" ht="23.85" customHeight="1" s="79">
      <c r="A1281" s="145" t="inlineStr">
        <is>
          <t>PPO_DATA</t>
        </is>
      </c>
      <c r="B1281" s="145" t="inlineStr">
        <is>
          <t>Top-Row Cell Format</t>
        </is>
      </c>
      <c r="C1281" s="145" t="inlineStr">
        <is>
          <t>AC5</t>
        </is>
      </c>
      <c r="D1281" s="145" t="inlineStr">
        <is>
          <t>PPO_DATA!A1:AM3957</t>
        </is>
      </c>
      <c r="E1281" s="145" t="inlineStr">
        <is>
          <t>Normal</t>
        </is>
      </c>
      <c r="F1281" s="145" t="n"/>
      <c r="G1281" s="145" t="inlineStr">
        <is>
          <t>Aptos</t>
        </is>
      </c>
      <c r="H1281" s="145" t="n">
        <v>8</v>
      </c>
      <c r="I1281" s="145" t="inlineStr">
        <is>
          <t>No</t>
        </is>
      </c>
      <c r="J1281" s="145" t="inlineStr">
        <is>
          <t>No</t>
        </is>
      </c>
      <c r="K1281" s="145" t="inlineStr">
        <is>
          <t>None</t>
        </is>
      </c>
      <c r="L1281" s="145" t="inlineStr">
        <is>
          <t>#000000</t>
        </is>
      </c>
      <c r="M1281" s="145" t="inlineStr">
        <is>
          <t>General</t>
        </is>
      </c>
      <c r="N1281" s="145" t="inlineStr">
        <is>
          <t>Center</t>
        </is>
      </c>
      <c r="O1281" s="145" t="inlineStr">
        <is>
          <t>No</t>
        </is>
      </c>
      <c r="P1281" s="145" t="inlineStr">
        <is>
          <t>General</t>
        </is>
      </c>
      <c r="Q1281" s="145" t="inlineStr">
        <is>
          <t>General</t>
        </is>
      </c>
      <c r="R1281" s="145" t="n"/>
      <c r="S1281" s="145" t="n"/>
      <c r="T1281" s="145" t="n"/>
      <c r="U1281" s="145" t="n"/>
      <c r="V1281" s="145" t="n"/>
      <c r="W1281" s="145" t="n"/>
      <c r="X1281" s="145" t="inlineStr">
        <is>
          <t>Detailed format sample from top five used rows</t>
        </is>
      </c>
    </row>
    <row r="1282" ht="23.85" customHeight="1" s="79">
      <c r="A1282" s="145" t="inlineStr">
        <is>
          <t>PPO_DATA</t>
        </is>
      </c>
      <c r="B1282" s="145" t="inlineStr">
        <is>
          <t>Column Format</t>
        </is>
      </c>
      <c r="C1282" s="145" t="inlineStr">
        <is>
          <t>AD:AD</t>
        </is>
      </c>
      <c r="D1282" s="145" t="inlineStr">
        <is>
          <t>PPO_DATA!A1:AM3957</t>
        </is>
      </c>
      <c r="E1282" s="145" t="inlineStr">
        <is>
          <t>Normal</t>
        </is>
      </c>
      <c r="F1282" s="145" t="inlineStr">
        <is>
          <t>Mixed</t>
        </is>
      </c>
      <c r="G1282" s="145" t="inlineStr">
        <is>
          <t>Aptos</t>
        </is>
      </c>
      <c r="H1282" s="145" t="n">
        <v>8</v>
      </c>
      <c r="I1282" s="145" t="inlineStr">
        <is>
          <t>Mixed</t>
        </is>
      </c>
      <c r="J1282" s="145" t="inlineStr">
        <is>
          <t>No</t>
        </is>
      </c>
      <c r="K1282" s="145" t="inlineStr">
        <is>
          <t>None</t>
        </is>
      </c>
      <c r="L1282" s="145" t="inlineStr">
        <is>
          <t>Mixed</t>
        </is>
      </c>
      <c r="M1282" s="145" t="inlineStr">
        <is>
          <t>General</t>
        </is>
      </c>
      <c r="N1282" s="145" t="inlineStr">
        <is>
          <t>Center</t>
        </is>
      </c>
      <c r="O1282" s="145" t="inlineStr">
        <is>
          <t>No</t>
        </is>
      </c>
      <c r="P1282" s="145" t="n"/>
      <c r="Q1282" s="145" t="n"/>
      <c r="R1282" s="145" t="n"/>
      <c r="S1282" s="145" t="n">
        <v>55.3432835820896</v>
      </c>
      <c r="T1282" s="145" t="n"/>
      <c r="U1282" s="145" t="inlineStr">
        <is>
          <t>No</t>
        </is>
      </c>
      <c r="V1282" s="145" t="inlineStr">
        <is>
          <t>Visible</t>
        </is>
      </c>
      <c r="W1282" s="145" t="n"/>
      <c r="X1282" s="145" t="inlineStr">
        <is>
          <t>Mixed styles within used column</t>
        </is>
      </c>
    </row>
    <row r="1283" ht="23.85" customHeight="1" s="79">
      <c r="A1283" s="145" t="inlineStr">
        <is>
          <t>PPO_DATA</t>
        </is>
      </c>
      <c r="B1283" s="145" t="inlineStr">
        <is>
          <t>Top-Row Cell Format</t>
        </is>
      </c>
      <c r="C1283" s="145" t="inlineStr">
        <is>
          <t>AD1</t>
        </is>
      </c>
      <c r="D1283" s="145" t="inlineStr">
        <is>
          <t>PPO_DATA!A1:AM3957</t>
        </is>
      </c>
      <c r="E1283" s="145" t="inlineStr">
        <is>
          <t>Normal</t>
        </is>
      </c>
      <c r="F1283" s="145" t="inlineStr">
        <is>
          <t>#2F75B5</t>
        </is>
      </c>
      <c r="G1283" s="145" t="inlineStr">
        <is>
          <t>Aptos</t>
        </is>
      </c>
      <c r="H1283" s="145" t="n">
        <v>8</v>
      </c>
      <c r="I1283" s="145" t="inlineStr">
        <is>
          <t>Yes</t>
        </is>
      </c>
      <c r="J1283" s="145" t="inlineStr">
        <is>
          <t>No</t>
        </is>
      </c>
      <c r="K1283" s="145" t="inlineStr">
        <is>
          <t>None</t>
        </is>
      </c>
      <c r="L1283" s="145" t="inlineStr">
        <is>
          <t>#FFFF00</t>
        </is>
      </c>
      <c r="M1283" s="145" t="inlineStr">
        <is>
          <t>General</t>
        </is>
      </c>
      <c r="N1283" s="145" t="inlineStr">
        <is>
          <t>Center</t>
        </is>
      </c>
      <c r="O1283" s="145" t="inlineStr">
        <is>
          <t>No</t>
        </is>
      </c>
      <c r="P1283" s="145" t="inlineStr">
        <is>
          <t>General</t>
        </is>
      </c>
      <c r="Q1283" s="145" t="inlineStr">
        <is>
          <t>General</t>
        </is>
      </c>
      <c r="R1283" s="145" t="n"/>
      <c r="S1283" s="145" t="n"/>
      <c r="T1283" s="145" t="n"/>
      <c r="U1283" s="145" t="n"/>
      <c r="V1283" s="145" t="n"/>
      <c r="W1283" s="145" t="n"/>
      <c r="X1283" s="145" t="inlineStr">
        <is>
          <t>Detailed format sample from top five used rows</t>
        </is>
      </c>
    </row>
    <row r="1284" ht="23.85" customHeight="1" s="79">
      <c r="A1284" s="145" t="inlineStr">
        <is>
          <t>PPO_DATA</t>
        </is>
      </c>
      <c r="B1284" s="145" t="inlineStr">
        <is>
          <t>Top-Row Cell Format</t>
        </is>
      </c>
      <c r="C1284" s="145" t="inlineStr">
        <is>
          <t>AD2</t>
        </is>
      </c>
      <c r="D1284" s="145" t="inlineStr">
        <is>
          <t>PPO_DATA!A1:AM3957</t>
        </is>
      </c>
      <c r="E1284" s="145" t="inlineStr">
        <is>
          <t>Normal</t>
        </is>
      </c>
      <c r="F1284" s="145" t="n"/>
      <c r="G1284" s="145" t="inlineStr">
        <is>
          <t>Aptos</t>
        </is>
      </c>
      <c r="H1284" s="145" t="n">
        <v>8</v>
      </c>
      <c r="I1284" s="145" t="inlineStr">
        <is>
          <t>No</t>
        </is>
      </c>
      <c r="J1284" s="145" t="inlineStr">
        <is>
          <t>No</t>
        </is>
      </c>
      <c r="K1284" s="145" t="inlineStr">
        <is>
          <t>None</t>
        </is>
      </c>
      <c r="L1284" s="145" t="inlineStr">
        <is>
          <t>#000000</t>
        </is>
      </c>
      <c r="M1284" s="145" t="inlineStr">
        <is>
          <t>General</t>
        </is>
      </c>
      <c r="N1284" s="145" t="inlineStr">
        <is>
          <t>Center</t>
        </is>
      </c>
      <c r="O1284" s="145" t="inlineStr">
        <is>
          <t>No</t>
        </is>
      </c>
      <c r="P1284" s="145" t="inlineStr">
        <is>
          <t>General</t>
        </is>
      </c>
      <c r="Q1284" s="145" t="inlineStr">
        <is>
          <t>General</t>
        </is>
      </c>
      <c r="R1284" s="145" t="n"/>
      <c r="S1284" s="145" t="n"/>
      <c r="T1284" s="145" t="n"/>
      <c r="U1284" s="145" t="n"/>
      <c r="V1284" s="145" t="n"/>
      <c r="W1284" s="145" t="n"/>
      <c r="X1284" s="145" t="inlineStr">
        <is>
          <t>Detailed format sample from top five used rows</t>
        </is>
      </c>
    </row>
    <row r="1285" ht="23.85" customHeight="1" s="79">
      <c r="A1285" s="145" t="inlineStr">
        <is>
          <t>PPO_DATA</t>
        </is>
      </c>
      <c r="B1285" s="145" t="inlineStr">
        <is>
          <t>Top-Row Cell Format</t>
        </is>
      </c>
      <c r="C1285" s="145" t="inlineStr">
        <is>
          <t>AD3</t>
        </is>
      </c>
      <c r="D1285" s="145" t="inlineStr">
        <is>
          <t>PPO_DATA!A1:AM3957</t>
        </is>
      </c>
      <c r="E1285" s="145" t="inlineStr">
        <is>
          <t>Normal</t>
        </is>
      </c>
      <c r="F1285" s="145" t="n"/>
      <c r="G1285" s="145" t="inlineStr">
        <is>
          <t>Aptos</t>
        </is>
      </c>
      <c r="H1285" s="145" t="n">
        <v>8</v>
      </c>
      <c r="I1285" s="145" t="inlineStr">
        <is>
          <t>No</t>
        </is>
      </c>
      <c r="J1285" s="145" t="inlineStr">
        <is>
          <t>No</t>
        </is>
      </c>
      <c r="K1285" s="145" t="inlineStr">
        <is>
          <t>None</t>
        </is>
      </c>
      <c r="L1285" s="145" t="inlineStr">
        <is>
          <t>#000000</t>
        </is>
      </c>
      <c r="M1285" s="145" t="inlineStr">
        <is>
          <t>General</t>
        </is>
      </c>
      <c r="N1285" s="145" t="inlineStr">
        <is>
          <t>Center</t>
        </is>
      </c>
      <c r="O1285" s="145" t="inlineStr">
        <is>
          <t>No</t>
        </is>
      </c>
      <c r="P1285" s="145" t="inlineStr">
        <is>
          <t>General</t>
        </is>
      </c>
      <c r="Q1285" s="145" t="inlineStr">
        <is>
          <t>General</t>
        </is>
      </c>
      <c r="R1285" s="145" t="n"/>
      <c r="S1285" s="145" t="n"/>
      <c r="T1285" s="145" t="n"/>
      <c r="U1285" s="145" t="n"/>
      <c r="V1285" s="145" t="n"/>
      <c r="W1285" s="145" t="n"/>
      <c r="X1285" s="145" t="inlineStr">
        <is>
          <t>Detailed format sample from top five used rows</t>
        </is>
      </c>
    </row>
    <row r="1286" ht="23.85" customHeight="1" s="79">
      <c r="A1286" s="145" t="inlineStr">
        <is>
          <t>PPO_DATA</t>
        </is>
      </c>
      <c r="B1286" s="145" t="inlineStr">
        <is>
          <t>Top-Row Cell Format</t>
        </is>
      </c>
      <c r="C1286" s="145" t="inlineStr">
        <is>
          <t>AD4</t>
        </is>
      </c>
      <c r="D1286" s="145" t="inlineStr">
        <is>
          <t>PPO_DATA!A1:AM3957</t>
        </is>
      </c>
      <c r="E1286" s="145" t="inlineStr">
        <is>
          <t>Normal</t>
        </is>
      </c>
      <c r="F1286" s="145" t="n"/>
      <c r="G1286" s="145" t="inlineStr">
        <is>
          <t>Aptos</t>
        </is>
      </c>
      <c r="H1286" s="145" t="n">
        <v>8</v>
      </c>
      <c r="I1286" s="145" t="inlineStr">
        <is>
          <t>No</t>
        </is>
      </c>
      <c r="J1286" s="145" t="inlineStr">
        <is>
          <t>No</t>
        </is>
      </c>
      <c r="K1286" s="145" t="inlineStr">
        <is>
          <t>None</t>
        </is>
      </c>
      <c r="L1286" s="145" t="inlineStr">
        <is>
          <t>#000000</t>
        </is>
      </c>
      <c r="M1286" s="145" t="inlineStr">
        <is>
          <t>General</t>
        </is>
      </c>
      <c r="N1286" s="145" t="inlineStr">
        <is>
          <t>Center</t>
        </is>
      </c>
      <c r="O1286" s="145" t="inlineStr">
        <is>
          <t>No</t>
        </is>
      </c>
      <c r="P1286" s="145" t="inlineStr">
        <is>
          <t>General</t>
        </is>
      </c>
      <c r="Q1286" s="145" t="inlineStr">
        <is>
          <t>General</t>
        </is>
      </c>
      <c r="R1286" s="145" t="n"/>
      <c r="S1286" s="145" t="n"/>
      <c r="T1286" s="145" t="n"/>
      <c r="U1286" s="145" t="n"/>
      <c r="V1286" s="145" t="n"/>
      <c r="W1286" s="145" t="n"/>
      <c r="X1286" s="145" t="inlineStr">
        <is>
          <t>Detailed format sample from top five used rows</t>
        </is>
      </c>
    </row>
    <row r="1287" ht="23.85" customHeight="1" s="79">
      <c r="A1287" s="145" t="inlineStr">
        <is>
          <t>PPO_DATA</t>
        </is>
      </c>
      <c r="B1287" s="145" t="inlineStr">
        <is>
          <t>Top-Row Cell Format</t>
        </is>
      </c>
      <c r="C1287" s="145" t="inlineStr">
        <is>
          <t>AD5</t>
        </is>
      </c>
      <c r="D1287" s="145" t="inlineStr">
        <is>
          <t>PPO_DATA!A1:AM3957</t>
        </is>
      </c>
      <c r="E1287" s="145" t="inlineStr">
        <is>
          <t>Normal</t>
        </is>
      </c>
      <c r="F1287" s="145" t="n"/>
      <c r="G1287" s="145" t="inlineStr">
        <is>
          <t>Aptos</t>
        </is>
      </c>
      <c r="H1287" s="145" t="n">
        <v>8</v>
      </c>
      <c r="I1287" s="145" t="inlineStr">
        <is>
          <t>No</t>
        </is>
      </c>
      <c r="J1287" s="145" t="inlineStr">
        <is>
          <t>No</t>
        </is>
      </c>
      <c r="K1287" s="145" t="inlineStr">
        <is>
          <t>None</t>
        </is>
      </c>
      <c r="L1287" s="145" t="inlineStr">
        <is>
          <t>#000000</t>
        </is>
      </c>
      <c r="M1287" s="145" t="inlineStr">
        <is>
          <t>General</t>
        </is>
      </c>
      <c r="N1287" s="145" t="inlineStr">
        <is>
          <t>Center</t>
        </is>
      </c>
      <c r="O1287" s="145" t="inlineStr">
        <is>
          <t>No</t>
        </is>
      </c>
      <c r="P1287" s="145" t="inlineStr">
        <is>
          <t>General</t>
        </is>
      </c>
      <c r="Q1287" s="145" t="inlineStr">
        <is>
          <t>General</t>
        </is>
      </c>
      <c r="R1287" s="145" t="n"/>
      <c r="S1287" s="145" t="n"/>
      <c r="T1287" s="145" t="n"/>
      <c r="U1287" s="145" t="n"/>
      <c r="V1287" s="145" t="n"/>
      <c r="W1287" s="145" t="n"/>
      <c r="X1287" s="145" t="inlineStr">
        <is>
          <t>Detailed format sample from top five used rows</t>
        </is>
      </c>
    </row>
    <row r="1288" ht="23.85" customHeight="1" s="79">
      <c r="A1288" s="145" t="inlineStr">
        <is>
          <t>PPO_DATA</t>
        </is>
      </c>
      <c r="B1288" s="145" t="inlineStr">
        <is>
          <t>Column Format</t>
        </is>
      </c>
      <c r="C1288" s="145" t="inlineStr">
        <is>
          <t>AE:AE</t>
        </is>
      </c>
      <c r="D1288" s="145" t="inlineStr">
        <is>
          <t>PPO_DATA!A1:AM3957</t>
        </is>
      </c>
      <c r="E1288" s="145" t="inlineStr">
        <is>
          <t>Normal</t>
        </is>
      </c>
      <c r="F1288" s="145" t="inlineStr">
        <is>
          <t>Mixed</t>
        </is>
      </c>
      <c r="G1288" s="145" t="inlineStr">
        <is>
          <t>Aptos</t>
        </is>
      </c>
      <c r="H1288" s="145" t="n">
        <v>8</v>
      </c>
      <c r="I1288" s="145" t="inlineStr">
        <is>
          <t>Mixed</t>
        </is>
      </c>
      <c r="J1288" s="145" t="inlineStr">
        <is>
          <t>No</t>
        </is>
      </c>
      <c r="K1288" s="145" t="inlineStr">
        <is>
          <t>None</t>
        </is>
      </c>
      <c r="L1288" s="145" t="inlineStr">
        <is>
          <t>Mixed</t>
        </is>
      </c>
      <c r="M1288" s="145" t="inlineStr">
        <is>
          <t>General</t>
        </is>
      </c>
      <c r="N1288" s="145" t="inlineStr">
        <is>
          <t>Center</t>
        </is>
      </c>
      <c r="O1288" s="145" t="inlineStr">
        <is>
          <t>No</t>
        </is>
      </c>
      <c r="P1288" s="145" t="n"/>
      <c r="Q1288" s="145" t="n"/>
      <c r="R1288" s="145" t="n"/>
      <c r="S1288" s="145" t="n">
        <v>52.6567164179104</v>
      </c>
      <c r="T1288" s="145" t="n"/>
      <c r="U1288" s="145" t="inlineStr">
        <is>
          <t>No</t>
        </is>
      </c>
      <c r="V1288" s="145" t="inlineStr">
        <is>
          <t>Visible</t>
        </is>
      </c>
      <c r="W1288" s="145" t="n"/>
      <c r="X1288" s="145" t="inlineStr">
        <is>
          <t>Mixed styles within used column</t>
        </is>
      </c>
    </row>
    <row r="1289" ht="23.85" customHeight="1" s="79">
      <c r="A1289" s="145" t="inlineStr">
        <is>
          <t>PPO_DATA</t>
        </is>
      </c>
      <c r="B1289" s="145" t="inlineStr">
        <is>
          <t>Top-Row Cell Format</t>
        </is>
      </c>
      <c r="C1289" s="145" t="inlineStr">
        <is>
          <t>AE1</t>
        </is>
      </c>
      <c r="D1289" s="145" t="inlineStr">
        <is>
          <t>PPO_DATA!A1:AM3957</t>
        </is>
      </c>
      <c r="E1289" s="145" t="inlineStr">
        <is>
          <t>Normal</t>
        </is>
      </c>
      <c r="F1289" s="145" t="inlineStr">
        <is>
          <t>#2F75B5</t>
        </is>
      </c>
      <c r="G1289" s="145" t="inlineStr">
        <is>
          <t>Aptos</t>
        </is>
      </c>
      <c r="H1289" s="145" t="n">
        <v>8</v>
      </c>
      <c r="I1289" s="145" t="inlineStr">
        <is>
          <t>Yes</t>
        </is>
      </c>
      <c r="J1289" s="145" t="inlineStr">
        <is>
          <t>No</t>
        </is>
      </c>
      <c r="K1289" s="145" t="inlineStr">
        <is>
          <t>None</t>
        </is>
      </c>
      <c r="L1289" s="145" t="inlineStr">
        <is>
          <t>#FFFF00</t>
        </is>
      </c>
      <c r="M1289" s="145" t="inlineStr">
        <is>
          <t>General</t>
        </is>
      </c>
      <c r="N1289" s="145" t="inlineStr">
        <is>
          <t>Center</t>
        </is>
      </c>
      <c r="O1289" s="145" t="inlineStr">
        <is>
          <t>No</t>
        </is>
      </c>
      <c r="P1289" s="145" t="inlineStr">
        <is>
          <t>General</t>
        </is>
      </c>
      <c r="Q1289" s="145" t="inlineStr">
        <is>
          <t>General</t>
        </is>
      </c>
      <c r="R1289" s="145" t="n"/>
      <c r="S1289" s="145" t="n"/>
      <c r="T1289" s="145" t="n"/>
      <c r="U1289" s="145" t="n"/>
      <c r="V1289" s="145" t="n"/>
      <c r="W1289" s="145" t="n"/>
      <c r="X1289" s="145" t="inlineStr">
        <is>
          <t>Detailed format sample from top five used rows</t>
        </is>
      </c>
    </row>
    <row r="1290" ht="23.85" customHeight="1" s="79">
      <c r="A1290" s="145" t="inlineStr">
        <is>
          <t>PPO_DATA</t>
        </is>
      </c>
      <c r="B1290" s="145" t="inlineStr">
        <is>
          <t>Top-Row Cell Format</t>
        </is>
      </c>
      <c r="C1290" s="145" t="inlineStr">
        <is>
          <t>AE2</t>
        </is>
      </c>
      <c r="D1290" s="145" t="inlineStr">
        <is>
          <t>PPO_DATA!A1:AM3957</t>
        </is>
      </c>
      <c r="E1290" s="145" t="inlineStr">
        <is>
          <t>Normal</t>
        </is>
      </c>
      <c r="F1290" s="145" t="n"/>
      <c r="G1290" s="145" t="inlineStr">
        <is>
          <t>Aptos</t>
        </is>
      </c>
      <c r="H1290" s="145" t="n">
        <v>8</v>
      </c>
      <c r="I1290" s="145" t="inlineStr">
        <is>
          <t>No</t>
        </is>
      </c>
      <c r="J1290" s="145" t="inlineStr">
        <is>
          <t>No</t>
        </is>
      </c>
      <c r="K1290" s="145" t="inlineStr">
        <is>
          <t>None</t>
        </is>
      </c>
      <c r="L1290" s="145" t="inlineStr">
        <is>
          <t>#000000</t>
        </is>
      </c>
      <c r="M1290" s="145" t="inlineStr">
        <is>
          <t>General</t>
        </is>
      </c>
      <c r="N1290" s="145" t="inlineStr">
        <is>
          <t>Center</t>
        </is>
      </c>
      <c r="O1290" s="145" t="inlineStr">
        <is>
          <t>No</t>
        </is>
      </c>
      <c r="P1290" s="145" t="inlineStr">
        <is>
          <t>General</t>
        </is>
      </c>
      <c r="Q1290" s="145" t="inlineStr">
        <is>
          <t>General</t>
        </is>
      </c>
      <c r="R1290" s="145" t="n"/>
      <c r="S1290" s="145" t="n"/>
      <c r="T1290" s="145" t="n"/>
      <c r="U1290" s="145" t="n"/>
      <c r="V1290" s="145" t="n"/>
      <c r="W1290" s="145" t="n"/>
      <c r="X1290" s="145" t="inlineStr">
        <is>
          <t>Detailed format sample from top five used rows</t>
        </is>
      </c>
    </row>
    <row r="1291" ht="23.85" customHeight="1" s="79">
      <c r="A1291" s="145" t="inlineStr">
        <is>
          <t>PPO_DATA</t>
        </is>
      </c>
      <c r="B1291" s="145" t="inlineStr">
        <is>
          <t>Top-Row Cell Format</t>
        </is>
      </c>
      <c r="C1291" s="145" t="inlineStr">
        <is>
          <t>AE3</t>
        </is>
      </c>
      <c r="D1291" s="145" t="inlineStr">
        <is>
          <t>PPO_DATA!A1:AM3957</t>
        </is>
      </c>
      <c r="E1291" s="145" t="inlineStr">
        <is>
          <t>Normal</t>
        </is>
      </c>
      <c r="F1291" s="145" t="n"/>
      <c r="G1291" s="145" t="inlineStr">
        <is>
          <t>Aptos</t>
        </is>
      </c>
      <c r="H1291" s="145" t="n">
        <v>8</v>
      </c>
      <c r="I1291" s="145" t="inlineStr">
        <is>
          <t>No</t>
        </is>
      </c>
      <c r="J1291" s="145" t="inlineStr">
        <is>
          <t>No</t>
        </is>
      </c>
      <c r="K1291" s="145" t="inlineStr">
        <is>
          <t>None</t>
        </is>
      </c>
      <c r="L1291" s="145" t="inlineStr">
        <is>
          <t>#000000</t>
        </is>
      </c>
      <c r="M1291" s="145" t="inlineStr">
        <is>
          <t>General</t>
        </is>
      </c>
      <c r="N1291" s="145" t="inlineStr">
        <is>
          <t>Center</t>
        </is>
      </c>
      <c r="O1291" s="145" t="inlineStr">
        <is>
          <t>No</t>
        </is>
      </c>
      <c r="P1291" s="145" t="inlineStr">
        <is>
          <t>General</t>
        </is>
      </c>
      <c r="Q1291" s="145" t="inlineStr">
        <is>
          <t>General</t>
        </is>
      </c>
      <c r="R1291" s="145" t="n"/>
      <c r="S1291" s="145" t="n"/>
      <c r="T1291" s="145" t="n"/>
      <c r="U1291" s="145" t="n"/>
      <c r="V1291" s="145" t="n"/>
      <c r="W1291" s="145" t="n"/>
      <c r="X1291" s="145" t="inlineStr">
        <is>
          <t>Detailed format sample from top five used rows</t>
        </is>
      </c>
    </row>
    <row r="1292" ht="23.85" customHeight="1" s="79">
      <c r="A1292" s="145" t="inlineStr">
        <is>
          <t>PPO_DATA</t>
        </is>
      </c>
      <c r="B1292" s="145" t="inlineStr">
        <is>
          <t>Top-Row Cell Format</t>
        </is>
      </c>
      <c r="C1292" s="145" t="inlineStr">
        <is>
          <t>AE4</t>
        </is>
      </c>
      <c r="D1292" s="145" t="inlineStr">
        <is>
          <t>PPO_DATA!A1:AM3957</t>
        </is>
      </c>
      <c r="E1292" s="145" t="inlineStr">
        <is>
          <t>Normal</t>
        </is>
      </c>
      <c r="F1292" s="145" t="n"/>
      <c r="G1292" s="145" t="inlineStr">
        <is>
          <t>Aptos</t>
        </is>
      </c>
      <c r="H1292" s="145" t="n">
        <v>8</v>
      </c>
      <c r="I1292" s="145" t="inlineStr">
        <is>
          <t>No</t>
        </is>
      </c>
      <c r="J1292" s="145" t="inlineStr">
        <is>
          <t>No</t>
        </is>
      </c>
      <c r="K1292" s="145" t="inlineStr">
        <is>
          <t>None</t>
        </is>
      </c>
      <c r="L1292" s="145" t="inlineStr">
        <is>
          <t>#000000</t>
        </is>
      </c>
      <c r="M1292" s="145" t="inlineStr">
        <is>
          <t>General</t>
        </is>
      </c>
      <c r="N1292" s="145" t="inlineStr">
        <is>
          <t>Center</t>
        </is>
      </c>
      <c r="O1292" s="145" t="inlineStr">
        <is>
          <t>No</t>
        </is>
      </c>
      <c r="P1292" s="145" t="inlineStr">
        <is>
          <t>General</t>
        </is>
      </c>
      <c r="Q1292" s="145" t="inlineStr">
        <is>
          <t>General</t>
        </is>
      </c>
      <c r="R1292" s="145" t="n"/>
      <c r="S1292" s="145" t="n"/>
      <c r="T1292" s="145" t="n"/>
      <c r="U1292" s="145" t="n"/>
      <c r="V1292" s="145" t="n"/>
      <c r="W1292" s="145" t="n"/>
      <c r="X1292" s="145" t="inlineStr">
        <is>
          <t>Detailed format sample from top five used rows</t>
        </is>
      </c>
    </row>
    <row r="1293" ht="23.85" customHeight="1" s="79">
      <c r="A1293" s="145" t="inlineStr">
        <is>
          <t>PPO_DATA</t>
        </is>
      </c>
      <c r="B1293" s="145" t="inlineStr">
        <is>
          <t>Top-Row Cell Format</t>
        </is>
      </c>
      <c r="C1293" s="145" t="inlineStr">
        <is>
          <t>AE5</t>
        </is>
      </c>
      <c r="D1293" s="145" t="inlineStr">
        <is>
          <t>PPO_DATA!A1:AM3957</t>
        </is>
      </c>
      <c r="E1293" s="145" t="inlineStr">
        <is>
          <t>Normal</t>
        </is>
      </c>
      <c r="F1293" s="145" t="n"/>
      <c r="G1293" s="145" t="inlineStr">
        <is>
          <t>Aptos</t>
        </is>
      </c>
      <c r="H1293" s="145" t="n">
        <v>8</v>
      </c>
      <c r="I1293" s="145" t="inlineStr">
        <is>
          <t>No</t>
        </is>
      </c>
      <c r="J1293" s="145" t="inlineStr">
        <is>
          <t>No</t>
        </is>
      </c>
      <c r="K1293" s="145" t="inlineStr">
        <is>
          <t>None</t>
        </is>
      </c>
      <c r="L1293" s="145" t="inlineStr">
        <is>
          <t>#000000</t>
        </is>
      </c>
      <c r="M1293" s="145" t="inlineStr">
        <is>
          <t>General</t>
        </is>
      </c>
      <c r="N1293" s="145" t="inlineStr">
        <is>
          <t>Center</t>
        </is>
      </c>
      <c r="O1293" s="145" t="inlineStr">
        <is>
          <t>No</t>
        </is>
      </c>
      <c r="P1293" s="145" t="inlineStr">
        <is>
          <t>General</t>
        </is>
      </c>
      <c r="Q1293" s="145" t="inlineStr">
        <is>
          <t>General</t>
        </is>
      </c>
      <c r="R1293" s="145" t="n"/>
      <c r="S1293" s="145" t="n"/>
      <c r="T1293" s="145" t="n"/>
      <c r="U1293" s="145" t="n"/>
      <c r="V1293" s="145" t="n"/>
      <c r="W1293" s="145" t="n"/>
      <c r="X1293" s="145" t="inlineStr">
        <is>
          <t>Detailed format sample from top five used rows</t>
        </is>
      </c>
    </row>
    <row r="1294" ht="23.85" customHeight="1" s="79">
      <c r="A1294" s="145" t="inlineStr">
        <is>
          <t>PPO_DATA</t>
        </is>
      </c>
      <c r="B1294" s="145" t="inlineStr">
        <is>
          <t>Column Format</t>
        </is>
      </c>
      <c r="C1294" s="145" t="inlineStr">
        <is>
          <t>AF:AF</t>
        </is>
      </c>
      <c r="D1294" s="145" t="inlineStr">
        <is>
          <t>PPO_DATA!A1:AM3957</t>
        </is>
      </c>
      <c r="E1294" s="145" t="inlineStr">
        <is>
          <t>Normal</t>
        </is>
      </c>
      <c r="F1294" s="145" t="inlineStr">
        <is>
          <t>Mixed</t>
        </is>
      </c>
      <c r="G1294" s="145" t="inlineStr">
        <is>
          <t>Aptos</t>
        </is>
      </c>
      <c r="H1294" s="145" t="n">
        <v>8</v>
      </c>
      <c r="I1294" s="145" t="inlineStr">
        <is>
          <t>Mixed</t>
        </is>
      </c>
      <c r="J1294" s="145" t="inlineStr">
        <is>
          <t>No</t>
        </is>
      </c>
      <c r="K1294" s="145" t="inlineStr">
        <is>
          <t>None</t>
        </is>
      </c>
      <c r="L1294" s="145" t="inlineStr">
        <is>
          <t>Mixed</t>
        </is>
      </c>
      <c r="M1294" s="145" t="inlineStr">
        <is>
          <t>General</t>
        </is>
      </c>
      <c r="N1294" s="145" t="inlineStr">
        <is>
          <t>Center</t>
        </is>
      </c>
      <c r="O1294" s="145" t="inlineStr">
        <is>
          <t>No</t>
        </is>
      </c>
      <c r="P1294" s="145" t="n"/>
      <c r="Q1294" s="145" t="n"/>
      <c r="R1294" s="145" t="n"/>
      <c r="S1294" s="145" t="n">
        <v>25.7910447761194</v>
      </c>
      <c r="T1294" s="145" t="n"/>
      <c r="U1294" s="145" t="inlineStr">
        <is>
          <t>No</t>
        </is>
      </c>
      <c r="V1294" s="145" t="inlineStr">
        <is>
          <t>Visible</t>
        </is>
      </c>
      <c r="W1294" s="145" t="n"/>
      <c r="X1294" s="145" t="inlineStr">
        <is>
          <t>Mixed styles within used column</t>
        </is>
      </c>
    </row>
    <row r="1295" ht="23.85" customHeight="1" s="79">
      <c r="A1295" s="145" t="inlineStr">
        <is>
          <t>PPO_DATA</t>
        </is>
      </c>
      <c r="B1295" s="145" t="inlineStr">
        <is>
          <t>Top-Row Cell Format</t>
        </is>
      </c>
      <c r="C1295" s="145" t="inlineStr">
        <is>
          <t>AF1</t>
        </is>
      </c>
      <c r="D1295" s="145" t="inlineStr">
        <is>
          <t>PPO_DATA!A1:AM3957</t>
        </is>
      </c>
      <c r="E1295" s="145" t="inlineStr">
        <is>
          <t>Normal</t>
        </is>
      </c>
      <c r="F1295" s="145" t="inlineStr">
        <is>
          <t>#2F75B5</t>
        </is>
      </c>
      <c r="G1295" s="145" t="inlineStr">
        <is>
          <t>Aptos</t>
        </is>
      </c>
      <c r="H1295" s="145" t="n">
        <v>8</v>
      </c>
      <c r="I1295" s="145" t="inlineStr">
        <is>
          <t>Yes</t>
        </is>
      </c>
      <c r="J1295" s="145" t="inlineStr">
        <is>
          <t>No</t>
        </is>
      </c>
      <c r="K1295" s="145" t="inlineStr">
        <is>
          <t>None</t>
        </is>
      </c>
      <c r="L1295" s="145" t="inlineStr">
        <is>
          <t>#FFFF00</t>
        </is>
      </c>
      <c r="M1295" s="145" t="inlineStr">
        <is>
          <t>General</t>
        </is>
      </c>
      <c r="N1295" s="145" t="inlineStr">
        <is>
          <t>Center</t>
        </is>
      </c>
      <c r="O1295" s="145" t="inlineStr">
        <is>
          <t>No</t>
        </is>
      </c>
      <c r="P1295" s="145" t="inlineStr">
        <is>
          <t>General</t>
        </is>
      </c>
      <c r="Q1295" s="145" t="inlineStr">
        <is>
          <t>General</t>
        </is>
      </c>
      <c r="R1295" s="145" t="n"/>
      <c r="S1295" s="145" t="n"/>
      <c r="T1295" s="145" t="n"/>
      <c r="U1295" s="145" t="n"/>
      <c r="V1295" s="145" t="n"/>
      <c r="W1295" s="145" t="n"/>
      <c r="X1295" s="145" t="inlineStr">
        <is>
          <t>Detailed format sample from top five used rows</t>
        </is>
      </c>
    </row>
    <row r="1296" ht="23.85" customHeight="1" s="79">
      <c r="A1296" s="145" t="inlineStr">
        <is>
          <t>PPO_DATA</t>
        </is>
      </c>
      <c r="B1296" s="145" t="inlineStr">
        <is>
          <t>Top-Row Cell Format</t>
        </is>
      </c>
      <c r="C1296" s="145" t="inlineStr">
        <is>
          <t>AF2</t>
        </is>
      </c>
      <c r="D1296" s="145" t="inlineStr">
        <is>
          <t>PPO_DATA!A1:AM3957</t>
        </is>
      </c>
      <c r="E1296" s="145" t="inlineStr">
        <is>
          <t>Normal</t>
        </is>
      </c>
      <c r="F1296" s="145" t="n"/>
      <c r="G1296" s="145" t="inlineStr">
        <is>
          <t>Aptos</t>
        </is>
      </c>
      <c r="H1296" s="145" t="n">
        <v>8</v>
      </c>
      <c r="I1296" s="145" t="inlineStr">
        <is>
          <t>No</t>
        </is>
      </c>
      <c r="J1296" s="145" t="inlineStr">
        <is>
          <t>No</t>
        </is>
      </c>
      <c r="K1296" s="145" t="inlineStr">
        <is>
          <t>None</t>
        </is>
      </c>
      <c r="L1296" s="145" t="inlineStr">
        <is>
          <t>#000000</t>
        </is>
      </c>
      <c r="M1296" s="145" t="inlineStr">
        <is>
          <t>General</t>
        </is>
      </c>
      <c r="N1296" s="145" t="inlineStr">
        <is>
          <t>Center</t>
        </is>
      </c>
      <c r="O1296" s="145" t="inlineStr">
        <is>
          <t>No</t>
        </is>
      </c>
      <c r="P1296" s="145" t="inlineStr">
        <is>
          <t>General</t>
        </is>
      </c>
      <c r="Q1296" s="145" t="inlineStr">
        <is>
          <t>General</t>
        </is>
      </c>
      <c r="R1296" s="145" t="n"/>
      <c r="S1296" s="145" t="n"/>
      <c r="T1296" s="145" t="n"/>
      <c r="U1296" s="145" t="n"/>
      <c r="V1296" s="145" t="n"/>
      <c r="W1296" s="145" t="n"/>
      <c r="X1296" s="145" t="inlineStr">
        <is>
          <t>Detailed format sample from top five used rows</t>
        </is>
      </c>
    </row>
    <row r="1297" ht="23.85" customHeight="1" s="79">
      <c r="A1297" s="145" t="inlineStr">
        <is>
          <t>PPO_DATA</t>
        </is>
      </c>
      <c r="B1297" s="145" t="inlineStr">
        <is>
          <t>Top-Row Cell Format</t>
        </is>
      </c>
      <c r="C1297" s="145" t="inlineStr">
        <is>
          <t>AF3</t>
        </is>
      </c>
      <c r="D1297" s="145" t="inlineStr">
        <is>
          <t>PPO_DATA!A1:AM3957</t>
        </is>
      </c>
      <c r="E1297" s="145" t="inlineStr">
        <is>
          <t>Normal</t>
        </is>
      </c>
      <c r="F1297" s="145" t="n"/>
      <c r="G1297" s="145" t="inlineStr">
        <is>
          <t>Aptos</t>
        </is>
      </c>
      <c r="H1297" s="145" t="n">
        <v>8</v>
      </c>
      <c r="I1297" s="145" t="inlineStr">
        <is>
          <t>No</t>
        </is>
      </c>
      <c r="J1297" s="145" t="inlineStr">
        <is>
          <t>No</t>
        </is>
      </c>
      <c r="K1297" s="145" t="inlineStr">
        <is>
          <t>None</t>
        </is>
      </c>
      <c r="L1297" s="145" t="inlineStr">
        <is>
          <t>#000000</t>
        </is>
      </c>
      <c r="M1297" s="145" t="inlineStr">
        <is>
          <t>General</t>
        </is>
      </c>
      <c r="N1297" s="145" t="inlineStr">
        <is>
          <t>Center</t>
        </is>
      </c>
      <c r="O1297" s="145" t="inlineStr">
        <is>
          <t>No</t>
        </is>
      </c>
      <c r="P1297" s="145" t="inlineStr">
        <is>
          <t>General</t>
        </is>
      </c>
      <c r="Q1297" s="145" t="inlineStr">
        <is>
          <t>General</t>
        </is>
      </c>
      <c r="R1297" s="145" t="n"/>
      <c r="S1297" s="145" t="n"/>
      <c r="T1297" s="145" t="n"/>
      <c r="U1297" s="145" t="n"/>
      <c r="V1297" s="145" t="n"/>
      <c r="W1297" s="145" t="n"/>
      <c r="X1297" s="145" t="inlineStr">
        <is>
          <t>Detailed format sample from top five used rows</t>
        </is>
      </c>
    </row>
    <row r="1298" ht="23.85" customHeight="1" s="79">
      <c r="A1298" s="145" t="inlineStr">
        <is>
          <t>PPO_DATA</t>
        </is>
      </c>
      <c r="B1298" s="145" t="inlineStr">
        <is>
          <t>Top-Row Cell Format</t>
        </is>
      </c>
      <c r="C1298" s="145" t="inlineStr">
        <is>
          <t>AF4</t>
        </is>
      </c>
      <c r="D1298" s="145" t="inlineStr">
        <is>
          <t>PPO_DATA!A1:AM3957</t>
        </is>
      </c>
      <c r="E1298" s="145" t="inlineStr">
        <is>
          <t>Normal</t>
        </is>
      </c>
      <c r="F1298" s="145" t="n"/>
      <c r="G1298" s="145" t="inlineStr">
        <is>
          <t>Aptos</t>
        </is>
      </c>
      <c r="H1298" s="145" t="n">
        <v>8</v>
      </c>
      <c r="I1298" s="145" t="inlineStr">
        <is>
          <t>No</t>
        </is>
      </c>
      <c r="J1298" s="145" t="inlineStr">
        <is>
          <t>No</t>
        </is>
      </c>
      <c r="K1298" s="145" t="inlineStr">
        <is>
          <t>None</t>
        </is>
      </c>
      <c r="L1298" s="145" t="inlineStr">
        <is>
          <t>#000000</t>
        </is>
      </c>
      <c r="M1298" s="145" t="inlineStr">
        <is>
          <t>General</t>
        </is>
      </c>
      <c r="N1298" s="145" t="inlineStr">
        <is>
          <t>Center</t>
        </is>
      </c>
      <c r="O1298" s="145" t="inlineStr">
        <is>
          <t>No</t>
        </is>
      </c>
      <c r="P1298" s="145" t="inlineStr">
        <is>
          <t>General</t>
        </is>
      </c>
      <c r="Q1298" s="145" t="inlineStr">
        <is>
          <t>General</t>
        </is>
      </c>
      <c r="R1298" s="145" t="n"/>
      <c r="S1298" s="145" t="n"/>
      <c r="T1298" s="145" t="n"/>
      <c r="U1298" s="145" t="n"/>
      <c r="V1298" s="145" t="n"/>
      <c r="W1298" s="145" t="n"/>
      <c r="X1298" s="145" t="inlineStr">
        <is>
          <t>Detailed format sample from top five used rows</t>
        </is>
      </c>
    </row>
    <row r="1299" ht="23.85" customHeight="1" s="79">
      <c r="A1299" s="145" t="inlineStr">
        <is>
          <t>PPO_DATA</t>
        </is>
      </c>
      <c r="B1299" s="145" t="inlineStr">
        <is>
          <t>Top-Row Cell Format</t>
        </is>
      </c>
      <c r="C1299" s="145" t="inlineStr">
        <is>
          <t>AF5</t>
        </is>
      </c>
      <c r="D1299" s="145" t="inlineStr">
        <is>
          <t>PPO_DATA!A1:AM3957</t>
        </is>
      </c>
      <c r="E1299" s="145" t="inlineStr">
        <is>
          <t>Normal</t>
        </is>
      </c>
      <c r="F1299" s="145" t="n"/>
      <c r="G1299" s="145" t="inlineStr">
        <is>
          <t>Aptos</t>
        </is>
      </c>
      <c r="H1299" s="145" t="n">
        <v>8</v>
      </c>
      <c r="I1299" s="145" t="inlineStr">
        <is>
          <t>No</t>
        </is>
      </c>
      <c r="J1299" s="145" t="inlineStr">
        <is>
          <t>No</t>
        </is>
      </c>
      <c r="K1299" s="145" t="inlineStr">
        <is>
          <t>None</t>
        </is>
      </c>
      <c r="L1299" s="145" t="inlineStr">
        <is>
          <t>#000000</t>
        </is>
      </c>
      <c r="M1299" s="145" t="inlineStr">
        <is>
          <t>General</t>
        </is>
      </c>
      <c r="N1299" s="145" t="inlineStr">
        <is>
          <t>Center</t>
        </is>
      </c>
      <c r="O1299" s="145" t="inlineStr">
        <is>
          <t>No</t>
        </is>
      </c>
      <c r="P1299" s="145" t="inlineStr">
        <is>
          <t>General</t>
        </is>
      </c>
      <c r="Q1299" s="145" t="inlineStr">
        <is>
          <t>General</t>
        </is>
      </c>
      <c r="R1299" s="145" t="n"/>
      <c r="S1299" s="145" t="n"/>
      <c r="T1299" s="145" t="n"/>
      <c r="U1299" s="145" t="n"/>
      <c r="V1299" s="145" t="n"/>
      <c r="W1299" s="145" t="n"/>
      <c r="X1299" s="145" t="inlineStr">
        <is>
          <t>Detailed format sample from top five used rows</t>
        </is>
      </c>
    </row>
    <row r="1300" ht="23.85" customHeight="1" s="79">
      <c r="A1300" s="145" t="inlineStr">
        <is>
          <t>PPO_DATA</t>
        </is>
      </c>
      <c r="B1300" s="145" t="inlineStr">
        <is>
          <t>Column Format</t>
        </is>
      </c>
      <c r="C1300" s="145" t="inlineStr">
        <is>
          <t>AG:AG</t>
        </is>
      </c>
      <c r="D1300" s="145" t="inlineStr">
        <is>
          <t>PPO_DATA!A1:AM3957</t>
        </is>
      </c>
      <c r="E1300" s="145" t="inlineStr">
        <is>
          <t>Normal</t>
        </is>
      </c>
      <c r="F1300" s="145" t="inlineStr">
        <is>
          <t>Mixed</t>
        </is>
      </c>
      <c r="G1300" s="145" t="inlineStr">
        <is>
          <t>Aptos</t>
        </is>
      </c>
      <c r="H1300" s="145" t="n">
        <v>8</v>
      </c>
      <c r="I1300" s="145" t="inlineStr">
        <is>
          <t>Mixed</t>
        </is>
      </c>
      <c r="J1300" s="145" t="inlineStr">
        <is>
          <t>No</t>
        </is>
      </c>
      <c r="K1300" s="145" t="inlineStr">
        <is>
          <t>None</t>
        </is>
      </c>
      <c r="L1300" s="145" t="inlineStr">
        <is>
          <t>Mixed</t>
        </is>
      </c>
      <c r="M1300" s="145" t="inlineStr">
        <is>
          <t>General</t>
        </is>
      </c>
      <c r="N1300" s="145" t="inlineStr">
        <is>
          <t>Center</t>
        </is>
      </c>
      <c r="O1300" s="145" t="inlineStr">
        <is>
          <t>No</t>
        </is>
      </c>
      <c r="P1300" s="145" t="n"/>
      <c r="Q1300" s="145" t="n"/>
      <c r="R1300" s="145" t="n"/>
      <c r="S1300" s="145" t="n">
        <v>41.910447761194</v>
      </c>
      <c r="T1300" s="145" t="n"/>
      <c r="U1300" s="145" t="inlineStr">
        <is>
          <t>No</t>
        </is>
      </c>
      <c r="V1300" s="145" t="inlineStr">
        <is>
          <t>Visible</t>
        </is>
      </c>
      <c r="W1300" s="145" t="n"/>
      <c r="X1300" s="145" t="inlineStr">
        <is>
          <t>Mixed styles within used column</t>
        </is>
      </c>
    </row>
    <row r="1301" ht="23.85" customHeight="1" s="79">
      <c r="A1301" s="145" t="inlineStr">
        <is>
          <t>PPO_DATA</t>
        </is>
      </c>
      <c r="B1301" s="145" t="inlineStr">
        <is>
          <t>Top-Row Cell Format</t>
        </is>
      </c>
      <c r="C1301" s="145" t="inlineStr">
        <is>
          <t>AG1</t>
        </is>
      </c>
      <c r="D1301" s="145" t="inlineStr">
        <is>
          <t>PPO_DATA!A1:AM3957</t>
        </is>
      </c>
      <c r="E1301" s="145" t="inlineStr">
        <is>
          <t>Normal</t>
        </is>
      </c>
      <c r="F1301" s="145" t="inlineStr">
        <is>
          <t>#2F75B5</t>
        </is>
      </c>
      <c r="G1301" s="145" t="inlineStr">
        <is>
          <t>Aptos</t>
        </is>
      </c>
      <c r="H1301" s="145" t="n">
        <v>8</v>
      </c>
      <c r="I1301" s="145" t="inlineStr">
        <is>
          <t>Yes</t>
        </is>
      </c>
      <c r="J1301" s="145" t="inlineStr">
        <is>
          <t>No</t>
        </is>
      </c>
      <c r="K1301" s="145" t="inlineStr">
        <is>
          <t>None</t>
        </is>
      </c>
      <c r="L1301" s="145" t="inlineStr">
        <is>
          <t>#FFFF00</t>
        </is>
      </c>
      <c r="M1301" s="145" t="inlineStr">
        <is>
          <t>General</t>
        </is>
      </c>
      <c r="N1301" s="145" t="inlineStr">
        <is>
          <t>Center</t>
        </is>
      </c>
      <c r="O1301" s="145" t="inlineStr">
        <is>
          <t>No</t>
        </is>
      </c>
      <c r="P1301" s="145" t="inlineStr">
        <is>
          <t>General</t>
        </is>
      </c>
      <c r="Q1301" s="145" t="inlineStr">
        <is>
          <t>General</t>
        </is>
      </c>
      <c r="R1301" s="145" t="n"/>
      <c r="S1301" s="145" t="n"/>
      <c r="T1301" s="145" t="n"/>
      <c r="U1301" s="145" t="n"/>
      <c r="V1301" s="145" t="n"/>
      <c r="W1301" s="145" t="n"/>
      <c r="X1301" s="145" t="inlineStr">
        <is>
          <t>Detailed format sample from top five used rows</t>
        </is>
      </c>
    </row>
    <row r="1302" ht="23.85" customHeight="1" s="79">
      <c r="A1302" s="145" t="inlineStr">
        <is>
          <t>PPO_DATA</t>
        </is>
      </c>
      <c r="B1302" s="145" t="inlineStr">
        <is>
          <t>Top-Row Cell Format</t>
        </is>
      </c>
      <c r="C1302" s="145" t="inlineStr">
        <is>
          <t>AG2</t>
        </is>
      </c>
      <c r="D1302" s="145" t="inlineStr">
        <is>
          <t>PPO_DATA!A1:AM3957</t>
        </is>
      </c>
      <c r="E1302" s="145" t="inlineStr">
        <is>
          <t>Normal</t>
        </is>
      </c>
      <c r="F1302" s="145" t="n"/>
      <c r="G1302" s="145" t="inlineStr">
        <is>
          <t>Aptos</t>
        </is>
      </c>
      <c r="H1302" s="145" t="n">
        <v>8</v>
      </c>
      <c r="I1302" s="145" t="inlineStr">
        <is>
          <t>No</t>
        </is>
      </c>
      <c r="J1302" s="145" t="inlineStr">
        <is>
          <t>No</t>
        </is>
      </c>
      <c r="K1302" s="145" t="inlineStr">
        <is>
          <t>None</t>
        </is>
      </c>
      <c r="L1302" s="145" t="inlineStr">
        <is>
          <t>#000000</t>
        </is>
      </c>
      <c r="M1302" s="145" t="inlineStr">
        <is>
          <t>General</t>
        </is>
      </c>
      <c r="N1302" s="145" t="inlineStr">
        <is>
          <t>Center</t>
        </is>
      </c>
      <c r="O1302" s="145" t="inlineStr">
        <is>
          <t>No</t>
        </is>
      </c>
      <c r="P1302" s="145" t="inlineStr">
        <is>
          <t>General</t>
        </is>
      </c>
      <c r="Q1302" s="145" t="inlineStr">
        <is>
          <t>General</t>
        </is>
      </c>
      <c r="R1302" s="145" t="n"/>
      <c r="S1302" s="145" t="n"/>
      <c r="T1302" s="145" t="n"/>
      <c r="U1302" s="145" t="n"/>
      <c r="V1302" s="145" t="n"/>
      <c r="W1302" s="145" t="n"/>
      <c r="X1302" s="145" t="inlineStr">
        <is>
          <t>Detailed format sample from top five used rows</t>
        </is>
      </c>
    </row>
    <row r="1303" ht="23.85" customHeight="1" s="79">
      <c r="A1303" s="145" t="inlineStr">
        <is>
          <t>PPO_DATA</t>
        </is>
      </c>
      <c r="B1303" s="145" t="inlineStr">
        <is>
          <t>Top-Row Cell Format</t>
        </is>
      </c>
      <c r="C1303" s="145" t="inlineStr">
        <is>
          <t>AG3</t>
        </is>
      </c>
      <c r="D1303" s="145" t="inlineStr">
        <is>
          <t>PPO_DATA!A1:AM3957</t>
        </is>
      </c>
      <c r="E1303" s="145" t="inlineStr">
        <is>
          <t>Normal</t>
        </is>
      </c>
      <c r="F1303" s="145" t="n"/>
      <c r="G1303" s="145" t="inlineStr">
        <is>
          <t>Aptos</t>
        </is>
      </c>
      <c r="H1303" s="145" t="n">
        <v>8</v>
      </c>
      <c r="I1303" s="145" t="inlineStr">
        <is>
          <t>No</t>
        </is>
      </c>
      <c r="J1303" s="145" t="inlineStr">
        <is>
          <t>No</t>
        </is>
      </c>
      <c r="K1303" s="145" t="inlineStr">
        <is>
          <t>None</t>
        </is>
      </c>
      <c r="L1303" s="145" t="inlineStr">
        <is>
          <t>#000000</t>
        </is>
      </c>
      <c r="M1303" s="145" t="inlineStr">
        <is>
          <t>General</t>
        </is>
      </c>
      <c r="N1303" s="145" t="inlineStr">
        <is>
          <t>Center</t>
        </is>
      </c>
      <c r="O1303" s="145" t="inlineStr">
        <is>
          <t>No</t>
        </is>
      </c>
      <c r="P1303" s="145" t="inlineStr">
        <is>
          <t>General</t>
        </is>
      </c>
      <c r="Q1303" s="145" t="inlineStr">
        <is>
          <t>General</t>
        </is>
      </c>
      <c r="R1303" s="145" t="n"/>
      <c r="S1303" s="145" t="n"/>
      <c r="T1303" s="145" t="n"/>
      <c r="U1303" s="145" t="n"/>
      <c r="V1303" s="145" t="n"/>
      <c r="W1303" s="145" t="n"/>
      <c r="X1303" s="145" t="inlineStr">
        <is>
          <t>Detailed format sample from top five used rows</t>
        </is>
      </c>
    </row>
    <row r="1304" ht="23.85" customHeight="1" s="79">
      <c r="A1304" s="145" t="inlineStr">
        <is>
          <t>PPO_DATA</t>
        </is>
      </c>
      <c r="B1304" s="145" t="inlineStr">
        <is>
          <t>Top-Row Cell Format</t>
        </is>
      </c>
      <c r="C1304" s="145" t="inlineStr">
        <is>
          <t>AG4</t>
        </is>
      </c>
      <c r="D1304" s="145" t="inlineStr">
        <is>
          <t>PPO_DATA!A1:AM3957</t>
        </is>
      </c>
      <c r="E1304" s="145" t="inlineStr">
        <is>
          <t>Normal</t>
        </is>
      </c>
      <c r="F1304" s="145" t="n"/>
      <c r="G1304" s="145" t="inlineStr">
        <is>
          <t>Aptos</t>
        </is>
      </c>
      <c r="H1304" s="145" t="n">
        <v>8</v>
      </c>
      <c r="I1304" s="145" t="inlineStr">
        <is>
          <t>No</t>
        </is>
      </c>
      <c r="J1304" s="145" t="inlineStr">
        <is>
          <t>No</t>
        </is>
      </c>
      <c r="K1304" s="145" t="inlineStr">
        <is>
          <t>None</t>
        </is>
      </c>
      <c r="L1304" s="145" t="inlineStr">
        <is>
          <t>#000000</t>
        </is>
      </c>
      <c r="M1304" s="145" t="inlineStr">
        <is>
          <t>General</t>
        </is>
      </c>
      <c r="N1304" s="145" t="inlineStr">
        <is>
          <t>Center</t>
        </is>
      </c>
      <c r="O1304" s="145" t="inlineStr">
        <is>
          <t>No</t>
        </is>
      </c>
      <c r="P1304" s="145" t="inlineStr">
        <is>
          <t>General</t>
        </is>
      </c>
      <c r="Q1304" s="145" t="inlineStr">
        <is>
          <t>General</t>
        </is>
      </c>
      <c r="R1304" s="145" t="n"/>
      <c r="S1304" s="145" t="n"/>
      <c r="T1304" s="145" t="n"/>
      <c r="U1304" s="145" t="n"/>
      <c r="V1304" s="145" t="n"/>
      <c r="W1304" s="145" t="n"/>
      <c r="X1304" s="145" t="inlineStr">
        <is>
          <t>Detailed format sample from top five used rows</t>
        </is>
      </c>
    </row>
    <row r="1305" ht="23.85" customHeight="1" s="79">
      <c r="A1305" s="145" t="inlineStr">
        <is>
          <t>PPO_DATA</t>
        </is>
      </c>
      <c r="B1305" s="145" t="inlineStr">
        <is>
          <t>Top-Row Cell Format</t>
        </is>
      </c>
      <c r="C1305" s="145" t="inlineStr">
        <is>
          <t>AG5</t>
        </is>
      </c>
      <c r="D1305" s="145" t="inlineStr">
        <is>
          <t>PPO_DATA!A1:AM3957</t>
        </is>
      </c>
      <c r="E1305" s="145" t="inlineStr">
        <is>
          <t>Normal</t>
        </is>
      </c>
      <c r="F1305" s="145" t="n"/>
      <c r="G1305" s="145" t="inlineStr">
        <is>
          <t>Aptos</t>
        </is>
      </c>
      <c r="H1305" s="145" t="n">
        <v>8</v>
      </c>
      <c r="I1305" s="145" t="inlineStr">
        <is>
          <t>No</t>
        </is>
      </c>
      <c r="J1305" s="145" t="inlineStr">
        <is>
          <t>No</t>
        </is>
      </c>
      <c r="K1305" s="145" t="inlineStr">
        <is>
          <t>None</t>
        </is>
      </c>
      <c r="L1305" s="145" t="inlineStr">
        <is>
          <t>#000000</t>
        </is>
      </c>
      <c r="M1305" s="145" t="inlineStr">
        <is>
          <t>General</t>
        </is>
      </c>
      <c r="N1305" s="145" t="inlineStr">
        <is>
          <t>Center</t>
        </is>
      </c>
      <c r="O1305" s="145" t="inlineStr">
        <is>
          <t>No</t>
        </is>
      </c>
      <c r="P1305" s="145" t="inlineStr">
        <is>
          <t>General</t>
        </is>
      </c>
      <c r="Q1305" s="145" t="inlineStr">
        <is>
          <t>General</t>
        </is>
      </c>
      <c r="R1305" s="145" t="n"/>
      <c r="S1305" s="145" t="n"/>
      <c r="T1305" s="145" t="n"/>
      <c r="U1305" s="145" t="n"/>
      <c r="V1305" s="145" t="n"/>
      <c r="W1305" s="145" t="n"/>
      <c r="X1305" s="145" t="inlineStr">
        <is>
          <t>Detailed format sample from top five used rows</t>
        </is>
      </c>
    </row>
    <row r="1306" ht="23.85" customHeight="1" s="79">
      <c r="A1306" s="145" t="inlineStr">
        <is>
          <t>PPO_DATA</t>
        </is>
      </c>
      <c r="B1306" s="145" t="inlineStr">
        <is>
          <t>Column Format</t>
        </is>
      </c>
      <c r="C1306" s="145" t="inlineStr">
        <is>
          <t>AH:AH</t>
        </is>
      </c>
      <c r="D1306" s="145" t="inlineStr">
        <is>
          <t>PPO_DATA!A1:AM3957</t>
        </is>
      </c>
      <c r="E1306" s="145" t="inlineStr">
        <is>
          <t>Normal</t>
        </is>
      </c>
      <c r="F1306" s="145" t="inlineStr">
        <is>
          <t>Mixed</t>
        </is>
      </c>
      <c r="G1306" s="145" t="inlineStr">
        <is>
          <t>Aptos</t>
        </is>
      </c>
      <c r="H1306" s="145" t="n">
        <v>8</v>
      </c>
      <c r="I1306" s="145" t="inlineStr">
        <is>
          <t>Mixed</t>
        </is>
      </c>
      <c r="J1306" s="145" t="inlineStr">
        <is>
          <t>No</t>
        </is>
      </c>
      <c r="K1306" s="145" t="inlineStr">
        <is>
          <t>None</t>
        </is>
      </c>
      <c r="L1306" s="145" t="inlineStr">
        <is>
          <t>Mixed</t>
        </is>
      </c>
      <c r="M1306" s="145" t="inlineStr">
        <is>
          <t>General</t>
        </is>
      </c>
      <c r="N1306" s="145" t="inlineStr">
        <is>
          <t>Center</t>
        </is>
      </c>
      <c r="O1306" s="145" t="inlineStr">
        <is>
          <t>No</t>
        </is>
      </c>
      <c r="P1306" s="145" t="n"/>
      <c r="Q1306" s="145" t="n"/>
      <c r="R1306" s="145" t="n"/>
      <c r="S1306" s="145" t="n">
        <v>56.4179104477612</v>
      </c>
      <c r="T1306" s="145" t="n"/>
      <c r="U1306" s="145" t="inlineStr">
        <is>
          <t>No</t>
        </is>
      </c>
      <c r="V1306" s="145" t="inlineStr">
        <is>
          <t>Visible</t>
        </is>
      </c>
      <c r="W1306" s="145" t="n"/>
      <c r="X1306" s="145" t="inlineStr">
        <is>
          <t>Mixed styles within used column</t>
        </is>
      </c>
    </row>
    <row r="1307" ht="23.85" customHeight="1" s="79">
      <c r="A1307" s="145" t="inlineStr">
        <is>
          <t>PPO_DATA</t>
        </is>
      </c>
      <c r="B1307" s="145" t="inlineStr">
        <is>
          <t>Top-Row Cell Format</t>
        </is>
      </c>
      <c r="C1307" s="145" t="inlineStr">
        <is>
          <t>AH1</t>
        </is>
      </c>
      <c r="D1307" s="145" t="inlineStr">
        <is>
          <t>PPO_DATA!A1:AM3957</t>
        </is>
      </c>
      <c r="E1307" s="145" t="inlineStr">
        <is>
          <t>Normal</t>
        </is>
      </c>
      <c r="F1307" s="145" t="inlineStr">
        <is>
          <t>#2F75B5</t>
        </is>
      </c>
      <c r="G1307" s="145" t="inlineStr">
        <is>
          <t>Aptos</t>
        </is>
      </c>
      <c r="H1307" s="145" t="n">
        <v>8</v>
      </c>
      <c r="I1307" s="145" t="inlineStr">
        <is>
          <t>Yes</t>
        </is>
      </c>
      <c r="J1307" s="145" t="inlineStr">
        <is>
          <t>No</t>
        </is>
      </c>
      <c r="K1307" s="145" t="inlineStr">
        <is>
          <t>None</t>
        </is>
      </c>
      <c r="L1307" s="145" t="inlineStr">
        <is>
          <t>#FFFF00</t>
        </is>
      </c>
      <c r="M1307" s="145" t="inlineStr">
        <is>
          <t>General</t>
        </is>
      </c>
      <c r="N1307" s="145" t="inlineStr">
        <is>
          <t>Center</t>
        </is>
      </c>
      <c r="O1307" s="145" t="inlineStr">
        <is>
          <t>No</t>
        </is>
      </c>
      <c r="P1307" s="145" t="inlineStr">
        <is>
          <t>General</t>
        </is>
      </c>
      <c r="Q1307" s="145" t="inlineStr">
        <is>
          <t>General</t>
        </is>
      </c>
      <c r="R1307" s="145" t="n"/>
      <c r="S1307" s="145" t="n"/>
      <c r="T1307" s="145" t="n"/>
      <c r="U1307" s="145" t="n"/>
      <c r="V1307" s="145" t="n"/>
      <c r="W1307" s="145" t="n"/>
      <c r="X1307" s="145" t="inlineStr">
        <is>
          <t>Detailed format sample from top five used rows</t>
        </is>
      </c>
    </row>
    <row r="1308" ht="23.85" customHeight="1" s="79">
      <c r="A1308" s="145" t="inlineStr">
        <is>
          <t>PPO_DATA</t>
        </is>
      </c>
      <c r="B1308" s="145" t="inlineStr">
        <is>
          <t>Top-Row Cell Format</t>
        </is>
      </c>
      <c r="C1308" s="145" t="inlineStr">
        <is>
          <t>AH2</t>
        </is>
      </c>
      <c r="D1308" s="145" t="inlineStr">
        <is>
          <t>PPO_DATA!A1:AM3957</t>
        </is>
      </c>
      <c r="E1308" s="145" t="inlineStr">
        <is>
          <t>Normal</t>
        </is>
      </c>
      <c r="F1308" s="145" t="n"/>
      <c r="G1308" s="145" t="inlineStr">
        <is>
          <t>Aptos</t>
        </is>
      </c>
      <c r="H1308" s="145" t="n">
        <v>8</v>
      </c>
      <c r="I1308" s="145" t="inlineStr">
        <is>
          <t>No</t>
        </is>
      </c>
      <c r="J1308" s="145" t="inlineStr">
        <is>
          <t>No</t>
        </is>
      </c>
      <c r="K1308" s="145" t="inlineStr">
        <is>
          <t>None</t>
        </is>
      </c>
      <c r="L1308" s="145" t="inlineStr">
        <is>
          <t>#000000</t>
        </is>
      </c>
      <c r="M1308" s="145" t="inlineStr">
        <is>
          <t>General</t>
        </is>
      </c>
      <c r="N1308" s="145" t="inlineStr">
        <is>
          <t>Center</t>
        </is>
      </c>
      <c r="O1308" s="145" t="inlineStr">
        <is>
          <t>No</t>
        </is>
      </c>
      <c r="P1308" s="145" t="inlineStr">
        <is>
          <t>General</t>
        </is>
      </c>
      <c r="Q1308" s="145" t="inlineStr">
        <is>
          <t>General</t>
        </is>
      </c>
      <c r="R1308" s="145" t="n"/>
      <c r="S1308" s="145" t="n"/>
      <c r="T1308" s="145" t="n"/>
      <c r="U1308" s="145" t="n"/>
      <c r="V1308" s="145" t="n"/>
      <c r="W1308" s="145" t="n"/>
      <c r="X1308" s="145" t="inlineStr">
        <is>
          <t>Detailed format sample from top five used rows</t>
        </is>
      </c>
    </row>
    <row r="1309" ht="23.85" customHeight="1" s="79">
      <c r="A1309" s="145" t="inlineStr">
        <is>
          <t>PPO_DATA</t>
        </is>
      </c>
      <c r="B1309" s="145" t="inlineStr">
        <is>
          <t>Top-Row Cell Format</t>
        </is>
      </c>
      <c r="C1309" s="145" t="inlineStr">
        <is>
          <t>AH3</t>
        </is>
      </c>
      <c r="D1309" s="145" t="inlineStr">
        <is>
          <t>PPO_DATA!A1:AM3957</t>
        </is>
      </c>
      <c r="E1309" s="145" t="inlineStr">
        <is>
          <t>Normal</t>
        </is>
      </c>
      <c r="F1309" s="145" t="n"/>
      <c r="G1309" s="145" t="inlineStr">
        <is>
          <t>Aptos</t>
        </is>
      </c>
      <c r="H1309" s="145" t="n">
        <v>8</v>
      </c>
      <c r="I1309" s="145" t="inlineStr">
        <is>
          <t>No</t>
        </is>
      </c>
      <c r="J1309" s="145" t="inlineStr">
        <is>
          <t>No</t>
        </is>
      </c>
      <c r="K1309" s="145" t="inlineStr">
        <is>
          <t>None</t>
        </is>
      </c>
      <c r="L1309" s="145" t="inlineStr">
        <is>
          <t>#000000</t>
        </is>
      </c>
      <c r="M1309" s="145" t="inlineStr">
        <is>
          <t>General</t>
        </is>
      </c>
      <c r="N1309" s="145" t="inlineStr">
        <is>
          <t>Center</t>
        </is>
      </c>
      <c r="O1309" s="145" t="inlineStr">
        <is>
          <t>No</t>
        </is>
      </c>
      <c r="P1309" s="145" t="inlineStr">
        <is>
          <t>General</t>
        </is>
      </c>
      <c r="Q1309" s="145" t="inlineStr">
        <is>
          <t>General</t>
        </is>
      </c>
      <c r="R1309" s="145" t="n"/>
      <c r="S1309" s="145" t="n"/>
      <c r="T1309" s="145" t="n"/>
      <c r="U1309" s="145" t="n"/>
      <c r="V1309" s="145" t="n"/>
      <c r="W1309" s="145" t="n"/>
      <c r="X1309" s="145" t="inlineStr">
        <is>
          <t>Detailed format sample from top five used rows</t>
        </is>
      </c>
    </row>
    <row r="1310" ht="23.85" customHeight="1" s="79">
      <c r="A1310" s="145" t="inlineStr">
        <is>
          <t>PPO_DATA</t>
        </is>
      </c>
      <c r="B1310" s="145" t="inlineStr">
        <is>
          <t>Top-Row Cell Format</t>
        </is>
      </c>
      <c r="C1310" s="145" t="inlineStr">
        <is>
          <t>AH4</t>
        </is>
      </c>
      <c r="D1310" s="145" t="inlineStr">
        <is>
          <t>PPO_DATA!A1:AM3957</t>
        </is>
      </c>
      <c r="E1310" s="145" t="inlineStr">
        <is>
          <t>Normal</t>
        </is>
      </c>
      <c r="F1310" s="145" t="n"/>
      <c r="G1310" s="145" t="inlineStr">
        <is>
          <t>Aptos</t>
        </is>
      </c>
      <c r="H1310" s="145" t="n">
        <v>8</v>
      </c>
      <c r="I1310" s="145" t="inlineStr">
        <is>
          <t>No</t>
        </is>
      </c>
      <c r="J1310" s="145" t="inlineStr">
        <is>
          <t>No</t>
        </is>
      </c>
      <c r="K1310" s="145" t="inlineStr">
        <is>
          <t>None</t>
        </is>
      </c>
      <c r="L1310" s="145" t="inlineStr">
        <is>
          <t>#000000</t>
        </is>
      </c>
      <c r="M1310" s="145" t="inlineStr">
        <is>
          <t>General</t>
        </is>
      </c>
      <c r="N1310" s="145" t="inlineStr">
        <is>
          <t>Center</t>
        </is>
      </c>
      <c r="O1310" s="145" t="inlineStr">
        <is>
          <t>No</t>
        </is>
      </c>
      <c r="P1310" s="145" t="inlineStr">
        <is>
          <t>General</t>
        </is>
      </c>
      <c r="Q1310" s="145" t="inlineStr">
        <is>
          <t>General</t>
        </is>
      </c>
      <c r="R1310" s="145" t="n"/>
      <c r="S1310" s="145" t="n"/>
      <c r="T1310" s="145" t="n"/>
      <c r="U1310" s="145" t="n"/>
      <c r="V1310" s="145" t="n"/>
      <c r="W1310" s="145" t="n"/>
      <c r="X1310" s="145" t="inlineStr">
        <is>
          <t>Detailed format sample from top five used rows</t>
        </is>
      </c>
    </row>
    <row r="1311" ht="23.85" customHeight="1" s="79">
      <c r="A1311" s="145" t="inlineStr">
        <is>
          <t>PPO_DATA</t>
        </is>
      </c>
      <c r="B1311" s="145" t="inlineStr">
        <is>
          <t>Top-Row Cell Format</t>
        </is>
      </c>
      <c r="C1311" s="145" t="inlineStr">
        <is>
          <t>AH5</t>
        </is>
      </c>
      <c r="D1311" s="145" t="inlineStr">
        <is>
          <t>PPO_DATA!A1:AM3957</t>
        </is>
      </c>
      <c r="E1311" s="145" t="inlineStr">
        <is>
          <t>Normal</t>
        </is>
      </c>
      <c r="F1311" s="145" t="n"/>
      <c r="G1311" s="145" t="inlineStr">
        <is>
          <t>Aptos</t>
        </is>
      </c>
      <c r="H1311" s="145" t="n">
        <v>8</v>
      </c>
      <c r="I1311" s="145" t="inlineStr">
        <is>
          <t>No</t>
        </is>
      </c>
      <c r="J1311" s="145" t="inlineStr">
        <is>
          <t>No</t>
        </is>
      </c>
      <c r="K1311" s="145" t="inlineStr">
        <is>
          <t>None</t>
        </is>
      </c>
      <c r="L1311" s="145" t="inlineStr">
        <is>
          <t>#000000</t>
        </is>
      </c>
      <c r="M1311" s="145" t="inlineStr">
        <is>
          <t>General</t>
        </is>
      </c>
      <c r="N1311" s="145" t="inlineStr">
        <is>
          <t>Center</t>
        </is>
      </c>
      <c r="O1311" s="145" t="inlineStr">
        <is>
          <t>No</t>
        </is>
      </c>
      <c r="P1311" s="145" t="inlineStr">
        <is>
          <t>General</t>
        </is>
      </c>
      <c r="Q1311" s="145" t="inlineStr">
        <is>
          <t>General</t>
        </is>
      </c>
      <c r="R1311" s="145" t="n"/>
      <c r="S1311" s="145" t="n"/>
      <c r="T1311" s="145" t="n"/>
      <c r="U1311" s="145" t="n"/>
      <c r="V1311" s="145" t="n"/>
      <c r="W1311" s="145" t="n"/>
      <c r="X1311" s="145" t="inlineStr">
        <is>
          <t>Detailed format sample from top five used rows</t>
        </is>
      </c>
    </row>
    <row r="1312" ht="23.85" customHeight="1" s="79">
      <c r="A1312" s="145" t="inlineStr">
        <is>
          <t>PPO_DATA</t>
        </is>
      </c>
      <c r="B1312" s="145" t="inlineStr">
        <is>
          <t>Column Format</t>
        </is>
      </c>
      <c r="C1312" s="145" t="inlineStr">
        <is>
          <t>AI:AI</t>
        </is>
      </c>
      <c r="D1312" s="145" t="inlineStr">
        <is>
          <t>PPO_DATA!A1:AM3957</t>
        </is>
      </c>
      <c r="E1312" s="145" t="inlineStr">
        <is>
          <t>Normal</t>
        </is>
      </c>
      <c r="F1312" s="145" t="inlineStr">
        <is>
          <t>Mixed</t>
        </is>
      </c>
      <c r="G1312" s="145" t="inlineStr">
        <is>
          <t>Aptos</t>
        </is>
      </c>
      <c r="H1312" s="145" t="n">
        <v>8</v>
      </c>
      <c r="I1312" s="145" t="inlineStr">
        <is>
          <t>Mixed</t>
        </is>
      </c>
      <c r="J1312" s="145" t="inlineStr">
        <is>
          <t>No</t>
        </is>
      </c>
      <c r="K1312" s="145" t="inlineStr">
        <is>
          <t>None</t>
        </is>
      </c>
      <c r="L1312" s="145" t="inlineStr">
        <is>
          <t>Mixed</t>
        </is>
      </c>
      <c r="M1312" s="145" t="inlineStr">
        <is>
          <t>General</t>
        </is>
      </c>
      <c r="N1312" s="145" t="inlineStr">
        <is>
          <t>Center</t>
        </is>
      </c>
      <c r="O1312" s="145" t="inlineStr">
        <is>
          <t>No</t>
        </is>
      </c>
      <c r="P1312" s="145" t="n"/>
      <c r="Q1312" s="145" t="n"/>
      <c r="R1312" s="145" t="n"/>
      <c r="S1312" s="145" t="n">
        <v>39.2238805970149</v>
      </c>
      <c r="T1312" s="145" t="n"/>
      <c r="U1312" s="145" t="inlineStr">
        <is>
          <t>No</t>
        </is>
      </c>
      <c r="V1312" s="145" t="inlineStr">
        <is>
          <t>Visible</t>
        </is>
      </c>
      <c r="W1312" s="145" t="n"/>
      <c r="X1312" s="145" t="inlineStr">
        <is>
          <t>Mixed styles within used column</t>
        </is>
      </c>
    </row>
    <row r="1313" ht="23.85" customHeight="1" s="79">
      <c r="A1313" s="145" t="inlineStr">
        <is>
          <t>PPO_DATA</t>
        </is>
      </c>
      <c r="B1313" s="145" t="inlineStr">
        <is>
          <t>Top-Row Cell Format</t>
        </is>
      </c>
      <c r="C1313" s="145" t="inlineStr">
        <is>
          <t>AI1</t>
        </is>
      </c>
      <c r="D1313" s="145" t="inlineStr">
        <is>
          <t>PPO_DATA!A1:AM3957</t>
        </is>
      </c>
      <c r="E1313" s="145" t="inlineStr">
        <is>
          <t>Normal</t>
        </is>
      </c>
      <c r="F1313" s="145" t="inlineStr">
        <is>
          <t>#2F75B5</t>
        </is>
      </c>
      <c r="G1313" s="145" t="inlineStr">
        <is>
          <t>Aptos</t>
        </is>
      </c>
      <c r="H1313" s="145" t="n">
        <v>8</v>
      </c>
      <c r="I1313" s="145" t="inlineStr">
        <is>
          <t>Yes</t>
        </is>
      </c>
      <c r="J1313" s="145" t="inlineStr">
        <is>
          <t>No</t>
        </is>
      </c>
      <c r="K1313" s="145" t="inlineStr">
        <is>
          <t>None</t>
        </is>
      </c>
      <c r="L1313" s="145" t="inlineStr">
        <is>
          <t>#FFFF00</t>
        </is>
      </c>
      <c r="M1313" s="145" t="inlineStr">
        <is>
          <t>General</t>
        </is>
      </c>
      <c r="N1313" s="145" t="inlineStr">
        <is>
          <t>Center</t>
        </is>
      </c>
      <c r="O1313" s="145" t="inlineStr">
        <is>
          <t>No</t>
        </is>
      </c>
      <c r="P1313" s="145" t="inlineStr">
        <is>
          <t>General</t>
        </is>
      </c>
      <c r="Q1313" s="145" t="inlineStr">
        <is>
          <t>General</t>
        </is>
      </c>
      <c r="R1313" s="145" t="n"/>
      <c r="S1313" s="145" t="n"/>
      <c r="T1313" s="145" t="n"/>
      <c r="U1313" s="145" t="n"/>
      <c r="V1313" s="145" t="n"/>
      <c r="W1313" s="145" t="n"/>
      <c r="X1313" s="145" t="inlineStr">
        <is>
          <t>Detailed format sample from top five used rows</t>
        </is>
      </c>
    </row>
    <row r="1314" ht="23.85" customHeight="1" s="79">
      <c r="A1314" s="145" t="inlineStr">
        <is>
          <t>PPO_DATA</t>
        </is>
      </c>
      <c r="B1314" s="145" t="inlineStr">
        <is>
          <t>Top-Row Cell Format</t>
        </is>
      </c>
      <c r="C1314" s="145" t="inlineStr">
        <is>
          <t>AI2</t>
        </is>
      </c>
      <c r="D1314" s="145" t="inlineStr">
        <is>
          <t>PPO_DATA!A1:AM3957</t>
        </is>
      </c>
      <c r="E1314" s="145" t="inlineStr">
        <is>
          <t>Normal</t>
        </is>
      </c>
      <c r="F1314" s="145" t="n"/>
      <c r="G1314" s="145" t="inlineStr">
        <is>
          <t>Aptos</t>
        </is>
      </c>
      <c r="H1314" s="145" t="n">
        <v>8</v>
      </c>
      <c r="I1314" s="145" t="inlineStr">
        <is>
          <t>No</t>
        </is>
      </c>
      <c r="J1314" s="145" t="inlineStr">
        <is>
          <t>No</t>
        </is>
      </c>
      <c r="K1314" s="145" t="inlineStr">
        <is>
          <t>None</t>
        </is>
      </c>
      <c r="L1314" s="145" t="inlineStr">
        <is>
          <t>#000000</t>
        </is>
      </c>
      <c r="M1314" s="145" t="inlineStr">
        <is>
          <t>General</t>
        </is>
      </c>
      <c r="N1314" s="145" t="inlineStr">
        <is>
          <t>Center</t>
        </is>
      </c>
      <c r="O1314" s="145" t="inlineStr">
        <is>
          <t>No</t>
        </is>
      </c>
      <c r="P1314" s="145" t="inlineStr">
        <is>
          <t>General</t>
        </is>
      </c>
      <c r="Q1314" s="145" t="inlineStr">
        <is>
          <t>General</t>
        </is>
      </c>
      <c r="R1314" s="145" t="n"/>
      <c r="S1314" s="145" t="n"/>
      <c r="T1314" s="145" t="n"/>
      <c r="U1314" s="145" t="n"/>
      <c r="V1314" s="145" t="n"/>
      <c r="W1314" s="145" t="n"/>
      <c r="X1314" s="145" t="inlineStr">
        <is>
          <t>Detailed format sample from top five used rows</t>
        </is>
      </c>
    </row>
    <row r="1315" ht="23.85" customHeight="1" s="79">
      <c r="A1315" s="145" t="inlineStr">
        <is>
          <t>PPO_DATA</t>
        </is>
      </c>
      <c r="B1315" s="145" t="inlineStr">
        <is>
          <t>Top-Row Cell Format</t>
        </is>
      </c>
      <c r="C1315" s="145" t="inlineStr">
        <is>
          <t>AI3</t>
        </is>
      </c>
      <c r="D1315" s="145" t="inlineStr">
        <is>
          <t>PPO_DATA!A1:AM3957</t>
        </is>
      </c>
      <c r="E1315" s="145" t="inlineStr">
        <is>
          <t>Normal</t>
        </is>
      </c>
      <c r="F1315" s="145" t="n"/>
      <c r="G1315" s="145" t="inlineStr">
        <is>
          <t>Aptos</t>
        </is>
      </c>
      <c r="H1315" s="145" t="n">
        <v>8</v>
      </c>
      <c r="I1315" s="145" t="inlineStr">
        <is>
          <t>No</t>
        </is>
      </c>
      <c r="J1315" s="145" t="inlineStr">
        <is>
          <t>No</t>
        </is>
      </c>
      <c r="K1315" s="145" t="inlineStr">
        <is>
          <t>None</t>
        </is>
      </c>
      <c r="L1315" s="145" t="inlineStr">
        <is>
          <t>#000000</t>
        </is>
      </c>
      <c r="M1315" s="145" t="inlineStr">
        <is>
          <t>General</t>
        </is>
      </c>
      <c r="N1315" s="145" t="inlineStr">
        <is>
          <t>Center</t>
        </is>
      </c>
      <c r="O1315" s="145" t="inlineStr">
        <is>
          <t>No</t>
        </is>
      </c>
      <c r="P1315" s="145" t="inlineStr">
        <is>
          <t>General</t>
        </is>
      </c>
      <c r="Q1315" s="145" t="inlineStr">
        <is>
          <t>General</t>
        </is>
      </c>
      <c r="R1315" s="145" t="n"/>
      <c r="S1315" s="145" t="n"/>
      <c r="T1315" s="145" t="n"/>
      <c r="U1315" s="145" t="n"/>
      <c r="V1315" s="145" t="n"/>
      <c r="W1315" s="145" t="n"/>
      <c r="X1315" s="145" t="inlineStr">
        <is>
          <t>Detailed format sample from top five used rows</t>
        </is>
      </c>
    </row>
    <row r="1316" ht="23.85" customHeight="1" s="79">
      <c r="A1316" s="145" t="inlineStr">
        <is>
          <t>PPO_DATA</t>
        </is>
      </c>
      <c r="B1316" s="145" t="inlineStr">
        <is>
          <t>Top-Row Cell Format</t>
        </is>
      </c>
      <c r="C1316" s="145" t="inlineStr">
        <is>
          <t>AI4</t>
        </is>
      </c>
      <c r="D1316" s="145" t="inlineStr">
        <is>
          <t>PPO_DATA!A1:AM3957</t>
        </is>
      </c>
      <c r="E1316" s="145" t="inlineStr">
        <is>
          <t>Normal</t>
        </is>
      </c>
      <c r="F1316" s="145" t="n"/>
      <c r="G1316" s="145" t="inlineStr">
        <is>
          <t>Aptos</t>
        </is>
      </c>
      <c r="H1316" s="145" t="n">
        <v>8</v>
      </c>
      <c r="I1316" s="145" t="inlineStr">
        <is>
          <t>No</t>
        </is>
      </c>
      <c r="J1316" s="145" t="inlineStr">
        <is>
          <t>No</t>
        </is>
      </c>
      <c r="K1316" s="145" t="inlineStr">
        <is>
          <t>None</t>
        </is>
      </c>
      <c r="L1316" s="145" t="inlineStr">
        <is>
          <t>#000000</t>
        </is>
      </c>
      <c r="M1316" s="145" t="inlineStr">
        <is>
          <t>General</t>
        </is>
      </c>
      <c r="N1316" s="145" t="inlineStr">
        <is>
          <t>Center</t>
        </is>
      </c>
      <c r="O1316" s="145" t="inlineStr">
        <is>
          <t>No</t>
        </is>
      </c>
      <c r="P1316" s="145" t="inlineStr">
        <is>
          <t>General</t>
        </is>
      </c>
      <c r="Q1316" s="145" t="inlineStr">
        <is>
          <t>General</t>
        </is>
      </c>
      <c r="R1316" s="145" t="n"/>
      <c r="S1316" s="145" t="n"/>
      <c r="T1316" s="145" t="n"/>
      <c r="U1316" s="145" t="n"/>
      <c r="V1316" s="145" t="n"/>
      <c r="W1316" s="145" t="n"/>
      <c r="X1316" s="145" t="inlineStr">
        <is>
          <t>Detailed format sample from top five used rows</t>
        </is>
      </c>
    </row>
    <row r="1317" ht="23.85" customHeight="1" s="79">
      <c r="A1317" s="145" t="inlineStr">
        <is>
          <t>PPO_DATA</t>
        </is>
      </c>
      <c r="B1317" s="145" t="inlineStr">
        <is>
          <t>Top-Row Cell Format</t>
        </is>
      </c>
      <c r="C1317" s="145" t="inlineStr">
        <is>
          <t>AI5</t>
        </is>
      </c>
      <c r="D1317" s="145" t="inlineStr">
        <is>
          <t>PPO_DATA!A1:AM3957</t>
        </is>
      </c>
      <c r="E1317" s="145" t="inlineStr">
        <is>
          <t>Normal</t>
        </is>
      </c>
      <c r="F1317" s="145" t="n"/>
      <c r="G1317" s="145" t="inlineStr">
        <is>
          <t>Aptos</t>
        </is>
      </c>
      <c r="H1317" s="145" t="n">
        <v>8</v>
      </c>
      <c r="I1317" s="145" t="inlineStr">
        <is>
          <t>No</t>
        </is>
      </c>
      <c r="J1317" s="145" t="inlineStr">
        <is>
          <t>No</t>
        </is>
      </c>
      <c r="K1317" s="145" t="inlineStr">
        <is>
          <t>None</t>
        </is>
      </c>
      <c r="L1317" s="145" t="inlineStr">
        <is>
          <t>#000000</t>
        </is>
      </c>
      <c r="M1317" s="145" t="inlineStr">
        <is>
          <t>General</t>
        </is>
      </c>
      <c r="N1317" s="145" t="inlineStr">
        <is>
          <t>Center</t>
        </is>
      </c>
      <c r="O1317" s="145" t="inlineStr">
        <is>
          <t>No</t>
        </is>
      </c>
      <c r="P1317" s="145" t="inlineStr">
        <is>
          <t>General</t>
        </is>
      </c>
      <c r="Q1317" s="145" t="inlineStr">
        <is>
          <t>General</t>
        </is>
      </c>
      <c r="R1317" s="145" t="n"/>
      <c r="S1317" s="145" t="n"/>
      <c r="T1317" s="145" t="n"/>
      <c r="U1317" s="145" t="n"/>
      <c r="V1317" s="145" t="n"/>
      <c r="W1317" s="145" t="n"/>
      <c r="X1317" s="145" t="inlineStr">
        <is>
          <t>Detailed format sample from top five used rows</t>
        </is>
      </c>
    </row>
    <row r="1318" ht="23.85" customHeight="1" s="79">
      <c r="A1318" s="145" t="inlineStr">
        <is>
          <t>PPO_DATA</t>
        </is>
      </c>
      <c r="B1318" s="145" t="inlineStr">
        <is>
          <t>Column Format</t>
        </is>
      </c>
      <c r="C1318" s="145" t="inlineStr">
        <is>
          <t>AJ:AJ</t>
        </is>
      </c>
      <c r="D1318" s="145" t="inlineStr">
        <is>
          <t>PPO_DATA!A1:AM3957</t>
        </is>
      </c>
      <c r="E1318" s="145" t="inlineStr">
        <is>
          <t>Mixed</t>
        </is>
      </c>
      <c r="F1318" s="145" t="inlineStr">
        <is>
          <t>Mixed</t>
        </is>
      </c>
      <c r="G1318" s="145" t="inlineStr">
        <is>
          <t>Aptos</t>
        </is>
      </c>
      <c r="H1318" s="145" t="n">
        <v>8</v>
      </c>
      <c r="I1318" s="145" t="inlineStr">
        <is>
          <t>Mixed</t>
        </is>
      </c>
      <c r="J1318" s="145" t="inlineStr">
        <is>
          <t>No</t>
        </is>
      </c>
      <c r="K1318" s="145" t="inlineStr">
        <is>
          <t>None</t>
        </is>
      </c>
      <c r="L1318" s="145" t="inlineStr">
        <is>
          <t>Mixed</t>
        </is>
      </c>
      <c r="M1318" s="145" t="inlineStr">
        <is>
          <t>General</t>
        </is>
      </c>
      <c r="N1318" s="145" t="inlineStr">
        <is>
          <t>Center</t>
        </is>
      </c>
      <c r="O1318" s="145" t="inlineStr">
        <is>
          <t>No</t>
        </is>
      </c>
      <c r="P1318" s="145" t="n"/>
      <c r="Q1318" s="145" t="n"/>
      <c r="R1318" s="145" t="n"/>
      <c r="S1318" s="145" t="n">
        <v>40.2985074626866</v>
      </c>
      <c r="T1318" s="145" t="n"/>
      <c r="U1318" s="145" t="inlineStr">
        <is>
          <t>No</t>
        </is>
      </c>
      <c r="V1318" s="145" t="inlineStr">
        <is>
          <t>Visible</t>
        </is>
      </c>
      <c r="W1318" s="145" t="n"/>
      <c r="X1318" s="145" t="inlineStr">
        <is>
          <t>Mixed styles within used column</t>
        </is>
      </c>
    </row>
    <row r="1319" ht="23.85" customHeight="1" s="79">
      <c r="A1319" s="145" t="inlineStr">
        <is>
          <t>PPO_DATA</t>
        </is>
      </c>
      <c r="B1319" s="145" t="inlineStr">
        <is>
          <t>Top-Row Cell Format</t>
        </is>
      </c>
      <c r="C1319" s="145" t="inlineStr">
        <is>
          <t>AJ1</t>
        </is>
      </c>
      <c r="D1319" s="145" t="inlineStr">
        <is>
          <t>PPO_DATA!A1:AM3957</t>
        </is>
      </c>
      <c r="E1319" s="145" t="inlineStr">
        <is>
          <t>Normal</t>
        </is>
      </c>
      <c r="F1319" s="145" t="inlineStr">
        <is>
          <t>#2F75B5</t>
        </is>
      </c>
      <c r="G1319" s="145" t="inlineStr">
        <is>
          <t>Aptos</t>
        </is>
      </c>
      <c r="H1319" s="145" t="n">
        <v>8</v>
      </c>
      <c r="I1319" s="145" t="inlineStr">
        <is>
          <t>Yes</t>
        </is>
      </c>
      <c r="J1319" s="145" t="inlineStr">
        <is>
          <t>No</t>
        </is>
      </c>
      <c r="K1319" s="145" t="inlineStr">
        <is>
          <t>None</t>
        </is>
      </c>
      <c r="L1319" s="145" t="inlineStr">
        <is>
          <t>#FFFF00</t>
        </is>
      </c>
      <c r="M1319" s="145" t="inlineStr">
        <is>
          <t>General</t>
        </is>
      </c>
      <c r="N1319" s="145" t="inlineStr">
        <is>
          <t>Center</t>
        </is>
      </c>
      <c r="O1319" s="145" t="inlineStr">
        <is>
          <t>No</t>
        </is>
      </c>
      <c r="P1319" s="145" t="inlineStr">
        <is>
          <t>General</t>
        </is>
      </c>
      <c r="Q1319" s="145" t="inlineStr">
        <is>
          <t>General</t>
        </is>
      </c>
      <c r="R1319" s="145" t="n"/>
      <c r="S1319" s="145" t="n"/>
      <c r="T1319" s="145" t="n"/>
      <c r="U1319" s="145" t="n"/>
      <c r="V1319" s="145" t="n"/>
      <c r="W1319" s="145" t="n"/>
      <c r="X1319" s="145" t="inlineStr">
        <is>
          <t>Detailed format sample from top five used rows</t>
        </is>
      </c>
    </row>
    <row r="1320" ht="23.85" customHeight="1" s="79">
      <c r="A1320" s="145" t="inlineStr">
        <is>
          <t>PPO_DATA</t>
        </is>
      </c>
      <c r="B1320" s="145" t="inlineStr">
        <is>
          <t>Top-Row Cell Format</t>
        </is>
      </c>
      <c r="C1320" s="145" t="inlineStr">
        <is>
          <t>AJ2</t>
        </is>
      </c>
      <c r="D1320" s="145" t="inlineStr">
        <is>
          <t>PPO_DATA!A1:AM3957</t>
        </is>
      </c>
      <c r="E1320" s="145" t="inlineStr">
        <is>
          <t>Comma</t>
        </is>
      </c>
      <c r="F1320" s="145" t="n"/>
      <c r="G1320" s="145" t="inlineStr">
        <is>
          <t>Aptos</t>
        </is>
      </c>
      <c r="H1320" s="145" t="n">
        <v>8</v>
      </c>
      <c r="I1320" s="145" t="inlineStr">
        <is>
          <t>No</t>
        </is>
      </c>
      <c r="J1320" s="145" t="inlineStr">
        <is>
          <t>No</t>
        </is>
      </c>
      <c r="K1320" s="145" t="inlineStr">
        <is>
          <t>None</t>
        </is>
      </c>
      <c r="L1320" s="145" t="inlineStr">
        <is>
          <t>#000000</t>
        </is>
      </c>
      <c r="M1320" s="145" t="inlineStr">
        <is>
          <t>General</t>
        </is>
      </c>
      <c r="N1320" s="145" t="inlineStr">
        <is>
          <t>Center</t>
        </is>
      </c>
      <c r="O1320" s="145" t="inlineStr">
        <is>
          <t>No</t>
        </is>
      </c>
      <c r="P1320" s="145" t="inlineStr">
        <is>
          <t xml:space="preserve">_ * #,##0_ ;_ * -#,##0_ ;_ * "-"??_ ;_ @_ </t>
        </is>
      </c>
      <c r="Q1320" s="145" t="inlineStr">
        <is>
          <t>Text</t>
        </is>
      </c>
      <c r="R1320" s="145" t="n"/>
      <c r="S1320" s="145" t="n"/>
      <c r="T1320" s="145" t="n"/>
      <c r="U1320" s="145" t="n"/>
      <c r="V1320" s="145" t="n"/>
      <c r="W1320" s="145" t="n"/>
      <c r="X1320" s="145" t="inlineStr">
        <is>
          <t>Detailed format sample from top five used rows</t>
        </is>
      </c>
    </row>
    <row r="1321" ht="23.85" customHeight="1" s="79">
      <c r="A1321" s="145" t="inlineStr">
        <is>
          <t>PPO_DATA</t>
        </is>
      </c>
      <c r="B1321" s="145" t="inlineStr">
        <is>
          <t>Top-Row Cell Format</t>
        </is>
      </c>
      <c r="C1321" s="145" t="inlineStr">
        <is>
          <t>AJ3</t>
        </is>
      </c>
      <c r="D1321" s="145" t="inlineStr">
        <is>
          <t>PPO_DATA!A1:AM3957</t>
        </is>
      </c>
      <c r="E1321" s="145" t="inlineStr">
        <is>
          <t>Comma</t>
        </is>
      </c>
      <c r="F1321" s="145" t="n"/>
      <c r="G1321" s="145" t="inlineStr">
        <is>
          <t>Aptos</t>
        </is>
      </c>
      <c r="H1321" s="145" t="n">
        <v>8</v>
      </c>
      <c r="I1321" s="145" t="inlineStr">
        <is>
          <t>No</t>
        </is>
      </c>
      <c r="J1321" s="145" t="inlineStr">
        <is>
          <t>No</t>
        </is>
      </c>
      <c r="K1321" s="145" t="inlineStr">
        <is>
          <t>None</t>
        </is>
      </c>
      <c r="L1321" s="145" t="inlineStr">
        <is>
          <t>#000000</t>
        </is>
      </c>
      <c r="M1321" s="145" t="inlineStr">
        <is>
          <t>General</t>
        </is>
      </c>
      <c r="N1321" s="145" t="inlineStr">
        <is>
          <t>Center</t>
        </is>
      </c>
      <c r="O1321" s="145" t="inlineStr">
        <is>
          <t>No</t>
        </is>
      </c>
      <c r="P1321" s="145" t="inlineStr">
        <is>
          <t xml:space="preserve">_ * #,##0_ ;_ * -#,##0_ ;_ * "-"??_ ;_ @_ </t>
        </is>
      </c>
      <c r="Q1321" s="145" t="inlineStr">
        <is>
          <t>Text</t>
        </is>
      </c>
      <c r="R1321" s="145" t="n"/>
      <c r="S1321" s="145" t="n"/>
      <c r="T1321" s="145" t="n"/>
      <c r="U1321" s="145" t="n"/>
      <c r="V1321" s="145" t="n"/>
      <c r="W1321" s="145" t="n"/>
      <c r="X1321" s="145" t="inlineStr">
        <is>
          <t>Detailed format sample from top five used rows</t>
        </is>
      </c>
    </row>
    <row r="1322" ht="23.85" customHeight="1" s="79">
      <c r="A1322" s="145" t="inlineStr">
        <is>
          <t>PPO_DATA</t>
        </is>
      </c>
      <c r="B1322" s="145" t="inlineStr">
        <is>
          <t>Top-Row Cell Format</t>
        </is>
      </c>
      <c r="C1322" s="145" t="inlineStr">
        <is>
          <t>AJ4</t>
        </is>
      </c>
      <c r="D1322" s="145" t="inlineStr">
        <is>
          <t>PPO_DATA!A1:AM3957</t>
        </is>
      </c>
      <c r="E1322" s="145" t="inlineStr">
        <is>
          <t>Comma</t>
        </is>
      </c>
      <c r="F1322" s="145" t="n"/>
      <c r="G1322" s="145" t="inlineStr">
        <is>
          <t>Aptos</t>
        </is>
      </c>
      <c r="H1322" s="145" t="n">
        <v>8</v>
      </c>
      <c r="I1322" s="145" t="inlineStr">
        <is>
          <t>No</t>
        </is>
      </c>
      <c r="J1322" s="145" t="inlineStr">
        <is>
          <t>No</t>
        </is>
      </c>
      <c r="K1322" s="145" t="inlineStr">
        <is>
          <t>None</t>
        </is>
      </c>
      <c r="L1322" s="145" t="inlineStr">
        <is>
          <t>#000000</t>
        </is>
      </c>
      <c r="M1322" s="145" t="inlineStr">
        <is>
          <t>General</t>
        </is>
      </c>
      <c r="N1322" s="145" t="inlineStr">
        <is>
          <t>Center</t>
        </is>
      </c>
      <c r="O1322" s="145" t="inlineStr">
        <is>
          <t>No</t>
        </is>
      </c>
      <c r="P1322" s="145" t="inlineStr">
        <is>
          <t xml:space="preserve">_ * #,##0_ ;_ * -#,##0_ ;_ * "-"??_ ;_ @_ </t>
        </is>
      </c>
      <c r="Q1322" s="145" t="inlineStr">
        <is>
          <t>Text</t>
        </is>
      </c>
      <c r="R1322" s="145" t="n"/>
      <c r="S1322" s="145" t="n"/>
      <c r="T1322" s="145" t="n"/>
      <c r="U1322" s="145" t="n"/>
      <c r="V1322" s="145" t="n"/>
      <c r="W1322" s="145" t="n"/>
      <c r="X1322" s="145" t="inlineStr">
        <is>
          <t>Detailed format sample from top five used rows</t>
        </is>
      </c>
    </row>
    <row r="1323" ht="23.85" customHeight="1" s="79">
      <c r="A1323" s="145" t="inlineStr">
        <is>
          <t>PPO_DATA</t>
        </is>
      </c>
      <c r="B1323" s="145" t="inlineStr">
        <is>
          <t>Top-Row Cell Format</t>
        </is>
      </c>
      <c r="C1323" s="145" t="inlineStr">
        <is>
          <t>AJ5</t>
        </is>
      </c>
      <c r="D1323" s="145" t="inlineStr">
        <is>
          <t>PPO_DATA!A1:AM3957</t>
        </is>
      </c>
      <c r="E1323" s="145" t="inlineStr">
        <is>
          <t>Comma</t>
        </is>
      </c>
      <c r="F1323" s="145" t="n"/>
      <c r="G1323" s="145" t="inlineStr">
        <is>
          <t>Aptos</t>
        </is>
      </c>
      <c r="H1323" s="145" t="n">
        <v>8</v>
      </c>
      <c r="I1323" s="145" t="inlineStr">
        <is>
          <t>No</t>
        </is>
      </c>
      <c r="J1323" s="145" t="inlineStr">
        <is>
          <t>No</t>
        </is>
      </c>
      <c r="K1323" s="145" t="inlineStr">
        <is>
          <t>None</t>
        </is>
      </c>
      <c r="L1323" s="145" t="inlineStr">
        <is>
          <t>#000000</t>
        </is>
      </c>
      <c r="M1323" s="145" t="inlineStr">
        <is>
          <t>General</t>
        </is>
      </c>
      <c r="N1323" s="145" t="inlineStr">
        <is>
          <t>Center</t>
        </is>
      </c>
      <c r="O1323" s="145" t="inlineStr">
        <is>
          <t>No</t>
        </is>
      </c>
      <c r="P1323" s="145" t="inlineStr">
        <is>
          <t xml:space="preserve">_ * #,##0_ ;_ * -#,##0_ ;_ * "-"??_ ;_ @_ </t>
        </is>
      </c>
      <c r="Q1323" s="145" t="inlineStr">
        <is>
          <t>Text</t>
        </is>
      </c>
      <c r="R1323" s="145" t="n"/>
      <c r="S1323" s="145" t="n"/>
      <c r="T1323" s="145" t="n"/>
      <c r="U1323" s="145" t="n"/>
      <c r="V1323" s="145" t="n"/>
      <c r="W1323" s="145" t="n"/>
      <c r="X1323" s="145" t="inlineStr">
        <is>
          <t>Detailed format sample from top five used rows</t>
        </is>
      </c>
    </row>
    <row r="1324" ht="23.85" customHeight="1" s="79">
      <c r="A1324" s="145" t="inlineStr">
        <is>
          <t>PPO_DATA</t>
        </is>
      </c>
      <c r="B1324" s="145" t="inlineStr">
        <is>
          <t>Column Format</t>
        </is>
      </c>
      <c r="C1324" s="145" t="inlineStr">
        <is>
          <t>AK:AK</t>
        </is>
      </c>
      <c r="D1324" s="145" t="inlineStr">
        <is>
          <t>PPO_DATA!A1:AM3957</t>
        </is>
      </c>
      <c r="E1324" s="145" t="inlineStr">
        <is>
          <t>Mixed</t>
        </is>
      </c>
      <c r="F1324" s="145" t="inlineStr">
        <is>
          <t>Mixed</t>
        </is>
      </c>
      <c r="G1324" s="145" t="inlineStr">
        <is>
          <t>Aptos</t>
        </is>
      </c>
      <c r="H1324" s="145" t="n">
        <v>8</v>
      </c>
      <c r="I1324" s="145" t="inlineStr">
        <is>
          <t>Mixed</t>
        </is>
      </c>
      <c r="J1324" s="145" t="inlineStr">
        <is>
          <t>No</t>
        </is>
      </c>
      <c r="K1324" s="145" t="inlineStr">
        <is>
          <t>None</t>
        </is>
      </c>
      <c r="L1324" s="145" t="inlineStr">
        <is>
          <t>Mixed</t>
        </is>
      </c>
      <c r="M1324" s="145" t="inlineStr">
        <is>
          <t>General</t>
        </is>
      </c>
      <c r="N1324" s="145" t="inlineStr">
        <is>
          <t>Center</t>
        </is>
      </c>
      <c r="O1324" s="145" t="inlineStr">
        <is>
          <t>No</t>
        </is>
      </c>
      <c r="P1324" s="145" t="n"/>
      <c r="Q1324" s="145" t="n"/>
      <c r="R1324" s="145" t="n"/>
      <c r="S1324" s="145" t="n">
        <v>52.1194029850746</v>
      </c>
      <c r="T1324" s="145" t="n"/>
      <c r="U1324" s="145" t="inlineStr">
        <is>
          <t>No</t>
        </is>
      </c>
      <c r="V1324" s="145" t="inlineStr">
        <is>
          <t>Visible</t>
        </is>
      </c>
      <c r="W1324" s="145" t="n"/>
      <c r="X1324" s="145" t="inlineStr">
        <is>
          <t>Mixed styles within used column</t>
        </is>
      </c>
    </row>
    <row r="1325" ht="23.85" customHeight="1" s="79">
      <c r="A1325" s="145" t="inlineStr">
        <is>
          <t>PPO_DATA</t>
        </is>
      </c>
      <c r="B1325" s="145" t="inlineStr">
        <is>
          <t>Top-Row Cell Format</t>
        </is>
      </c>
      <c r="C1325" s="145" t="inlineStr">
        <is>
          <t>AK1</t>
        </is>
      </c>
      <c r="D1325" s="145" t="inlineStr">
        <is>
          <t>PPO_DATA!A1:AM3957</t>
        </is>
      </c>
      <c r="E1325" s="145" t="inlineStr">
        <is>
          <t>Normal</t>
        </is>
      </c>
      <c r="F1325" s="145" t="inlineStr">
        <is>
          <t>#2F75B5</t>
        </is>
      </c>
      <c r="G1325" s="145" t="inlineStr">
        <is>
          <t>Aptos</t>
        </is>
      </c>
      <c r="H1325" s="145" t="n">
        <v>8</v>
      </c>
      <c r="I1325" s="145" t="inlineStr">
        <is>
          <t>Yes</t>
        </is>
      </c>
      <c r="J1325" s="145" t="inlineStr">
        <is>
          <t>No</t>
        </is>
      </c>
      <c r="K1325" s="145" t="inlineStr">
        <is>
          <t>None</t>
        </is>
      </c>
      <c r="L1325" s="145" t="inlineStr">
        <is>
          <t>#FFFF00</t>
        </is>
      </c>
      <c r="M1325" s="145" t="inlineStr">
        <is>
          <t>General</t>
        </is>
      </c>
      <c r="N1325" s="145" t="inlineStr">
        <is>
          <t>Center</t>
        </is>
      </c>
      <c r="O1325" s="145" t="inlineStr">
        <is>
          <t>No</t>
        </is>
      </c>
      <c r="P1325" s="145" t="inlineStr">
        <is>
          <t>General</t>
        </is>
      </c>
      <c r="Q1325" s="145" t="inlineStr">
        <is>
          <t>General</t>
        </is>
      </c>
      <c r="R1325" s="145" t="n"/>
      <c r="S1325" s="145" t="n"/>
      <c r="T1325" s="145" t="n"/>
      <c r="U1325" s="145" t="n"/>
      <c r="V1325" s="145" t="n"/>
      <c r="W1325" s="145" t="n"/>
      <c r="X1325" s="145" t="inlineStr">
        <is>
          <t>Detailed format sample from top five used rows</t>
        </is>
      </c>
    </row>
    <row r="1326" ht="23.85" customHeight="1" s="79">
      <c r="A1326" s="145" t="inlineStr">
        <is>
          <t>PPO_DATA</t>
        </is>
      </c>
      <c r="B1326" s="145" t="inlineStr">
        <is>
          <t>Top-Row Cell Format</t>
        </is>
      </c>
      <c r="C1326" s="145" t="inlineStr">
        <is>
          <t>AK2</t>
        </is>
      </c>
      <c r="D1326" s="145" t="inlineStr">
        <is>
          <t>PPO_DATA!A1:AM3957</t>
        </is>
      </c>
      <c r="E1326" s="145" t="inlineStr">
        <is>
          <t>Comma</t>
        </is>
      </c>
      <c r="F1326" s="145" t="n"/>
      <c r="G1326" s="145" t="inlineStr">
        <is>
          <t>Aptos</t>
        </is>
      </c>
      <c r="H1326" s="145" t="n">
        <v>8</v>
      </c>
      <c r="I1326" s="145" t="inlineStr">
        <is>
          <t>No</t>
        </is>
      </c>
      <c r="J1326" s="145" t="inlineStr">
        <is>
          <t>No</t>
        </is>
      </c>
      <c r="K1326" s="145" t="inlineStr">
        <is>
          <t>None</t>
        </is>
      </c>
      <c r="L1326" s="145" t="inlineStr">
        <is>
          <t>#000000</t>
        </is>
      </c>
      <c r="M1326" s="145" t="inlineStr">
        <is>
          <t>General</t>
        </is>
      </c>
      <c r="N1326" s="145" t="inlineStr">
        <is>
          <t>Center</t>
        </is>
      </c>
      <c r="O1326" s="145" t="inlineStr">
        <is>
          <t>No</t>
        </is>
      </c>
      <c r="P1326" s="145" t="inlineStr">
        <is>
          <t xml:space="preserve">_ * #,##0_ ;_ * -#,##0_ ;_ * "-"??_ ;_ @_ </t>
        </is>
      </c>
      <c r="Q1326" s="145" t="inlineStr">
        <is>
          <t>Text</t>
        </is>
      </c>
      <c r="R1326" s="145" t="n"/>
      <c r="S1326" s="145" t="n"/>
      <c r="T1326" s="145" t="n"/>
      <c r="U1326" s="145" t="n"/>
      <c r="V1326" s="145" t="n"/>
      <c r="W1326" s="145" t="n"/>
      <c r="X1326" s="145" t="inlineStr">
        <is>
          <t>Detailed format sample from top five used rows</t>
        </is>
      </c>
    </row>
    <row r="1327" ht="23.85" customHeight="1" s="79">
      <c r="A1327" s="145" t="inlineStr">
        <is>
          <t>PPO_DATA</t>
        </is>
      </c>
      <c r="B1327" s="145" t="inlineStr">
        <is>
          <t>Top-Row Cell Format</t>
        </is>
      </c>
      <c r="C1327" s="145" t="inlineStr">
        <is>
          <t>AK3</t>
        </is>
      </c>
      <c r="D1327" s="145" t="inlineStr">
        <is>
          <t>PPO_DATA!A1:AM3957</t>
        </is>
      </c>
      <c r="E1327" s="145" t="inlineStr">
        <is>
          <t>Comma</t>
        </is>
      </c>
      <c r="F1327" s="145" t="n"/>
      <c r="G1327" s="145" t="inlineStr">
        <is>
          <t>Aptos</t>
        </is>
      </c>
      <c r="H1327" s="145" t="n">
        <v>8</v>
      </c>
      <c r="I1327" s="145" t="inlineStr">
        <is>
          <t>No</t>
        </is>
      </c>
      <c r="J1327" s="145" t="inlineStr">
        <is>
          <t>No</t>
        </is>
      </c>
      <c r="K1327" s="145" t="inlineStr">
        <is>
          <t>None</t>
        </is>
      </c>
      <c r="L1327" s="145" t="inlineStr">
        <is>
          <t>#000000</t>
        </is>
      </c>
      <c r="M1327" s="145" t="inlineStr">
        <is>
          <t>General</t>
        </is>
      </c>
      <c r="N1327" s="145" t="inlineStr">
        <is>
          <t>Center</t>
        </is>
      </c>
      <c r="O1327" s="145" t="inlineStr">
        <is>
          <t>No</t>
        </is>
      </c>
      <c r="P1327" s="145" t="inlineStr">
        <is>
          <t xml:space="preserve">_ * #,##0_ ;_ * -#,##0_ ;_ * "-"??_ ;_ @_ </t>
        </is>
      </c>
      <c r="Q1327" s="145" t="inlineStr">
        <is>
          <t>Text</t>
        </is>
      </c>
      <c r="R1327" s="145" t="n"/>
      <c r="S1327" s="145" t="n"/>
      <c r="T1327" s="145" t="n"/>
      <c r="U1327" s="145" t="n"/>
      <c r="V1327" s="145" t="n"/>
      <c r="W1327" s="145" t="n"/>
      <c r="X1327" s="145" t="inlineStr">
        <is>
          <t>Detailed format sample from top five used rows</t>
        </is>
      </c>
    </row>
    <row r="1328" ht="23.85" customHeight="1" s="79">
      <c r="A1328" s="145" t="inlineStr">
        <is>
          <t>PPO_DATA</t>
        </is>
      </c>
      <c r="B1328" s="145" t="inlineStr">
        <is>
          <t>Top-Row Cell Format</t>
        </is>
      </c>
      <c r="C1328" s="145" t="inlineStr">
        <is>
          <t>AK4</t>
        </is>
      </c>
      <c r="D1328" s="145" t="inlineStr">
        <is>
          <t>PPO_DATA!A1:AM3957</t>
        </is>
      </c>
      <c r="E1328" s="145" t="inlineStr">
        <is>
          <t>Comma</t>
        </is>
      </c>
      <c r="F1328" s="145" t="n"/>
      <c r="G1328" s="145" t="inlineStr">
        <is>
          <t>Aptos</t>
        </is>
      </c>
      <c r="H1328" s="145" t="n">
        <v>8</v>
      </c>
      <c r="I1328" s="145" t="inlineStr">
        <is>
          <t>No</t>
        </is>
      </c>
      <c r="J1328" s="145" t="inlineStr">
        <is>
          <t>No</t>
        </is>
      </c>
      <c r="K1328" s="145" t="inlineStr">
        <is>
          <t>None</t>
        </is>
      </c>
      <c r="L1328" s="145" t="inlineStr">
        <is>
          <t>#000000</t>
        </is>
      </c>
      <c r="M1328" s="145" t="inlineStr">
        <is>
          <t>General</t>
        </is>
      </c>
      <c r="N1328" s="145" t="inlineStr">
        <is>
          <t>Center</t>
        </is>
      </c>
      <c r="O1328" s="145" t="inlineStr">
        <is>
          <t>No</t>
        </is>
      </c>
      <c r="P1328" s="145" t="inlineStr">
        <is>
          <t xml:space="preserve">_ * #,##0_ ;_ * -#,##0_ ;_ * "-"??_ ;_ @_ </t>
        </is>
      </c>
      <c r="Q1328" s="145" t="inlineStr">
        <is>
          <t>Text</t>
        </is>
      </c>
      <c r="R1328" s="145" t="n"/>
      <c r="S1328" s="145" t="n"/>
      <c r="T1328" s="145" t="n"/>
      <c r="U1328" s="145" t="n"/>
      <c r="V1328" s="145" t="n"/>
      <c r="W1328" s="145" t="n"/>
      <c r="X1328" s="145" t="inlineStr">
        <is>
          <t>Detailed format sample from top five used rows</t>
        </is>
      </c>
    </row>
    <row r="1329" ht="23.85" customHeight="1" s="79">
      <c r="A1329" s="145" t="inlineStr">
        <is>
          <t>PPO_DATA</t>
        </is>
      </c>
      <c r="B1329" s="145" t="inlineStr">
        <is>
          <t>Top-Row Cell Format</t>
        </is>
      </c>
      <c r="C1329" s="145" t="inlineStr">
        <is>
          <t>AK5</t>
        </is>
      </c>
      <c r="D1329" s="145" t="inlineStr">
        <is>
          <t>PPO_DATA!A1:AM3957</t>
        </is>
      </c>
      <c r="E1329" s="145" t="inlineStr">
        <is>
          <t>Comma</t>
        </is>
      </c>
      <c r="F1329" s="145" t="n"/>
      <c r="G1329" s="145" t="inlineStr">
        <is>
          <t>Aptos</t>
        </is>
      </c>
      <c r="H1329" s="145" t="n">
        <v>8</v>
      </c>
      <c r="I1329" s="145" t="inlineStr">
        <is>
          <t>No</t>
        </is>
      </c>
      <c r="J1329" s="145" t="inlineStr">
        <is>
          <t>No</t>
        </is>
      </c>
      <c r="K1329" s="145" t="inlineStr">
        <is>
          <t>None</t>
        </is>
      </c>
      <c r="L1329" s="145" t="inlineStr">
        <is>
          <t>#000000</t>
        </is>
      </c>
      <c r="M1329" s="145" t="inlineStr">
        <is>
          <t>General</t>
        </is>
      </c>
      <c r="N1329" s="145" t="inlineStr">
        <is>
          <t>Center</t>
        </is>
      </c>
      <c r="O1329" s="145" t="inlineStr">
        <is>
          <t>No</t>
        </is>
      </c>
      <c r="P1329" s="145" t="inlineStr">
        <is>
          <t xml:space="preserve">_ * #,##0_ ;_ * -#,##0_ ;_ * "-"??_ ;_ @_ </t>
        </is>
      </c>
      <c r="Q1329" s="145" t="inlineStr">
        <is>
          <t>Text</t>
        </is>
      </c>
      <c r="R1329" s="145" t="n"/>
      <c r="S1329" s="145" t="n"/>
      <c r="T1329" s="145" t="n"/>
      <c r="U1329" s="145" t="n"/>
      <c r="V1329" s="145" t="n"/>
      <c r="W1329" s="145" t="n"/>
      <c r="X1329" s="145" t="inlineStr">
        <is>
          <t>Detailed format sample from top five used rows</t>
        </is>
      </c>
    </row>
    <row r="1330" ht="23.85" customHeight="1" s="79">
      <c r="A1330" s="145" t="inlineStr">
        <is>
          <t>PPO_DATA</t>
        </is>
      </c>
      <c r="B1330" s="145" t="inlineStr">
        <is>
          <t>Column Format</t>
        </is>
      </c>
      <c r="C1330" s="145" t="inlineStr">
        <is>
          <t>AL:AL</t>
        </is>
      </c>
      <c r="D1330" s="145" t="inlineStr">
        <is>
          <t>PPO_DATA!A1:AM3957</t>
        </is>
      </c>
      <c r="E1330" s="145" t="inlineStr">
        <is>
          <t>Mixed</t>
        </is>
      </c>
      <c r="F1330" s="145" t="inlineStr">
        <is>
          <t>Mixed</t>
        </is>
      </c>
      <c r="G1330" s="145" t="inlineStr">
        <is>
          <t>Aptos</t>
        </is>
      </c>
      <c r="H1330" s="145" t="n">
        <v>8</v>
      </c>
      <c r="I1330" s="145" t="inlineStr">
        <is>
          <t>Mixed</t>
        </is>
      </c>
      <c r="J1330" s="145" t="inlineStr">
        <is>
          <t>No</t>
        </is>
      </c>
      <c r="K1330" s="145" t="inlineStr">
        <is>
          <t>None</t>
        </is>
      </c>
      <c r="L1330" s="145" t="inlineStr">
        <is>
          <t>Mixed</t>
        </is>
      </c>
      <c r="M1330" s="145" t="inlineStr">
        <is>
          <t>General</t>
        </is>
      </c>
      <c r="N1330" s="145" t="inlineStr">
        <is>
          <t>Center</t>
        </is>
      </c>
      <c r="O1330" s="145" t="inlineStr">
        <is>
          <t>No</t>
        </is>
      </c>
      <c r="P1330" s="145" t="n"/>
      <c r="Q1330" s="145" t="n"/>
      <c r="R1330" s="145" t="n"/>
      <c r="S1330" s="145" t="n">
        <v>60.1791044776119</v>
      </c>
      <c r="T1330" s="145" t="n"/>
      <c r="U1330" s="145" t="inlineStr">
        <is>
          <t>No</t>
        </is>
      </c>
      <c r="V1330" s="145" t="inlineStr">
        <is>
          <t>Visible</t>
        </is>
      </c>
      <c r="W1330" s="145" t="n"/>
      <c r="X1330" s="145" t="inlineStr">
        <is>
          <t>Mixed styles within used column</t>
        </is>
      </c>
    </row>
    <row r="1331" ht="23.85" customHeight="1" s="79">
      <c r="A1331" s="145" t="inlineStr">
        <is>
          <t>PPO_DATA</t>
        </is>
      </c>
      <c r="B1331" s="145" t="inlineStr">
        <is>
          <t>Top-Row Cell Format</t>
        </is>
      </c>
      <c r="C1331" s="145" t="inlineStr">
        <is>
          <t>AL1</t>
        </is>
      </c>
      <c r="D1331" s="145" t="inlineStr">
        <is>
          <t>PPO_DATA!A1:AM3957</t>
        </is>
      </c>
      <c r="E1331" s="145" t="inlineStr">
        <is>
          <t>Normal</t>
        </is>
      </c>
      <c r="F1331" s="145" t="inlineStr">
        <is>
          <t>#2F75B5</t>
        </is>
      </c>
      <c r="G1331" s="145" t="inlineStr">
        <is>
          <t>Aptos</t>
        </is>
      </c>
      <c r="H1331" s="145" t="n">
        <v>8</v>
      </c>
      <c r="I1331" s="145" t="inlineStr">
        <is>
          <t>Yes</t>
        </is>
      </c>
      <c r="J1331" s="145" t="inlineStr">
        <is>
          <t>No</t>
        </is>
      </c>
      <c r="K1331" s="145" t="inlineStr">
        <is>
          <t>None</t>
        </is>
      </c>
      <c r="L1331" s="145" t="inlineStr">
        <is>
          <t>#FFFF00</t>
        </is>
      </c>
      <c r="M1331" s="145" t="inlineStr">
        <is>
          <t>General</t>
        </is>
      </c>
      <c r="N1331" s="145" t="inlineStr">
        <is>
          <t>Center</t>
        </is>
      </c>
      <c r="O1331" s="145" t="inlineStr">
        <is>
          <t>No</t>
        </is>
      </c>
      <c r="P1331" s="145" t="inlineStr">
        <is>
          <t>General</t>
        </is>
      </c>
      <c r="Q1331" s="145" t="inlineStr">
        <is>
          <t>General</t>
        </is>
      </c>
      <c r="R1331" s="145" t="n"/>
      <c r="S1331" s="145" t="n"/>
      <c r="T1331" s="145" t="n"/>
      <c r="U1331" s="145" t="n"/>
      <c r="V1331" s="145" t="n"/>
      <c r="W1331" s="145" t="n"/>
      <c r="X1331" s="145" t="inlineStr">
        <is>
          <t>Detailed format sample from top five used rows</t>
        </is>
      </c>
    </row>
    <row r="1332" ht="23.85" customHeight="1" s="79">
      <c r="A1332" s="145" t="inlineStr">
        <is>
          <t>PPO_DATA</t>
        </is>
      </c>
      <c r="B1332" s="145" t="inlineStr">
        <is>
          <t>Top-Row Cell Format</t>
        </is>
      </c>
      <c r="C1332" s="145" t="inlineStr">
        <is>
          <t>AL2</t>
        </is>
      </c>
      <c r="D1332" s="145" t="inlineStr">
        <is>
          <t>PPO_DATA!A1:AM3957</t>
        </is>
      </c>
      <c r="E1332" s="145" t="inlineStr">
        <is>
          <t>Comma</t>
        </is>
      </c>
      <c r="F1332" s="145" t="n"/>
      <c r="G1332" s="145" t="inlineStr">
        <is>
          <t>Aptos</t>
        </is>
      </c>
      <c r="H1332" s="145" t="n">
        <v>8</v>
      </c>
      <c r="I1332" s="145" t="inlineStr">
        <is>
          <t>No</t>
        </is>
      </c>
      <c r="J1332" s="145" t="inlineStr">
        <is>
          <t>No</t>
        </is>
      </c>
      <c r="K1332" s="145" t="inlineStr">
        <is>
          <t>None</t>
        </is>
      </c>
      <c r="L1332" s="145" t="inlineStr">
        <is>
          <t>#000000</t>
        </is>
      </c>
      <c r="M1332" s="145" t="inlineStr">
        <is>
          <t>General</t>
        </is>
      </c>
      <c r="N1332" s="145" t="inlineStr">
        <is>
          <t>Center</t>
        </is>
      </c>
      <c r="O1332" s="145" t="inlineStr">
        <is>
          <t>No</t>
        </is>
      </c>
      <c r="P1332" s="145" t="inlineStr">
        <is>
          <t xml:space="preserve">_ * #,##0_ ;_ * -#,##0_ ;_ * "-"??_ ;_ @_ </t>
        </is>
      </c>
      <c r="Q1332" s="145" t="inlineStr">
        <is>
          <t>Text</t>
        </is>
      </c>
      <c r="R1332" s="145" t="n"/>
      <c r="S1332" s="145" t="n"/>
      <c r="T1332" s="145" t="n"/>
      <c r="U1332" s="145" t="n"/>
      <c r="V1332" s="145" t="n"/>
      <c r="W1332" s="145" t="n"/>
      <c r="X1332" s="145" t="inlineStr">
        <is>
          <t>Detailed format sample from top five used rows</t>
        </is>
      </c>
    </row>
    <row r="1333" ht="23.85" customHeight="1" s="79">
      <c r="A1333" s="145" t="inlineStr">
        <is>
          <t>PPO_DATA</t>
        </is>
      </c>
      <c r="B1333" s="145" t="inlineStr">
        <is>
          <t>Top-Row Cell Format</t>
        </is>
      </c>
      <c r="C1333" s="145" t="inlineStr">
        <is>
          <t>AL3</t>
        </is>
      </c>
      <c r="D1333" s="145" t="inlineStr">
        <is>
          <t>PPO_DATA!A1:AM3957</t>
        </is>
      </c>
      <c r="E1333" s="145" t="inlineStr">
        <is>
          <t>Comma</t>
        </is>
      </c>
      <c r="F1333" s="145" t="n"/>
      <c r="G1333" s="145" t="inlineStr">
        <is>
          <t>Aptos</t>
        </is>
      </c>
      <c r="H1333" s="145" t="n">
        <v>8</v>
      </c>
      <c r="I1333" s="145" t="inlineStr">
        <is>
          <t>No</t>
        </is>
      </c>
      <c r="J1333" s="145" t="inlineStr">
        <is>
          <t>No</t>
        </is>
      </c>
      <c r="K1333" s="145" t="inlineStr">
        <is>
          <t>None</t>
        </is>
      </c>
      <c r="L1333" s="145" t="inlineStr">
        <is>
          <t>#000000</t>
        </is>
      </c>
      <c r="M1333" s="145" t="inlineStr">
        <is>
          <t>General</t>
        </is>
      </c>
      <c r="N1333" s="145" t="inlineStr">
        <is>
          <t>Center</t>
        </is>
      </c>
      <c r="O1333" s="145" t="inlineStr">
        <is>
          <t>No</t>
        </is>
      </c>
      <c r="P1333" s="145" t="inlineStr">
        <is>
          <t xml:space="preserve">_ * #,##0_ ;_ * -#,##0_ ;_ * "-"??_ ;_ @_ </t>
        </is>
      </c>
      <c r="Q1333" s="145" t="inlineStr">
        <is>
          <t>Text</t>
        </is>
      </c>
      <c r="R1333" s="145" t="n"/>
      <c r="S1333" s="145" t="n"/>
      <c r="T1333" s="145" t="n"/>
      <c r="U1333" s="145" t="n"/>
      <c r="V1333" s="145" t="n"/>
      <c r="W1333" s="145" t="n"/>
      <c r="X1333" s="145" t="inlineStr">
        <is>
          <t>Detailed format sample from top five used rows</t>
        </is>
      </c>
    </row>
    <row r="1334" ht="23.85" customHeight="1" s="79">
      <c r="A1334" s="145" t="inlineStr">
        <is>
          <t>PPO_DATA</t>
        </is>
      </c>
      <c r="B1334" s="145" t="inlineStr">
        <is>
          <t>Top-Row Cell Format</t>
        </is>
      </c>
      <c r="C1334" s="145" t="inlineStr">
        <is>
          <t>AL4</t>
        </is>
      </c>
      <c r="D1334" s="145" t="inlineStr">
        <is>
          <t>PPO_DATA!A1:AM3957</t>
        </is>
      </c>
      <c r="E1334" s="145" t="inlineStr">
        <is>
          <t>Comma</t>
        </is>
      </c>
      <c r="F1334" s="145" t="n"/>
      <c r="G1334" s="145" t="inlineStr">
        <is>
          <t>Aptos</t>
        </is>
      </c>
      <c r="H1334" s="145" t="n">
        <v>8</v>
      </c>
      <c r="I1334" s="145" t="inlineStr">
        <is>
          <t>No</t>
        </is>
      </c>
      <c r="J1334" s="145" t="inlineStr">
        <is>
          <t>No</t>
        </is>
      </c>
      <c r="K1334" s="145" t="inlineStr">
        <is>
          <t>None</t>
        </is>
      </c>
      <c r="L1334" s="145" t="inlineStr">
        <is>
          <t>#000000</t>
        </is>
      </c>
      <c r="M1334" s="145" t="inlineStr">
        <is>
          <t>General</t>
        </is>
      </c>
      <c r="N1334" s="145" t="inlineStr">
        <is>
          <t>Center</t>
        </is>
      </c>
      <c r="O1334" s="145" t="inlineStr">
        <is>
          <t>No</t>
        </is>
      </c>
      <c r="P1334" s="145" t="inlineStr">
        <is>
          <t xml:space="preserve">_ * #,##0_ ;_ * -#,##0_ ;_ * "-"??_ ;_ @_ </t>
        </is>
      </c>
      <c r="Q1334" s="145" t="inlineStr">
        <is>
          <t>Text</t>
        </is>
      </c>
      <c r="R1334" s="145" t="n"/>
      <c r="S1334" s="145" t="n"/>
      <c r="T1334" s="145" t="n"/>
      <c r="U1334" s="145" t="n"/>
      <c r="V1334" s="145" t="n"/>
      <c r="W1334" s="145" t="n"/>
      <c r="X1334" s="145" t="inlineStr">
        <is>
          <t>Detailed format sample from top five used rows</t>
        </is>
      </c>
    </row>
    <row r="1335" ht="23.85" customHeight="1" s="79">
      <c r="A1335" s="145" t="inlineStr">
        <is>
          <t>PPO_DATA</t>
        </is>
      </c>
      <c r="B1335" s="145" t="inlineStr">
        <is>
          <t>Top-Row Cell Format</t>
        </is>
      </c>
      <c r="C1335" s="145" t="inlineStr">
        <is>
          <t>AL5</t>
        </is>
      </c>
      <c r="D1335" s="145" t="inlineStr">
        <is>
          <t>PPO_DATA!A1:AM3957</t>
        </is>
      </c>
      <c r="E1335" s="145" t="inlineStr">
        <is>
          <t>Comma</t>
        </is>
      </c>
      <c r="F1335" s="145" t="n"/>
      <c r="G1335" s="145" t="inlineStr">
        <is>
          <t>Aptos</t>
        </is>
      </c>
      <c r="H1335" s="145" t="n">
        <v>8</v>
      </c>
      <c r="I1335" s="145" t="inlineStr">
        <is>
          <t>No</t>
        </is>
      </c>
      <c r="J1335" s="145" t="inlineStr">
        <is>
          <t>No</t>
        </is>
      </c>
      <c r="K1335" s="145" t="inlineStr">
        <is>
          <t>None</t>
        </is>
      </c>
      <c r="L1335" s="145" t="inlineStr">
        <is>
          <t>#000000</t>
        </is>
      </c>
      <c r="M1335" s="145" t="inlineStr">
        <is>
          <t>General</t>
        </is>
      </c>
      <c r="N1335" s="145" t="inlineStr">
        <is>
          <t>Center</t>
        </is>
      </c>
      <c r="O1335" s="145" t="inlineStr">
        <is>
          <t>No</t>
        </is>
      </c>
      <c r="P1335" s="145" t="inlineStr">
        <is>
          <t xml:space="preserve">_ * #,##0_ ;_ * -#,##0_ ;_ * "-"??_ ;_ @_ </t>
        </is>
      </c>
      <c r="Q1335" s="145" t="inlineStr">
        <is>
          <t>Text</t>
        </is>
      </c>
      <c r="R1335" s="145" t="n"/>
      <c r="S1335" s="145" t="n"/>
      <c r="T1335" s="145" t="n"/>
      <c r="U1335" s="145" t="n"/>
      <c r="V1335" s="145" t="n"/>
      <c r="W1335" s="145" t="n"/>
      <c r="X1335" s="145" t="inlineStr">
        <is>
          <t>Detailed format sample from top five used rows</t>
        </is>
      </c>
    </row>
    <row r="1336" ht="23.85" customHeight="1" s="79">
      <c r="A1336" s="145" t="inlineStr">
        <is>
          <t>PPO_DATA</t>
        </is>
      </c>
      <c r="B1336" s="145" t="inlineStr">
        <is>
          <t>Column Format</t>
        </is>
      </c>
      <c r="C1336" s="145" t="inlineStr">
        <is>
          <t>AM:AM</t>
        </is>
      </c>
      <c r="D1336" s="145" t="inlineStr">
        <is>
          <t>PPO_DATA!A1:AM3957</t>
        </is>
      </c>
      <c r="E1336" s="145" t="inlineStr">
        <is>
          <t>Mixed</t>
        </is>
      </c>
      <c r="F1336" s="145" t="inlineStr">
        <is>
          <t>Mixed</t>
        </is>
      </c>
      <c r="G1336" s="145" t="inlineStr">
        <is>
          <t>Aptos</t>
        </is>
      </c>
      <c r="H1336" s="145" t="n">
        <v>8</v>
      </c>
      <c r="I1336" s="145" t="inlineStr">
        <is>
          <t>Mixed</t>
        </is>
      </c>
      <c r="J1336" s="145" t="inlineStr">
        <is>
          <t>No</t>
        </is>
      </c>
      <c r="K1336" s="145" t="inlineStr">
        <is>
          <t>None</t>
        </is>
      </c>
      <c r="L1336" s="145" t="inlineStr">
        <is>
          <t>Mixed</t>
        </is>
      </c>
      <c r="M1336" s="145" t="inlineStr">
        <is>
          <t>General</t>
        </is>
      </c>
      <c r="N1336" s="145" t="inlineStr">
        <is>
          <t>Center</t>
        </is>
      </c>
      <c r="O1336" s="145" t="inlineStr">
        <is>
          <t>No</t>
        </is>
      </c>
      <c r="P1336" s="145" t="n"/>
      <c r="Q1336" s="145" t="n"/>
      <c r="R1336" s="145" t="n"/>
      <c r="S1336" s="145" t="n">
        <v>49.4328358208955</v>
      </c>
      <c r="T1336" s="145" t="n"/>
      <c r="U1336" s="145" t="inlineStr">
        <is>
          <t>No</t>
        </is>
      </c>
      <c r="V1336" s="145" t="inlineStr">
        <is>
          <t>Visible</t>
        </is>
      </c>
      <c r="W1336" s="145" t="n"/>
      <c r="X1336" s="145" t="inlineStr">
        <is>
          <t>Mixed styles within used column</t>
        </is>
      </c>
    </row>
    <row r="1337" ht="23.85" customHeight="1" s="79">
      <c r="A1337" s="145" t="inlineStr">
        <is>
          <t>PPO_DATA</t>
        </is>
      </c>
      <c r="B1337" s="145" t="inlineStr">
        <is>
          <t>Top-Row Cell Format</t>
        </is>
      </c>
      <c r="C1337" s="145" t="inlineStr">
        <is>
          <t>AM1</t>
        </is>
      </c>
      <c r="D1337" s="145" t="inlineStr">
        <is>
          <t>PPO_DATA!A1:AM3957</t>
        </is>
      </c>
      <c r="E1337" s="145" t="inlineStr">
        <is>
          <t>Normal</t>
        </is>
      </c>
      <c r="F1337" s="145" t="inlineStr">
        <is>
          <t>#2F75B5</t>
        </is>
      </c>
      <c r="G1337" s="145" t="inlineStr">
        <is>
          <t>Aptos</t>
        </is>
      </c>
      <c r="H1337" s="145" t="n">
        <v>8</v>
      </c>
      <c r="I1337" s="145" t="inlineStr">
        <is>
          <t>Yes</t>
        </is>
      </c>
      <c r="J1337" s="145" t="inlineStr">
        <is>
          <t>No</t>
        </is>
      </c>
      <c r="K1337" s="145" t="inlineStr">
        <is>
          <t>None</t>
        </is>
      </c>
      <c r="L1337" s="145" t="inlineStr">
        <is>
          <t>#FFFF00</t>
        </is>
      </c>
      <c r="M1337" s="145" t="inlineStr">
        <is>
          <t>General</t>
        </is>
      </c>
      <c r="N1337" s="145" t="inlineStr">
        <is>
          <t>Center</t>
        </is>
      </c>
      <c r="O1337" s="145" t="inlineStr">
        <is>
          <t>No</t>
        </is>
      </c>
      <c r="P1337" s="145" t="inlineStr">
        <is>
          <t>General</t>
        </is>
      </c>
      <c r="Q1337" s="145" t="inlineStr">
        <is>
          <t>General</t>
        </is>
      </c>
      <c r="R1337" s="145" t="n"/>
      <c r="S1337" s="145" t="n"/>
      <c r="T1337" s="145" t="n"/>
      <c r="U1337" s="145" t="n"/>
      <c r="V1337" s="145" t="n"/>
      <c r="W1337" s="145" t="n"/>
      <c r="X1337" s="145" t="inlineStr">
        <is>
          <t>Detailed format sample from top five used rows</t>
        </is>
      </c>
    </row>
    <row r="1338" ht="23.85" customHeight="1" s="79">
      <c r="A1338" s="145" t="inlineStr">
        <is>
          <t>PPO_DATA</t>
        </is>
      </c>
      <c r="B1338" s="145" t="inlineStr">
        <is>
          <t>Top-Row Cell Format</t>
        </is>
      </c>
      <c r="C1338" s="145" t="inlineStr">
        <is>
          <t>AM2</t>
        </is>
      </c>
      <c r="D1338" s="145" t="inlineStr">
        <is>
          <t>PPO_DATA!A1:AM3957</t>
        </is>
      </c>
      <c r="E1338" s="145" t="inlineStr">
        <is>
          <t>Comma</t>
        </is>
      </c>
      <c r="F1338" s="145" t="n"/>
      <c r="G1338" s="145" t="inlineStr">
        <is>
          <t>Aptos</t>
        </is>
      </c>
      <c r="H1338" s="145" t="n">
        <v>8</v>
      </c>
      <c r="I1338" s="145" t="inlineStr">
        <is>
          <t>No</t>
        </is>
      </c>
      <c r="J1338" s="145" t="inlineStr">
        <is>
          <t>No</t>
        </is>
      </c>
      <c r="K1338" s="145" t="inlineStr">
        <is>
          <t>None</t>
        </is>
      </c>
      <c r="L1338" s="145" t="inlineStr">
        <is>
          <t>#000000</t>
        </is>
      </c>
      <c r="M1338" s="145" t="inlineStr">
        <is>
          <t>General</t>
        </is>
      </c>
      <c r="N1338" s="145" t="inlineStr">
        <is>
          <t>Center</t>
        </is>
      </c>
      <c r="O1338" s="145" t="inlineStr">
        <is>
          <t>No</t>
        </is>
      </c>
      <c r="P1338" s="145" t="inlineStr">
        <is>
          <t xml:space="preserve">_ * #,##0_ ;_ * -#,##0_ ;_ * "-"??_ ;_ @_ </t>
        </is>
      </c>
      <c r="Q1338" s="145" t="inlineStr">
        <is>
          <t>Text</t>
        </is>
      </c>
      <c r="R1338" s="145" t="n"/>
      <c r="S1338" s="145" t="n"/>
      <c r="T1338" s="145" t="n"/>
      <c r="U1338" s="145" t="n"/>
      <c r="V1338" s="145" t="n"/>
      <c r="W1338" s="145" t="n"/>
      <c r="X1338" s="145" t="inlineStr">
        <is>
          <t>Detailed format sample from top five used rows</t>
        </is>
      </c>
    </row>
    <row r="1339" ht="23.85" customHeight="1" s="79">
      <c r="A1339" s="145" t="inlineStr">
        <is>
          <t>PPO_DATA</t>
        </is>
      </c>
      <c r="B1339" s="145" t="inlineStr">
        <is>
          <t>Top-Row Cell Format</t>
        </is>
      </c>
      <c r="C1339" s="145" t="inlineStr">
        <is>
          <t>AM3</t>
        </is>
      </c>
      <c r="D1339" s="145" t="inlineStr">
        <is>
          <t>PPO_DATA!A1:AM3957</t>
        </is>
      </c>
      <c r="E1339" s="145" t="inlineStr">
        <is>
          <t>Comma</t>
        </is>
      </c>
      <c r="F1339" s="145" t="n"/>
      <c r="G1339" s="145" t="inlineStr">
        <is>
          <t>Aptos</t>
        </is>
      </c>
      <c r="H1339" s="145" t="n">
        <v>8</v>
      </c>
      <c r="I1339" s="145" t="inlineStr">
        <is>
          <t>No</t>
        </is>
      </c>
      <c r="J1339" s="145" t="inlineStr">
        <is>
          <t>No</t>
        </is>
      </c>
      <c r="K1339" s="145" t="inlineStr">
        <is>
          <t>None</t>
        </is>
      </c>
      <c r="L1339" s="145" t="inlineStr">
        <is>
          <t>#000000</t>
        </is>
      </c>
      <c r="M1339" s="145" t="inlineStr">
        <is>
          <t>General</t>
        </is>
      </c>
      <c r="N1339" s="145" t="inlineStr">
        <is>
          <t>Center</t>
        </is>
      </c>
      <c r="O1339" s="145" t="inlineStr">
        <is>
          <t>No</t>
        </is>
      </c>
      <c r="P1339" s="145" t="inlineStr">
        <is>
          <t xml:space="preserve">_ * #,##0_ ;_ * -#,##0_ ;_ * "-"??_ ;_ @_ </t>
        </is>
      </c>
      <c r="Q1339" s="145" t="inlineStr">
        <is>
          <t>Text</t>
        </is>
      </c>
      <c r="R1339" s="145" t="n"/>
      <c r="S1339" s="145" t="n"/>
      <c r="T1339" s="145" t="n"/>
      <c r="U1339" s="145" t="n"/>
      <c r="V1339" s="145" t="n"/>
      <c r="W1339" s="145" t="n"/>
      <c r="X1339" s="145" t="inlineStr">
        <is>
          <t>Detailed format sample from top five used rows</t>
        </is>
      </c>
    </row>
    <row r="1340" ht="23.85" customHeight="1" s="79">
      <c r="A1340" s="145" t="inlineStr">
        <is>
          <t>PPO_DATA</t>
        </is>
      </c>
      <c r="B1340" s="145" t="inlineStr">
        <is>
          <t>Top-Row Cell Format</t>
        </is>
      </c>
      <c r="C1340" s="145" t="inlineStr">
        <is>
          <t>AM4</t>
        </is>
      </c>
      <c r="D1340" s="145" t="inlineStr">
        <is>
          <t>PPO_DATA!A1:AM3957</t>
        </is>
      </c>
      <c r="E1340" s="145" t="inlineStr">
        <is>
          <t>Comma</t>
        </is>
      </c>
      <c r="F1340" s="145" t="n"/>
      <c r="G1340" s="145" t="inlineStr">
        <is>
          <t>Aptos</t>
        </is>
      </c>
      <c r="H1340" s="145" t="n">
        <v>8</v>
      </c>
      <c r="I1340" s="145" t="inlineStr">
        <is>
          <t>No</t>
        </is>
      </c>
      <c r="J1340" s="145" t="inlineStr">
        <is>
          <t>No</t>
        </is>
      </c>
      <c r="K1340" s="145" t="inlineStr">
        <is>
          <t>None</t>
        </is>
      </c>
      <c r="L1340" s="145" t="inlineStr">
        <is>
          <t>#000000</t>
        </is>
      </c>
      <c r="M1340" s="145" t="inlineStr">
        <is>
          <t>General</t>
        </is>
      </c>
      <c r="N1340" s="145" t="inlineStr">
        <is>
          <t>Center</t>
        </is>
      </c>
      <c r="O1340" s="145" t="inlineStr">
        <is>
          <t>No</t>
        </is>
      </c>
      <c r="P1340" s="145" t="inlineStr">
        <is>
          <t xml:space="preserve">_ * #,##0_ ;_ * -#,##0_ ;_ * "-"??_ ;_ @_ </t>
        </is>
      </c>
      <c r="Q1340" s="145" t="inlineStr">
        <is>
          <t>Text</t>
        </is>
      </c>
      <c r="R1340" s="145" t="n"/>
      <c r="S1340" s="145" t="n"/>
      <c r="T1340" s="145" t="n"/>
      <c r="U1340" s="145" t="n"/>
      <c r="V1340" s="145" t="n"/>
      <c r="W1340" s="145" t="n"/>
      <c r="X1340" s="145" t="inlineStr">
        <is>
          <t>Detailed format sample from top five used rows</t>
        </is>
      </c>
    </row>
    <row r="1341" ht="23.85" customHeight="1" s="79">
      <c r="A1341" s="145" t="inlineStr">
        <is>
          <t>PPO_DATA</t>
        </is>
      </c>
      <c r="B1341" s="145" t="inlineStr">
        <is>
          <t>Top-Row Cell Format</t>
        </is>
      </c>
      <c r="C1341" s="145" t="inlineStr">
        <is>
          <t>AM5</t>
        </is>
      </c>
      <c r="D1341" s="145" t="inlineStr">
        <is>
          <t>PPO_DATA!A1:AM3957</t>
        </is>
      </c>
      <c r="E1341" s="145" t="inlineStr">
        <is>
          <t>Comma</t>
        </is>
      </c>
      <c r="F1341" s="145" t="n"/>
      <c r="G1341" s="145" t="inlineStr">
        <is>
          <t>Aptos</t>
        </is>
      </c>
      <c r="H1341" s="145" t="n">
        <v>8</v>
      </c>
      <c r="I1341" s="145" t="inlineStr">
        <is>
          <t>No</t>
        </is>
      </c>
      <c r="J1341" s="145" t="inlineStr">
        <is>
          <t>No</t>
        </is>
      </c>
      <c r="K1341" s="145" t="inlineStr">
        <is>
          <t>None</t>
        </is>
      </c>
      <c r="L1341" s="145" t="inlineStr">
        <is>
          <t>#000000</t>
        </is>
      </c>
      <c r="M1341" s="145" t="inlineStr">
        <is>
          <t>General</t>
        </is>
      </c>
      <c r="N1341" s="145" t="inlineStr">
        <is>
          <t>Center</t>
        </is>
      </c>
      <c r="O1341" s="145" t="inlineStr">
        <is>
          <t>No</t>
        </is>
      </c>
      <c r="P1341" s="145" t="inlineStr">
        <is>
          <t xml:space="preserve">_ * #,##0_ ;_ * -#,##0_ ;_ * "-"??_ ;_ @_ </t>
        </is>
      </c>
      <c r="Q1341" s="145" t="inlineStr">
        <is>
          <t>Text</t>
        </is>
      </c>
      <c r="R1341" s="145" t="n"/>
      <c r="S1341" s="145" t="n"/>
      <c r="T1341" s="145" t="n"/>
      <c r="U1341" s="145" t="n"/>
      <c r="V1341" s="145" t="n"/>
      <c r="W1341" s="145" t="n"/>
      <c r="X1341" s="145" t="inlineStr">
        <is>
          <t>Detailed format sample from top five used rows</t>
        </is>
      </c>
    </row>
    <row r="1342" ht="23.85" customHeight="1" s="79">
      <c r="A1342" s="145" t="inlineStr">
        <is>
          <t>GM_TNA</t>
        </is>
      </c>
      <c r="B1342" s="145" t="inlineStr">
        <is>
          <t>Sheet Summary</t>
        </is>
      </c>
      <c r="C1342" s="145" t="inlineStr">
        <is>
          <t>GM_TNA</t>
        </is>
      </c>
      <c r="D1342" s="145" t="inlineStr">
        <is>
          <t>GM_TNA!A1:Z373</t>
        </is>
      </c>
      <c r="E1342" s="145" t="n"/>
      <c r="F1342" s="145" t="n"/>
      <c r="G1342" s="145" t="n"/>
      <c r="H1342" s="145" t="n"/>
      <c r="I1342" s="145" t="n"/>
      <c r="J1342" s="145" t="n"/>
      <c r="K1342" s="145" t="n"/>
      <c r="L1342" s="145" t="n"/>
      <c r="M1342" s="145" t="n"/>
      <c r="N1342" s="145" t="n"/>
      <c r="O1342" s="145" t="n"/>
      <c r="P1342" s="145" t="n"/>
      <c r="Q1342" s="145" t="n"/>
      <c r="R1342" s="145" t="n"/>
      <c r="S1342" s="145" t="n"/>
      <c r="T1342" s="145" t="n"/>
      <c r="U1342" s="145" t="inlineStr">
        <is>
          <t>No</t>
        </is>
      </c>
      <c r="V1342" s="145" t="inlineStr">
        <is>
          <t>Visible</t>
        </is>
      </c>
      <c r="W1342" s="145" t="inlineStr">
        <is>
          <t>No worksheet AutoFilter</t>
        </is>
      </c>
      <c r="X1342" s="145" t="inlineStr">
        <is>
          <t>Used rows: 373; used columns: 26</t>
        </is>
      </c>
    </row>
    <row r="1343" ht="23.85" customHeight="1" s="79">
      <c r="A1343" s="145" t="inlineStr">
        <is>
          <t>GM_TNA</t>
        </is>
      </c>
      <c r="B1343" s="145" t="inlineStr">
        <is>
          <t>Column Format</t>
        </is>
      </c>
      <c r="C1343" s="145" t="inlineStr">
        <is>
          <t>A:A</t>
        </is>
      </c>
      <c r="D1343" s="145" t="inlineStr">
        <is>
          <t>GM_TNA!A1:Z373</t>
        </is>
      </c>
      <c r="E1343" s="145" t="inlineStr">
        <is>
          <t>Normal</t>
        </is>
      </c>
      <c r="F1343" s="145" t="inlineStr">
        <is>
          <t>Mixed</t>
        </is>
      </c>
      <c r="G1343" s="145" t="inlineStr">
        <is>
          <t>Aptos</t>
        </is>
      </c>
      <c r="H1343" s="145" t="n">
        <v>8</v>
      </c>
      <c r="I1343" s="145" t="inlineStr">
        <is>
          <t>Mixed</t>
        </is>
      </c>
      <c r="J1343" s="145" t="inlineStr">
        <is>
          <t>No</t>
        </is>
      </c>
      <c r="K1343" s="145" t="inlineStr">
        <is>
          <t>None</t>
        </is>
      </c>
      <c r="L1343" s="145" t="inlineStr">
        <is>
          <t>Mixed</t>
        </is>
      </c>
      <c r="M1343" s="145" t="inlineStr">
        <is>
          <t>General</t>
        </is>
      </c>
      <c r="N1343" s="145" t="inlineStr">
        <is>
          <t>Center</t>
        </is>
      </c>
      <c r="O1343" s="145" t="inlineStr">
        <is>
          <t>No</t>
        </is>
      </c>
      <c r="P1343" s="145" t="n"/>
      <c r="Q1343" s="145" t="n"/>
      <c r="R1343" s="145" t="n"/>
      <c r="S1343" s="145" t="n">
        <v>38.6865671641791</v>
      </c>
      <c r="T1343" s="145" t="n"/>
      <c r="U1343" s="145" t="inlineStr">
        <is>
          <t>No</t>
        </is>
      </c>
      <c r="V1343" s="145" t="inlineStr">
        <is>
          <t>Visible</t>
        </is>
      </c>
      <c r="W1343" s="145" t="n"/>
      <c r="X1343" s="145" t="inlineStr">
        <is>
          <t>Mixed styles within used column</t>
        </is>
      </c>
    </row>
    <row r="1344" ht="23.85" customHeight="1" s="79">
      <c r="A1344" s="145" t="inlineStr">
        <is>
          <t>GM_TNA</t>
        </is>
      </c>
      <c r="B1344" s="145" t="inlineStr">
        <is>
          <t>Top-Row Cell Format</t>
        </is>
      </c>
      <c r="C1344" s="145" t="inlineStr">
        <is>
          <t>A1</t>
        </is>
      </c>
      <c r="D1344" s="145" t="inlineStr">
        <is>
          <t>GM_TNA!A1:Z373</t>
        </is>
      </c>
      <c r="E1344" s="145" t="inlineStr">
        <is>
          <t>Normal</t>
        </is>
      </c>
      <c r="F1344" s="145" t="inlineStr">
        <is>
          <t>#FFC000</t>
        </is>
      </c>
      <c r="G1344" s="145" t="inlineStr">
        <is>
          <t>Aptos</t>
        </is>
      </c>
      <c r="H1344" s="145" t="n">
        <v>8</v>
      </c>
      <c r="I1344" s="145" t="inlineStr">
        <is>
          <t>Yes</t>
        </is>
      </c>
      <c r="J1344" s="145" t="inlineStr">
        <is>
          <t>No</t>
        </is>
      </c>
      <c r="K1344" s="145" t="inlineStr">
        <is>
          <t>None</t>
        </is>
      </c>
      <c r="L1344" s="145" t="inlineStr">
        <is>
          <t>#FFFFFF</t>
        </is>
      </c>
      <c r="M1344" s="145" t="inlineStr">
        <is>
          <t>General</t>
        </is>
      </c>
      <c r="N1344" s="145" t="inlineStr">
        <is>
          <t>Center</t>
        </is>
      </c>
      <c r="O1344" s="145" t="inlineStr">
        <is>
          <t>No</t>
        </is>
      </c>
      <c r="P1344" s="145" t="inlineStr">
        <is>
          <t>General</t>
        </is>
      </c>
      <c r="Q1344" s="145" t="inlineStr">
        <is>
          <t>General</t>
        </is>
      </c>
      <c r="R1344" s="145" t="n"/>
      <c r="S1344" s="145" t="n"/>
      <c r="T1344" s="145" t="n"/>
      <c r="U1344" s="145" t="n"/>
      <c r="V1344" s="145" t="n"/>
      <c r="W1344" s="145" t="n"/>
      <c r="X1344" s="145" t="inlineStr">
        <is>
          <t>Detailed format sample from top five used rows</t>
        </is>
      </c>
    </row>
    <row r="1345" ht="23.85" customHeight="1" s="79">
      <c r="A1345" s="145" t="inlineStr">
        <is>
          <t>GM_TNA</t>
        </is>
      </c>
      <c r="B1345" s="145" t="inlineStr">
        <is>
          <t>Top-Row Cell Format</t>
        </is>
      </c>
      <c r="C1345" s="145" t="inlineStr">
        <is>
          <t>A2</t>
        </is>
      </c>
      <c r="D1345" s="145" t="inlineStr">
        <is>
          <t>GM_TNA!A1:Z373</t>
        </is>
      </c>
      <c r="E1345" s="145" t="inlineStr">
        <is>
          <t>Normal</t>
        </is>
      </c>
      <c r="F1345" s="145" t="n"/>
      <c r="G1345" s="145" t="inlineStr">
        <is>
          <t>Aptos</t>
        </is>
      </c>
      <c r="H1345" s="145" t="n">
        <v>8</v>
      </c>
      <c r="I1345" s="145" t="inlineStr">
        <is>
          <t>No</t>
        </is>
      </c>
      <c r="J1345" s="145" t="inlineStr">
        <is>
          <t>No</t>
        </is>
      </c>
      <c r="K1345" s="145" t="inlineStr">
        <is>
          <t>None</t>
        </is>
      </c>
      <c r="L1345" s="145" t="inlineStr">
        <is>
          <t>#000000</t>
        </is>
      </c>
      <c r="M1345" s="145" t="inlineStr">
        <is>
          <t>General</t>
        </is>
      </c>
      <c r="N1345" s="145" t="inlineStr">
        <is>
          <t>Center</t>
        </is>
      </c>
      <c r="O1345" s="145" t="inlineStr">
        <is>
          <t>No</t>
        </is>
      </c>
      <c r="P1345" s="145" t="inlineStr">
        <is>
          <t>General</t>
        </is>
      </c>
      <c r="Q1345" s="145" t="inlineStr">
        <is>
          <t>General</t>
        </is>
      </c>
      <c r="R1345" s="145" t="n"/>
      <c r="S1345" s="145" t="n"/>
      <c r="T1345" s="145" t="n"/>
      <c r="U1345" s="145" t="n"/>
      <c r="V1345" s="145" t="n"/>
      <c r="W1345" s="145" t="n"/>
      <c r="X1345" s="145" t="inlineStr">
        <is>
          <t>Detailed format sample from top five used rows</t>
        </is>
      </c>
    </row>
    <row r="1346" ht="23.85" customHeight="1" s="79">
      <c r="A1346" s="145" t="inlineStr">
        <is>
          <t>GM_TNA</t>
        </is>
      </c>
      <c r="B1346" s="145" t="inlineStr">
        <is>
          <t>Top-Row Cell Format</t>
        </is>
      </c>
      <c r="C1346" s="145" t="inlineStr">
        <is>
          <t>A3</t>
        </is>
      </c>
      <c r="D1346" s="145" t="inlineStr">
        <is>
          <t>GM_TNA!A1:Z373</t>
        </is>
      </c>
      <c r="E1346" s="145" t="inlineStr">
        <is>
          <t>Normal</t>
        </is>
      </c>
      <c r="F1346" s="145" t="n"/>
      <c r="G1346" s="145" t="inlineStr">
        <is>
          <t>Aptos</t>
        </is>
      </c>
      <c r="H1346" s="145" t="n">
        <v>8</v>
      </c>
      <c r="I1346" s="145" t="inlineStr">
        <is>
          <t>No</t>
        </is>
      </c>
      <c r="J1346" s="145" t="inlineStr">
        <is>
          <t>No</t>
        </is>
      </c>
      <c r="K1346" s="145" t="inlineStr">
        <is>
          <t>None</t>
        </is>
      </c>
      <c r="L1346" s="145" t="inlineStr">
        <is>
          <t>#000000</t>
        </is>
      </c>
      <c r="M1346" s="145" t="inlineStr">
        <is>
          <t>General</t>
        </is>
      </c>
      <c r="N1346" s="145" t="inlineStr">
        <is>
          <t>Center</t>
        </is>
      </c>
      <c r="O1346" s="145" t="inlineStr">
        <is>
          <t>No</t>
        </is>
      </c>
      <c r="P1346" s="145" t="inlineStr">
        <is>
          <t>General</t>
        </is>
      </c>
      <c r="Q1346" s="145" t="inlineStr">
        <is>
          <t>General</t>
        </is>
      </c>
      <c r="R1346" s="145" t="n"/>
      <c r="S1346" s="145" t="n"/>
      <c r="T1346" s="145" t="n"/>
      <c r="U1346" s="145" t="n"/>
      <c r="V1346" s="145" t="n"/>
      <c r="W1346" s="145" t="n"/>
      <c r="X1346" s="145" t="inlineStr">
        <is>
          <t>Detailed format sample from top five used rows</t>
        </is>
      </c>
    </row>
    <row r="1347" ht="23.85" customHeight="1" s="79">
      <c r="A1347" s="145" t="inlineStr">
        <is>
          <t>GM_TNA</t>
        </is>
      </c>
      <c r="B1347" s="145" t="inlineStr">
        <is>
          <t>Top-Row Cell Format</t>
        </is>
      </c>
      <c r="C1347" s="145" t="inlineStr">
        <is>
          <t>A4</t>
        </is>
      </c>
      <c r="D1347" s="145" t="inlineStr">
        <is>
          <t>GM_TNA!A1:Z373</t>
        </is>
      </c>
      <c r="E1347" s="145" t="inlineStr">
        <is>
          <t>Normal</t>
        </is>
      </c>
      <c r="F1347" s="145" t="n"/>
      <c r="G1347" s="145" t="inlineStr">
        <is>
          <t>Aptos</t>
        </is>
      </c>
      <c r="H1347" s="145" t="n">
        <v>8</v>
      </c>
      <c r="I1347" s="145" t="inlineStr">
        <is>
          <t>No</t>
        </is>
      </c>
      <c r="J1347" s="145" t="inlineStr">
        <is>
          <t>No</t>
        </is>
      </c>
      <c r="K1347" s="145" t="inlineStr">
        <is>
          <t>None</t>
        </is>
      </c>
      <c r="L1347" s="145" t="inlineStr">
        <is>
          <t>#000000</t>
        </is>
      </c>
      <c r="M1347" s="145" t="inlineStr">
        <is>
          <t>General</t>
        </is>
      </c>
      <c r="N1347" s="145" t="inlineStr">
        <is>
          <t>Center</t>
        </is>
      </c>
      <c r="O1347" s="145" t="inlineStr">
        <is>
          <t>No</t>
        </is>
      </c>
      <c r="P1347" s="145" t="inlineStr">
        <is>
          <t>General</t>
        </is>
      </c>
      <c r="Q1347" s="145" t="inlineStr">
        <is>
          <t>General</t>
        </is>
      </c>
      <c r="R1347" s="145" t="n"/>
      <c r="S1347" s="145" t="n"/>
      <c r="T1347" s="145" t="n"/>
      <c r="U1347" s="145" t="n"/>
      <c r="V1347" s="145" t="n"/>
      <c r="W1347" s="145" t="n"/>
      <c r="X1347" s="145" t="inlineStr">
        <is>
          <t>Detailed format sample from top five used rows</t>
        </is>
      </c>
    </row>
    <row r="1348" ht="23.85" customHeight="1" s="79">
      <c r="A1348" s="145" t="inlineStr">
        <is>
          <t>GM_TNA</t>
        </is>
      </c>
      <c r="B1348" s="145" t="inlineStr">
        <is>
          <t>Top-Row Cell Format</t>
        </is>
      </c>
      <c r="C1348" s="145" t="inlineStr">
        <is>
          <t>A5</t>
        </is>
      </c>
      <c r="D1348" s="145" t="inlineStr">
        <is>
          <t>GM_TNA!A1:Z373</t>
        </is>
      </c>
      <c r="E1348" s="145" t="inlineStr">
        <is>
          <t>Normal</t>
        </is>
      </c>
      <c r="F1348" s="145" t="n"/>
      <c r="G1348" s="145" t="inlineStr">
        <is>
          <t>Aptos</t>
        </is>
      </c>
      <c r="H1348" s="145" t="n">
        <v>8</v>
      </c>
      <c r="I1348" s="145" t="inlineStr">
        <is>
          <t>No</t>
        </is>
      </c>
      <c r="J1348" s="145" t="inlineStr">
        <is>
          <t>No</t>
        </is>
      </c>
      <c r="K1348" s="145" t="inlineStr">
        <is>
          <t>None</t>
        </is>
      </c>
      <c r="L1348" s="145" t="inlineStr">
        <is>
          <t>#000000</t>
        </is>
      </c>
      <c r="M1348" s="145" t="inlineStr">
        <is>
          <t>General</t>
        </is>
      </c>
      <c r="N1348" s="145" t="inlineStr">
        <is>
          <t>Center</t>
        </is>
      </c>
      <c r="O1348" s="145" t="inlineStr">
        <is>
          <t>No</t>
        </is>
      </c>
      <c r="P1348" s="145" t="inlineStr">
        <is>
          <t>General</t>
        </is>
      </c>
      <c r="Q1348" s="145" t="inlineStr">
        <is>
          <t>General</t>
        </is>
      </c>
      <c r="R1348" s="145" t="n"/>
      <c r="S1348" s="145" t="n"/>
      <c r="T1348" s="145" t="n"/>
      <c r="U1348" s="145" t="n"/>
      <c r="V1348" s="145" t="n"/>
      <c r="W1348" s="145" t="n"/>
      <c r="X1348" s="145" t="inlineStr">
        <is>
          <t>Detailed format sample from top five used rows</t>
        </is>
      </c>
    </row>
    <row r="1349" ht="23.85" customHeight="1" s="79">
      <c r="A1349" s="145" t="inlineStr">
        <is>
          <t>GM_TNA</t>
        </is>
      </c>
      <c r="B1349" s="145" t="inlineStr">
        <is>
          <t>Column Format</t>
        </is>
      </c>
      <c r="C1349" s="145" t="inlineStr">
        <is>
          <t>B:B</t>
        </is>
      </c>
      <c r="D1349" s="145" t="inlineStr">
        <is>
          <t>GM_TNA!A1:Z373</t>
        </is>
      </c>
      <c r="E1349" s="145" t="inlineStr">
        <is>
          <t>Normal</t>
        </is>
      </c>
      <c r="F1349" s="145" t="inlineStr">
        <is>
          <t>Mixed</t>
        </is>
      </c>
      <c r="G1349" s="145" t="inlineStr">
        <is>
          <t>Aptos</t>
        </is>
      </c>
      <c r="H1349" s="145" t="n">
        <v>8</v>
      </c>
      <c r="I1349" s="145" t="inlineStr">
        <is>
          <t>Mixed</t>
        </is>
      </c>
      <c r="J1349" s="145" t="inlineStr">
        <is>
          <t>No</t>
        </is>
      </c>
      <c r="K1349" s="145" t="inlineStr">
        <is>
          <t>None</t>
        </is>
      </c>
      <c r="L1349" s="145" t="inlineStr">
        <is>
          <t>Mixed</t>
        </is>
      </c>
      <c r="M1349" s="145" t="inlineStr">
        <is>
          <t>General</t>
        </is>
      </c>
      <c r="N1349" s="145" t="inlineStr">
        <is>
          <t>Center</t>
        </is>
      </c>
      <c r="O1349" s="145" t="inlineStr">
        <is>
          <t>No</t>
        </is>
      </c>
      <c r="P1349" s="145" t="n"/>
      <c r="Q1349" s="145" t="n"/>
      <c r="R1349" s="145" t="n"/>
      <c r="S1349" s="145" t="n">
        <v>34.9253731343284</v>
      </c>
      <c r="T1349" s="145" t="n"/>
      <c r="U1349" s="145" t="inlineStr">
        <is>
          <t>No</t>
        </is>
      </c>
      <c r="V1349" s="145" t="inlineStr">
        <is>
          <t>Visible</t>
        </is>
      </c>
      <c r="W1349" s="145" t="n"/>
      <c r="X1349" s="145" t="inlineStr">
        <is>
          <t>Mixed styles within used column</t>
        </is>
      </c>
    </row>
    <row r="1350" ht="23.85" customHeight="1" s="79">
      <c r="A1350" s="145" t="inlineStr">
        <is>
          <t>GM_TNA</t>
        </is>
      </c>
      <c r="B1350" s="145" t="inlineStr">
        <is>
          <t>Top-Row Cell Format</t>
        </is>
      </c>
      <c r="C1350" s="145" t="inlineStr">
        <is>
          <t>B1</t>
        </is>
      </c>
      <c r="D1350" s="145" t="inlineStr">
        <is>
          <t>GM_TNA!A1:Z373</t>
        </is>
      </c>
      <c r="E1350" s="145" t="inlineStr">
        <is>
          <t>Normal</t>
        </is>
      </c>
      <c r="F1350" s="145" t="inlineStr">
        <is>
          <t>#FFC000</t>
        </is>
      </c>
      <c r="G1350" s="145" t="inlineStr">
        <is>
          <t>Aptos</t>
        </is>
      </c>
      <c r="H1350" s="145" t="n">
        <v>8</v>
      </c>
      <c r="I1350" s="145" t="inlineStr">
        <is>
          <t>Yes</t>
        </is>
      </c>
      <c r="J1350" s="145" t="inlineStr">
        <is>
          <t>No</t>
        </is>
      </c>
      <c r="K1350" s="145" t="inlineStr">
        <is>
          <t>None</t>
        </is>
      </c>
      <c r="L1350" s="145" t="inlineStr">
        <is>
          <t>#FFFFFF</t>
        </is>
      </c>
      <c r="M1350" s="145" t="inlineStr">
        <is>
          <t>General</t>
        </is>
      </c>
      <c r="N1350" s="145" t="inlineStr">
        <is>
          <t>Center</t>
        </is>
      </c>
      <c r="O1350" s="145" t="inlineStr">
        <is>
          <t>No</t>
        </is>
      </c>
      <c r="P1350" s="145" t="inlineStr">
        <is>
          <t>General</t>
        </is>
      </c>
      <c r="Q1350" s="145" t="inlineStr">
        <is>
          <t>General</t>
        </is>
      </c>
      <c r="R1350" s="145" t="n"/>
      <c r="S1350" s="145" t="n"/>
      <c r="T1350" s="145" t="n"/>
      <c r="U1350" s="145" t="n"/>
      <c r="V1350" s="145" t="n"/>
      <c r="W1350" s="145" t="n"/>
      <c r="X1350" s="145" t="inlineStr">
        <is>
          <t>Detailed format sample from top five used rows</t>
        </is>
      </c>
    </row>
    <row r="1351" ht="23.85" customHeight="1" s="79">
      <c r="A1351" s="145" t="inlineStr">
        <is>
          <t>GM_TNA</t>
        </is>
      </c>
      <c r="B1351" s="145" t="inlineStr">
        <is>
          <t>Top-Row Cell Format</t>
        </is>
      </c>
      <c r="C1351" s="145" t="inlineStr">
        <is>
          <t>B2</t>
        </is>
      </c>
      <c r="D1351" s="145" t="inlineStr">
        <is>
          <t>GM_TNA!A1:Z373</t>
        </is>
      </c>
      <c r="E1351" s="145" t="inlineStr">
        <is>
          <t>Normal</t>
        </is>
      </c>
      <c r="F1351" s="145" t="n"/>
      <c r="G1351" s="145" t="inlineStr">
        <is>
          <t>Aptos</t>
        </is>
      </c>
      <c r="H1351" s="145" t="n">
        <v>8</v>
      </c>
      <c r="I1351" s="145" t="inlineStr">
        <is>
          <t>No</t>
        </is>
      </c>
      <c r="J1351" s="145" t="inlineStr">
        <is>
          <t>No</t>
        </is>
      </c>
      <c r="K1351" s="145" t="inlineStr">
        <is>
          <t>None</t>
        </is>
      </c>
      <c r="L1351" s="145" t="inlineStr">
        <is>
          <t>#000000</t>
        </is>
      </c>
      <c r="M1351" s="145" t="inlineStr">
        <is>
          <t>General</t>
        </is>
      </c>
      <c r="N1351" s="145" t="inlineStr">
        <is>
          <t>Center</t>
        </is>
      </c>
      <c r="O1351" s="145" t="inlineStr">
        <is>
          <t>No</t>
        </is>
      </c>
      <c r="P1351" s="145" t="inlineStr">
        <is>
          <t>General</t>
        </is>
      </c>
      <c r="Q1351" s="145" t="inlineStr">
        <is>
          <t>General</t>
        </is>
      </c>
      <c r="R1351" s="145" t="n"/>
      <c r="S1351" s="145" t="n"/>
      <c r="T1351" s="145" t="n"/>
      <c r="U1351" s="145" t="n"/>
      <c r="V1351" s="145" t="n"/>
      <c r="W1351" s="145" t="n"/>
      <c r="X1351" s="145" t="inlineStr">
        <is>
          <t>Detailed format sample from top five used rows</t>
        </is>
      </c>
    </row>
    <row r="1352" ht="23.85" customHeight="1" s="79">
      <c r="A1352" s="145" t="inlineStr">
        <is>
          <t>GM_TNA</t>
        </is>
      </c>
      <c r="B1352" s="145" t="inlineStr">
        <is>
          <t>Top-Row Cell Format</t>
        </is>
      </c>
      <c r="C1352" s="145" t="inlineStr">
        <is>
          <t>B3</t>
        </is>
      </c>
      <c r="D1352" s="145" t="inlineStr">
        <is>
          <t>GM_TNA!A1:Z373</t>
        </is>
      </c>
      <c r="E1352" s="145" t="inlineStr">
        <is>
          <t>Normal</t>
        </is>
      </c>
      <c r="F1352" s="145" t="n"/>
      <c r="G1352" s="145" t="inlineStr">
        <is>
          <t>Aptos</t>
        </is>
      </c>
      <c r="H1352" s="145" t="n">
        <v>8</v>
      </c>
      <c r="I1352" s="145" t="inlineStr">
        <is>
          <t>No</t>
        </is>
      </c>
      <c r="J1352" s="145" t="inlineStr">
        <is>
          <t>No</t>
        </is>
      </c>
      <c r="K1352" s="145" t="inlineStr">
        <is>
          <t>None</t>
        </is>
      </c>
      <c r="L1352" s="145" t="inlineStr">
        <is>
          <t>#000000</t>
        </is>
      </c>
      <c r="M1352" s="145" t="inlineStr">
        <is>
          <t>General</t>
        </is>
      </c>
      <c r="N1352" s="145" t="inlineStr">
        <is>
          <t>Center</t>
        </is>
      </c>
      <c r="O1352" s="145" t="inlineStr">
        <is>
          <t>No</t>
        </is>
      </c>
      <c r="P1352" s="145" t="inlineStr">
        <is>
          <t>General</t>
        </is>
      </c>
      <c r="Q1352" s="145" t="inlineStr">
        <is>
          <t>General</t>
        </is>
      </c>
      <c r="R1352" s="145" t="n"/>
      <c r="S1352" s="145" t="n"/>
      <c r="T1352" s="145" t="n"/>
      <c r="U1352" s="145" t="n"/>
      <c r="V1352" s="145" t="n"/>
      <c r="W1352" s="145" t="n"/>
      <c r="X1352" s="145" t="inlineStr">
        <is>
          <t>Detailed format sample from top five used rows</t>
        </is>
      </c>
    </row>
    <row r="1353" ht="23.85" customHeight="1" s="79">
      <c r="A1353" s="145" t="inlineStr">
        <is>
          <t>GM_TNA</t>
        </is>
      </c>
      <c r="B1353" s="145" t="inlineStr">
        <is>
          <t>Top-Row Cell Format</t>
        </is>
      </c>
      <c r="C1353" s="145" t="inlineStr">
        <is>
          <t>B4</t>
        </is>
      </c>
      <c r="D1353" s="145" t="inlineStr">
        <is>
          <t>GM_TNA!A1:Z373</t>
        </is>
      </c>
      <c r="E1353" s="145" t="inlineStr">
        <is>
          <t>Normal</t>
        </is>
      </c>
      <c r="F1353" s="145" t="n"/>
      <c r="G1353" s="145" t="inlineStr">
        <is>
          <t>Aptos</t>
        </is>
      </c>
      <c r="H1353" s="145" t="n">
        <v>8</v>
      </c>
      <c r="I1353" s="145" t="inlineStr">
        <is>
          <t>No</t>
        </is>
      </c>
      <c r="J1353" s="145" t="inlineStr">
        <is>
          <t>No</t>
        </is>
      </c>
      <c r="K1353" s="145" t="inlineStr">
        <is>
          <t>None</t>
        </is>
      </c>
      <c r="L1353" s="145" t="inlineStr">
        <is>
          <t>#000000</t>
        </is>
      </c>
      <c r="M1353" s="145" t="inlineStr">
        <is>
          <t>General</t>
        </is>
      </c>
      <c r="N1353" s="145" t="inlineStr">
        <is>
          <t>Center</t>
        </is>
      </c>
      <c r="O1353" s="145" t="inlineStr">
        <is>
          <t>No</t>
        </is>
      </c>
      <c r="P1353" s="145" t="inlineStr">
        <is>
          <t>General</t>
        </is>
      </c>
      <c r="Q1353" s="145" t="inlineStr">
        <is>
          <t>General</t>
        </is>
      </c>
      <c r="R1353" s="145" t="n"/>
      <c r="S1353" s="145" t="n"/>
      <c r="T1353" s="145" t="n"/>
      <c r="U1353" s="145" t="n"/>
      <c r="V1353" s="145" t="n"/>
      <c r="W1353" s="145" t="n"/>
      <c r="X1353" s="145" t="inlineStr">
        <is>
          <t>Detailed format sample from top five used rows</t>
        </is>
      </c>
    </row>
    <row r="1354" ht="23.85" customHeight="1" s="79">
      <c r="A1354" s="145" t="inlineStr">
        <is>
          <t>GM_TNA</t>
        </is>
      </c>
      <c r="B1354" s="145" t="inlineStr">
        <is>
          <t>Top-Row Cell Format</t>
        </is>
      </c>
      <c r="C1354" s="145" t="inlineStr">
        <is>
          <t>B5</t>
        </is>
      </c>
      <c r="D1354" s="145" t="inlineStr">
        <is>
          <t>GM_TNA!A1:Z373</t>
        </is>
      </c>
      <c r="E1354" s="145" t="inlineStr">
        <is>
          <t>Normal</t>
        </is>
      </c>
      <c r="F1354" s="145" t="n"/>
      <c r="G1354" s="145" t="inlineStr">
        <is>
          <t>Aptos</t>
        </is>
      </c>
      <c r="H1354" s="145" t="n">
        <v>8</v>
      </c>
      <c r="I1354" s="145" t="inlineStr">
        <is>
          <t>No</t>
        </is>
      </c>
      <c r="J1354" s="145" t="inlineStr">
        <is>
          <t>No</t>
        </is>
      </c>
      <c r="K1354" s="145" t="inlineStr">
        <is>
          <t>None</t>
        </is>
      </c>
      <c r="L1354" s="145" t="inlineStr">
        <is>
          <t>#000000</t>
        </is>
      </c>
      <c r="M1354" s="145" t="inlineStr">
        <is>
          <t>General</t>
        </is>
      </c>
      <c r="N1354" s="145" t="inlineStr">
        <is>
          <t>Center</t>
        </is>
      </c>
      <c r="O1354" s="145" t="inlineStr">
        <is>
          <t>No</t>
        </is>
      </c>
      <c r="P1354" s="145" t="inlineStr">
        <is>
          <t>General</t>
        </is>
      </c>
      <c r="Q1354" s="145" t="inlineStr">
        <is>
          <t>General</t>
        </is>
      </c>
      <c r="R1354" s="145" t="n"/>
      <c r="S1354" s="145" t="n"/>
      <c r="T1354" s="145" t="n"/>
      <c r="U1354" s="145" t="n"/>
      <c r="V1354" s="145" t="n"/>
      <c r="W1354" s="145" t="n"/>
      <c r="X1354" s="145" t="inlineStr">
        <is>
          <t>Detailed format sample from top five used rows</t>
        </is>
      </c>
    </row>
    <row r="1355" ht="23.85" customHeight="1" s="79">
      <c r="A1355" s="145" t="inlineStr">
        <is>
          <t>GM_TNA</t>
        </is>
      </c>
      <c r="B1355" s="145" t="inlineStr">
        <is>
          <t>Column Format</t>
        </is>
      </c>
      <c r="C1355" s="145" t="inlineStr">
        <is>
          <t>C:C</t>
        </is>
      </c>
      <c r="D1355" s="145" t="inlineStr">
        <is>
          <t>GM_TNA!A1:Z373</t>
        </is>
      </c>
      <c r="E1355" s="145" t="inlineStr">
        <is>
          <t>Normal</t>
        </is>
      </c>
      <c r="F1355" s="145" t="inlineStr">
        <is>
          <t>Mixed</t>
        </is>
      </c>
      <c r="G1355" s="145" t="inlineStr">
        <is>
          <t>Aptos</t>
        </is>
      </c>
      <c r="H1355" s="145" t="n">
        <v>8</v>
      </c>
      <c r="I1355" s="145" t="inlineStr">
        <is>
          <t>Mixed</t>
        </is>
      </c>
      <c r="J1355" s="145" t="inlineStr">
        <is>
          <t>No</t>
        </is>
      </c>
      <c r="K1355" s="145" t="inlineStr">
        <is>
          <t>None</t>
        </is>
      </c>
      <c r="L1355" s="145" t="inlineStr">
        <is>
          <t>Mixed</t>
        </is>
      </c>
      <c r="M1355" s="145" t="inlineStr">
        <is>
          <t>General</t>
        </is>
      </c>
      <c r="N1355" s="145" t="inlineStr">
        <is>
          <t>Center</t>
        </is>
      </c>
      <c r="O1355" s="145" t="inlineStr">
        <is>
          <t>No</t>
        </is>
      </c>
      <c r="P1355" s="145" t="n"/>
      <c r="Q1355" s="145" t="n"/>
      <c r="R1355" s="145" t="n"/>
      <c r="S1355" s="145" t="n">
        <v>56.4179104477612</v>
      </c>
      <c r="T1355" s="145" t="n"/>
      <c r="U1355" s="145" t="inlineStr">
        <is>
          <t>No</t>
        </is>
      </c>
      <c r="V1355" s="145" t="inlineStr">
        <is>
          <t>Visible</t>
        </is>
      </c>
      <c r="W1355" s="145" t="n"/>
      <c r="X1355" s="145" t="inlineStr">
        <is>
          <t>Mixed styles within used column</t>
        </is>
      </c>
    </row>
    <row r="1356" ht="23.85" customHeight="1" s="79">
      <c r="A1356" s="145" t="inlineStr">
        <is>
          <t>GM_TNA</t>
        </is>
      </c>
      <c r="B1356" s="145" t="inlineStr">
        <is>
          <t>Top-Row Cell Format</t>
        </is>
      </c>
      <c r="C1356" s="145" t="inlineStr">
        <is>
          <t>C1</t>
        </is>
      </c>
      <c r="D1356" s="145" t="inlineStr">
        <is>
          <t>GM_TNA!A1:Z373</t>
        </is>
      </c>
      <c r="E1356" s="145" t="inlineStr">
        <is>
          <t>Normal</t>
        </is>
      </c>
      <c r="F1356" s="145" t="inlineStr">
        <is>
          <t>#FFC000</t>
        </is>
      </c>
      <c r="G1356" s="145" t="inlineStr">
        <is>
          <t>Aptos</t>
        </is>
      </c>
      <c r="H1356" s="145" t="n">
        <v>8</v>
      </c>
      <c r="I1356" s="145" t="inlineStr">
        <is>
          <t>Yes</t>
        </is>
      </c>
      <c r="J1356" s="145" t="inlineStr">
        <is>
          <t>No</t>
        </is>
      </c>
      <c r="K1356" s="145" t="inlineStr">
        <is>
          <t>None</t>
        </is>
      </c>
      <c r="L1356" s="145" t="inlineStr">
        <is>
          <t>#FFFFFF</t>
        </is>
      </c>
      <c r="M1356" s="145" t="inlineStr">
        <is>
          <t>General</t>
        </is>
      </c>
      <c r="N1356" s="145" t="inlineStr">
        <is>
          <t>Center</t>
        </is>
      </c>
      <c r="O1356" s="145" t="inlineStr">
        <is>
          <t>No</t>
        </is>
      </c>
      <c r="P1356" s="145" t="inlineStr">
        <is>
          <t>General</t>
        </is>
      </c>
      <c r="Q1356" s="145" t="inlineStr">
        <is>
          <t>General</t>
        </is>
      </c>
      <c r="R1356" s="145" t="n"/>
      <c r="S1356" s="145" t="n"/>
      <c r="T1356" s="145" t="n"/>
      <c r="U1356" s="145" t="n"/>
      <c r="V1356" s="145" t="n"/>
      <c r="W1356" s="145" t="n"/>
      <c r="X1356" s="145" t="inlineStr">
        <is>
          <t>Detailed format sample from top five used rows</t>
        </is>
      </c>
    </row>
    <row r="1357" ht="23.85" customHeight="1" s="79">
      <c r="A1357" s="145" t="inlineStr">
        <is>
          <t>GM_TNA</t>
        </is>
      </c>
      <c r="B1357" s="145" t="inlineStr">
        <is>
          <t>Top-Row Cell Format</t>
        </is>
      </c>
      <c r="C1357" s="145" t="inlineStr">
        <is>
          <t>C2</t>
        </is>
      </c>
      <c r="D1357" s="145" t="inlineStr">
        <is>
          <t>GM_TNA!A1:Z373</t>
        </is>
      </c>
      <c r="E1357" s="145" t="inlineStr">
        <is>
          <t>Normal</t>
        </is>
      </c>
      <c r="F1357" s="145" t="n"/>
      <c r="G1357" s="145" t="inlineStr">
        <is>
          <t>Aptos</t>
        </is>
      </c>
      <c r="H1357" s="145" t="n">
        <v>8</v>
      </c>
      <c r="I1357" s="145" t="inlineStr">
        <is>
          <t>No</t>
        </is>
      </c>
      <c r="J1357" s="145" t="inlineStr">
        <is>
          <t>No</t>
        </is>
      </c>
      <c r="K1357" s="145" t="inlineStr">
        <is>
          <t>None</t>
        </is>
      </c>
      <c r="L1357" s="145" t="inlineStr">
        <is>
          <t>#000000</t>
        </is>
      </c>
      <c r="M1357" s="145" t="inlineStr">
        <is>
          <t>General</t>
        </is>
      </c>
      <c r="N1357" s="145" t="inlineStr">
        <is>
          <t>Center</t>
        </is>
      </c>
      <c r="O1357" s="145" t="inlineStr">
        <is>
          <t>No</t>
        </is>
      </c>
      <c r="P1357" s="145" t="inlineStr">
        <is>
          <t>General</t>
        </is>
      </c>
      <c r="Q1357" s="145" t="inlineStr">
        <is>
          <t>General</t>
        </is>
      </c>
      <c r="R1357" s="145" t="n"/>
      <c r="S1357" s="145" t="n"/>
      <c r="T1357" s="145" t="n"/>
      <c r="U1357" s="145" t="n"/>
      <c r="V1357" s="145" t="n"/>
      <c r="W1357" s="145" t="n"/>
      <c r="X1357" s="145" t="inlineStr">
        <is>
          <t>Detailed format sample from top five used rows</t>
        </is>
      </c>
    </row>
    <row r="1358" ht="23.85" customHeight="1" s="79">
      <c r="A1358" s="145" t="inlineStr">
        <is>
          <t>GM_TNA</t>
        </is>
      </c>
      <c r="B1358" s="145" t="inlineStr">
        <is>
          <t>Top-Row Cell Format</t>
        </is>
      </c>
      <c r="C1358" s="145" t="inlineStr">
        <is>
          <t>C3</t>
        </is>
      </c>
      <c r="D1358" s="145" t="inlineStr">
        <is>
          <t>GM_TNA!A1:Z373</t>
        </is>
      </c>
      <c r="E1358" s="145" t="inlineStr">
        <is>
          <t>Normal</t>
        </is>
      </c>
      <c r="F1358" s="145" t="n"/>
      <c r="G1358" s="145" t="inlineStr">
        <is>
          <t>Aptos</t>
        </is>
      </c>
      <c r="H1358" s="145" t="n">
        <v>8</v>
      </c>
      <c r="I1358" s="145" t="inlineStr">
        <is>
          <t>No</t>
        </is>
      </c>
      <c r="J1358" s="145" t="inlineStr">
        <is>
          <t>No</t>
        </is>
      </c>
      <c r="K1358" s="145" t="inlineStr">
        <is>
          <t>None</t>
        </is>
      </c>
      <c r="L1358" s="145" t="inlineStr">
        <is>
          <t>#000000</t>
        </is>
      </c>
      <c r="M1358" s="145" t="inlineStr">
        <is>
          <t>General</t>
        </is>
      </c>
      <c r="N1358" s="145" t="inlineStr">
        <is>
          <t>Center</t>
        </is>
      </c>
      <c r="O1358" s="145" t="inlineStr">
        <is>
          <t>No</t>
        </is>
      </c>
      <c r="P1358" s="145" t="inlineStr">
        <is>
          <t>General</t>
        </is>
      </c>
      <c r="Q1358" s="145" t="inlineStr">
        <is>
          <t>General</t>
        </is>
      </c>
      <c r="R1358" s="145" t="n"/>
      <c r="S1358" s="145" t="n"/>
      <c r="T1358" s="145" t="n"/>
      <c r="U1358" s="145" t="n"/>
      <c r="V1358" s="145" t="n"/>
      <c r="W1358" s="145" t="n"/>
      <c r="X1358" s="145" t="inlineStr">
        <is>
          <t>Detailed format sample from top five used rows</t>
        </is>
      </c>
    </row>
    <row r="1359" ht="23.85" customHeight="1" s="79">
      <c r="A1359" s="145" t="inlineStr">
        <is>
          <t>GM_TNA</t>
        </is>
      </c>
      <c r="B1359" s="145" t="inlineStr">
        <is>
          <t>Top-Row Cell Format</t>
        </is>
      </c>
      <c r="C1359" s="145" t="inlineStr">
        <is>
          <t>C4</t>
        </is>
      </c>
      <c r="D1359" s="145" t="inlineStr">
        <is>
          <t>GM_TNA!A1:Z373</t>
        </is>
      </c>
      <c r="E1359" s="145" t="inlineStr">
        <is>
          <t>Normal</t>
        </is>
      </c>
      <c r="F1359" s="145" t="n"/>
      <c r="G1359" s="145" t="inlineStr">
        <is>
          <t>Aptos</t>
        </is>
      </c>
      <c r="H1359" s="145" t="n">
        <v>8</v>
      </c>
      <c r="I1359" s="145" t="inlineStr">
        <is>
          <t>No</t>
        </is>
      </c>
      <c r="J1359" s="145" t="inlineStr">
        <is>
          <t>No</t>
        </is>
      </c>
      <c r="K1359" s="145" t="inlineStr">
        <is>
          <t>None</t>
        </is>
      </c>
      <c r="L1359" s="145" t="inlineStr">
        <is>
          <t>#000000</t>
        </is>
      </c>
      <c r="M1359" s="145" t="inlineStr">
        <is>
          <t>General</t>
        </is>
      </c>
      <c r="N1359" s="145" t="inlineStr">
        <is>
          <t>Center</t>
        </is>
      </c>
      <c r="O1359" s="145" t="inlineStr">
        <is>
          <t>No</t>
        </is>
      </c>
      <c r="P1359" s="145" t="inlineStr">
        <is>
          <t>General</t>
        </is>
      </c>
      <c r="Q1359" s="145" t="inlineStr">
        <is>
          <t>General</t>
        </is>
      </c>
      <c r="R1359" s="145" t="n"/>
      <c r="S1359" s="145" t="n"/>
      <c r="T1359" s="145" t="n"/>
      <c r="U1359" s="145" t="n"/>
      <c r="V1359" s="145" t="n"/>
      <c r="W1359" s="145" t="n"/>
      <c r="X1359" s="145" t="inlineStr">
        <is>
          <t>Detailed format sample from top five used rows</t>
        </is>
      </c>
    </row>
    <row r="1360" ht="23.85" customHeight="1" s="79">
      <c r="A1360" s="145" t="inlineStr">
        <is>
          <t>GM_TNA</t>
        </is>
      </c>
      <c r="B1360" s="145" t="inlineStr">
        <is>
          <t>Top-Row Cell Format</t>
        </is>
      </c>
      <c r="C1360" s="145" t="inlineStr">
        <is>
          <t>C5</t>
        </is>
      </c>
      <c r="D1360" s="145" t="inlineStr">
        <is>
          <t>GM_TNA!A1:Z373</t>
        </is>
      </c>
      <c r="E1360" s="145" t="inlineStr">
        <is>
          <t>Normal</t>
        </is>
      </c>
      <c r="F1360" s="145" t="n"/>
      <c r="G1360" s="145" t="inlineStr">
        <is>
          <t>Aptos</t>
        </is>
      </c>
      <c r="H1360" s="145" t="n">
        <v>8</v>
      </c>
      <c r="I1360" s="145" t="inlineStr">
        <is>
          <t>No</t>
        </is>
      </c>
      <c r="J1360" s="145" t="inlineStr">
        <is>
          <t>No</t>
        </is>
      </c>
      <c r="K1360" s="145" t="inlineStr">
        <is>
          <t>None</t>
        </is>
      </c>
      <c r="L1360" s="145" t="inlineStr">
        <is>
          <t>#000000</t>
        </is>
      </c>
      <c r="M1360" s="145" t="inlineStr">
        <is>
          <t>General</t>
        </is>
      </c>
      <c r="N1360" s="145" t="inlineStr">
        <is>
          <t>Center</t>
        </is>
      </c>
      <c r="O1360" s="145" t="inlineStr">
        <is>
          <t>No</t>
        </is>
      </c>
      <c r="P1360" s="145" t="inlineStr">
        <is>
          <t>General</t>
        </is>
      </c>
      <c r="Q1360" s="145" t="inlineStr">
        <is>
          <t>General</t>
        </is>
      </c>
      <c r="R1360" s="145" t="n"/>
      <c r="S1360" s="145" t="n"/>
      <c r="T1360" s="145" t="n"/>
      <c r="U1360" s="145" t="n"/>
      <c r="V1360" s="145" t="n"/>
      <c r="W1360" s="145" t="n"/>
      <c r="X1360" s="145" t="inlineStr">
        <is>
          <t>Detailed format sample from top five used rows</t>
        </is>
      </c>
    </row>
    <row r="1361" ht="23.85" customHeight="1" s="79">
      <c r="A1361" s="145" t="inlineStr">
        <is>
          <t>GM_TNA</t>
        </is>
      </c>
      <c r="B1361" s="145" t="inlineStr">
        <is>
          <t>Column Format</t>
        </is>
      </c>
      <c r="C1361" s="145" t="inlineStr">
        <is>
          <t>D:D</t>
        </is>
      </c>
      <c r="D1361" s="145" t="inlineStr">
        <is>
          <t>GM_TNA!A1:Z373</t>
        </is>
      </c>
      <c r="E1361" s="145" t="inlineStr">
        <is>
          <t>Normal</t>
        </is>
      </c>
      <c r="F1361" s="145" t="inlineStr">
        <is>
          <t>Mixed</t>
        </is>
      </c>
      <c r="G1361" s="145" t="inlineStr">
        <is>
          <t>Aptos</t>
        </is>
      </c>
      <c r="H1361" s="145" t="n">
        <v>8</v>
      </c>
      <c r="I1361" s="145" t="inlineStr">
        <is>
          <t>Mixed</t>
        </is>
      </c>
      <c r="J1361" s="145" t="inlineStr">
        <is>
          <t>No</t>
        </is>
      </c>
      <c r="K1361" s="145" t="inlineStr">
        <is>
          <t>None</t>
        </is>
      </c>
      <c r="L1361" s="145" t="inlineStr">
        <is>
          <t>Mixed</t>
        </is>
      </c>
      <c r="M1361" s="145" t="inlineStr">
        <is>
          <t>General</t>
        </is>
      </c>
      <c r="N1361" s="145" t="inlineStr">
        <is>
          <t>Center</t>
        </is>
      </c>
      <c r="O1361" s="145" t="inlineStr">
        <is>
          <t>No</t>
        </is>
      </c>
      <c r="P1361" s="145" t="n"/>
      <c r="Q1361" s="145" t="n"/>
      <c r="R1361" s="145" t="n"/>
      <c r="S1361" s="145" t="n">
        <v>59.1044776119403</v>
      </c>
      <c r="T1361" s="145" t="n"/>
      <c r="U1361" s="145" t="inlineStr">
        <is>
          <t>No</t>
        </is>
      </c>
      <c r="V1361" s="145" t="inlineStr">
        <is>
          <t>Visible</t>
        </is>
      </c>
      <c r="W1361" s="145" t="n"/>
      <c r="X1361" s="145" t="inlineStr">
        <is>
          <t>Mixed styles within used column</t>
        </is>
      </c>
    </row>
    <row r="1362" ht="23.85" customHeight="1" s="79">
      <c r="A1362" s="145" t="inlineStr">
        <is>
          <t>GM_TNA</t>
        </is>
      </c>
      <c r="B1362" s="145" t="inlineStr">
        <is>
          <t>Top-Row Cell Format</t>
        </is>
      </c>
      <c r="C1362" s="145" t="inlineStr">
        <is>
          <t>D1</t>
        </is>
      </c>
      <c r="D1362" s="145" t="inlineStr">
        <is>
          <t>GM_TNA!A1:Z373</t>
        </is>
      </c>
      <c r="E1362" s="145" t="inlineStr">
        <is>
          <t>Normal</t>
        </is>
      </c>
      <c r="F1362" s="145" t="inlineStr">
        <is>
          <t>#FFC000</t>
        </is>
      </c>
      <c r="G1362" s="145" t="inlineStr">
        <is>
          <t>Aptos</t>
        </is>
      </c>
      <c r="H1362" s="145" t="n">
        <v>8</v>
      </c>
      <c r="I1362" s="145" t="inlineStr">
        <is>
          <t>Yes</t>
        </is>
      </c>
      <c r="J1362" s="145" t="inlineStr">
        <is>
          <t>No</t>
        </is>
      </c>
      <c r="K1362" s="145" t="inlineStr">
        <is>
          <t>None</t>
        </is>
      </c>
      <c r="L1362" s="145" t="inlineStr">
        <is>
          <t>#FFFFFF</t>
        </is>
      </c>
      <c r="M1362" s="145" t="inlineStr">
        <is>
          <t>General</t>
        </is>
      </c>
      <c r="N1362" s="145" t="inlineStr">
        <is>
          <t>Center</t>
        </is>
      </c>
      <c r="O1362" s="145" t="inlineStr">
        <is>
          <t>No</t>
        </is>
      </c>
      <c r="P1362" s="145" t="inlineStr">
        <is>
          <t>General</t>
        </is>
      </c>
      <c r="Q1362" s="145" t="inlineStr">
        <is>
          <t>General</t>
        </is>
      </c>
      <c r="R1362" s="145" t="n"/>
      <c r="S1362" s="145" t="n"/>
      <c r="T1362" s="145" t="n"/>
      <c r="U1362" s="145" t="n"/>
      <c r="V1362" s="145" t="n"/>
      <c r="W1362" s="145" t="n"/>
      <c r="X1362" s="145" t="inlineStr">
        <is>
          <t>Detailed format sample from top five used rows</t>
        </is>
      </c>
    </row>
    <row r="1363" ht="23.85" customHeight="1" s="79">
      <c r="A1363" s="145" t="inlineStr">
        <is>
          <t>GM_TNA</t>
        </is>
      </c>
      <c r="B1363" s="145" t="inlineStr">
        <is>
          <t>Top-Row Cell Format</t>
        </is>
      </c>
      <c r="C1363" s="145" t="inlineStr">
        <is>
          <t>D2</t>
        </is>
      </c>
      <c r="D1363" s="145" t="inlineStr">
        <is>
          <t>GM_TNA!A1:Z373</t>
        </is>
      </c>
      <c r="E1363" s="145" t="inlineStr">
        <is>
          <t>Normal</t>
        </is>
      </c>
      <c r="F1363" s="145" t="n"/>
      <c r="G1363" s="145" t="inlineStr">
        <is>
          <t>Aptos</t>
        </is>
      </c>
      <c r="H1363" s="145" t="n">
        <v>8</v>
      </c>
      <c r="I1363" s="145" t="inlineStr">
        <is>
          <t>No</t>
        </is>
      </c>
      <c r="J1363" s="145" t="inlineStr">
        <is>
          <t>No</t>
        </is>
      </c>
      <c r="K1363" s="145" t="inlineStr">
        <is>
          <t>None</t>
        </is>
      </c>
      <c r="L1363" s="145" t="inlineStr">
        <is>
          <t>#000000</t>
        </is>
      </c>
      <c r="M1363" s="145" t="inlineStr">
        <is>
          <t>General</t>
        </is>
      </c>
      <c r="N1363" s="145" t="inlineStr">
        <is>
          <t>Center</t>
        </is>
      </c>
      <c r="O1363" s="145" t="inlineStr">
        <is>
          <t>No</t>
        </is>
      </c>
      <c r="P1363" s="145" t="inlineStr">
        <is>
          <t>General</t>
        </is>
      </c>
      <c r="Q1363" s="145" t="inlineStr">
        <is>
          <t>General</t>
        </is>
      </c>
      <c r="R1363" s="145" t="n"/>
      <c r="S1363" s="145" t="n"/>
      <c r="T1363" s="145" t="n"/>
      <c r="U1363" s="145" t="n"/>
      <c r="V1363" s="145" t="n"/>
      <c r="W1363" s="145" t="n"/>
      <c r="X1363" s="145" t="inlineStr">
        <is>
          <t>Detailed format sample from top five used rows</t>
        </is>
      </c>
    </row>
    <row r="1364" ht="23.85" customHeight="1" s="79">
      <c r="A1364" s="145" t="inlineStr">
        <is>
          <t>GM_TNA</t>
        </is>
      </c>
      <c r="B1364" s="145" t="inlineStr">
        <is>
          <t>Top-Row Cell Format</t>
        </is>
      </c>
      <c r="C1364" s="145" t="inlineStr">
        <is>
          <t>D3</t>
        </is>
      </c>
      <c r="D1364" s="145" t="inlineStr">
        <is>
          <t>GM_TNA!A1:Z373</t>
        </is>
      </c>
      <c r="E1364" s="145" t="inlineStr">
        <is>
          <t>Normal</t>
        </is>
      </c>
      <c r="F1364" s="145" t="n"/>
      <c r="G1364" s="145" t="inlineStr">
        <is>
          <t>Aptos</t>
        </is>
      </c>
      <c r="H1364" s="145" t="n">
        <v>8</v>
      </c>
      <c r="I1364" s="145" t="inlineStr">
        <is>
          <t>No</t>
        </is>
      </c>
      <c r="J1364" s="145" t="inlineStr">
        <is>
          <t>No</t>
        </is>
      </c>
      <c r="K1364" s="145" t="inlineStr">
        <is>
          <t>None</t>
        </is>
      </c>
      <c r="L1364" s="145" t="inlineStr">
        <is>
          <t>#000000</t>
        </is>
      </c>
      <c r="M1364" s="145" t="inlineStr">
        <is>
          <t>General</t>
        </is>
      </c>
      <c r="N1364" s="145" t="inlineStr">
        <is>
          <t>Center</t>
        </is>
      </c>
      <c r="O1364" s="145" t="inlineStr">
        <is>
          <t>No</t>
        </is>
      </c>
      <c r="P1364" s="145" t="inlineStr">
        <is>
          <t>General</t>
        </is>
      </c>
      <c r="Q1364" s="145" t="inlineStr">
        <is>
          <t>General</t>
        </is>
      </c>
      <c r="R1364" s="145" t="n"/>
      <c r="S1364" s="145" t="n"/>
      <c r="T1364" s="145" t="n"/>
      <c r="U1364" s="145" t="n"/>
      <c r="V1364" s="145" t="n"/>
      <c r="W1364" s="145" t="n"/>
      <c r="X1364" s="145" t="inlineStr">
        <is>
          <t>Detailed format sample from top five used rows</t>
        </is>
      </c>
    </row>
    <row r="1365" ht="23.85" customHeight="1" s="79">
      <c r="A1365" s="145" t="inlineStr">
        <is>
          <t>GM_TNA</t>
        </is>
      </c>
      <c r="B1365" s="145" t="inlineStr">
        <is>
          <t>Top-Row Cell Format</t>
        </is>
      </c>
      <c r="C1365" s="145" t="inlineStr">
        <is>
          <t>D4</t>
        </is>
      </c>
      <c r="D1365" s="145" t="inlineStr">
        <is>
          <t>GM_TNA!A1:Z373</t>
        </is>
      </c>
      <c r="E1365" s="145" t="inlineStr">
        <is>
          <t>Normal</t>
        </is>
      </c>
      <c r="F1365" s="145" t="n"/>
      <c r="G1365" s="145" t="inlineStr">
        <is>
          <t>Aptos</t>
        </is>
      </c>
      <c r="H1365" s="145" t="n">
        <v>8</v>
      </c>
      <c r="I1365" s="145" t="inlineStr">
        <is>
          <t>No</t>
        </is>
      </c>
      <c r="J1365" s="145" t="inlineStr">
        <is>
          <t>No</t>
        </is>
      </c>
      <c r="K1365" s="145" t="inlineStr">
        <is>
          <t>None</t>
        </is>
      </c>
      <c r="L1365" s="145" t="inlineStr">
        <is>
          <t>#000000</t>
        </is>
      </c>
      <c r="M1365" s="145" t="inlineStr">
        <is>
          <t>General</t>
        </is>
      </c>
      <c r="N1365" s="145" t="inlineStr">
        <is>
          <t>Center</t>
        </is>
      </c>
      <c r="O1365" s="145" t="inlineStr">
        <is>
          <t>No</t>
        </is>
      </c>
      <c r="P1365" s="145" t="inlineStr">
        <is>
          <t>General</t>
        </is>
      </c>
      <c r="Q1365" s="145" t="inlineStr">
        <is>
          <t>General</t>
        </is>
      </c>
      <c r="R1365" s="145" t="n"/>
      <c r="S1365" s="145" t="n"/>
      <c r="T1365" s="145" t="n"/>
      <c r="U1365" s="145" t="n"/>
      <c r="V1365" s="145" t="n"/>
      <c r="W1365" s="145" t="n"/>
      <c r="X1365" s="145" t="inlineStr">
        <is>
          <t>Detailed format sample from top five used rows</t>
        </is>
      </c>
    </row>
    <row r="1366" ht="23.85" customHeight="1" s="79">
      <c r="A1366" s="145" t="inlineStr">
        <is>
          <t>GM_TNA</t>
        </is>
      </c>
      <c r="B1366" s="145" t="inlineStr">
        <is>
          <t>Top-Row Cell Format</t>
        </is>
      </c>
      <c r="C1366" s="145" t="inlineStr">
        <is>
          <t>D5</t>
        </is>
      </c>
      <c r="D1366" s="145" t="inlineStr">
        <is>
          <t>GM_TNA!A1:Z373</t>
        </is>
      </c>
      <c r="E1366" s="145" t="inlineStr">
        <is>
          <t>Normal</t>
        </is>
      </c>
      <c r="F1366" s="145" t="n"/>
      <c r="G1366" s="145" t="inlineStr">
        <is>
          <t>Aptos</t>
        </is>
      </c>
      <c r="H1366" s="145" t="n">
        <v>8</v>
      </c>
      <c r="I1366" s="145" t="inlineStr">
        <is>
          <t>No</t>
        </is>
      </c>
      <c r="J1366" s="145" t="inlineStr">
        <is>
          <t>No</t>
        </is>
      </c>
      <c r="K1366" s="145" t="inlineStr">
        <is>
          <t>None</t>
        </is>
      </c>
      <c r="L1366" s="145" t="inlineStr">
        <is>
          <t>#000000</t>
        </is>
      </c>
      <c r="M1366" s="145" t="inlineStr">
        <is>
          <t>General</t>
        </is>
      </c>
      <c r="N1366" s="145" t="inlineStr">
        <is>
          <t>Center</t>
        </is>
      </c>
      <c r="O1366" s="145" t="inlineStr">
        <is>
          <t>No</t>
        </is>
      </c>
      <c r="P1366" s="145" t="inlineStr">
        <is>
          <t>General</t>
        </is>
      </c>
      <c r="Q1366" s="145" t="inlineStr">
        <is>
          <t>General</t>
        </is>
      </c>
      <c r="R1366" s="145" t="n"/>
      <c r="S1366" s="145" t="n"/>
      <c r="T1366" s="145" t="n"/>
      <c r="U1366" s="145" t="n"/>
      <c r="V1366" s="145" t="n"/>
      <c r="W1366" s="145" t="n"/>
      <c r="X1366" s="145" t="inlineStr">
        <is>
          <t>Detailed format sample from top five used rows</t>
        </is>
      </c>
    </row>
    <row r="1367" ht="23.85" customHeight="1" s="79">
      <c r="A1367" s="145" t="inlineStr">
        <is>
          <t>GM_TNA</t>
        </is>
      </c>
      <c r="B1367" s="145" t="inlineStr">
        <is>
          <t>Column Format</t>
        </is>
      </c>
      <c r="C1367" s="145" t="inlineStr">
        <is>
          <t>E:E</t>
        </is>
      </c>
      <c r="D1367" s="145" t="inlineStr">
        <is>
          <t>GM_TNA!A1:Z373</t>
        </is>
      </c>
      <c r="E1367" s="145" t="inlineStr">
        <is>
          <t>Normal</t>
        </is>
      </c>
      <c r="F1367" s="145" t="inlineStr">
        <is>
          <t>Mixed</t>
        </is>
      </c>
      <c r="G1367" s="145" t="inlineStr">
        <is>
          <t>Aptos</t>
        </is>
      </c>
      <c r="H1367" s="145" t="n">
        <v>8</v>
      </c>
      <c r="I1367" s="145" t="inlineStr">
        <is>
          <t>Mixed</t>
        </is>
      </c>
      <c r="J1367" s="145" t="inlineStr">
        <is>
          <t>No</t>
        </is>
      </c>
      <c r="K1367" s="145" t="inlineStr">
        <is>
          <t>None</t>
        </is>
      </c>
      <c r="L1367" s="145" t="inlineStr">
        <is>
          <t>Mixed</t>
        </is>
      </c>
      <c r="M1367" s="145" t="inlineStr">
        <is>
          <t>General</t>
        </is>
      </c>
      <c r="N1367" s="145" t="inlineStr">
        <is>
          <t>Center</t>
        </is>
      </c>
      <c r="O1367" s="145" t="inlineStr">
        <is>
          <t>No</t>
        </is>
      </c>
      <c r="P1367" s="145" t="n"/>
      <c r="Q1367" s="145" t="n"/>
      <c r="R1367" s="145" t="n"/>
      <c r="S1367" s="145" t="n">
        <v>48.3582089552239</v>
      </c>
      <c r="T1367" s="145" t="n"/>
      <c r="U1367" s="145" t="inlineStr">
        <is>
          <t>No</t>
        </is>
      </c>
      <c r="V1367" s="145" t="inlineStr">
        <is>
          <t>Visible</t>
        </is>
      </c>
      <c r="W1367" s="145" t="n"/>
      <c r="X1367" s="145" t="inlineStr">
        <is>
          <t>Mixed styles within used column</t>
        </is>
      </c>
    </row>
    <row r="1368" ht="23.85" customHeight="1" s="79">
      <c r="A1368" s="145" t="inlineStr">
        <is>
          <t>GM_TNA</t>
        </is>
      </c>
      <c r="B1368" s="145" t="inlineStr">
        <is>
          <t>Top-Row Cell Format</t>
        </is>
      </c>
      <c r="C1368" s="145" t="inlineStr">
        <is>
          <t>E1</t>
        </is>
      </c>
      <c r="D1368" s="145" t="inlineStr">
        <is>
          <t>GM_TNA!A1:Z373</t>
        </is>
      </c>
      <c r="E1368" s="145" t="inlineStr">
        <is>
          <t>Normal</t>
        </is>
      </c>
      <c r="F1368" s="145" t="inlineStr">
        <is>
          <t>#FFC000</t>
        </is>
      </c>
      <c r="G1368" s="145" t="inlineStr">
        <is>
          <t>Aptos</t>
        </is>
      </c>
      <c r="H1368" s="145" t="n">
        <v>8</v>
      </c>
      <c r="I1368" s="145" t="inlineStr">
        <is>
          <t>Yes</t>
        </is>
      </c>
      <c r="J1368" s="145" t="inlineStr">
        <is>
          <t>No</t>
        </is>
      </c>
      <c r="K1368" s="145" t="inlineStr">
        <is>
          <t>None</t>
        </is>
      </c>
      <c r="L1368" s="145" t="inlineStr">
        <is>
          <t>#FFFFFF</t>
        </is>
      </c>
      <c r="M1368" s="145" t="inlineStr">
        <is>
          <t>General</t>
        </is>
      </c>
      <c r="N1368" s="145" t="inlineStr">
        <is>
          <t>Center</t>
        </is>
      </c>
      <c r="O1368" s="145" t="inlineStr">
        <is>
          <t>No</t>
        </is>
      </c>
      <c r="P1368" s="145" t="inlineStr">
        <is>
          <t>General</t>
        </is>
      </c>
      <c r="Q1368" s="145" t="inlineStr">
        <is>
          <t>General</t>
        </is>
      </c>
      <c r="R1368" s="145" t="n"/>
      <c r="S1368" s="145" t="n"/>
      <c r="T1368" s="145" t="n"/>
      <c r="U1368" s="145" t="n"/>
      <c r="V1368" s="145" t="n"/>
      <c r="W1368" s="145" t="n"/>
      <c r="X1368" s="145" t="inlineStr">
        <is>
          <t>Detailed format sample from top five used rows</t>
        </is>
      </c>
    </row>
    <row r="1369" ht="23.85" customHeight="1" s="79">
      <c r="A1369" s="145" t="inlineStr">
        <is>
          <t>GM_TNA</t>
        </is>
      </c>
      <c r="B1369" s="145" t="inlineStr">
        <is>
          <t>Top-Row Cell Format</t>
        </is>
      </c>
      <c r="C1369" s="145" t="inlineStr">
        <is>
          <t>E2</t>
        </is>
      </c>
      <c r="D1369" s="145" t="inlineStr">
        <is>
          <t>GM_TNA!A1:Z373</t>
        </is>
      </c>
      <c r="E1369" s="145" t="inlineStr">
        <is>
          <t>Normal</t>
        </is>
      </c>
      <c r="F1369" s="145" t="n"/>
      <c r="G1369" s="145" t="inlineStr">
        <is>
          <t>Aptos</t>
        </is>
      </c>
      <c r="H1369" s="145" t="n">
        <v>8</v>
      </c>
      <c r="I1369" s="145" t="inlineStr">
        <is>
          <t>No</t>
        </is>
      </c>
      <c r="J1369" s="145" t="inlineStr">
        <is>
          <t>No</t>
        </is>
      </c>
      <c r="K1369" s="145" t="inlineStr">
        <is>
          <t>None</t>
        </is>
      </c>
      <c r="L1369" s="145" t="inlineStr">
        <is>
          <t>#000000</t>
        </is>
      </c>
      <c r="M1369" s="145" t="inlineStr">
        <is>
          <t>General</t>
        </is>
      </c>
      <c r="N1369" s="145" t="inlineStr">
        <is>
          <t>Center</t>
        </is>
      </c>
      <c r="O1369" s="145" t="inlineStr">
        <is>
          <t>No</t>
        </is>
      </c>
      <c r="P1369" s="145" t="inlineStr">
        <is>
          <t>General</t>
        </is>
      </c>
      <c r="Q1369" s="145" t="inlineStr">
        <is>
          <t>General</t>
        </is>
      </c>
      <c r="R1369" s="145" t="n"/>
      <c r="S1369" s="145" t="n"/>
      <c r="T1369" s="145" t="n"/>
      <c r="U1369" s="145" t="n"/>
      <c r="V1369" s="145" t="n"/>
      <c r="W1369" s="145" t="n"/>
      <c r="X1369" s="145" t="inlineStr">
        <is>
          <t>Detailed format sample from top five used rows</t>
        </is>
      </c>
    </row>
    <row r="1370" ht="23.85" customHeight="1" s="79">
      <c r="A1370" s="145" t="inlineStr">
        <is>
          <t>GM_TNA</t>
        </is>
      </c>
      <c r="B1370" s="145" t="inlineStr">
        <is>
          <t>Top-Row Cell Format</t>
        </is>
      </c>
      <c r="C1370" s="145" t="inlineStr">
        <is>
          <t>E3</t>
        </is>
      </c>
      <c r="D1370" s="145" t="inlineStr">
        <is>
          <t>GM_TNA!A1:Z373</t>
        </is>
      </c>
      <c r="E1370" s="145" t="inlineStr">
        <is>
          <t>Normal</t>
        </is>
      </c>
      <c r="F1370" s="145" t="n"/>
      <c r="G1370" s="145" t="inlineStr">
        <is>
          <t>Aptos</t>
        </is>
      </c>
      <c r="H1370" s="145" t="n">
        <v>8</v>
      </c>
      <c r="I1370" s="145" t="inlineStr">
        <is>
          <t>No</t>
        </is>
      </c>
      <c r="J1370" s="145" t="inlineStr">
        <is>
          <t>No</t>
        </is>
      </c>
      <c r="K1370" s="145" t="inlineStr">
        <is>
          <t>None</t>
        </is>
      </c>
      <c r="L1370" s="145" t="inlineStr">
        <is>
          <t>#000000</t>
        </is>
      </c>
      <c r="M1370" s="145" t="inlineStr">
        <is>
          <t>General</t>
        </is>
      </c>
      <c r="N1370" s="145" t="inlineStr">
        <is>
          <t>Center</t>
        </is>
      </c>
      <c r="O1370" s="145" t="inlineStr">
        <is>
          <t>No</t>
        </is>
      </c>
      <c r="P1370" s="145" t="inlineStr">
        <is>
          <t>General</t>
        </is>
      </c>
      <c r="Q1370" s="145" t="inlineStr">
        <is>
          <t>General</t>
        </is>
      </c>
      <c r="R1370" s="145" t="n"/>
      <c r="S1370" s="145" t="n"/>
      <c r="T1370" s="145" t="n"/>
      <c r="U1370" s="145" t="n"/>
      <c r="V1370" s="145" t="n"/>
      <c r="W1370" s="145" t="n"/>
      <c r="X1370" s="145" t="inlineStr">
        <is>
          <t>Detailed format sample from top five used rows</t>
        </is>
      </c>
    </row>
    <row r="1371" ht="23.85" customHeight="1" s="79">
      <c r="A1371" s="145" t="inlineStr">
        <is>
          <t>GM_TNA</t>
        </is>
      </c>
      <c r="B1371" s="145" t="inlineStr">
        <is>
          <t>Top-Row Cell Format</t>
        </is>
      </c>
      <c r="C1371" s="145" t="inlineStr">
        <is>
          <t>E4</t>
        </is>
      </c>
      <c r="D1371" s="145" t="inlineStr">
        <is>
          <t>GM_TNA!A1:Z373</t>
        </is>
      </c>
      <c r="E1371" s="145" t="inlineStr">
        <is>
          <t>Normal</t>
        </is>
      </c>
      <c r="F1371" s="145" t="n"/>
      <c r="G1371" s="145" t="inlineStr">
        <is>
          <t>Aptos</t>
        </is>
      </c>
      <c r="H1371" s="145" t="n">
        <v>8</v>
      </c>
      <c r="I1371" s="145" t="inlineStr">
        <is>
          <t>No</t>
        </is>
      </c>
      <c r="J1371" s="145" t="inlineStr">
        <is>
          <t>No</t>
        </is>
      </c>
      <c r="K1371" s="145" t="inlineStr">
        <is>
          <t>None</t>
        </is>
      </c>
      <c r="L1371" s="145" t="inlineStr">
        <is>
          <t>#000000</t>
        </is>
      </c>
      <c r="M1371" s="145" t="inlineStr">
        <is>
          <t>General</t>
        </is>
      </c>
      <c r="N1371" s="145" t="inlineStr">
        <is>
          <t>Center</t>
        </is>
      </c>
      <c r="O1371" s="145" t="inlineStr">
        <is>
          <t>No</t>
        </is>
      </c>
      <c r="P1371" s="145" t="inlineStr">
        <is>
          <t>General</t>
        </is>
      </c>
      <c r="Q1371" s="145" t="inlineStr">
        <is>
          <t>General</t>
        </is>
      </c>
      <c r="R1371" s="145" t="n"/>
      <c r="S1371" s="145" t="n"/>
      <c r="T1371" s="145" t="n"/>
      <c r="U1371" s="145" t="n"/>
      <c r="V1371" s="145" t="n"/>
      <c r="W1371" s="145" t="n"/>
      <c r="X1371" s="145" t="inlineStr">
        <is>
          <t>Detailed format sample from top five used rows</t>
        </is>
      </c>
    </row>
    <row r="1372" ht="23.85" customHeight="1" s="79">
      <c r="A1372" s="145" t="inlineStr">
        <is>
          <t>GM_TNA</t>
        </is>
      </c>
      <c r="B1372" s="145" t="inlineStr">
        <is>
          <t>Top-Row Cell Format</t>
        </is>
      </c>
      <c r="C1372" s="145" t="inlineStr">
        <is>
          <t>E5</t>
        </is>
      </c>
      <c r="D1372" s="145" t="inlineStr">
        <is>
          <t>GM_TNA!A1:Z373</t>
        </is>
      </c>
      <c r="E1372" s="145" t="inlineStr">
        <is>
          <t>Normal</t>
        </is>
      </c>
      <c r="F1372" s="145" t="n"/>
      <c r="G1372" s="145" t="inlineStr">
        <is>
          <t>Aptos</t>
        </is>
      </c>
      <c r="H1372" s="145" t="n">
        <v>8</v>
      </c>
      <c r="I1372" s="145" t="inlineStr">
        <is>
          <t>No</t>
        </is>
      </c>
      <c r="J1372" s="145" t="inlineStr">
        <is>
          <t>No</t>
        </is>
      </c>
      <c r="K1372" s="145" t="inlineStr">
        <is>
          <t>None</t>
        </is>
      </c>
      <c r="L1372" s="145" t="inlineStr">
        <is>
          <t>#000000</t>
        </is>
      </c>
      <c r="M1372" s="145" t="inlineStr">
        <is>
          <t>General</t>
        </is>
      </c>
      <c r="N1372" s="145" t="inlineStr">
        <is>
          <t>Center</t>
        </is>
      </c>
      <c r="O1372" s="145" t="inlineStr">
        <is>
          <t>No</t>
        </is>
      </c>
      <c r="P1372" s="145" t="inlineStr">
        <is>
          <t>General</t>
        </is>
      </c>
      <c r="Q1372" s="145" t="inlineStr">
        <is>
          <t>General</t>
        </is>
      </c>
      <c r="R1372" s="145" t="n"/>
      <c r="S1372" s="145" t="n"/>
      <c r="T1372" s="145" t="n"/>
      <c r="U1372" s="145" t="n"/>
      <c r="V1372" s="145" t="n"/>
      <c r="W1372" s="145" t="n"/>
      <c r="X1372" s="145" t="inlineStr">
        <is>
          <t>Detailed format sample from top five used rows</t>
        </is>
      </c>
    </row>
    <row r="1373" ht="23.85" customHeight="1" s="79">
      <c r="A1373" s="145" t="inlineStr">
        <is>
          <t>GM_TNA</t>
        </is>
      </c>
      <c r="B1373" s="145" t="inlineStr">
        <is>
          <t>Column Format</t>
        </is>
      </c>
      <c r="C1373" s="145" t="inlineStr">
        <is>
          <t>F:F</t>
        </is>
      </c>
      <c r="D1373" s="145" t="inlineStr">
        <is>
          <t>GM_TNA!A1:Z373</t>
        </is>
      </c>
      <c r="E1373" s="145" t="inlineStr">
        <is>
          <t>Normal</t>
        </is>
      </c>
      <c r="F1373" s="145" t="inlineStr">
        <is>
          <t>Mixed</t>
        </is>
      </c>
      <c r="G1373" s="145" t="inlineStr">
        <is>
          <t>Aptos</t>
        </is>
      </c>
      <c r="H1373" s="145" t="n">
        <v>8</v>
      </c>
      <c r="I1373" s="145" t="inlineStr">
        <is>
          <t>Mixed</t>
        </is>
      </c>
      <c r="J1373" s="145" t="inlineStr">
        <is>
          <t>No</t>
        </is>
      </c>
      <c r="K1373" s="145" t="inlineStr">
        <is>
          <t>None</t>
        </is>
      </c>
      <c r="L1373" s="145" t="inlineStr">
        <is>
          <t>Mixed</t>
        </is>
      </c>
      <c r="M1373" s="145" t="inlineStr">
        <is>
          <t>General</t>
        </is>
      </c>
      <c r="N1373" s="145" t="inlineStr">
        <is>
          <t>Center</t>
        </is>
      </c>
      <c r="O1373" s="145" t="inlineStr">
        <is>
          <t>No</t>
        </is>
      </c>
      <c r="P1373" s="145" t="n"/>
      <c r="Q1373" s="145" t="n"/>
      <c r="R1373" s="145" t="n"/>
      <c r="S1373" s="145" t="n">
        <v>39.2238805970149</v>
      </c>
      <c r="T1373" s="145" t="n"/>
      <c r="U1373" s="145" t="inlineStr">
        <is>
          <t>No</t>
        </is>
      </c>
      <c r="V1373" s="145" t="inlineStr">
        <is>
          <t>Visible</t>
        </is>
      </c>
      <c r="W1373" s="145" t="n"/>
      <c r="X1373" s="145" t="inlineStr">
        <is>
          <t>Mixed styles within used column</t>
        </is>
      </c>
    </row>
    <row r="1374" ht="23.85" customHeight="1" s="79">
      <c r="A1374" s="145" t="inlineStr">
        <is>
          <t>GM_TNA</t>
        </is>
      </c>
      <c r="B1374" s="145" t="inlineStr">
        <is>
          <t>Top-Row Cell Format</t>
        </is>
      </c>
      <c r="C1374" s="145" t="inlineStr">
        <is>
          <t>F1</t>
        </is>
      </c>
      <c r="D1374" s="145" t="inlineStr">
        <is>
          <t>GM_TNA!A1:Z373</t>
        </is>
      </c>
      <c r="E1374" s="145" t="inlineStr">
        <is>
          <t>Normal</t>
        </is>
      </c>
      <c r="F1374" s="145" t="inlineStr">
        <is>
          <t>#FFC000</t>
        </is>
      </c>
      <c r="G1374" s="145" t="inlineStr">
        <is>
          <t>Aptos</t>
        </is>
      </c>
      <c r="H1374" s="145" t="n">
        <v>8</v>
      </c>
      <c r="I1374" s="145" t="inlineStr">
        <is>
          <t>Yes</t>
        </is>
      </c>
      <c r="J1374" s="145" t="inlineStr">
        <is>
          <t>No</t>
        </is>
      </c>
      <c r="K1374" s="145" t="inlineStr">
        <is>
          <t>None</t>
        </is>
      </c>
      <c r="L1374" s="145" t="inlineStr">
        <is>
          <t>#FFFFFF</t>
        </is>
      </c>
      <c r="M1374" s="145" t="inlineStr">
        <is>
          <t>General</t>
        </is>
      </c>
      <c r="N1374" s="145" t="inlineStr">
        <is>
          <t>Center</t>
        </is>
      </c>
      <c r="O1374" s="145" t="inlineStr">
        <is>
          <t>No</t>
        </is>
      </c>
      <c r="P1374" s="145" t="inlineStr">
        <is>
          <t>General</t>
        </is>
      </c>
      <c r="Q1374" s="145" t="inlineStr">
        <is>
          <t>General</t>
        </is>
      </c>
      <c r="R1374" s="145" t="n"/>
      <c r="S1374" s="145" t="n"/>
      <c r="T1374" s="145" t="n"/>
      <c r="U1374" s="145" t="n"/>
      <c r="V1374" s="145" t="n"/>
      <c r="W1374" s="145" t="n"/>
      <c r="X1374" s="145" t="inlineStr">
        <is>
          <t>Detailed format sample from top five used rows</t>
        </is>
      </c>
    </row>
    <row r="1375" ht="23.85" customHeight="1" s="79">
      <c r="A1375" s="145" t="inlineStr">
        <is>
          <t>GM_TNA</t>
        </is>
      </c>
      <c r="B1375" s="145" t="inlineStr">
        <is>
          <t>Top-Row Cell Format</t>
        </is>
      </c>
      <c r="C1375" s="145" t="inlineStr">
        <is>
          <t>F2</t>
        </is>
      </c>
      <c r="D1375" s="145" t="inlineStr">
        <is>
          <t>GM_TNA!A1:Z373</t>
        </is>
      </c>
      <c r="E1375" s="145" t="inlineStr">
        <is>
          <t>Normal</t>
        </is>
      </c>
      <c r="F1375" s="145" t="n"/>
      <c r="G1375" s="145" t="inlineStr">
        <is>
          <t>Aptos</t>
        </is>
      </c>
      <c r="H1375" s="145" t="n">
        <v>8</v>
      </c>
      <c r="I1375" s="145" t="inlineStr">
        <is>
          <t>No</t>
        </is>
      </c>
      <c r="J1375" s="145" t="inlineStr">
        <is>
          <t>No</t>
        </is>
      </c>
      <c r="K1375" s="145" t="inlineStr">
        <is>
          <t>None</t>
        </is>
      </c>
      <c r="L1375" s="145" t="inlineStr">
        <is>
          <t>#000000</t>
        </is>
      </c>
      <c r="M1375" s="145" t="inlineStr">
        <is>
          <t>General</t>
        </is>
      </c>
      <c r="N1375" s="145" t="inlineStr">
        <is>
          <t>Center</t>
        </is>
      </c>
      <c r="O1375" s="145" t="inlineStr">
        <is>
          <t>No</t>
        </is>
      </c>
      <c r="P1375" s="145" t="inlineStr">
        <is>
          <t>General</t>
        </is>
      </c>
      <c r="Q1375" s="145" t="inlineStr">
        <is>
          <t>General</t>
        </is>
      </c>
      <c r="R1375" s="145" t="n"/>
      <c r="S1375" s="145" t="n"/>
      <c r="T1375" s="145" t="n"/>
      <c r="U1375" s="145" t="n"/>
      <c r="V1375" s="145" t="n"/>
      <c r="W1375" s="145" t="n"/>
      <c r="X1375" s="145" t="inlineStr">
        <is>
          <t>Detailed format sample from top five used rows</t>
        </is>
      </c>
    </row>
    <row r="1376" ht="23.85" customHeight="1" s="79">
      <c r="A1376" s="145" t="inlineStr">
        <is>
          <t>GM_TNA</t>
        </is>
      </c>
      <c r="B1376" s="145" t="inlineStr">
        <is>
          <t>Top-Row Cell Format</t>
        </is>
      </c>
      <c r="C1376" s="145" t="inlineStr">
        <is>
          <t>F3</t>
        </is>
      </c>
      <c r="D1376" s="145" t="inlineStr">
        <is>
          <t>GM_TNA!A1:Z373</t>
        </is>
      </c>
      <c r="E1376" s="145" t="inlineStr">
        <is>
          <t>Normal</t>
        </is>
      </c>
      <c r="F1376" s="145" t="n"/>
      <c r="G1376" s="145" t="inlineStr">
        <is>
          <t>Aptos</t>
        </is>
      </c>
      <c r="H1376" s="145" t="n">
        <v>8</v>
      </c>
      <c r="I1376" s="145" t="inlineStr">
        <is>
          <t>No</t>
        </is>
      </c>
      <c r="J1376" s="145" t="inlineStr">
        <is>
          <t>No</t>
        </is>
      </c>
      <c r="K1376" s="145" t="inlineStr">
        <is>
          <t>None</t>
        </is>
      </c>
      <c r="L1376" s="145" t="inlineStr">
        <is>
          <t>#000000</t>
        </is>
      </c>
      <c r="M1376" s="145" t="inlineStr">
        <is>
          <t>General</t>
        </is>
      </c>
      <c r="N1376" s="145" t="inlineStr">
        <is>
          <t>Center</t>
        </is>
      </c>
      <c r="O1376" s="145" t="inlineStr">
        <is>
          <t>No</t>
        </is>
      </c>
      <c r="P1376" s="145" t="inlineStr">
        <is>
          <t>General</t>
        </is>
      </c>
      <c r="Q1376" s="145" t="inlineStr">
        <is>
          <t>General</t>
        </is>
      </c>
      <c r="R1376" s="145" t="n"/>
      <c r="S1376" s="145" t="n"/>
      <c r="T1376" s="145" t="n"/>
      <c r="U1376" s="145" t="n"/>
      <c r="V1376" s="145" t="n"/>
      <c r="W1376" s="145" t="n"/>
      <c r="X1376" s="145" t="inlineStr">
        <is>
          <t>Detailed format sample from top five used rows</t>
        </is>
      </c>
    </row>
    <row r="1377" ht="23.85" customHeight="1" s="79">
      <c r="A1377" s="145" t="inlineStr">
        <is>
          <t>GM_TNA</t>
        </is>
      </c>
      <c r="B1377" s="145" t="inlineStr">
        <is>
          <t>Top-Row Cell Format</t>
        </is>
      </c>
      <c r="C1377" s="145" t="inlineStr">
        <is>
          <t>F4</t>
        </is>
      </c>
      <c r="D1377" s="145" t="inlineStr">
        <is>
          <t>GM_TNA!A1:Z373</t>
        </is>
      </c>
      <c r="E1377" s="145" t="inlineStr">
        <is>
          <t>Normal</t>
        </is>
      </c>
      <c r="F1377" s="145" t="n"/>
      <c r="G1377" s="145" t="inlineStr">
        <is>
          <t>Aptos</t>
        </is>
      </c>
      <c r="H1377" s="145" t="n">
        <v>8</v>
      </c>
      <c r="I1377" s="145" t="inlineStr">
        <is>
          <t>No</t>
        </is>
      </c>
      <c r="J1377" s="145" t="inlineStr">
        <is>
          <t>No</t>
        </is>
      </c>
      <c r="K1377" s="145" t="inlineStr">
        <is>
          <t>None</t>
        </is>
      </c>
      <c r="L1377" s="145" t="inlineStr">
        <is>
          <t>#000000</t>
        </is>
      </c>
      <c r="M1377" s="145" t="inlineStr">
        <is>
          <t>General</t>
        </is>
      </c>
      <c r="N1377" s="145" t="inlineStr">
        <is>
          <t>Center</t>
        </is>
      </c>
      <c r="O1377" s="145" t="inlineStr">
        <is>
          <t>No</t>
        </is>
      </c>
      <c r="P1377" s="145" t="inlineStr">
        <is>
          <t>General</t>
        </is>
      </c>
      <c r="Q1377" s="145" t="inlineStr">
        <is>
          <t>General</t>
        </is>
      </c>
      <c r="R1377" s="145" t="n"/>
      <c r="S1377" s="145" t="n"/>
      <c r="T1377" s="145" t="n"/>
      <c r="U1377" s="145" t="n"/>
      <c r="V1377" s="145" t="n"/>
      <c r="W1377" s="145" t="n"/>
      <c r="X1377" s="145" t="inlineStr">
        <is>
          <t>Detailed format sample from top five used rows</t>
        </is>
      </c>
    </row>
    <row r="1378" ht="23.85" customHeight="1" s="79">
      <c r="A1378" s="145" t="inlineStr">
        <is>
          <t>GM_TNA</t>
        </is>
      </c>
      <c r="B1378" s="145" t="inlineStr">
        <is>
          <t>Top-Row Cell Format</t>
        </is>
      </c>
      <c r="C1378" s="145" t="inlineStr">
        <is>
          <t>F5</t>
        </is>
      </c>
      <c r="D1378" s="145" t="inlineStr">
        <is>
          <t>GM_TNA!A1:Z373</t>
        </is>
      </c>
      <c r="E1378" s="145" t="inlineStr">
        <is>
          <t>Normal</t>
        </is>
      </c>
      <c r="F1378" s="145" t="n"/>
      <c r="G1378" s="145" t="inlineStr">
        <is>
          <t>Aptos</t>
        </is>
      </c>
      <c r="H1378" s="145" t="n">
        <v>8</v>
      </c>
      <c r="I1378" s="145" t="inlineStr">
        <is>
          <t>No</t>
        </is>
      </c>
      <c r="J1378" s="145" t="inlineStr">
        <is>
          <t>No</t>
        </is>
      </c>
      <c r="K1378" s="145" t="inlineStr">
        <is>
          <t>None</t>
        </is>
      </c>
      <c r="L1378" s="145" t="inlineStr">
        <is>
          <t>#000000</t>
        </is>
      </c>
      <c r="M1378" s="145" t="inlineStr">
        <is>
          <t>General</t>
        </is>
      </c>
      <c r="N1378" s="145" t="inlineStr">
        <is>
          <t>Center</t>
        </is>
      </c>
      <c r="O1378" s="145" t="inlineStr">
        <is>
          <t>No</t>
        </is>
      </c>
      <c r="P1378" s="145" t="inlineStr">
        <is>
          <t>General</t>
        </is>
      </c>
      <c r="Q1378" s="145" t="inlineStr">
        <is>
          <t>General</t>
        </is>
      </c>
      <c r="R1378" s="145" t="n"/>
      <c r="S1378" s="145" t="n"/>
      <c r="T1378" s="145" t="n"/>
      <c r="U1378" s="145" t="n"/>
      <c r="V1378" s="145" t="n"/>
      <c r="W1378" s="145" t="n"/>
      <c r="X1378" s="145" t="inlineStr">
        <is>
          <t>Detailed format sample from top five used rows</t>
        </is>
      </c>
    </row>
    <row r="1379" ht="23.85" customHeight="1" s="79">
      <c r="A1379" s="145" t="inlineStr">
        <is>
          <t>GM_TNA</t>
        </is>
      </c>
      <c r="B1379" s="145" t="inlineStr">
        <is>
          <t>Column Format</t>
        </is>
      </c>
      <c r="C1379" s="145" t="inlineStr">
        <is>
          <t>G:G</t>
        </is>
      </c>
      <c r="D1379" s="145" t="inlineStr">
        <is>
          <t>GM_TNA!A1:Z373</t>
        </is>
      </c>
      <c r="E1379" s="145" t="inlineStr">
        <is>
          <t>Normal</t>
        </is>
      </c>
      <c r="F1379" s="145" t="inlineStr">
        <is>
          <t>Mixed</t>
        </is>
      </c>
      <c r="G1379" s="145" t="inlineStr">
        <is>
          <t>Aptos</t>
        </is>
      </c>
      <c r="H1379" s="145" t="n">
        <v>8</v>
      </c>
      <c r="I1379" s="145" t="inlineStr">
        <is>
          <t>Mixed</t>
        </is>
      </c>
      <c r="J1379" s="145" t="inlineStr">
        <is>
          <t>No</t>
        </is>
      </c>
      <c r="K1379" s="145" t="inlineStr">
        <is>
          <t>None</t>
        </is>
      </c>
      <c r="L1379" s="145" t="inlineStr">
        <is>
          <t>Mixed</t>
        </is>
      </c>
      <c r="M1379" s="145" t="inlineStr">
        <is>
          <t>General</t>
        </is>
      </c>
      <c r="N1379" s="145" t="inlineStr">
        <is>
          <t>Center</t>
        </is>
      </c>
      <c r="O1379" s="145" t="inlineStr">
        <is>
          <t>No</t>
        </is>
      </c>
      <c r="P1379" s="145" t="n"/>
      <c r="Q1379" s="145" t="n"/>
      <c r="R1379" s="145" t="n"/>
      <c r="S1379" s="145" t="n">
        <v>34.9253731343284</v>
      </c>
      <c r="T1379" s="145" t="n"/>
      <c r="U1379" s="145" t="inlineStr">
        <is>
          <t>No</t>
        </is>
      </c>
      <c r="V1379" s="145" t="inlineStr">
        <is>
          <t>Visible</t>
        </is>
      </c>
      <c r="W1379" s="145" t="n"/>
      <c r="X1379" s="145" t="inlineStr">
        <is>
          <t>Mixed styles within used column</t>
        </is>
      </c>
    </row>
    <row r="1380" ht="23.85" customHeight="1" s="79">
      <c r="A1380" s="145" t="inlineStr">
        <is>
          <t>GM_TNA</t>
        </is>
      </c>
      <c r="B1380" s="145" t="inlineStr">
        <is>
          <t>Top-Row Cell Format</t>
        </is>
      </c>
      <c r="C1380" s="145" t="inlineStr">
        <is>
          <t>G1</t>
        </is>
      </c>
      <c r="D1380" s="145" t="inlineStr">
        <is>
          <t>GM_TNA!A1:Z373</t>
        </is>
      </c>
      <c r="E1380" s="145" t="inlineStr">
        <is>
          <t>Normal</t>
        </is>
      </c>
      <c r="F1380" s="145" t="inlineStr">
        <is>
          <t>#FFC000</t>
        </is>
      </c>
      <c r="G1380" s="145" t="inlineStr">
        <is>
          <t>Aptos</t>
        </is>
      </c>
      <c r="H1380" s="145" t="n">
        <v>8</v>
      </c>
      <c r="I1380" s="145" t="inlineStr">
        <is>
          <t>Yes</t>
        </is>
      </c>
      <c r="J1380" s="145" t="inlineStr">
        <is>
          <t>No</t>
        </is>
      </c>
      <c r="K1380" s="145" t="inlineStr">
        <is>
          <t>None</t>
        </is>
      </c>
      <c r="L1380" s="145" t="inlineStr">
        <is>
          <t>#FFFFFF</t>
        </is>
      </c>
      <c r="M1380" s="145" t="inlineStr">
        <is>
          <t>General</t>
        </is>
      </c>
      <c r="N1380" s="145" t="inlineStr">
        <is>
          <t>Center</t>
        </is>
      </c>
      <c r="O1380" s="145" t="inlineStr">
        <is>
          <t>No</t>
        </is>
      </c>
      <c r="P1380" s="145" t="inlineStr">
        <is>
          <t>General</t>
        </is>
      </c>
      <c r="Q1380" s="145" t="inlineStr">
        <is>
          <t>General</t>
        </is>
      </c>
      <c r="R1380" s="145" t="n"/>
      <c r="S1380" s="145" t="n"/>
      <c r="T1380" s="145" t="n"/>
      <c r="U1380" s="145" t="n"/>
      <c r="V1380" s="145" t="n"/>
      <c r="W1380" s="145" t="n"/>
      <c r="X1380" s="145" t="inlineStr">
        <is>
          <t>Detailed format sample from top five used rows</t>
        </is>
      </c>
    </row>
    <row r="1381" ht="23.85" customHeight="1" s="79">
      <c r="A1381" s="145" t="inlineStr">
        <is>
          <t>GM_TNA</t>
        </is>
      </c>
      <c r="B1381" s="145" t="inlineStr">
        <is>
          <t>Top-Row Cell Format</t>
        </is>
      </c>
      <c r="C1381" s="145" t="inlineStr">
        <is>
          <t>G2</t>
        </is>
      </c>
      <c r="D1381" s="145" t="inlineStr">
        <is>
          <t>GM_TNA!A1:Z373</t>
        </is>
      </c>
      <c r="E1381" s="145" t="inlineStr">
        <is>
          <t>Normal</t>
        </is>
      </c>
      <c r="F1381" s="145" t="n"/>
      <c r="G1381" s="145" t="inlineStr">
        <is>
          <t>Aptos</t>
        </is>
      </c>
      <c r="H1381" s="145" t="n">
        <v>8</v>
      </c>
      <c r="I1381" s="145" t="inlineStr">
        <is>
          <t>No</t>
        </is>
      </c>
      <c r="J1381" s="145" t="inlineStr">
        <is>
          <t>No</t>
        </is>
      </c>
      <c r="K1381" s="145" t="inlineStr">
        <is>
          <t>None</t>
        </is>
      </c>
      <c r="L1381" s="145" t="inlineStr">
        <is>
          <t>#000000</t>
        </is>
      </c>
      <c r="M1381" s="145" t="inlineStr">
        <is>
          <t>General</t>
        </is>
      </c>
      <c r="N1381" s="145" t="inlineStr">
        <is>
          <t>Center</t>
        </is>
      </c>
      <c r="O1381" s="145" t="inlineStr">
        <is>
          <t>No</t>
        </is>
      </c>
      <c r="P1381" s="145" t="inlineStr">
        <is>
          <t>General</t>
        </is>
      </c>
      <c r="Q1381" s="145" t="inlineStr">
        <is>
          <t>General</t>
        </is>
      </c>
      <c r="R1381" s="145" t="n"/>
      <c r="S1381" s="145" t="n"/>
      <c r="T1381" s="145" t="n"/>
      <c r="U1381" s="145" t="n"/>
      <c r="V1381" s="145" t="n"/>
      <c r="W1381" s="145" t="n"/>
      <c r="X1381" s="145" t="inlineStr">
        <is>
          <t>Detailed format sample from top five used rows</t>
        </is>
      </c>
    </row>
    <row r="1382" ht="23.85" customHeight="1" s="79">
      <c r="A1382" s="145" t="inlineStr">
        <is>
          <t>GM_TNA</t>
        </is>
      </c>
      <c r="B1382" s="145" t="inlineStr">
        <is>
          <t>Top-Row Cell Format</t>
        </is>
      </c>
      <c r="C1382" s="145" t="inlineStr">
        <is>
          <t>G3</t>
        </is>
      </c>
      <c r="D1382" s="145" t="inlineStr">
        <is>
          <t>GM_TNA!A1:Z373</t>
        </is>
      </c>
      <c r="E1382" s="145" t="inlineStr">
        <is>
          <t>Normal</t>
        </is>
      </c>
      <c r="F1382" s="145" t="n"/>
      <c r="G1382" s="145" t="inlineStr">
        <is>
          <t>Aptos</t>
        </is>
      </c>
      <c r="H1382" s="145" t="n">
        <v>8</v>
      </c>
      <c r="I1382" s="145" t="inlineStr">
        <is>
          <t>No</t>
        </is>
      </c>
      <c r="J1382" s="145" t="inlineStr">
        <is>
          <t>No</t>
        </is>
      </c>
      <c r="K1382" s="145" t="inlineStr">
        <is>
          <t>None</t>
        </is>
      </c>
      <c r="L1382" s="145" t="inlineStr">
        <is>
          <t>#000000</t>
        </is>
      </c>
      <c r="M1382" s="145" t="inlineStr">
        <is>
          <t>General</t>
        </is>
      </c>
      <c r="N1382" s="145" t="inlineStr">
        <is>
          <t>Center</t>
        </is>
      </c>
      <c r="O1382" s="145" t="inlineStr">
        <is>
          <t>No</t>
        </is>
      </c>
      <c r="P1382" s="145" t="inlineStr">
        <is>
          <t>General</t>
        </is>
      </c>
      <c r="Q1382" s="145" t="inlineStr">
        <is>
          <t>General</t>
        </is>
      </c>
      <c r="R1382" s="145" t="n"/>
      <c r="S1382" s="145" t="n"/>
      <c r="T1382" s="145" t="n"/>
      <c r="U1382" s="145" t="n"/>
      <c r="V1382" s="145" t="n"/>
      <c r="W1382" s="145" t="n"/>
      <c r="X1382" s="145" t="inlineStr">
        <is>
          <t>Detailed format sample from top five used rows</t>
        </is>
      </c>
    </row>
    <row r="1383" ht="23.85" customHeight="1" s="79">
      <c r="A1383" s="145" t="inlineStr">
        <is>
          <t>GM_TNA</t>
        </is>
      </c>
      <c r="B1383" s="145" t="inlineStr">
        <is>
          <t>Top-Row Cell Format</t>
        </is>
      </c>
      <c r="C1383" s="145" t="inlineStr">
        <is>
          <t>G4</t>
        </is>
      </c>
      <c r="D1383" s="145" t="inlineStr">
        <is>
          <t>GM_TNA!A1:Z373</t>
        </is>
      </c>
      <c r="E1383" s="145" t="inlineStr">
        <is>
          <t>Normal</t>
        </is>
      </c>
      <c r="F1383" s="145" t="n"/>
      <c r="G1383" s="145" t="inlineStr">
        <is>
          <t>Aptos</t>
        </is>
      </c>
      <c r="H1383" s="145" t="n">
        <v>8</v>
      </c>
      <c r="I1383" s="145" t="inlineStr">
        <is>
          <t>No</t>
        </is>
      </c>
      <c r="J1383" s="145" t="inlineStr">
        <is>
          <t>No</t>
        </is>
      </c>
      <c r="K1383" s="145" t="inlineStr">
        <is>
          <t>None</t>
        </is>
      </c>
      <c r="L1383" s="145" t="inlineStr">
        <is>
          <t>#000000</t>
        </is>
      </c>
      <c r="M1383" s="145" t="inlineStr">
        <is>
          <t>General</t>
        </is>
      </c>
      <c r="N1383" s="145" t="inlineStr">
        <is>
          <t>Center</t>
        </is>
      </c>
      <c r="O1383" s="145" t="inlineStr">
        <is>
          <t>No</t>
        </is>
      </c>
      <c r="P1383" s="145" t="inlineStr">
        <is>
          <t>General</t>
        </is>
      </c>
      <c r="Q1383" s="145" t="inlineStr">
        <is>
          <t>General</t>
        </is>
      </c>
      <c r="R1383" s="145" t="n"/>
      <c r="S1383" s="145" t="n"/>
      <c r="T1383" s="145" t="n"/>
      <c r="U1383" s="145" t="n"/>
      <c r="V1383" s="145" t="n"/>
      <c r="W1383" s="145" t="n"/>
      <c r="X1383" s="145" t="inlineStr">
        <is>
          <t>Detailed format sample from top five used rows</t>
        </is>
      </c>
    </row>
    <row r="1384" ht="23.85" customHeight="1" s="79">
      <c r="A1384" s="145" t="inlineStr">
        <is>
          <t>GM_TNA</t>
        </is>
      </c>
      <c r="B1384" s="145" t="inlineStr">
        <is>
          <t>Top-Row Cell Format</t>
        </is>
      </c>
      <c r="C1384" s="145" t="inlineStr">
        <is>
          <t>G5</t>
        </is>
      </c>
      <c r="D1384" s="145" t="inlineStr">
        <is>
          <t>GM_TNA!A1:Z373</t>
        </is>
      </c>
      <c r="E1384" s="145" t="inlineStr">
        <is>
          <t>Normal</t>
        </is>
      </c>
      <c r="F1384" s="145" t="n"/>
      <c r="G1384" s="145" t="inlineStr">
        <is>
          <t>Aptos</t>
        </is>
      </c>
      <c r="H1384" s="145" t="n">
        <v>8</v>
      </c>
      <c r="I1384" s="145" t="inlineStr">
        <is>
          <t>No</t>
        </is>
      </c>
      <c r="J1384" s="145" t="inlineStr">
        <is>
          <t>No</t>
        </is>
      </c>
      <c r="K1384" s="145" t="inlineStr">
        <is>
          <t>None</t>
        </is>
      </c>
      <c r="L1384" s="145" t="inlineStr">
        <is>
          <t>#000000</t>
        </is>
      </c>
      <c r="M1384" s="145" t="inlineStr">
        <is>
          <t>General</t>
        </is>
      </c>
      <c r="N1384" s="145" t="inlineStr">
        <is>
          <t>Center</t>
        </is>
      </c>
      <c r="O1384" s="145" t="inlineStr">
        <is>
          <t>No</t>
        </is>
      </c>
      <c r="P1384" s="145" t="inlineStr">
        <is>
          <t>General</t>
        </is>
      </c>
      <c r="Q1384" s="145" t="inlineStr">
        <is>
          <t>General</t>
        </is>
      </c>
      <c r="R1384" s="145" t="n"/>
      <c r="S1384" s="145" t="n"/>
      <c r="T1384" s="145" t="n"/>
      <c r="U1384" s="145" t="n"/>
      <c r="V1384" s="145" t="n"/>
      <c r="W1384" s="145" t="n"/>
      <c r="X1384" s="145" t="inlineStr">
        <is>
          <t>Detailed format sample from top five used rows</t>
        </is>
      </c>
    </row>
    <row r="1385" ht="23.85" customHeight="1" s="79">
      <c r="A1385" s="145" t="inlineStr">
        <is>
          <t>GM_TNA</t>
        </is>
      </c>
      <c r="B1385" s="145" t="inlineStr">
        <is>
          <t>Column Format</t>
        </is>
      </c>
      <c r="C1385" s="145" t="inlineStr">
        <is>
          <t>H:H</t>
        </is>
      </c>
      <c r="D1385" s="145" t="inlineStr">
        <is>
          <t>GM_TNA!A1:Z373</t>
        </is>
      </c>
      <c r="E1385" s="145" t="inlineStr">
        <is>
          <t>Normal</t>
        </is>
      </c>
      <c r="F1385" s="145" t="inlineStr">
        <is>
          <t>Mixed</t>
        </is>
      </c>
      <c r="G1385" s="145" t="inlineStr">
        <is>
          <t>Aptos</t>
        </is>
      </c>
      <c r="H1385" s="145" t="n">
        <v>8</v>
      </c>
      <c r="I1385" s="145" t="inlineStr">
        <is>
          <t>Mixed</t>
        </is>
      </c>
      <c r="J1385" s="145" t="inlineStr">
        <is>
          <t>No</t>
        </is>
      </c>
      <c r="K1385" s="145" t="inlineStr">
        <is>
          <t>None</t>
        </is>
      </c>
      <c r="L1385" s="145" t="inlineStr">
        <is>
          <t>Mixed</t>
        </is>
      </c>
      <c r="M1385" s="145" t="inlineStr">
        <is>
          <t>General</t>
        </is>
      </c>
      <c r="N1385" s="145" t="inlineStr">
        <is>
          <t>Center</t>
        </is>
      </c>
      <c r="O1385" s="145" t="inlineStr">
        <is>
          <t>No</t>
        </is>
      </c>
      <c r="P1385" s="145" t="n"/>
      <c r="Q1385" s="145" t="n"/>
      <c r="R1385" s="145" t="n"/>
      <c r="S1385" s="145" t="n">
        <v>34.9253731343284</v>
      </c>
      <c r="T1385" s="145" t="n"/>
      <c r="U1385" s="145" t="inlineStr">
        <is>
          <t>No</t>
        </is>
      </c>
      <c r="V1385" s="145" t="inlineStr">
        <is>
          <t>Visible</t>
        </is>
      </c>
      <c r="W1385" s="145" t="n"/>
      <c r="X1385" s="145" t="inlineStr">
        <is>
          <t>Mixed styles within used column</t>
        </is>
      </c>
    </row>
    <row r="1386" ht="23.85" customHeight="1" s="79">
      <c r="A1386" s="145" t="inlineStr">
        <is>
          <t>GM_TNA</t>
        </is>
      </c>
      <c r="B1386" s="145" t="inlineStr">
        <is>
          <t>Top-Row Cell Format</t>
        </is>
      </c>
      <c r="C1386" s="145" t="inlineStr">
        <is>
          <t>H1</t>
        </is>
      </c>
      <c r="D1386" s="145" t="inlineStr">
        <is>
          <t>GM_TNA!A1:Z373</t>
        </is>
      </c>
      <c r="E1386" s="145" t="inlineStr">
        <is>
          <t>Normal</t>
        </is>
      </c>
      <c r="F1386" s="145" t="inlineStr">
        <is>
          <t>#FFC000</t>
        </is>
      </c>
      <c r="G1386" s="145" t="inlineStr">
        <is>
          <t>Aptos</t>
        </is>
      </c>
      <c r="H1386" s="145" t="n">
        <v>8</v>
      </c>
      <c r="I1386" s="145" t="inlineStr">
        <is>
          <t>Yes</t>
        </is>
      </c>
      <c r="J1386" s="145" t="inlineStr">
        <is>
          <t>No</t>
        </is>
      </c>
      <c r="K1386" s="145" t="inlineStr">
        <is>
          <t>None</t>
        </is>
      </c>
      <c r="L1386" s="145" t="inlineStr">
        <is>
          <t>#FFFFFF</t>
        </is>
      </c>
      <c r="M1386" s="145" t="inlineStr">
        <is>
          <t>General</t>
        </is>
      </c>
      <c r="N1386" s="145" t="inlineStr">
        <is>
          <t>Center</t>
        </is>
      </c>
      <c r="O1386" s="145" t="inlineStr">
        <is>
          <t>No</t>
        </is>
      </c>
      <c r="P1386" s="145" t="inlineStr">
        <is>
          <t>General</t>
        </is>
      </c>
      <c r="Q1386" s="145" t="inlineStr">
        <is>
          <t>General</t>
        </is>
      </c>
      <c r="R1386" s="145" t="n"/>
      <c r="S1386" s="145" t="n"/>
      <c r="T1386" s="145" t="n"/>
      <c r="U1386" s="145" t="n"/>
      <c r="V1386" s="145" t="n"/>
      <c r="W1386" s="145" t="n"/>
      <c r="X1386" s="145" t="inlineStr">
        <is>
          <t>Detailed format sample from top five used rows</t>
        </is>
      </c>
    </row>
    <row r="1387" ht="23.85" customHeight="1" s="79">
      <c r="A1387" s="145" t="inlineStr">
        <is>
          <t>GM_TNA</t>
        </is>
      </c>
      <c r="B1387" s="145" t="inlineStr">
        <is>
          <t>Top-Row Cell Format</t>
        </is>
      </c>
      <c r="C1387" s="145" t="inlineStr">
        <is>
          <t>H2</t>
        </is>
      </c>
      <c r="D1387" s="145" t="inlineStr">
        <is>
          <t>GM_TNA!A1:Z373</t>
        </is>
      </c>
      <c r="E1387" s="145" t="inlineStr">
        <is>
          <t>Normal</t>
        </is>
      </c>
      <c r="F1387" s="145" t="n"/>
      <c r="G1387" s="145" t="inlineStr">
        <is>
          <t>Aptos</t>
        </is>
      </c>
      <c r="H1387" s="145" t="n">
        <v>8</v>
      </c>
      <c r="I1387" s="145" t="inlineStr">
        <is>
          <t>No</t>
        </is>
      </c>
      <c r="J1387" s="145" t="inlineStr">
        <is>
          <t>No</t>
        </is>
      </c>
      <c r="K1387" s="145" t="inlineStr">
        <is>
          <t>None</t>
        </is>
      </c>
      <c r="L1387" s="145" t="inlineStr">
        <is>
          <t>#000000</t>
        </is>
      </c>
      <c r="M1387" s="145" t="inlineStr">
        <is>
          <t>General</t>
        </is>
      </c>
      <c r="N1387" s="145" t="inlineStr">
        <is>
          <t>Center</t>
        </is>
      </c>
      <c r="O1387" s="145" t="inlineStr">
        <is>
          <t>No</t>
        </is>
      </c>
      <c r="P1387" s="145" t="inlineStr">
        <is>
          <t>General</t>
        </is>
      </c>
      <c r="Q1387" s="145" t="inlineStr">
        <is>
          <t>General</t>
        </is>
      </c>
      <c r="R1387" s="145" t="n"/>
      <c r="S1387" s="145" t="n"/>
      <c r="T1387" s="145" t="n"/>
      <c r="U1387" s="145" t="n"/>
      <c r="V1387" s="145" t="n"/>
      <c r="W1387" s="145" t="n"/>
      <c r="X1387" s="145" t="inlineStr">
        <is>
          <t>Detailed format sample from top five used rows</t>
        </is>
      </c>
    </row>
    <row r="1388" ht="23.85" customHeight="1" s="79">
      <c r="A1388" s="145" t="inlineStr">
        <is>
          <t>GM_TNA</t>
        </is>
      </c>
      <c r="B1388" s="145" t="inlineStr">
        <is>
          <t>Top-Row Cell Format</t>
        </is>
      </c>
      <c r="C1388" s="145" t="inlineStr">
        <is>
          <t>H3</t>
        </is>
      </c>
      <c r="D1388" s="145" t="inlineStr">
        <is>
          <t>GM_TNA!A1:Z373</t>
        </is>
      </c>
      <c r="E1388" s="145" t="inlineStr">
        <is>
          <t>Normal</t>
        </is>
      </c>
      <c r="F1388" s="145" t="n"/>
      <c r="G1388" s="145" t="inlineStr">
        <is>
          <t>Aptos</t>
        </is>
      </c>
      <c r="H1388" s="145" t="n">
        <v>8</v>
      </c>
      <c r="I1388" s="145" t="inlineStr">
        <is>
          <t>No</t>
        </is>
      </c>
      <c r="J1388" s="145" t="inlineStr">
        <is>
          <t>No</t>
        </is>
      </c>
      <c r="K1388" s="145" t="inlineStr">
        <is>
          <t>None</t>
        </is>
      </c>
      <c r="L1388" s="145" t="inlineStr">
        <is>
          <t>#000000</t>
        </is>
      </c>
      <c r="M1388" s="145" t="inlineStr">
        <is>
          <t>General</t>
        </is>
      </c>
      <c r="N1388" s="145" t="inlineStr">
        <is>
          <t>Center</t>
        </is>
      </c>
      <c r="O1388" s="145" t="inlineStr">
        <is>
          <t>No</t>
        </is>
      </c>
      <c r="P1388" s="145" t="inlineStr">
        <is>
          <t>General</t>
        </is>
      </c>
      <c r="Q1388" s="145" t="inlineStr">
        <is>
          <t>General</t>
        </is>
      </c>
      <c r="R1388" s="145" t="n"/>
      <c r="S1388" s="145" t="n"/>
      <c r="T1388" s="145" t="n"/>
      <c r="U1388" s="145" t="n"/>
      <c r="V1388" s="145" t="n"/>
      <c r="W1388" s="145" t="n"/>
      <c r="X1388" s="145" t="inlineStr">
        <is>
          <t>Detailed format sample from top five used rows</t>
        </is>
      </c>
    </row>
    <row r="1389" ht="23.85" customHeight="1" s="79">
      <c r="A1389" s="145" t="inlineStr">
        <is>
          <t>GM_TNA</t>
        </is>
      </c>
      <c r="B1389" s="145" t="inlineStr">
        <is>
          <t>Top-Row Cell Format</t>
        </is>
      </c>
      <c r="C1389" s="145" t="inlineStr">
        <is>
          <t>H4</t>
        </is>
      </c>
      <c r="D1389" s="145" t="inlineStr">
        <is>
          <t>GM_TNA!A1:Z373</t>
        </is>
      </c>
      <c r="E1389" s="145" t="inlineStr">
        <is>
          <t>Normal</t>
        </is>
      </c>
      <c r="F1389" s="145" t="n"/>
      <c r="G1389" s="145" t="inlineStr">
        <is>
          <t>Aptos</t>
        </is>
      </c>
      <c r="H1389" s="145" t="n">
        <v>8</v>
      </c>
      <c r="I1389" s="145" t="inlineStr">
        <is>
          <t>No</t>
        </is>
      </c>
      <c r="J1389" s="145" t="inlineStr">
        <is>
          <t>No</t>
        </is>
      </c>
      <c r="K1389" s="145" t="inlineStr">
        <is>
          <t>None</t>
        </is>
      </c>
      <c r="L1389" s="145" t="inlineStr">
        <is>
          <t>#000000</t>
        </is>
      </c>
      <c r="M1389" s="145" t="inlineStr">
        <is>
          <t>General</t>
        </is>
      </c>
      <c r="N1389" s="145" t="inlineStr">
        <is>
          <t>Center</t>
        </is>
      </c>
      <c r="O1389" s="145" t="inlineStr">
        <is>
          <t>No</t>
        </is>
      </c>
      <c r="P1389" s="145" t="inlineStr">
        <is>
          <t>General</t>
        </is>
      </c>
      <c r="Q1389" s="145" t="inlineStr">
        <is>
          <t>General</t>
        </is>
      </c>
      <c r="R1389" s="145" t="n"/>
      <c r="S1389" s="145" t="n"/>
      <c r="T1389" s="145" t="n"/>
      <c r="U1389" s="145" t="n"/>
      <c r="V1389" s="145" t="n"/>
      <c r="W1389" s="145" t="n"/>
      <c r="X1389" s="145" t="inlineStr">
        <is>
          <t>Detailed format sample from top five used rows</t>
        </is>
      </c>
    </row>
    <row r="1390" ht="23.85" customHeight="1" s="79">
      <c r="A1390" s="145" t="inlineStr">
        <is>
          <t>GM_TNA</t>
        </is>
      </c>
      <c r="B1390" s="145" t="inlineStr">
        <is>
          <t>Top-Row Cell Format</t>
        </is>
      </c>
      <c r="C1390" s="145" t="inlineStr">
        <is>
          <t>H5</t>
        </is>
      </c>
      <c r="D1390" s="145" t="inlineStr">
        <is>
          <t>GM_TNA!A1:Z373</t>
        </is>
      </c>
      <c r="E1390" s="145" t="inlineStr">
        <is>
          <t>Normal</t>
        </is>
      </c>
      <c r="F1390" s="145" t="n"/>
      <c r="G1390" s="145" t="inlineStr">
        <is>
          <t>Aptos</t>
        </is>
      </c>
      <c r="H1390" s="145" t="n">
        <v>8</v>
      </c>
      <c r="I1390" s="145" t="inlineStr">
        <is>
          <t>No</t>
        </is>
      </c>
      <c r="J1390" s="145" t="inlineStr">
        <is>
          <t>No</t>
        </is>
      </c>
      <c r="K1390" s="145" t="inlineStr">
        <is>
          <t>None</t>
        </is>
      </c>
      <c r="L1390" s="145" t="inlineStr">
        <is>
          <t>#000000</t>
        </is>
      </c>
      <c r="M1390" s="145" t="inlineStr">
        <is>
          <t>General</t>
        </is>
      </c>
      <c r="N1390" s="145" t="inlineStr">
        <is>
          <t>Center</t>
        </is>
      </c>
      <c r="O1390" s="145" t="inlineStr">
        <is>
          <t>No</t>
        </is>
      </c>
      <c r="P1390" s="145" t="inlineStr">
        <is>
          <t>General</t>
        </is>
      </c>
      <c r="Q1390" s="145" t="inlineStr">
        <is>
          <t>General</t>
        </is>
      </c>
      <c r="R1390" s="145" t="n"/>
      <c r="S1390" s="145" t="n"/>
      <c r="T1390" s="145" t="n"/>
      <c r="U1390" s="145" t="n"/>
      <c r="V1390" s="145" t="n"/>
      <c r="W1390" s="145" t="n"/>
      <c r="X1390" s="145" t="inlineStr">
        <is>
          <t>Detailed format sample from top five used rows</t>
        </is>
      </c>
    </row>
    <row r="1391" ht="23.85" customHeight="1" s="79">
      <c r="A1391" s="145" t="inlineStr">
        <is>
          <t>GM_TNA</t>
        </is>
      </c>
      <c r="B1391" s="145" t="inlineStr">
        <is>
          <t>Column Format</t>
        </is>
      </c>
      <c r="C1391" s="145" t="inlineStr">
        <is>
          <t>I:I</t>
        </is>
      </c>
      <c r="D1391" s="145" t="inlineStr">
        <is>
          <t>GM_TNA!A1:Z373</t>
        </is>
      </c>
      <c r="E1391" s="145" t="inlineStr">
        <is>
          <t>Normal</t>
        </is>
      </c>
      <c r="F1391" s="145" t="inlineStr">
        <is>
          <t>Mixed</t>
        </is>
      </c>
      <c r="G1391" s="145" t="inlineStr">
        <is>
          <t>Aptos</t>
        </is>
      </c>
      <c r="H1391" s="145" t="n">
        <v>8</v>
      </c>
      <c r="I1391" s="145" t="inlineStr">
        <is>
          <t>Mixed</t>
        </is>
      </c>
      <c r="J1391" s="145" t="inlineStr">
        <is>
          <t>No</t>
        </is>
      </c>
      <c r="K1391" s="145" t="inlineStr">
        <is>
          <t>None</t>
        </is>
      </c>
      <c r="L1391" s="145" t="inlineStr">
        <is>
          <t>Mixed</t>
        </is>
      </c>
      <c r="M1391" s="145" t="inlineStr">
        <is>
          <t>General</t>
        </is>
      </c>
      <c r="N1391" s="145" t="inlineStr">
        <is>
          <t>Center</t>
        </is>
      </c>
      <c r="O1391" s="145" t="inlineStr">
        <is>
          <t>No</t>
        </is>
      </c>
      <c r="P1391" s="145" t="n"/>
      <c r="Q1391" s="145" t="n"/>
      <c r="R1391" s="145" t="n"/>
      <c r="S1391" s="145" t="n">
        <v>34.9253731343284</v>
      </c>
      <c r="T1391" s="145" t="n"/>
      <c r="U1391" s="145" t="inlineStr">
        <is>
          <t>No</t>
        </is>
      </c>
      <c r="V1391" s="145" t="inlineStr">
        <is>
          <t>Visible</t>
        </is>
      </c>
      <c r="W1391" s="145" t="n"/>
      <c r="X1391" s="145" t="inlineStr">
        <is>
          <t>Mixed styles within used column</t>
        </is>
      </c>
    </row>
    <row r="1392" ht="23.85" customHeight="1" s="79">
      <c r="A1392" s="145" t="inlineStr">
        <is>
          <t>GM_TNA</t>
        </is>
      </c>
      <c r="B1392" s="145" t="inlineStr">
        <is>
          <t>Top-Row Cell Format</t>
        </is>
      </c>
      <c r="C1392" s="145" t="inlineStr">
        <is>
          <t>I1</t>
        </is>
      </c>
      <c r="D1392" s="145" t="inlineStr">
        <is>
          <t>GM_TNA!A1:Z373</t>
        </is>
      </c>
      <c r="E1392" s="145" t="inlineStr">
        <is>
          <t>Normal</t>
        </is>
      </c>
      <c r="F1392" s="145" t="inlineStr">
        <is>
          <t>#FFC000</t>
        </is>
      </c>
      <c r="G1392" s="145" t="inlineStr">
        <is>
          <t>Aptos</t>
        </is>
      </c>
      <c r="H1392" s="145" t="n">
        <v>8</v>
      </c>
      <c r="I1392" s="145" t="inlineStr">
        <is>
          <t>Yes</t>
        </is>
      </c>
      <c r="J1392" s="145" t="inlineStr">
        <is>
          <t>No</t>
        </is>
      </c>
      <c r="K1392" s="145" t="inlineStr">
        <is>
          <t>None</t>
        </is>
      </c>
      <c r="L1392" s="145" t="inlineStr">
        <is>
          <t>#FFFFFF</t>
        </is>
      </c>
      <c r="M1392" s="145" t="inlineStr">
        <is>
          <t>General</t>
        </is>
      </c>
      <c r="N1392" s="145" t="inlineStr">
        <is>
          <t>Center</t>
        </is>
      </c>
      <c r="O1392" s="145" t="inlineStr">
        <is>
          <t>No</t>
        </is>
      </c>
      <c r="P1392" s="145" t="inlineStr">
        <is>
          <t>General</t>
        </is>
      </c>
      <c r="Q1392" s="145" t="inlineStr">
        <is>
          <t>General</t>
        </is>
      </c>
      <c r="R1392" s="145" t="n"/>
      <c r="S1392" s="145" t="n"/>
      <c r="T1392" s="145" t="n"/>
      <c r="U1392" s="145" t="n"/>
      <c r="V1392" s="145" t="n"/>
      <c r="W1392" s="145" t="n"/>
      <c r="X1392" s="145" t="inlineStr">
        <is>
          <t>Detailed format sample from top five used rows</t>
        </is>
      </c>
    </row>
    <row r="1393" ht="23.85" customHeight="1" s="79">
      <c r="A1393" s="145" t="inlineStr">
        <is>
          <t>GM_TNA</t>
        </is>
      </c>
      <c r="B1393" s="145" t="inlineStr">
        <is>
          <t>Top-Row Cell Format</t>
        </is>
      </c>
      <c r="C1393" s="145" t="inlineStr">
        <is>
          <t>I2</t>
        </is>
      </c>
      <c r="D1393" s="145" t="inlineStr">
        <is>
          <t>GM_TNA!A1:Z373</t>
        </is>
      </c>
      <c r="E1393" s="145" t="inlineStr">
        <is>
          <t>Normal</t>
        </is>
      </c>
      <c r="F1393" s="145" t="n"/>
      <c r="G1393" s="145" t="inlineStr">
        <is>
          <t>Aptos</t>
        </is>
      </c>
      <c r="H1393" s="145" t="n">
        <v>8</v>
      </c>
      <c r="I1393" s="145" t="inlineStr">
        <is>
          <t>No</t>
        </is>
      </c>
      <c r="J1393" s="145" t="inlineStr">
        <is>
          <t>No</t>
        </is>
      </c>
      <c r="K1393" s="145" t="inlineStr">
        <is>
          <t>None</t>
        </is>
      </c>
      <c r="L1393" s="145" t="inlineStr">
        <is>
          <t>#000000</t>
        </is>
      </c>
      <c r="M1393" s="145" t="inlineStr">
        <is>
          <t>General</t>
        </is>
      </c>
      <c r="N1393" s="145" t="inlineStr">
        <is>
          <t>Center</t>
        </is>
      </c>
      <c r="O1393" s="145" t="inlineStr">
        <is>
          <t>No</t>
        </is>
      </c>
      <c r="P1393" s="145" t="inlineStr">
        <is>
          <t>General</t>
        </is>
      </c>
      <c r="Q1393" s="145" t="inlineStr">
        <is>
          <t>General</t>
        </is>
      </c>
      <c r="R1393" s="145" t="n"/>
      <c r="S1393" s="145" t="n"/>
      <c r="T1393" s="145" t="n"/>
      <c r="U1393" s="145" t="n"/>
      <c r="V1393" s="145" t="n"/>
      <c r="W1393" s="145" t="n"/>
      <c r="X1393" s="145" t="inlineStr">
        <is>
          <t>Detailed format sample from top five used rows</t>
        </is>
      </c>
    </row>
    <row r="1394" ht="23.85" customHeight="1" s="79">
      <c r="A1394" s="145" t="inlineStr">
        <is>
          <t>GM_TNA</t>
        </is>
      </c>
      <c r="B1394" s="145" t="inlineStr">
        <is>
          <t>Top-Row Cell Format</t>
        </is>
      </c>
      <c r="C1394" s="145" t="inlineStr">
        <is>
          <t>I3</t>
        </is>
      </c>
      <c r="D1394" s="145" t="inlineStr">
        <is>
          <t>GM_TNA!A1:Z373</t>
        </is>
      </c>
      <c r="E1394" s="145" t="inlineStr">
        <is>
          <t>Normal</t>
        </is>
      </c>
      <c r="F1394" s="145" t="n"/>
      <c r="G1394" s="145" t="inlineStr">
        <is>
          <t>Aptos</t>
        </is>
      </c>
      <c r="H1394" s="145" t="n">
        <v>8</v>
      </c>
      <c r="I1394" s="145" t="inlineStr">
        <is>
          <t>No</t>
        </is>
      </c>
      <c r="J1394" s="145" t="inlineStr">
        <is>
          <t>No</t>
        </is>
      </c>
      <c r="K1394" s="145" t="inlineStr">
        <is>
          <t>None</t>
        </is>
      </c>
      <c r="L1394" s="145" t="inlineStr">
        <is>
          <t>#000000</t>
        </is>
      </c>
      <c r="M1394" s="145" t="inlineStr">
        <is>
          <t>General</t>
        </is>
      </c>
      <c r="N1394" s="145" t="inlineStr">
        <is>
          <t>Center</t>
        </is>
      </c>
      <c r="O1394" s="145" t="inlineStr">
        <is>
          <t>No</t>
        </is>
      </c>
      <c r="P1394" s="145" t="inlineStr">
        <is>
          <t>General</t>
        </is>
      </c>
      <c r="Q1394" s="145" t="inlineStr">
        <is>
          <t>General</t>
        </is>
      </c>
      <c r="R1394" s="145" t="n"/>
      <c r="S1394" s="145" t="n"/>
      <c r="T1394" s="145" t="n"/>
      <c r="U1394" s="145" t="n"/>
      <c r="V1394" s="145" t="n"/>
      <c r="W1394" s="145" t="n"/>
      <c r="X1394" s="145" t="inlineStr">
        <is>
          <t>Detailed format sample from top five used rows</t>
        </is>
      </c>
    </row>
    <row r="1395" ht="23.85" customHeight="1" s="79">
      <c r="A1395" s="145" t="inlineStr">
        <is>
          <t>GM_TNA</t>
        </is>
      </c>
      <c r="B1395" s="145" t="inlineStr">
        <is>
          <t>Top-Row Cell Format</t>
        </is>
      </c>
      <c r="C1395" s="145" t="inlineStr">
        <is>
          <t>I4</t>
        </is>
      </c>
      <c r="D1395" s="145" t="inlineStr">
        <is>
          <t>GM_TNA!A1:Z373</t>
        </is>
      </c>
      <c r="E1395" s="145" t="inlineStr">
        <is>
          <t>Normal</t>
        </is>
      </c>
      <c r="F1395" s="145" t="n"/>
      <c r="G1395" s="145" t="inlineStr">
        <is>
          <t>Aptos</t>
        </is>
      </c>
      <c r="H1395" s="145" t="n">
        <v>8</v>
      </c>
      <c r="I1395" s="145" t="inlineStr">
        <is>
          <t>No</t>
        </is>
      </c>
      <c r="J1395" s="145" t="inlineStr">
        <is>
          <t>No</t>
        </is>
      </c>
      <c r="K1395" s="145" t="inlineStr">
        <is>
          <t>None</t>
        </is>
      </c>
      <c r="L1395" s="145" t="inlineStr">
        <is>
          <t>#000000</t>
        </is>
      </c>
      <c r="M1395" s="145" t="inlineStr">
        <is>
          <t>General</t>
        </is>
      </c>
      <c r="N1395" s="145" t="inlineStr">
        <is>
          <t>Center</t>
        </is>
      </c>
      <c r="O1395" s="145" t="inlineStr">
        <is>
          <t>No</t>
        </is>
      </c>
      <c r="P1395" s="145" t="inlineStr">
        <is>
          <t>General</t>
        </is>
      </c>
      <c r="Q1395" s="145" t="inlineStr">
        <is>
          <t>General</t>
        </is>
      </c>
      <c r="R1395" s="145" t="n"/>
      <c r="S1395" s="145" t="n"/>
      <c r="T1395" s="145" t="n"/>
      <c r="U1395" s="145" t="n"/>
      <c r="V1395" s="145" t="n"/>
      <c r="W1395" s="145" t="n"/>
      <c r="X1395" s="145" t="inlineStr">
        <is>
          <t>Detailed format sample from top five used rows</t>
        </is>
      </c>
    </row>
    <row r="1396" ht="23.85" customHeight="1" s="79">
      <c r="A1396" s="145" t="inlineStr">
        <is>
          <t>GM_TNA</t>
        </is>
      </c>
      <c r="B1396" s="145" t="inlineStr">
        <is>
          <t>Top-Row Cell Format</t>
        </is>
      </c>
      <c r="C1396" s="145" t="inlineStr">
        <is>
          <t>I5</t>
        </is>
      </c>
      <c r="D1396" s="145" t="inlineStr">
        <is>
          <t>GM_TNA!A1:Z373</t>
        </is>
      </c>
      <c r="E1396" s="145" t="inlineStr">
        <is>
          <t>Normal</t>
        </is>
      </c>
      <c r="F1396" s="145" t="n"/>
      <c r="G1396" s="145" t="inlineStr">
        <is>
          <t>Aptos</t>
        </is>
      </c>
      <c r="H1396" s="145" t="n">
        <v>8</v>
      </c>
      <c r="I1396" s="145" t="inlineStr">
        <is>
          <t>No</t>
        </is>
      </c>
      <c r="J1396" s="145" t="inlineStr">
        <is>
          <t>No</t>
        </is>
      </c>
      <c r="K1396" s="145" t="inlineStr">
        <is>
          <t>None</t>
        </is>
      </c>
      <c r="L1396" s="145" t="inlineStr">
        <is>
          <t>#000000</t>
        </is>
      </c>
      <c r="M1396" s="145" t="inlineStr">
        <is>
          <t>General</t>
        </is>
      </c>
      <c r="N1396" s="145" t="inlineStr">
        <is>
          <t>Center</t>
        </is>
      </c>
      <c r="O1396" s="145" t="inlineStr">
        <is>
          <t>No</t>
        </is>
      </c>
      <c r="P1396" s="145" t="inlineStr">
        <is>
          <t>General</t>
        </is>
      </c>
      <c r="Q1396" s="145" t="inlineStr">
        <is>
          <t>General</t>
        </is>
      </c>
      <c r="R1396" s="145" t="n"/>
      <c r="S1396" s="145" t="n"/>
      <c r="T1396" s="145" t="n"/>
      <c r="U1396" s="145" t="n"/>
      <c r="V1396" s="145" t="n"/>
      <c r="W1396" s="145" t="n"/>
      <c r="X1396" s="145" t="inlineStr">
        <is>
          <t>Detailed format sample from top five used rows</t>
        </is>
      </c>
    </row>
    <row r="1397" ht="23.85" customHeight="1" s="79">
      <c r="A1397" s="145" t="inlineStr">
        <is>
          <t>GM_TNA</t>
        </is>
      </c>
      <c r="B1397" s="145" t="inlineStr">
        <is>
          <t>Column Format</t>
        </is>
      </c>
      <c r="C1397" s="145" t="inlineStr">
        <is>
          <t>J:J</t>
        </is>
      </c>
      <c r="D1397" s="145" t="inlineStr">
        <is>
          <t>GM_TNA!A1:Z373</t>
        </is>
      </c>
      <c r="E1397" s="145" t="inlineStr">
        <is>
          <t>Normal</t>
        </is>
      </c>
      <c r="F1397" s="145" t="inlineStr">
        <is>
          <t>Mixed</t>
        </is>
      </c>
      <c r="G1397" s="145" t="inlineStr">
        <is>
          <t>Aptos</t>
        </is>
      </c>
      <c r="H1397" s="145" t="n">
        <v>8</v>
      </c>
      <c r="I1397" s="145" t="inlineStr">
        <is>
          <t>Mixed</t>
        </is>
      </c>
      <c r="J1397" s="145" t="inlineStr">
        <is>
          <t>No</t>
        </is>
      </c>
      <c r="K1397" s="145" t="inlineStr">
        <is>
          <t>None</t>
        </is>
      </c>
      <c r="L1397" s="145" t="inlineStr">
        <is>
          <t>Mixed</t>
        </is>
      </c>
      <c r="M1397" s="145" t="inlineStr">
        <is>
          <t>General</t>
        </is>
      </c>
      <c r="N1397" s="145" t="inlineStr">
        <is>
          <t>Center</t>
        </is>
      </c>
      <c r="O1397" s="145" t="inlineStr">
        <is>
          <t>No</t>
        </is>
      </c>
      <c r="P1397" s="145" t="n"/>
      <c r="Q1397" s="145" t="n"/>
      <c r="R1397" s="145" t="n"/>
      <c r="S1397" s="145" t="n">
        <v>34.9253731343284</v>
      </c>
      <c r="T1397" s="145" t="n"/>
      <c r="U1397" s="145" t="inlineStr">
        <is>
          <t>No</t>
        </is>
      </c>
      <c r="V1397" s="145" t="inlineStr">
        <is>
          <t>Visible</t>
        </is>
      </c>
      <c r="W1397" s="145" t="n"/>
      <c r="X1397" s="145" t="inlineStr">
        <is>
          <t>Mixed styles within used column</t>
        </is>
      </c>
    </row>
    <row r="1398" ht="23.85" customHeight="1" s="79">
      <c r="A1398" s="145" t="inlineStr">
        <is>
          <t>GM_TNA</t>
        </is>
      </c>
      <c r="B1398" s="145" t="inlineStr">
        <is>
          <t>Top-Row Cell Format</t>
        </is>
      </c>
      <c r="C1398" s="145" t="inlineStr">
        <is>
          <t>J1</t>
        </is>
      </c>
      <c r="D1398" s="145" t="inlineStr">
        <is>
          <t>GM_TNA!A1:Z373</t>
        </is>
      </c>
      <c r="E1398" s="145" t="inlineStr">
        <is>
          <t>Normal</t>
        </is>
      </c>
      <c r="F1398" s="145" t="inlineStr">
        <is>
          <t>#FFC000</t>
        </is>
      </c>
      <c r="G1398" s="145" t="inlineStr">
        <is>
          <t>Aptos</t>
        </is>
      </c>
      <c r="H1398" s="145" t="n">
        <v>8</v>
      </c>
      <c r="I1398" s="145" t="inlineStr">
        <is>
          <t>Yes</t>
        </is>
      </c>
      <c r="J1398" s="145" t="inlineStr">
        <is>
          <t>No</t>
        </is>
      </c>
      <c r="K1398" s="145" t="inlineStr">
        <is>
          <t>None</t>
        </is>
      </c>
      <c r="L1398" s="145" t="inlineStr">
        <is>
          <t>#FFFFFF</t>
        </is>
      </c>
      <c r="M1398" s="145" t="inlineStr">
        <is>
          <t>General</t>
        </is>
      </c>
      <c r="N1398" s="145" t="inlineStr">
        <is>
          <t>Center</t>
        </is>
      </c>
      <c r="O1398" s="145" t="inlineStr">
        <is>
          <t>No</t>
        </is>
      </c>
      <c r="P1398" s="145" t="inlineStr">
        <is>
          <t>General</t>
        </is>
      </c>
      <c r="Q1398" s="145" t="inlineStr">
        <is>
          <t>General</t>
        </is>
      </c>
      <c r="R1398" s="145" t="n"/>
      <c r="S1398" s="145" t="n"/>
      <c r="T1398" s="145" t="n"/>
      <c r="U1398" s="145" t="n"/>
      <c r="V1398" s="145" t="n"/>
      <c r="W1398" s="145" t="n"/>
      <c r="X1398" s="145" t="inlineStr">
        <is>
          <t>Detailed format sample from top five used rows</t>
        </is>
      </c>
    </row>
    <row r="1399" ht="23.85" customHeight="1" s="79">
      <c r="A1399" s="145" t="inlineStr">
        <is>
          <t>GM_TNA</t>
        </is>
      </c>
      <c r="B1399" s="145" t="inlineStr">
        <is>
          <t>Top-Row Cell Format</t>
        </is>
      </c>
      <c r="C1399" s="145" t="inlineStr">
        <is>
          <t>J2</t>
        </is>
      </c>
      <c r="D1399" s="145" t="inlineStr">
        <is>
          <t>GM_TNA!A1:Z373</t>
        </is>
      </c>
      <c r="E1399" s="145" t="inlineStr">
        <is>
          <t>Normal</t>
        </is>
      </c>
      <c r="F1399" s="145" t="n"/>
      <c r="G1399" s="145" t="inlineStr">
        <is>
          <t>Aptos</t>
        </is>
      </c>
      <c r="H1399" s="145" t="n">
        <v>8</v>
      </c>
      <c r="I1399" s="145" t="inlineStr">
        <is>
          <t>No</t>
        </is>
      </c>
      <c r="J1399" s="145" t="inlineStr">
        <is>
          <t>No</t>
        </is>
      </c>
      <c r="K1399" s="145" t="inlineStr">
        <is>
          <t>None</t>
        </is>
      </c>
      <c r="L1399" s="145" t="inlineStr">
        <is>
          <t>#000000</t>
        </is>
      </c>
      <c r="M1399" s="145" t="inlineStr">
        <is>
          <t>General</t>
        </is>
      </c>
      <c r="N1399" s="145" t="inlineStr">
        <is>
          <t>Center</t>
        </is>
      </c>
      <c r="O1399" s="145" t="inlineStr">
        <is>
          <t>No</t>
        </is>
      </c>
      <c r="P1399" s="145" t="inlineStr">
        <is>
          <t>General</t>
        </is>
      </c>
      <c r="Q1399" s="145" t="inlineStr">
        <is>
          <t>General</t>
        </is>
      </c>
      <c r="R1399" s="145" t="n"/>
      <c r="S1399" s="145" t="n"/>
      <c r="T1399" s="145" t="n"/>
      <c r="U1399" s="145" t="n"/>
      <c r="V1399" s="145" t="n"/>
      <c r="W1399" s="145" t="n"/>
      <c r="X1399" s="145" t="inlineStr">
        <is>
          <t>Detailed format sample from top five used rows</t>
        </is>
      </c>
    </row>
    <row r="1400" ht="23.85" customHeight="1" s="79">
      <c r="A1400" s="145" t="inlineStr">
        <is>
          <t>GM_TNA</t>
        </is>
      </c>
      <c r="B1400" s="145" t="inlineStr">
        <is>
          <t>Top-Row Cell Format</t>
        </is>
      </c>
      <c r="C1400" s="145" t="inlineStr">
        <is>
          <t>J3</t>
        </is>
      </c>
      <c r="D1400" s="145" t="inlineStr">
        <is>
          <t>GM_TNA!A1:Z373</t>
        </is>
      </c>
      <c r="E1400" s="145" t="inlineStr">
        <is>
          <t>Normal</t>
        </is>
      </c>
      <c r="F1400" s="145" t="n"/>
      <c r="G1400" s="145" t="inlineStr">
        <is>
          <t>Aptos</t>
        </is>
      </c>
      <c r="H1400" s="145" t="n">
        <v>8</v>
      </c>
      <c r="I1400" s="145" t="inlineStr">
        <is>
          <t>No</t>
        </is>
      </c>
      <c r="J1400" s="145" t="inlineStr">
        <is>
          <t>No</t>
        </is>
      </c>
      <c r="K1400" s="145" t="inlineStr">
        <is>
          <t>None</t>
        </is>
      </c>
      <c r="L1400" s="145" t="inlineStr">
        <is>
          <t>#000000</t>
        </is>
      </c>
      <c r="M1400" s="145" t="inlineStr">
        <is>
          <t>General</t>
        </is>
      </c>
      <c r="N1400" s="145" t="inlineStr">
        <is>
          <t>Center</t>
        </is>
      </c>
      <c r="O1400" s="145" t="inlineStr">
        <is>
          <t>No</t>
        </is>
      </c>
      <c r="P1400" s="145" t="inlineStr">
        <is>
          <t>General</t>
        </is>
      </c>
      <c r="Q1400" s="145" t="inlineStr">
        <is>
          <t>General</t>
        </is>
      </c>
      <c r="R1400" s="145" t="n"/>
      <c r="S1400" s="145" t="n"/>
      <c r="T1400" s="145" t="n"/>
      <c r="U1400" s="145" t="n"/>
      <c r="V1400" s="145" t="n"/>
      <c r="W1400" s="145" t="n"/>
      <c r="X1400" s="145" t="inlineStr">
        <is>
          <t>Detailed format sample from top five used rows</t>
        </is>
      </c>
    </row>
    <row r="1401" ht="23.85" customHeight="1" s="79">
      <c r="A1401" s="145" t="inlineStr">
        <is>
          <t>GM_TNA</t>
        </is>
      </c>
      <c r="B1401" s="145" t="inlineStr">
        <is>
          <t>Top-Row Cell Format</t>
        </is>
      </c>
      <c r="C1401" s="145" t="inlineStr">
        <is>
          <t>J4</t>
        </is>
      </c>
      <c r="D1401" s="145" t="inlineStr">
        <is>
          <t>GM_TNA!A1:Z373</t>
        </is>
      </c>
      <c r="E1401" s="145" t="inlineStr">
        <is>
          <t>Normal</t>
        </is>
      </c>
      <c r="F1401" s="145" t="n"/>
      <c r="G1401" s="145" t="inlineStr">
        <is>
          <t>Aptos</t>
        </is>
      </c>
      <c r="H1401" s="145" t="n">
        <v>8</v>
      </c>
      <c r="I1401" s="145" t="inlineStr">
        <is>
          <t>No</t>
        </is>
      </c>
      <c r="J1401" s="145" t="inlineStr">
        <is>
          <t>No</t>
        </is>
      </c>
      <c r="K1401" s="145" t="inlineStr">
        <is>
          <t>None</t>
        </is>
      </c>
      <c r="L1401" s="145" t="inlineStr">
        <is>
          <t>#000000</t>
        </is>
      </c>
      <c r="M1401" s="145" t="inlineStr">
        <is>
          <t>General</t>
        </is>
      </c>
      <c r="N1401" s="145" t="inlineStr">
        <is>
          <t>Center</t>
        </is>
      </c>
      <c r="O1401" s="145" t="inlineStr">
        <is>
          <t>No</t>
        </is>
      </c>
      <c r="P1401" s="145" t="inlineStr">
        <is>
          <t>General</t>
        </is>
      </c>
      <c r="Q1401" s="145" t="inlineStr">
        <is>
          <t>General</t>
        </is>
      </c>
      <c r="R1401" s="145" t="n"/>
      <c r="S1401" s="145" t="n"/>
      <c r="T1401" s="145" t="n"/>
      <c r="U1401" s="145" t="n"/>
      <c r="V1401" s="145" t="n"/>
      <c r="W1401" s="145" t="n"/>
      <c r="X1401" s="145" t="inlineStr">
        <is>
          <t>Detailed format sample from top five used rows</t>
        </is>
      </c>
    </row>
    <row r="1402" ht="23.85" customHeight="1" s="79">
      <c r="A1402" s="145" t="inlineStr">
        <is>
          <t>GM_TNA</t>
        </is>
      </c>
      <c r="B1402" s="145" t="inlineStr">
        <is>
          <t>Top-Row Cell Format</t>
        </is>
      </c>
      <c r="C1402" s="145" t="inlineStr">
        <is>
          <t>J5</t>
        </is>
      </c>
      <c r="D1402" s="145" t="inlineStr">
        <is>
          <t>GM_TNA!A1:Z373</t>
        </is>
      </c>
      <c r="E1402" s="145" t="inlineStr">
        <is>
          <t>Normal</t>
        </is>
      </c>
      <c r="F1402" s="145" t="n"/>
      <c r="G1402" s="145" t="inlineStr">
        <is>
          <t>Aptos</t>
        </is>
      </c>
      <c r="H1402" s="145" t="n">
        <v>8</v>
      </c>
      <c r="I1402" s="145" t="inlineStr">
        <is>
          <t>No</t>
        </is>
      </c>
      <c r="J1402" s="145" t="inlineStr">
        <is>
          <t>No</t>
        </is>
      </c>
      <c r="K1402" s="145" t="inlineStr">
        <is>
          <t>None</t>
        </is>
      </c>
      <c r="L1402" s="145" t="inlineStr">
        <is>
          <t>#000000</t>
        </is>
      </c>
      <c r="M1402" s="145" t="inlineStr">
        <is>
          <t>General</t>
        </is>
      </c>
      <c r="N1402" s="145" t="inlineStr">
        <is>
          <t>Center</t>
        </is>
      </c>
      <c r="O1402" s="145" t="inlineStr">
        <is>
          <t>No</t>
        </is>
      </c>
      <c r="P1402" s="145" t="inlineStr">
        <is>
          <t>General</t>
        </is>
      </c>
      <c r="Q1402" s="145" t="inlineStr">
        <is>
          <t>General</t>
        </is>
      </c>
      <c r="R1402" s="145" t="n"/>
      <c r="S1402" s="145" t="n"/>
      <c r="T1402" s="145" t="n"/>
      <c r="U1402" s="145" t="n"/>
      <c r="V1402" s="145" t="n"/>
      <c r="W1402" s="145" t="n"/>
      <c r="X1402" s="145" t="inlineStr">
        <is>
          <t>Detailed format sample from top five used rows</t>
        </is>
      </c>
    </row>
    <row r="1403" ht="23.85" customHeight="1" s="79">
      <c r="A1403" s="145" t="inlineStr">
        <is>
          <t>GM_TNA</t>
        </is>
      </c>
      <c r="B1403" s="145" t="inlineStr">
        <is>
          <t>Column Format</t>
        </is>
      </c>
      <c r="C1403" s="145" t="inlineStr">
        <is>
          <t>K:K</t>
        </is>
      </c>
      <c r="D1403" s="145" t="inlineStr">
        <is>
          <t>GM_TNA!A1:Z373</t>
        </is>
      </c>
      <c r="E1403" s="145" t="inlineStr">
        <is>
          <t>Normal</t>
        </is>
      </c>
      <c r="F1403" s="145" t="inlineStr">
        <is>
          <t>Mixed</t>
        </is>
      </c>
      <c r="G1403" s="145" t="inlineStr">
        <is>
          <t>Aptos</t>
        </is>
      </c>
      <c r="H1403" s="145" t="n">
        <v>8</v>
      </c>
      <c r="I1403" s="145" t="inlineStr">
        <is>
          <t>Mixed</t>
        </is>
      </c>
      <c r="J1403" s="145" t="inlineStr">
        <is>
          <t>No</t>
        </is>
      </c>
      <c r="K1403" s="145" t="inlineStr">
        <is>
          <t>None</t>
        </is>
      </c>
      <c r="L1403" s="145" t="inlineStr">
        <is>
          <t>Mixed</t>
        </is>
      </c>
      <c r="M1403" s="145" t="inlineStr">
        <is>
          <t>General</t>
        </is>
      </c>
      <c r="N1403" s="145" t="inlineStr">
        <is>
          <t>Center</t>
        </is>
      </c>
      <c r="O1403" s="145" t="inlineStr">
        <is>
          <t>No</t>
        </is>
      </c>
      <c r="P1403" s="145" t="n"/>
      <c r="Q1403" s="145" t="n"/>
      <c r="R1403" s="145" t="n"/>
      <c r="S1403" s="145" t="n">
        <v>34.9253731343284</v>
      </c>
      <c r="T1403" s="145" t="n"/>
      <c r="U1403" s="145" t="inlineStr">
        <is>
          <t>No</t>
        </is>
      </c>
      <c r="V1403" s="145" t="inlineStr">
        <is>
          <t>Visible</t>
        </is>
      </c>
      <c r="W1403" s="145" t="n"/>
      <c r="X1403" s="145" t="inlineStr">
        <is>
          <t>Mixed styles within used column</t>
        </is>
      </c>
    </row>
    <row r="1404" ht="23.85" customHeight="1" s="79">
      <c r="A1404" s="145" t="inlineStr">
        <is>
          <t>GM_TNA</t>
        </is>
      </c>
      <c r="B1404" s="145" t="inlineStr">
        <is>
          <t>Top-Row Cell Format</t>
        </is>
      </c>
      <c r="C1404" s="145" t="inlineStr">
        <is>
          <t>K1</t>
        </is>
      </c>
      <c r="D1404" s="145" t="inlineStr">
        <is>
          <t>GM_TNA!A1:Z373</t>
        </is>
      </c>
      <c r="E1404" s="145" t="inlineStr">
        <is>
          <t>Normal</t>
        </is>
      </c>
      <c r="F1404" s="145" t="inlineStr">
        <is>
          <t>#FFC000</t>
        </is>
      </c>
      <c r="G1404" s="145" t="inlineStr">
        <is>
          <t>Aptos</t>
        </is>
      </c>
      <c r="H1404" s="145" t="n">
        <v>8</v>
      </c>
      <c r="I1404" s="145" t="inlineStr">
        <is>
          <t>Yes</t>
        </is>
      </c>
      <c r="J1404" s="145" t="inlineStr">
        <is>
          <t>No</t>
        </is>
      </c>
      <c r="K1404" s="145" t="inlineStr">
        <is>
          <t>None</t>
        </is>
      </c>
      <c r="L1404" s="145" t="inlineStr">
        <is>
          <t>#FFFFFF</t>
        </is>
      </c>
      <c r="M1404" s="145" t="inlineStr">
        <is>
          <t>General</t>
        </is>
      </c>
      <c r="N1404" s="145" t="inlineStr">
        <is>
          <t>Center</t>
        </is>
      </c>
      <c r="O1404" s="145" t="inlineStr">
        <is>
          <t>No</t>
        </is>
      </c>
      <c r="P1404" s="145" t="inlineStr">
        <is>
          <t>General</t>
        </is>
      </c>
      <c r="Q1404" s="145" t="inlineStr">
        <is>
          <t>General</t>
        </is>
      </c>
      <c r="R1404" s="145" t="n"/>
      <c r="S1404" s="145" t="n"/>
      <c r="T1404" s="145" t="n"/>
      <c r="U1404" s="145" t="n"/>
      <c r="V1404" s="145" t="n"/>
      <c r="W1404" s="145" t="n"/>
      <c r="X1404" s="145" t="inlineStr">
        <is>
          <t>Detailed format sample from top five used rows</t>
        </is>
      </c>
    </row>
    <row r="1405" ht="23.85" customHeight="1" s="79">
      <c r="A1405" s="145" t="inlineStr">
        <is>
          <t>GM_TNA</t>
        </is>
      </c>
      <c r="B1405" s="145" t="inlineStr">
        <is>
          <t>Top-Row Cell Format</t>
        </is>
      </c>
      <c r="C1405" s="145" t="inlineStr">
        <is>
          <t>K2</t>
        </is>
      </c>
      <c r="D1405" s="145" t="inlineStr">
        <is>
          <t>GM_TNA!A1:Z373</t>
        </is>
      </c>
      <c r="E1405" s="145" t="inlineStr">
        <is>
          <t>Normal</t>
        </is>
      </c>
      <c r="F1405" s="145" t="n"/>
      <c r="G1405" s="145" t="inlineStr">
        <is>
          <t>Aptos</t>
        </is>
      </c>
      <c r="H1405" s="145" t="n">
        <v>8</v>
      </c>
      <c r="I1405" s="145" t="inlineStr">
        <is>
          <t>No</t>
        </is>
      </c>
      <c r="J1405" s="145" t="inlineStr">
        <is>
          <t>No</t>
        </is>
      </c>
      <c r="K1405" s="145" t="inlineStr">
        <is>
          <t>None</t>
        </is>
      </c>
      <c r="L1405" s="145" t="inlineStr">
        <is>
          <t>#000000</t>
        </is>
      </c>
      <c r="M1405" s="145" t="inlineStr">
        <is>
          <t>General</t>
        </is>
      </c>
      <c r="N1405" s="145" t="inlineStr">
        <is>
          <t>Center</t>
        </is>
      </c>
      <c r="O1405" s="145" t="inlineStr">
        <is>
          <t>No</t>
        </is>
      </c>
      <c r="P1405" s="145" t="inlineStr">
        <is>
          <t>General</t>
        </is>
      </c>
      <c r="Q1405" s="145" t="inlineStr">
        <is>
          <t>General</t>
        </is>
      </c>
      <c r="R1405" s="145" t="n"/>
      <c r="S1405" s="145" t="n"/>
      <c r="T1405" s="145" t="n"/>
      <c r="U1405" s="145" t="n"/>
      <c r="V1405" s="145" t="n"/>
      <c r="W1405" s="145" t="n"/>
      <c r="X1405" s="145" t="inlineStr">
        <is>
          <t>Detailed format sample from top five used rows</t>
        </is>
      </c>
    </row>
    <row r="1406" ht="23.85" customHeight="1" s="79">
      <c r="A1406" s="145" t="inlineStr">
        <is>
          <t>GM_TNA</t>
        </is>
      </c>
      <c r="B1406" s="145" t="inlineStr">
        <is>
          <t>Top-Row Cell Format</t>
        </is>
      </c>
      <c r="C1406" s="145" t="inlineStr">
        <is>
          <t>K3</t>
        </is>
      </c>
      <c r="D1406" s="145" t="inlineStr">
        <is>
          <t>GM_TNA!A1:Z373</t>
        </is>
      </c>
      <c r="E1406" s="145" t="inlineStr">
        <is>
          <t>Normal</t>
        </is>
      </c>
      <c r="F1406" s="145" t="n"/>
      <c r="G1406" s="145" t="inlineStr">
        <is>
          <t>Aptos</t>
        </is>
      </c>
      <c r="H1406" s="145" t="n">
        <v>8</v>
      </c>
      <c r="I1406" s="145" t="inlineStr">
        <is>
          <t>No</t>
        </is>
      </c>
      <c r="J1406" s="145" t="inlineStr">
        <is>
          <t>No</t>
        </is>
      </c>
      <c r="K1406" s="145" t="inlineStr">
        <is>
          <t>None</t>
        </is>
      </c>
      <c r="L1406" s="145" t="inlineStr">
        <is>
          <t>#000000</t>
        </is>
      </c>
      <c r="M1406" s="145" t="inlineStr">
        <is>
          <t>General</t>
        </is>
      </c>
      <c r="N1406" s="145" t="inlineStr">
        <is>
          <t>Center</t>
        </is>
      </c>
      <c r="O1406" s="145" t="inlineStr">
        <is>
          <t>No</t>
        </is>
      </c>
      <c r="P1406" s="145" t="inlineStr">
        <is>
          <t>General</t>
        </is>
      </c>
      <c r="Q1406" s="145" t="inlineStr">
        <is>
          <t>General</t>
        </is>
      </c>
      <c r="R1406" s="145" t="n"/>
      <c r="S1406" s="145" t="n"/>
      <c r="T1406" s="145" t="n"/>
      <c r="U1406" s="145" t="n"/>
      <c r="V1406" s="145" t="n"/>
      <c r="W1406" s="145" t="n"/>
      <c r="X1406" s="145" t="inlineStr">
        <is>
          <t>Detailed format sample from top five used rows</t>
        </is>
      </c>
    </row>
    <row r="1407" ht="23.85" customHeight="1" s="79">
      <c r="A1407" s="145" t="inlineStr">
        <is>
          <t>GM_TNA</t>
        </is>
      </c>
      <c r="B1407" s="145" t="inlineStr">
        <is>
          <t>Top-Row Cell Format</t>
        </is>
      </c>
      <c r="C1407" s="145" t="inlineStr">
        <is>
          <t>K4</t>
        </is>
      </c>
      <c r="D1407" s="145" t="inlineStr">
        <is>
          <t>GM_TNA!A1:Z373</t>
        </is>
      </c>
      <c r="E1407" s="145" t="inlineStr">
        <is>
          <t>Normal</t>
        </is>
      </c>
      <c r="F1407" s="145" t="n"/>
      <c r="G1407" s="145" t="inlineStr">
        <is>
          <t>Aptos</t>
        </is>
      </c>
      <c r="H1407" s="145" t="n">
        <v>8</v>
      </c>
      <c r="I1407" s="145" t="inlineStr">
        <is>
          <t>No</t>
        </is>
      </c>
      <c r="J1407" s="145" t="inlineStr">
        <is>
          <t>No</t>
        </is>
      </c>
      <c r="K1407" s="145" t="inlineStr">
        <is>
          <t>None</t>
        </is>
      </c>
      <c r="L1407" s="145" t="inlineStr">
        <is>
          <t>#000000</t>
        </is>
      </c>
      <c r="M1407" s="145" t="inlineStr">
        <is>
          <t>General</t>
        </is>
      </c>
      <c r="N1407" s="145" t="inlineStr">
        <is>
          <t>Center</t>
        </is>
      </c>
      <c r="O1407" s="145" t="inlineStr">
        <is>
          <t>No</t>
        </is>
      </c>
      <c r="P1407" s="145" t="inlineStr">
        <is>
          <t>General</t>
        </is>
      </c>
      <c r="Q1407" s="145" t="inlineStr">
        <is>
          <t>General</t>
        </is>
      </c>
      <c r="R1407" s="145" t="n"/>
      <c r="S1407" s="145" t="n"/>
      <c r="T1407" s="145" t="n"/>
      <c r="U1407" s="145" t="n"/>
      <c r="V1407" s="145" t="n"/>
      <c r="W1407" s="145" t="n"/>
      <c r="X1407" s="145" t="inlineStr">
        <is>
          <t>Detailed format sample from top five used rows</t>
        </is>
      </c>
    </row>
    <row r="1408" ht="23.85" customHeight="1" s="79">
      <c r="A1408" s="145" t="inlineStr">
        <is>
          <t>GM_TNA</t>
        </is>
      </c>
      <c r="B1408" s="145" t="inlineStr">
        <is>
          <t>Top-Row Cell Format</t>
        </is>
      </c>
      <c r="C1408" s="145" t="inlineStr">
        <is>
          <t>K5</t>
        </is>
      </c>
      <c r="D1408" s="145" t="inlineStr">
        <is>
          <t>GM_TNA!A1:Z373</t>
        </is>
      </c>
      <c r="E1408" s="145" t="inlineStr">
        <is>
          <t>Normal</t>
        </is>
      </c>
      <c r="F1408" s="145" t="n"/>
      <c r="G1408" s="145" t="inlineStr">
        <is>
          <t>Aptos</t>
        </is>
      </c>
      <c r="H1408" s="145" t="n">
        <v>8</v>
      </c>
      <c r="I1408" s="145" t="inlineStr">
        <is>
          <t>No</t>
        </is>
      </c>
      <c r="J1408" s="145" t="inlineStr">
        <is>
          <t>No</t>
        </is>
      </c>
      <c r="K1408" s="145" t="inlineStr">
        <is>
          <t>None</t>
        </is>
      </c>
      <c r="L1408" s="145" t="inlineStr">
        <is>
          <t>#000000</t>
        </is>
      </c>
      <c r="M1408" s="145" t="inlineStr">
        <is>
          <t>General</t>
        </is>
      </c>
      <c r="N1408" s="145" t="inlineStr">
        <is>
          <t>Center</t>
        </is>
      </c>
      <c r="O1408" s="145" t="inlineStr">
        <is>
          <t>No</t>
        </is>
      </c>
      <c r="P1408" s="145" t="inlineStr">
        <is>
          <t>General</t>
        </is>
      </c>
      <c r="Q1408" s="145" t="inlineStr">
        <is>
          <t>General</t>
        </is>
      </c>
      <c r="R1408" s="145" t="n"/>
      <c r="S1408" s="145" t="n"/>
      <c r="T1408" s="145" t="n"/>
      <c r="U1408" s="145" t="n"/>
      <c r="V1408" s="145" t="n"/>
      <c r="W1408" s="145" t="n"/>
      <c r="X1408" s="145" t="inlineStr">
        <is>
          <t>Detailed format sample from top five used rows</t>
        </is>
      </c>
    </row>
    <row r="1409" ht="23.85" customHeight="1" s="79">
      <c r="A1409" s="145" t="inlineStr">
        <is>
          <t>GM_TNA</t>
        </is>
      </c>
      <c r="B1409" s="145" t="inlineStr">
        <is>
          <t>Column Format</t>
        </is>
      </c>
      <c r="C1409" s="145" t="inlineStr">
        <is>
          <t>L:L</t>
        </is>
      </c>
      <c r="D1409" s="145" t="inlineStr">
        <is>
          <t>GM_TNA!A1:Z373</t>
        </is>
      </c>
      <c r="E1409" s="145" t="inlineStr">
        <is>
          <t>Normal</t>
        </is>
      </c>
      <c r="F1409" s="145" t="inlineStr">
        <is>
          <t>Mixed</t>
        </is>
      </c>
      <c r="G1409" s="145" t="inlineStr">
        <is>
          <t>Aptos</t>
        </is>
      </c>
      <c r="H1409" s="145" t="n">
        <v>8</v>
      </c>
      <c r="I1409" s="145" t="inlineStr">
        <is>
          <t>Mixed</t>
        </is>
      </c>
      <c r="J1409" s="145" t="inlineStr">
        <is>
          <t>No</t>
        </is>
      </c>
      <c r="K1409" s="145" t="inlineStr">
        <is>
          <t>None</t>
        </is>
      </c>
      <c r="L1409" s="145" t="inlineStr">
        <is>
          <t>Mixed</t>
        </is>
      </c>
      <c r="M1409" s="145" t="inlineStr">
        <is>
          <t>General</t>
        </is>
      </c>
      <c r="N1409" s="145" t="inlineStr">
        <is>
          <t>Center</t>
        </is>
      </c>
      <c r="O1409" s="145" t="inlineStr">
        <is>
          <t>No</t>
        </is>
      </c>
      <c r="P1409" s="145" t="n"/>
      <c r="Q1409" s="145" t="n"/>
      <c r="R1409" s="145" t="n"/>
      <c r="S1409" s="145" t="n">
        <v>34.9253731343284</v>
      </c>
      <c r="T1409" s="145" t="n"/>
      <c r="U1409" s="145" t="inlineStr">
        <is>
          <t>No</t>
        </is>
      </c>
      <c r="V1409" s="145" t="inlineStr">
        <is>
          <t>Visible</t>
        </is>
      </c>
      <c r="W1409" s="145" t="n"/>
      <c r="X1409" s="145" t="inlineStr">
        <is>
          <t>Mixed styles within used column</t>
        </is>
      </c>
    </row>
    <row r="1410" ht="23.85" customHeight="1" s="79">
      <c r="A1410" s="145" t="inlineStr">
        <is>
          <t>GM_TNA</t>
        </is>
      </c>
      <c r="B1410" s="145" t="inlineStr">
        <is>
          <t>Top-Row Cell Format</t>
        </is>
      </c>
      <c r="C1410" s="145" t="inlineStr">
        <is>
          <t>L1</t>
        </is>
      </c>
      <c r="D1410" s="145" t="inlineStr">
        <is>
          <t>GM_TNA!A1:Z373</t>
        </is>
      </c>
      <c r="E1410" s="145" t="inlineStr">
        <is>
          <t>Normal</t>
        </is>
      </c>
      <c r="F1410" s="145" t="inlineStr">
        <is>
          <t>#FFC000</t>
        </is>
      </c>
      <c r="G1410" s="145" t="inlineStr">
        <is>
          <t>Aptos</t>
        </is>
      </c>
      <c r="H1410" s="145" t="n">
        <v>8</v>
      </c>
      <c r="I1410" s="145" t="inlineStr">
        <is>
          <t>Yes</t>
        </is>
      </c>
      <c r="J1410" s="145" t="inlineStr">
        <is>
          <t>No</t>
        </is>
      </c>
      <c r="K1410" s="145" t="inlineStr">
        <is>
          <t>None</t>
        </is>
      </c>
      <c r="L1410" s="145" t="inlineStr">
        <is>
          <t>#FFFFFF</t>
        </is>
      </c>
      <c r="M1410" s="145" t="inlineStr">
        <is>
          <t>General</t>
        </is>
      </c>
      <c r="N1410" s="145" t="inlineStr">
        <is>
          <t>Center</t>
        </is>
      </c>
      <c r="O1410" s="145" t="inlineStr">
        <is>
          <t>No</t>
        </is>
      </c>
      <c r="P1410" s="145" t="inlineStr">
        <is>
          <t>General</t>
        </is>
      </c>
      <c r="Q1410" s="145" t="inlineStr">
        <is>
          <t>General</t>
        </is>
      </c>
      <c r="R1410" s="145" t="n"/>
      <c r="S1410" s="145" t="n"/>
      <c r="T1410" s="145" t="n"/>
      <c r="U1410" s="145" t="n"/>
      <c r="V1410" s="145" t="n"/>
      <c r="W1410" s="145" t="n"/>
      <c r="X1410" s="145" t="inlineStr">
        <is>
          <t>Detailed format sample from top five used rows</t>
        </is>
      </c>
    </row>
    <row r="1411" ht="23.85" customHeight="1" s="79">
      <c r="A1411" s="145" t="inlineStr">
        <is>
          <t>GM_TNA</t>
        </is>
      </c>
      <c r="B1411" s="145" t="inlineStr">
        <is>
          <t>Top-Row Cell Format</t>
        </is>
      </c>
      <c r="C1411" s="145" t="inlineStr">
        <is>
          <t>L2</t>
        </is>
      </c>
      <c r="D1411" s="145" t="inlineStr">
        <is>
          <t>GM_TNA!A1:Z373</t>
        </is>
      </c>
      <c r="E1411" s="145" t="inlineStr">
        <is>
          <t>Normal</t>
        </is>
      </c>
      <c r="F1411" s="145" t="n"/>
      <c r="G1411" s="145" t="inlineStr">
        <is>
          <t>Aptos</t>
        </is>
      </c>
      <c r="H1411" s="145" t="n">
        <v>8</v>
      </c>
      <c r="I1411" s="145" t="inlineStr">
        <is>
          <t>No</t>
        </is>
      </c>
      <c r="J1411" s="145" t="inlineStr">
        <is>
          <t>No</t>
        </is>
      </c>
      <c r="K1411" s="145" t="inlineStr">
        <is>
          <t>None</t>
        </is>
      </c>
      <c r="L1411" s="145" t="inlineStr">
        <is>
          <t>#000000</t>
        </is>
      </c>
      <c r="M1411" s="145" t="inlineStr">
        <is>
          <t>General</t>
        </is>
      </c>
      <c r="N1411" s="145" t="inlineStr">
        <is>
          <t>Center</t>
        </is>
      </c>
      <c r="O1411" s="145" t="inlineStr">
        <is>
          <t>No</t>
        </is>
      </c>
      <c r="P1411" s="145" t="inlineStr">
        <is>
          <t>General</t>
        </is>
      </c>
      <c r="Q1411" s="145" t="inlineStr">
        <is>
          <t>General</t>
        </is>
      </c>
      <c r="R1411" s="145" t="n"/>
      <c r="S1411" s="145" t="n"/>
      <c r="T1411" s="145" t="n"/>
      <c r="U1411" s="145" t="n"/>
      <c r="V1411" s="145" t="n"/>
      <c r="W1411" s="145" t="n"/>
      <c r="X1411" s="145" t="inlineStr">
        <is>
          <t>Detailed format sample from top five used rows</t>
        </is>
      </c>
    </row>
    <row r="1412" ht="23.85" customHeight="1" s="79">
      <c r="A1412" s="145" t="inlineStr">
        <is>
          <t>GM_TNA</t>
        </is>
      </c>
      <c r="B1412" s="145" t="inlineStr">
        <is>
          <t>Top-Row Cell Format</t>
        </is>
      </c>
      <c r="C1412" s="145" t="inlineStr">
        <is>
          <t>L3</t>
        </is>
      </c>
      <c r="D1412" s="145" t="inlineStr">
        <is>
          <t>GM_TNA!A1:Z373</t>
        </is>
      </c>
      <c r="E1412" s="145" t="inlineStr">
        <is>
          <t>Normal</t>
        </is>
      </c>
      <c r="F1412" s="145" t="n"/>
      <c r="G1412" s="145" t="inlineStr">
        <is>
          <t>Aptos</t>
        </is>
      </c>
      <c r="H1412" s="145" t="n">
        <v>8</v>
      </c>
      <c r="I1412" s="145" t="inlineStr">
        <is>
          <t>No</t>
        </is>
      </c>
      <c r="J1412" s="145" t="inlineStr">
        <is>
          <t>No</t>
        </is>
      </c>
      <c r="K1412" s="145" t="inlineStr">
        <is>
          <t>None</t>
        </is>
      </c>
      <c r="L1412" s="145" t="inlineStr">
        <is>
          <t>#000000</t>
        </is>
      </c>
      <c r="M1412" s="145" t="inlineStr">
        <is>
          <t>General</t>
        </is>
      </c>
      <c r="N1412" s="145" t="inlineStr">
        <is>
          <t>Center</t>
        </is>
      </c>
      <c r="O1412" s="145" t="inlineStr">
        <is>
          <t>No</t>
        </is>
      </c>
      <c r="P1412" s="145" t="inlineStr">
        <is>
          <t>General</t>
        </is>
      </c>
      <c r="Q1412" s="145" t="inlineStr">
        <is>
          <t>General</t>
        </is>
      </c>
      <c r="R1412" s="145" t="n"/>
      <c r="S1412" s="145" t="n"/>
      <c r="T1412" s="145" t="n"/>
      <c r="U1412" s="145" t="n"/>
      <c r="V1412" s="145" t="n"/>
      <c r="W1412" s="145" t="n"/>
      <c r="X1412" s="145" t="inlineStr">
        <is>
          <t>Detailed format sample from top five used rows</t>
        </is>
      </c>
    </row>
    <row r="1413" ht="23.85" customHeight="1" s="79">
      <c r="A1413" s="145" t="inlineStr">
        <is>
          <t>GM_TNA</t>
        </is>
      </c>
      <c r="B1413" s="145" t="inlineStr">
        <is>
          <t>Top-Row Cell Format</t>
        </is>
      </c>
      <c r="C1413" s="145" t="inlineStr">
        <is>
          <t>L4</t>
        </is>
      </c>
      <c r="D1413" s="145" t="inlineStr">
        <is>
          <t>GM_TNA!A1:Z373</t>
        </is>
      </c>
      <c r="E1413" s="145" t="inlineStr">
        <is>
          <t>Normal</t>
        </is>
      </c>
      <c r="F1413" s="145" t="n"/>
      <c r="G1413" s="145" t="inlineStr">
        <is>
          <t>Aptos</t>
        </is>
      </c>
      <c r="H1413" s="145" t="n">
        <v>8</v>
      </c>
      <c r="I1413" s="145" t="inlineStr">
        <is>
          <t>No</t>
        </is>
      </c>
      <c r="J1413" s="145" t="inlineStr">
        <is>
          <t>No</t>
        </is>
      </c>
      <c r="K1413" s="145" t="inlineStr">
        <is>
          <t>None</t>
        </is>
      </c>
      <c r="L1413" s="145" t="inlineStr">
        <is>
          <t>#000000</t>
        </is>
      </c>
      <c r="M1413" s="145" t="inlineStr">
        <is>
          <t>General</t>
        </is>
      </c>
      <c r="N1413" s="145" t="inlineStr">
        <is>
          <t>Center</t>
        </is>
      </c>
      <c r="O1413" s="145" t="inlineStr">
        <is>
          <t>No</t>
        </is>
      </c>
      <c r="P1413" s="145" t="inlineStr">
        <is>
          <t>General</t>
        </is>
      </c>
      <c r="Q1413" s="145" t="inlineStr">
        <is>
          <t>General</t>
        </is>
      </c>
      <c r="R1413" s="145" t="n"/>
      <c r="S1413" s="145" t="n"/>
      <c r="T1413" s="145" t="n"/>
      <c r="U1413" s="145" t="n"/>
      <c r="V1413" s="145" t="n"/>
      <c r="W1413" s="145" t="n"/>
      <c r="X1413" s="145" t="inlineStr">
        <is>
          <t>Detailed format sample from top five used rows</t>
        </is>
      </c>
    </row>
    <row r="1414" ht="23.85" customHeight="1" s="79">
      <c r="A1414" s="145" t="inlineStr">
        <is>
          <t>GM_TNA</t>
        </is>
      </c>
      <c r="B1414" s="145" t="inlineStr">
        <is>
          <t>Top-Row Cell Format</t>
        </is>
      </c>
      <c r="C1414" s="145" t="inlineStr">
        <is>
          <t>L5</t>
        </is>
      </c>
      <c r="D1414" s="145" t="inlineStr">
        <is>
          <t>GM_TNA!A1:Z373</t>
        </is>
      </c>
      <c r="E1414" s="145" t="inlineStr">
        <is>
          <t>Normal</t>
        </is>
      </c>
      <c r="F1414" s="145" t="n"/>
      <c r="G1414" s="145" t="inlineStr">
        <is>
          <t>Aptos</t>
        </is>
      </c>
      <c r="H1414" s="145" t="n">
        <v>8</v>
      </c>
      <c r="I1414" s="145" t="inlineStr">
        <is>
          <t>No</t>
        </is>
      </c>
      <c r="J1414" s="145" t="inlineStr">
        <is>
          <t>No</t>
        </is>
      </c>
      <c r="K1414" s="145" t="inlineStr">
        <is>
          <t>None</t>
        </is>
      </c>
      <c r="L1414" s="145" t="inlineStr">
        <is>
          <t>#000000</t>
        </is>
      </c>
      <c r="M1414" s="145" t="inlineStr">
        <is>
          <t>General</t>
        </is>
      </c>
      <c r="N1414" s="145" t="inlineStr">
        <is>
          <t>Center</t>
        </is>
      </c>
      <c r="O1414" s="145" t="inlineStr">
        <is>
          <t>No</t>
        </is>
      </c>
      <c r="P1414" s="145" t="inlineStr">
        <is>
          <t>General</t>
        </is>
      </c>
      <c r="Q1414" s="145" t="inlineStr">
        <is>
          <t>General</t>
        </is>
      </c>
      <c r="R1414" s="145" t="n"/>
      <c r="S1414" s="145" t="n"/>
      <c r="T1414" s="145" t="n"/>
      <c r="U1414" s="145" t="n"/>
      <c r="V1414" s="145" t="n"/>
      <c r="W1414" s="145" t="n"/>
      <c r="X1414" s="145" t="inlineStr">
        <is>
          <t>Detailed format sample from top five used rows</t>
        </is>
      </c>
    </row>
    <row r="1415" ht="23.85" customHeight="1" s="79">
      <c r="A1415" s="145" t="inlineStr">
        <is>
          <t>GM_TNA</t>
        </is>
      </c>
      <c r="B1415" s="145" t="inlineStr">
        <is>
          <t>Column Format</t>
        </is>
      </c>
      <c r="C1415" s="145" t="inlineStr">
        <is>
          <t>M:M</t>
        </is>
      </c>
      <c r="D1415" s="145" t="inlineStr">
        <is>
          <t>GM_TNA!A1:Z373</t>
        </is>
      </c>
      <c r="E1415" s="145" t="inlineStr">
        <is>
          <t>Normal</t>
        </is>
      </c>
      <c r="F1415" s="145" t="inlineStr">
        <is>
          <t>Mixed</t>
        </is>
      </c>
      <c r="G1415" s="145" t="inlineStr">
        <is>
          <t>Aptos</t>
        </is>
      </c>
      <c r="H1415" s="145" t="n">
        <v>8</v>
      </c>
      <c r="I1415" s="145" t="inlineStr">
        <is>
          <t>Mixed</t>
        </is>
      </c>
      <c r="J1415" s="145" t="inlineStr">
        <is>
          <t>No</t>
        </is>
      </c>
      <c r="K1415" s="145" t="inlineStr">
        <is>
          <t>None</t>
        </is>
      </c>
      <c r="L1415" s="145" t="inlineStr">
        <is>
          <t>Mixed</t>
        </is>
      </c>
      <c r="M1415" s="145" t="inlineStr">
        <is>
          <t>General</t>
        </is>
      </c>
      <c r="N1415" s="145" t="inlineStr">
        <is>
          <t>Center</t>
        </is>
      </c>
      <c r="O1415" s="145" t="inlineStr">
        <is>
          <t>No</t>
        </is>
      </c>
      <c r="P1415" s="145" t="n"/>
      <c r="Q1415" s="145" t="n"/>
      <c r="R1415" s="145" t="n"/>
      <c r="S1415" s="145" t="n">
        <v>41.910447761194</v>
      </c>
      <c r="T1415" s="145" t="n"/>
      <c r="U1415" s="145" t="inlineStr">
        <is>
          <t>No</t>
        </is>
      </c>
      <c r="V1415" s="145" t="inlineStr">
        <is>
          <t>Visible</t>
        </is>
      </c>
      <c r="W1415" s="145" t="n"/>
      <c r="X1415" s="145" t="inlineStr">
        <is>
          <t>Mixed styles within used column</t>
        </is>
      </c>
    </row>
    <row r="1416" ht="23.85" customHeight="1" s="79">
      <c r="A1416" s="145" t="inlineStr">
        <is>
          <t>GM_TNA</t>
        </is>
      </c>
      <c r="B1416" s="145" t="inlineStr">
        <is>
          <t>Top-Row Cell Format</t>
        </is>
      </c>
      <c r="C1416" s="145" t="inlineStr">
        <is>
          <t>M1</t>
        </is>
      </c>
      <c r="D1416" s="145" t="inlineStr">
        <is>
          <t>GM_TNA!A1:Z373</t>
        </is>
      </c>
      <c r="E1416" s="145" t="inlineStr">
        <is>
          <t>Normal</t>
        </is>
      </c>
      <c r="F1416" s="145" t="inlineStr">
        <is>
          <t>#FFC000</t>
        </is>
      </c>
      <c r="G1416" s="145" t="inlineStr">
        <is>
          <t>Aptos</t>
        </is>
      </c>
      <c r="H1416" s="145" t="n">
        <v>8</v>
      </c>
      <c r="I1416" s="145" t="inlineStr">
        <is>
          <t>Yes</t>
        </is>
      </c>
      <c r="J1416" s="145" t="inlineStr">
        <is>
          <t>No</t>
        </is>
      </c>
      <c r="K1416" s="145" t="inlineStr">
        <is>
          <t>None</t>
        </is>
      </c>
      <c r="L1416" s="145" t="inlineStr">
        <is>
          <t>#FFFFFF</t>
        </is>
      </c>
      <c r="M1416" s="145" t="inlineStr">
        <is>
          <t>General</t>
        </is>
      </c>
      <c r="N1416" s="145" t="inlineStr">
        <is>
          <t>Center</t>
        </is>
      </c>
      <c r="O1416" s="145" t="inlineStr">
        <is>
          <t>No</t>
        </is>
      </c>
      <c r="P1416" s="145" t="inlineStr">
        <is>
          <t>General</t>
        </is>
      </c>
      <c r="Q1416" s="145" t="inlineStr">
        <is>
          <t>General</t>
        </is>
      </c>
      <c r="R1416" s="145" t="n"/>
      <c r="S1416" s="145" t="n"/>
      <c r="T1416" s="145" t="n"/>
      <c r="U1416" s="145" t="n"/>
      <c r="V1416" s="145" t="n"/>
      <c r="W1416" s="145" t="n"/>
      <c r="X1416" s="145" t="inlineStr">
        <is>
          <t>Detailed format sample from top five used rows</t>
        </is>
      </c>
    </row>
    <row r="1417" ht="23.85" customHeight="1" s="79">
      <c r="A1417" s="145" t="inlineStr">
        <is>
          <t>GM_TNA</t>
        </is>
      </c>
      <c r="B1417" s="145" t="inlineStr">
        <is>
          <t>Top-Row Cell Format</t>
        </is>
      </c>
      <c r="C1417" s="145" t="inlineStr">
        <is>
          <t>M2</t>
        </is>
      </c>
      <c r="D1417" s="145" t="inlineStr">
        <is>
          <t>GM_TNA!A1:Z373</t>
        </is>
      </c>
      <c r="E1417" s="145" t="inlineStr">
        <is>
          <t>Normal</t>
        </is>
      </c>
      <c r="F1417" s="145" t="n"/>
      <c r="G1417" s="145" t="inlineStr">
        <is>
          <t>Aptos</t>
        </is>
      </c>
      <c r="H1417" s="145" t="n">
        <v>8</v>
      </c>
      <c r="I1417" s="145" t="inlineStr">
        <is>
          <t>No</t>
        </is>
      </c>
      <c r="J1417" s="145" t="inlineStr">
        <is>
          <t>No</t>
        </is>
      </c>
      <c r="K1417" s="145" t="inlineStr">
        <is>
          <t>None</t>
        </is>
      </c>
      <c r="L1417" s="145" t="inlineStr">
        <is>
          <t>#000000</t>
        </is>
      </c>
      <c r="M1417" s="145" t="inlineStr">
        <is>
          <t>General</t>
        </is>
      </c>
      <c r="N1417" s="145" t="inlineStr">
        <is>
          <t>Center</t>
        </is>
      </c>
      <c r="O1417" s="145" t="inlineStr">
        <is>
          <t>No</t>
        </is>
      </c>
      <c r="P1417" s="145" t="inlineStr">
        <is>
          <t>General</t>
        </is>
      </c>
      <c r="Q1417" s="145" t="inlineStr">
        <is>
          <t>General</t>
        </is>
      </c>
      <c r="R1417" s="145" t="n"/>
      <c r="S1417" s="145" t="n"/>
      <c r="T1417" s="145" t="n"/>
      <c r="U1417" s="145" t="n"/>
      <c r="V1417" s="145" t="n"/>
      <c r="W1417" s="145" t="n"/>
      <c r="X1417" s="145" t="inlineStr">
        <is>
          <t>Detailed format sample from top five used rows</t>
        </is>
      </c>
    </row>
    <row r="1418" ht="23.85" customHeight="1" s="79">
      <c r="A1418" s="145" t="inlineStr">
        <is>
          <t>GM_TNA</t>
        </is>
      </c>
      <c r="B1418" s="145" t="inlineStr">
        <is>
          <t>Top-Row Cell Format</t>
        </is>
      </c>
      <c r="C1418" s="145" t="inlineStr">
        <is>
          <t>M3</t>
        </is>
      </c>
      <c r="D1418" s="145" t="inlineStr">
        <is>
          <t>GM_TNA!A1:Z373</t>
        </is>
      </c>
      <c r="E1418" s="145" t="inlineStr">
        <is>
          <t>Normal</t>
        </is>
      </c>
      <c r="F1418" s="145" t="n"/>
      <c r="G1418" s="145" t="inlineStr">
        <is>
          <t>Aptos</t>
        </is>
      </c>
      <c r="H1418" s="145" t="n">
        <v>8</v>
      </c>
      <c r="I1418" s="145" t="inlineStr">
        <is>
          <t>No</t>
        </is>
      </c>
      <c r="J1418" s="145" t="inlineStr">
        <is>
          <t>No</t>
        </is>
      </c>
      <c r="K1418" s="145" t="inlineStr">
        <is>
          <t>None</t>
        </is>
      </c>
      <c r="L1418" s="145" t="inlineStr">
        <is>
          <t>#000000</t>
        </is>
      </c>
      <c r="M1418" s="145" t="inlineStr">
        <is>
          <t>General</t>
        </is>
      </c>
      <c r="N1418" s="145" t="inlineStr">
        <is>
          <t>Center</t>
        </is>
      </c>
      <c r="O1418" s="145" t="inlineStr">
        <is>
          <t>No</t>
        </is>
      </c>
      <c r="P1418" s="145" t="inlineStr">
        <is>
          <t>General</t>
        </is>
      </c>
      <c r="Q1418" s="145" t="inlineStr">
        <is>
          <t>General</t>
        </is>
      </c>
      <c r="R1418" s="145" t="n"/>
      <c r="S1418" s="145" t="n"/>
      <c r="T1418" s="145" t="n"/>
      <c r="U1418" s="145" t="n"/>
      <c r="V1418" s="145" t="n"/>
      <c r="W1418" s="145" t="n"/>
      <c r="X1418" s="145" t="inlineStr">
        <is>
          <t>Detailed format sample from top five used rows</t>
        </is>
      </c>
    </row>
    <row r="1419" ht="23.85" customHeight="1" s="79">
      <c r="A1419" s="145" t="inlineStr">
        <is>
          <t>GM_TNA</t>
        </is>
      </c>
      <c r="B1419" s="145" t="inlineStr">
        <is>
          <t>Top-Row Cell Format</t>
        </is>
      </c>
      <c r="C1419" s="145" t="inlineStr">
        <is>
          <t>M4</t>
        </is>
      </c>
      <c r="D1419" s="145" t="inlineStr">
        <is>
          <t>GM_TNA!A1:Z373</t>
        </is>
      </c>
      <c r="E1419" s="145" t="inlineStr">
        <is>
          <t>Normal</t>
        </is>
      </c>
      <c r="F1419" s="145" t="n"/>
      <c r="G1419" s="145" t="inlineStr">
        <is>
          <t>Aptos</t>
        </is>
      </c>
      <c r="H1419" s="145" t="n">
        <v>8</v>
      </c>
      <c r="I1419" s="145" t="inlineStr">
        <is>
          <t>No</t>
        </is>
      </c>
      <c r="J1419" s="145" t="inlineStr">
        <is>
          <t>No</t>
        </is>
      </c>
      <c r="K1419" s="145" t="inlineStr">
        <is>
          <t>None</t>
        </is>
      </c>
      <c r="L1419" s="145" t="inlineStr">
        <is>
          <t>#000000</t>
        </is>
      </c>
      <c r="M1419" s="145" t="inlineStr">
        <is>
          <t>General</t>
        </is>
      </c>
      <c r="N1419" s="145" t="inlineStr">
        <is>
          <t>Center</t>
        </is>
      </c>
      <c r="O1419" s="145" t="inlineStr">
        <is>
          <t>No</t>
        </is>
      </c>
      <c r="P1419" s="145" t="inlineStr">
        <is>
          <t>General</t>
        </is>
      </c>
      <c r="Q1419" s="145" t="inlineStr">
        <is>
          <t>General</t>
        </is>
      </c>
      <c r="R1419" s="145" t="n"/>
      <c r="S1419" s="145" t="n"/>
      <c r="T1419" s="145" t="n"/>
      <c r="U1419" s="145" t="n"/>
      <c r="V1419" s="145" t="n"/>
      <c r="W1419" s="145" t="n"/>
      <c r="X1419" s="145" t="inlineStr">
        <is>
          <t>Detailed format sample from top five used rows</t>
        </is>
      </c>
    </row>
    <row r="1420" ht="23.85" customHeight="1" s="79">
      <c r="A1420" s="145" t="inlineStr">
        <is>
          <t>GM_TNA</t>
        </is>
      </c>
      <c r="B1420" s="145" t="inlineStr">
        <is>
          <t>Top-Row Cell Format</t>
        </is>
      </c>
      <c r="C1420" s="145" t="inlineStr">
        <is>
          <t>M5</t>
        </is>
      </c>
      <c r="D1420" s="145" t="inlineStr">
        <is>
          <t>GM_TNA!A1:Z373</t>
        </is>
      </c>
      <c r="E1420" s="145" t="inlineStr">
        <is>
          <t>Normal</t>
        </is>
      </c>
      <c r="F1420" s="145" t="n"/>
      <c r="G1420" s="145" t="inlineStr">
        <is>
          <t>Aptos</t>
        </is>
      </c>
      <c r="H1420" s="145" t="n">
        <v>8</v>
      </c>
      <c r="I1420" s="145" t="inlineStr">
        <is>
          <t>No</t>
        </is>
      </c>
      <c r="J1420" s="145" t="inlineStr">
        <is>
          <t>No</t>
        </is>
      </c>
      <c r="K1420" s="145" t="inlineStr">
        <is>
          <t>None</t>
        </is>
      </c>
      <c r="L1420" s="145" t="inlineStr">
        <is>
          <t>#000000</t>
        </is>
      </c>
      <c r="M1420" s="145" t="inlineStr">
        <is>
          <t>General</t>
        </is>
      </c>
      <c r="N1420" s="145" t="inlineStr">
        <is>
          <t>Center</t>
        </is>
      </c>
      <c r="O1420" s="145" t="inlineStr">
        <is>
          <t>No</t>
        </is>
      </c>
      <c r="P1420" s="145" t="inlineStr">
        <is>
          <t>General</t>
        </is>
      </c>
      <c r="Q1420" s="145" t="inlineStr">
        <is>
          <t>General</t>
        </is>
      </c>
      <c r="R1420" s="145" t="n"/>
      <c r="S1420" s="145" t="n"/>
      <c r="T1420" s="145" t="n"/>
      <c r="U1420" s="145" t="n"/>
      <c r="V1420" s="145" t="n"/>
      <c r="W1420" s="145" t="n"/>
      <c r="X1420" s="145" t="inlineStr">
        <is>
          <t>Detailed format sample from top five used rows</t>
        </is>
      </c>
    </row>
    <row r="1421" ht="23.85" customHeight="1" s="79">
      <c r="A1421" s="145" t="inlineStr">
        <is>
          <t>GM_TNA</t>
        </is>
      </c>
      <c r="B1421" s="145" t="inlineStr">
        <is>
          <t>Column Format</t>
        </is>
      </c>
      <c r="C1421" s="145" t="inlineStr">
        <is>
          <t>N:N</t>
        </is>
      </c>
      <c r="D1421" s="145" t="inlineStr">
        <is>
          <t>GM_TNA!A1:Z373</t>
        </is>
      </c>
      <c r="E1421" s="145" t="inlineStr">
        <is>
          <t>Normal</t>
        </is>
      </c>
      <c r="F1421" s="145" t="inlineStr">
        <is>
          <t>Mixed</t>
        </is>
      </c>
      <c r="G1421" s="145" t="inlineStr">
        <is>
          <t>Aptos</t>
        </is>
      </c>
      <c r="H1421" s="145" t="n">
        <v>8</v>
      </c>
      <c r="I1421" s="145" t="inlineStr">
        <is>
          <t>Mixed</t>
        </is>
      </c>
      <c r="J1421" s="145" t="inlineStr">
        <is>
          <t>No</t>
        </is>
      </c>
      <c r="K1421" s="145" t="inlineStr">
        <is>
          <t>None</t>
        </is>
      </c>
      <c r="L1421" s="145" t="inlineStr">
        <is>
          <t>Mixed</t>
        </is>
      </c>
      <c r="M1421" s="145" t="inlineStr">
        <is>
          <t>General</t>
        </is>
      </c>
      <c r="N1421" s="145" t="inlineStr">
        <is>
          <t>Center</t>
        </is>
      </c>
      <c r="O1421" s="145" t="inlineStr">
        <is>
          <t>No</t>
        </is>
      </c>
      <c r="P1421" s="145" t="n"/>
      <c r="Q1421" s="145" t="n"/>
      <c r="R1421" s="145" t="n"/>
      <c r="S1421" s="145" t="n">
        <v>26.865671641791</v>
      </c>
      <c r="T1421" s="145" t="n"/>
      <c r="U1421" s="145" t="inlineStr">
        <is>
          <t>No</t>
        </is>
      </c>
      <c r="V1421" s="145" t="inlineStr">
        <is>
          <t>Visible</t>
        </is>
      </c>
      <c r="W1421" s="145" t="n"/>
      <c r="X1421" s="145" t="inlineStr">
        <is>
          <t>Mixed styles within used column</t>
        </is>
      </c>
    </row>
    <row r="1422" ht="23.85" customHeight="1" s="79">
      <c r="A1422" s="145" t="inlineStr">
        <is>
          <t>GM_TNA</t>
        </is>
      </c>
      <c r="B1422" s="145" t="inlineStr">
        <is>
          <t>Top-Row Cell Format</t>
        </is>
      </c>
      <c r="C1422" s="145" t="inlineStr">
        <is>
          <t>N1</t>
        </is>
      </c>
      <c r="D1422" s="145" t="inlineStr">
        <is>
          <t>GM_TNA!A1:Z373</t>
        </is>
      </c>
      <c r="E1422" s="145" t="inlineStr">
        <is>
          <t>Normal</t>
        </is>
      </c>
      <c r="F1422" s="145" t="inlineStr">
        <is>
          <t>#FFC000</t>
        </is>
      </c>
      <c r="G1422" s="145" t="inlineStr">
        <is>
          <t>Aptos</t>
        </is>
      </c>
      <c r="H1422" s="145" t="n">
        <v>8</v>
      </c>
      <c r="I1422" s="145" t="inlineStr">
        <is>
          <t>Yes</t>
        </is>
      </c>
      <c r="J1422" s="145" t="inlineStr">
        <is>
          <t>No</t>
        </is>
      </c>
      <c r="K1422" s="145" t="inlineStr">
        <is>
          <t>None</t>
        </is>
      </c>
      <c r="L1422" s="145" t="inlineStr">
        <is>
          <t>#FFFFFF</t>
        </is>
      </c>
      <c r="M1422" s="145" t="inlineStr">
        <is>
          <t>General</t>
        </is>
      </c>
      <c r="N1422" s="145" t="inlineStr">
        <is>
          <t>Center</t>
        </is>
      </c>
      <c r="O1422" s="145" t="inlineStr">
        <is>
          <t>No</t>
        </is>
      </c>
      <c r="P1422" s="145" t="inlineStr">
        <is>
          <t>General</t>
        </is>
      </c>
      <c r="Q1422" s="145" t="inlineStr">
        <is>
          <t>General</t>
        </is>
      </c>
      <c r="R1422" s="145" t="n"/>
      <c r="S1422" s="145" t="n"/>
      <c r="T1422" s="145" t="n"/>
      <c r="U1422" s="145" t="n"/>
      <c r="V1422" s="145" t="n"/>
      <c r="W1422" s="145" t="n"/>
      <c r="X1422" s="145" t="inlineStr">
        <is>
          <t>Detailed format sample from top five used rows</t>
        </is>
      </c>
    </row>
    <row r="1423" ht="23.85" customHeight="1" s="79">
      <c r="A1423" s="145" t="inlineStr">
        <is>
          <t>GM_TNA</t>
        </is>
      </c>
      <c r="B1423" s="145" t="inlineStr">
        <is>
          <t>Top-Row Cell Format</t>
        </is>
      </c>
      <c r="C1423" s="145" t="inlineStr">
        <is>
          <t>N2</t>
        </is>
      </c>
      <c r="D1423" s="145" t="inlineStr">
        <is>
          <t>GM_TNA!A1:Z373</t>
        </is>
      </c>
      <c r="E1423" s="145" t="inlineStr">
        <is>
          <t>Normal</t>
        </is>
      </c>
      <c r="F1423" s="145" t="n"/>
      <c r="G1423" s="145" t="inlineStr">
        <is>
          <t>Aptos</t>
        </is>
      </c>
      <c r="H1423" s="145" t="n">
        <v>8</v>
      </c>
      <c r="I1423" s="145" t="inlineStr">
        <is>
          <t>No</t>
        </is>
      </c>
      <c r="J1423" s="145" t="inlineStr">
        <is>
          <t>No</t>
        </is>
      </c>
      <c r="K1423" s="145" t="inlineStr">
        <is>
          <t>None</t>
        </is>
      </c>
      <c r="L1423" s="145" t="inlineStr">
        <is>
          <t>#000000</t>
        </is>
      </c>
      <c r="M1423" s="145" t="inlineStr">
        <is>
          <t>General</t>
        </is>
      </c>
      <c r="N1423" s="145" t="inlineStr">
        <is>
          <t>Center</t>
        </is>
      </c>
      <c r="O1423" s="145" t="inlineStr">
        <is>
          <t>No</t>
        </is>
      </c>
      <c r="P1423" s="145" t="inlineStr">
        <is>
          <t>General</t>
        </is>
      </c>
      <c r="Q1423" s="145" t="inlineStr">
        <is>
          <t>General</t>
        </is>
      </c>
      <c r="R1423" s="145" t="n"/>
      <c r="S1423" s="145" t="n"/>
      <c r="T1423" s="145" t="n"/>
      <c r="U1423" s="145" t="n"/>
      <c r="V1423" s="145" t="n"/>
      <c r="W1423" s="145" t="n"/>
      <c r="X1423" s="145" t="inlineStr">
        <is>
          <t>Detailed format sample from top five used rows</t>
        </is>
      </c>
    </row>
    <row r="1424" ht="23.85" customHeight="1" s="79">
      <c r="A1424" s="145" t="inlineStr">
        <is>
          <t>GM_TNA</t>
        </is>
      </c>
      <c r="B1424" s="145" t="inlineStr">
        <is>
          <t>Top-Row Cell Format</t>
        </is>
      </c>
      <c r="C1424" s="145" t="inlineStr">
        <is>
          <t>N3</t>
        </is>
      </c>
      <c r="D1424" s="145" t="inlineStr">
        <is>
          <t>GM_TNA!A1:Z373</t>
        </is>
      </c>
      <c r="E1424" s="145" t="inlineStr">
        <is>
          <t>Normal</t>
        </is>
      </c>
      <c r="F1424" s="145" t="n"/>
      <c r="G1424" s="145" t="inlineStr">
        <is>
          <t>Aptos</t>
        </is>
      </c>
      <c r="H1424" s="145" t="n">
        <v>8</v>
      </c>
      <c r="I1424" s="145" t="inlineStr">
        <is>
          <t>No</t>
        </is>
      </c>
      <c r="J1424" s="145" t="inlineStr">
        <is>
          <t>No</t>
        </is>
      </c>
      <c r="K1424" s="145" t="inlineStr">
        <is>
          <t>None</t>
        </is>
      </c>
      <c r="L1424" s="145" t="inlineStr">
        <is>
          <t>#000000</t>
        </is>
      </c>
      <c r="M1424" s="145" t="inlineStr">
        <is>
          <t>General</t>
        </is>
      </c>
      <c r="N1424" s="145" t="inlineStr">
        <is>
          <t>Center</t>
        </is>
      </c>
      <c r="O1424" s="145" t="inlineStr">
        <is>
          <t>No</t>
        </is>
      </c>
      <c r="P1424" s="145" t="inlineStr">
        <is>
          <t>General</t>
        </is>
      </c>
      <c r="Q1424" s="145" t="inlineStr">
        <is>
          <t>General</t>
        </is>
      </c>
      <c r="R1424" s="145" t="n"/>
      <c r="S1424" s="145" t="n"/>
      <c r="T1424" s="145" t="n"/>
      <c r="U1424" s="145" t="n"/>
      <c r="V1424" s="145" t="n"/>
      <c r="W1424" s="145" t="n"/>
      <c r="X1424" s="145" t="inlineStr">
        <is>
          <t>Detailed format sample from top five used rows</t>
        </is>
      </c>
    </row>
    <row r="1425" ht="23.85" customHeight="1" s="79">
      <c r="A1425" s="145" t="inlineStr">
        <is>
          <t>GM_TNA</t>
        </is>
      </c>
      <c r="B1425" s="145" t="inlineStr">
        <is>
          <t>Top-Row Cell Format</t>
        </is>
      </c>
      <c r="C1425" s="145" t="inlineStr">
        <is>
          <t>N4</t>
        </is>
      </c>
      <c r="D1425" s="145" t="inlineStr">
        <is>
          <t>GM_TNA!A1:Z373</t>
        </is>
      </c>
      <c r="E1425" s="145" t="inlineStr">
        <is>
          <t>Normal</t>
        </is>
      </c>
      <c r="F1425" s="145" t="n"/>
      <c r="G1425" s="145" t="inlineStr">
        <is>
          <t>Aptos</t>
        </is>
      </c>
      <c r="H1425" s="145" t="n">
        <v>8</v>
      </c>
      <c r="I1425" s="145" t="inlineStr">
        <is>
          <t>No</t>
        </is>
      </c>
      <c r="J1425" s="145" t="inlineStr">
        <is>
          <t>No</t>
        </is>
      </c>
      <c r="K1425" s="145" t="inlineStr">
        <is>
          <t>None</t>
        </is>
      </c>
      <c r="L1425" s="145" t="inlineStr">
        <is>
          <t>#000000</t>
        </is>
      </c>
      <c r="M1425" s="145" t="inlineStr">
        <is>
          <t>General</t>
        </is>
      </c>
      <c r="N1425" s="145" t="inlineStr">
        <is>
          <t>Center</t>
        </is>
      </c>
      <c r="O1425" s="145" t="inlineStr">
        <is>
          <t>No</t>
        </is>
      </c>
      <c r="P1425" s="145" t="inlineStr">
        <is>
          <t>General</t>
        </is>
      </c>
      <c r="Q1425" s="145" t="inlineStr">
        <is>
          <t>General</t>
        </is>
      </c>
      <c r="R1425" s="145" t="n"/>
      <c r="S1425" s="145" t="n"/>
      <c r="T1425" s="145" t="n"/>
      <c r="U1425" s="145" t="n"/>
      <c r="V1425" s="145" t="n"/>
      <c r="W1425" s="145" t="n"/>
      <c r="X1425" s="145" t="inlineStr">
        <is>
          <t>Detailed format sample from top five used rows</t>
        </is>
      </c>
    </row>
    <row r="1426" ht="23.85" customHeight="1" s="79">
      <c r="A1426" s="145" t="inlineStr">
        <is>
          <t>GM_TNA</t>
        </is>
      </c>
      <c r="B1426" s="145" t="inlineStr">
        <is>
          <t>Top-Row Cell Format</t>
        </is>
      </c>
      <c r="C1426" s="145" t="inlineStr">
        <is>
          <t>N5</t>
        </is>
      </c>
      <c r="D1426" s="145" t="inlineStr">
        <is>
          <t>GM_TNA!A1:Z373</t>
        </is>
      </c>
      <c r="E1426" s="145" t="inlineStr">
        <is>
          <t>Normal</t>
        </is>
      </c>
      <c r="F1426" s="145" t="n"/>
      <c r="G1426" s="145" t="inlineStr">
        <is>
          <t>Aptos</t>
        </is>
      </c>
      <c r="H1426" s="145" t="n">
        <v>8</v>
      </c>
      <c r="I1426" s="145" t="inlineStr">
        <is>
          <t>No</t>
        </is>
      </c>
      <c r="J1426" s="145" t="inlineStr">
        <is>
          <t>No</t>
        </is>
      </c>
      <c r="K1426" s="145" t="inlineStr">
        <is>
          <t>None</t>
        </is>
      </c>
      <c r="L1426" s="145" t="inlineStr">
        <is>
          <t>#000000</t>
        </is>
      </c>
      <c r="M1426" s="145" t="inlineStr">
        <is>
          <t>General</t>
        </is>
      </c>
      <c r="N1426" s="145" t="inlineStr">
        <is>
          <t>Center</t>
        </is>
      </c>
      <c r="O1426" s="145" t="inlineStr">
        <is>
          <t>No</t>
        </is>
      </c>
      <c r="P1426" s="145" t="inlineStr">
        <is>
          <t>General</t>
        </is>
      </c>
      <c r="Q1426" s="145" t="inlineStr">
        <is>
          <t>General</t>
        </is>
      </c>
      <c r="R1426" s="145" t="n"/>
      <c r="S1426" s="145" t="n"/>
      <c r="T1426" s="145" t="n"/>
      <c r="U1426" s="145" t="n"/>
      <c r="V1426" s="145" t="n"/>
      <c r="W1426" s="145" t="n"/>
      <c r="X1426" s="145" t="inlineStr">
        <is>
          <t>Detailed format sample from top five used rows</t>
        </is>
      </c>
    </row>
    <row r="1427" ht="23.85" customHeight="1" s="79">
      <c r="A1427" s="145" t="inlineStr">
        <is>
          <t>GM_TNA</t>
        </is>
      </c>
      <c r="B1427" s="145" t="inlineStr">
        <is>
          <t>Column Format</t>
        </is>
      </c>
      <c r="C1427" s="145" t="inlineStr">
        <is>
          <t>O:O</t>
        </is>
      </c>
      <c r="D1427" s="145" t="inlineStr">
        <is>
          <t>GM_TNA!A1:Z373</t>
        </is>
      </c>
      <c r="E1427" s="145" t="inlineStr">
        <is>
          <t>Normal</t>
        </is>
      </c>
      <c r="F1427" s="145" t="inlineStr">
        <is>
          <t>Mixed</t>
        </is>
      </c>
      <c r="G1427" s="145" t="inlineStr">
        <is>
          <t>Aptos</t>
        </is>
      </c>
      <c r="H1427" s="145" t="n">
        <v>8</v>
      </c>
      <c r="I1427" s="145" t="inlineStr">
        <is>
          <t>Mixed</t>
        </is>
      </c>
      <c r="J1427" s="145" t="inlineStr">
        <is>
          <t>No</t>
        </is>
      </c>
      <c r="K1427" s="145" t="inlineStr">
        <is>
          <t>None</t>
        </is>
      </c>
      <c r="L1427" s="145" t="inlineStr">
        <is>
          <t>Mixed</t>
        </is>
      </c>
      <c r="M1427" s="145" t="inlineStr">
        <is>
          <t>General</t>
        </is>
      </c>
      <c r="N1427" s="145" t="inlineStr">
        <is>
          <t>Center</t>
        </is>
      </c>
      <c r="O1427" s="145" t="inlineStr">
        <is>
          <t>No</t>
        </is>
      </c>
      <c r="P1427" s="145" t="n"/>
      <c r="Q1427" s="145" t="n"/>
      <c r="R1427" s="145" t="n"/>
      <c r="S1427" s="145" t="n">
        <v>26.865671641791</v>
      </c>
      <c r="T1427" s="145" t="n"/>
      <c r="U1427" s="145" t="inlineStr">
        <is>
          <t>No</t>
        </is>
      </c>
      <c r="V1427" s="145" t="inlineStr">
        <is>
          <t>Visible</t>
        </is>
      </c>
      <c r="W1427" s="145" t="n"/>
      <c r="X1427" s="145" t="inlineStr">
        <is>
          <t>Mixed styles within used column</t>
        </is>
      </c>
    </row>
    <row r="1428" ht="23.85" customHeight="1" s="79">
      <c r="A1428" s="145" t="inlineStr">
        <is>
          <t>GM_TNA</t>
        </is>
      </c>
      <c r="B1428" s="145" t="inlineStr">
        <is>
          <t>Top-Row Cell Format</t>
        </is>
      </c>
      <c r="C1428" s="145" t="inlineStr">
        <is>
          <t>O1</t>
        </is>
      </c>
      <c r="D1428" s="145" t="inlineStr">
        <is>
          <t>GM_TNA!A1:Z373</t>
        </is>
      </c>
      <c r="E1428" s="145" t="inlineStr">
        <is>
          <t>Normal</t>
        </is>
      </c>
      <c r="F1428" s="145" t="inlineStr">
        <is>
          <t>#FFC000</t>
        </is>
      </c>
      <c r="G1428" s="145" t="inlineStr">
        <is>
          <t>Aptos</t>
        </is>
      </c>
      <c r="H1428" s="145" t="n">
        <v>8</v>
      </c>
      <c r="I1428" s="145" t="inlineStr">
        <is>
          <t>Yes</t>
        </is>
      </c>
      <c r="J1428" s="145" t="inlineStr">
        <is>
          <t>No</t>
        </is>
      </c>
      <c r="K1428" s="145" t="inlineStr">
        <is>
          <t>None</t>
        </is>
      </c>
      <c r="L1428" s="145" t="inlineStr">
        <is>
          <t>#FFFFFF</t>
        </is>
      </c>
      <c r="M1428" s="145" t="inlineStr">
        <is>
          <t>General</t>
        </is>
      </c>
      <c r="N1428" s="145" t="inlineStr">
        <is>
          <t>Center</t>
        </is>
      </c>
      <c r="O1428" s="145" t="inlineStr">
        <is>
          <t>No</t>
        </is>
      </c>
      <c r="P1428" s="145" t="inlineStr">
        <is>
          <t>General</t>
        </is>
      </c>
      <c r="Q1428" s="145" t="inlineStr">
        <is>
          <t>General</t>
        </is>
      </c>
      <c r="R1428" s="145" t="n"/>
      <c r="S1428" s="145" t="n"/>
      <c r="T1428" s="145" t="n"/>
      <c r="U1428" s="145" t="n"/>
      <c r="V1428" s="145" t="n"/>
      <c r="W1428" s="145" t="n"/>
      <c r="X1428" s="145" t="inlineStr">
        <is>
          <t>Detailed format sample from top five used rows</t>
        </is>
      </c>
    </row>
    <row r="1429" ht="23.85" customHeight="1" s="79">
      <c r="A1429" s="145" t="inlineStr">
        <is>
          <t>GM_TNA</t>
        </is>
      </c>
      <c r="B1429" s="145" t="inlineStr">
        <is>
          <t>Top-Row Cell Format</t>
        </is>
      </c>
      <c r="C1429" s="145" t="inlineStr">
        <is>
          <t>O2</t>
        </is>
      </c>
      <c r="D1429" s="145" t="inlineStr">
        <is>
          <t>GM_TNA!A1:Z373</t>
        </is>
      </c>
      <c r="E1429" s="145" t="inlineStr">
        <is>
          <t>Normal</t>
        </is>
      </c>
      <c r="F1429" s="145" t="n"/>
      <c r="G1429" s="145" t="inlineStr">
        <is>
          <t>Aptos</t>
        </is>
      </c>
      <c r="H1429" s="145" t="n">
        <v>8</v>
      </c>
      <c r="I1429" s="145" t="inlineStr">
        <is>
          <t>No</t>
        </is>
      </c>
      <c r="J1429" s="145" t="inlineStr">
        <is>
          <t>No</t>
        </is>
      </c>
      <c r="K1429" s="145" t="inlineStr">
        <is>
          <t>None</t>
        </is>
      </c>
      <c r="L1429" s="145" t="inlineStr">
        <is>
          <t>#000000</t>
        </is>
      </c>
      <c r="M1429" s="145" t="inlineStr">
        <is>
          <t>General</t>
        </is>
      </c>
      <c r="N1429" s="145" t="inlineStr">
        <is>
          <t>Center</t>
        </is>
      </c>
      <c r="O1429" s="145" t="inlineStr">
        <is>
          <t>No</t>
        </is>
      </c>
      <c r="P1429" s="145" t="inlineStr">
        <is>
          <t>General</t>
        </is>
      </c>
      <c r="Q1429" s="145" t="inlineStr">
        <is>
          <t>General</t>
        </is>
      </c>
      <c r="R1429" s="145" t="n"/>
      <c r="S1429" s="145" t="n"/>
      <c r="T1429" s="145" t="n"/>
      <c r="U1429" s="145" t="n"/>
      <c r="V1429" s="145" t="n"/>
      <c r="W1429" s="145" t="n"/>
      <c r="X1429" s="145" t="inlineStr">
        <is>
          <t>Detailed format sample from top five used rows</t>
        </is>
      </c>
    </row>
    <row r="1430" ht="23.85" customHeight="1" s="79">
      <c r="A1430" s="145" t="inlineStr">
        <is>
          <t>GM_TNA</t>
        </is>
      </c>
      <c r="B1430" s="145" t="inlineStr">
        <is>
          <t>Top-Row Cell Format</t>
        </is>
      </c>
      <c r="C1430" s="145" t="inlineStr">
        <is>
          <t>O3</t>
        </is>
      </c>
      <c r="D1430" s="145" t="inlineStr">
        <is>
          <t>GM_TNA!A1:Z373</t>
        </is>
      </c>
      <c r="E1430" s="145" t="inlineStr">
        <is>
          <t>Normal</t>
        </is>
      </c>
      <c r="F1430" s="145" t="n"/>
      <c r="G1430" s="145" t="inlineStr">
        <is>
          <t>Aptos</t>
        </is>
      </c>
      <c r="H1430" s="145" t="n">
        <v>8</v>
      </c>
      <c r="I1430" s="145" t="inlineStr">
        <is>
          <t>No</t>
        </is>
      </c>
      <c r="J1430" s="145" t="inlineStr">
        <is>
          <t>No</t>
        </is>
      </c>
      <c r="K1430" s="145" t="inlineStr">
        <is>
          <t>None</t>
        </is>
      </c>
      <c r="L1430" s="145" t="inlineStr">
        <is>
          <t>#000000</t>
        </is>
      </c>
      <c r="M1430" s="145" t="inlineStr">
        <is>
          <t>General</t>
        </is>
      </c>
      <c r="N1430" s="145" t="inlineStr">
        <is>
          <t>Center</t>
        </is>
      </c>
      <c r="O1430" s="145" t="inlineStr">
        <is>
          <t>No</t>
        </is>
      </c>
      <c r="P1430" s="145" t="inlineStr">
        <is>
          <t>General</t>
        </is>
      </c>
      <c r="Q1430" s="145" t="inlineStr">
        <is>
          <t>General</t>
        </is>
      </c>
      <c r="R1430" s="145" t="n"/>
      <c r="S1430" s="145" t="n"/>
      <c r="T1430" s="145" t="n"/>
      <c r="U1430" s="145" t="n"/>
      <c r="V1430" s="145" t="n"/>
      <c r="W1430" s="145" t="n"/>
      <c r="X1430" s="145" t="inlineStr">
        <is>
          <t>Detailed format sample from top five used rows</t>
        </is>
      </c>
    </row>
    <row r="1431" ht="23.85" customHeight="1" s="79">
      <c r="A1431" s="145" t="inlineStr">
        <is>
          <t>GM_TNA</t>
        </is>
      </c>
      <c r="B1431" s="145" t="inlineStr">
        <is>
          <t>Top-Row Cell Format</t>
        </is>
      </c>
      <c r="C1431" s="145" t="inlineStr">
        <is>
          <t>O4</t>
        </is>
      </c>
      <c r="D1431" s="145" t="inlineStr">
        <is>
          <t>GM_TNA!A1:Z373</t>
        </is>
      </c>
      <c r="E1431" s="145" t="inlineStr">
        <is>
          <t>Normal</t>
        </is>
      </c>
      <c r="F1431" s="145" t="n"/>
      <c r="G1431" s="145" t="inlineStr">
        <is>
          <t>Aptos</t>
        </is>
      </c>
      <c r="H1431" s="145" t="n">
        <v>8</v>
      </c>
      <c r="I1431" s="145" t="inlineStr">
        <is>
          <t>No</t>
        </is>
      </c>
      <c r="J1431" s="145" t="inlineStr">
        <is>
          <t>No</t>
        </is>
      </c>
      <c r="K1431" s="145" t="inlineStr">
        <is>
          <t>None</t>
        </is>
      </c>
      <c r="L1431" s="145" t="inlineStr">
        <is>
          <t>#000000</t>
        </is>
      </c>
      <c r="M1431" s="145" t="inlineStr">
        <is>
          <t>General</t>
        </is>
      </c>
      <c r="N1431" s="145" t="inlineStr">
        <is>
          <t>Center</t>
        </is>
      </c>
      <c r="O1431" s="145" t="inlineStr">
        <is>
          <t>No</t>
        </is>
      </c>
      <c r="P1431" s="145" t="inlineStr">
        <is>
          <t>General</t>
        </is>
      </c>
      <c r="Q1431" s="145" t="inlineStr">
        <is>
          <t>General</t>
        </is>
      </c>
      <c r="R1431" s="145" t="n"/>
      <c r="S1431" s="145" t="n"/>
      <c r="T1431" s="145" t="n"/>
      <c r="U1431" s="145" t="n"/>
      <c r="V1431" s="145" t="n"/>
      <c r="W1431" s="145" t="n"/>
      <c r="X1431" s="145" t="inlineStr">
        <is>
          <t>Detailed format sample from top five used rows</t>
        </is>
      </c>
    </row>
    <row r="1432" ht="23.85" customHeight="1" s="79">
      <c r="A1432" s="145" t="inlineStr">
        <is>
          <t>GM_TNA</t>
        </is>
      </c>
      <c r="B1432" s="145" t="inlineStr">
        <is>
          <t>Top-Row Cell Format</t>
        </is>
      </c>
      <c r="C1432" s="145" t="inlineStr">
        <is>
          <t>O5</t>
        </is>
      </c>
      <c r="D1432" s="145" t="inlineStr">
        <is>
          <t>GM_TNA!A1:Z373</t>
        </is>
      </c>
      <c r="E1432" s="145" t="inlineStr">
        <is>
          <t>Normal</t>
        </is>
      </c>
      <c r="F1432" s="145" t="n"/>
      <c r="G1432" s="145" t="inlineStr">
        <is>
          <t>Aptos</t>
        </is>
      </c>
      <c r="H1432" s="145" t="n">
        <v>8</v>
      </c>
      <c r="I1432" s="145" t="inlineStr">
        <is>
          <t>No</t>
        </is>
      </c>
      <c r="J1432" s="145" t="inlineStr">
        <is>
          <t>No</t>
        </is>
      </c>
      <c r="K1432" s="145" t="inlineStr">
        <is>
          <t>None</t>
        </is>
      </c>
      <c r="L1432" s="145" t="inlineStr">
        <is>
          <t>#000000</t>
        </is>
      </c>
      <c r="M1432" s="145" t="inlineStr">
        <is>
          <t>General</t>
        </is>
      </c>
      <c r="N1432" s="145" t="inlineStr">
        <is>
          <t>Center</t>
        </is>
      </c>
      <c r="O1432" s="145" t="inlineStr">
        <is>
          <t>No</t>
        </is>
      </c>
      <c r="P1432" s="145" t="inlineStr">
        <is>
          <t>General</t>
        </is>
      </c>
      <c r="Q1432" s="145" t="inlineStr">
        <is>
          <t>General</t>
        </is>
      </c>
      <c r="R1432" s="145" t="n"/>
      <c r="S1432" s="145" t="n"/>
      <c r="T1432" s="145" t="n"/>
      <c r="U1432" s="145" t="n"/>
      <c r="V1432" s="145" t="n"/>
      <c r="W1432" s="145" t="n"/>
      <c r="X1432" s="145" t="inlineStr">
        <is>
          <t>Detailed format sample from top five used rows</t>
        </is>
      </c>
    </row>
    <row r="1433" ht="23.85" customHeight="1" s="79">
      <c r="A1433" s="145" t="inlineStr">
        <is>
          <t>GM_TNA</t>
        </is>
      </c>
      <c r="B1433" s="145" t="inlineStr">
        <is>
          <t>Column Format</t>
        </is>
      </c>
      <c r="C1433" s="145" t="inlineStr">
        <is>
          <t>P:P</t>
        </is>
      </c>
      <c r="D1433" s="145" t="inlineStr">
        <is>
          <t>GM_TNA!A1:Z373</t>
        </is>
      </c>
      <c r="E1433" s="145" t="inlineStr">
        <is>
          <t>Normal</t>
        </is>
      </c>
      <c r="F1433" s="145" t="inlineStr">
        <is>
          <t>Mixed</t>
        </is>
      </c>
      <c r="G1433" s="145" t="inlineStr">
        <is>
          <t>Aptos</t>
        </is>
      </c>
      <c r="H1433" s="145" t="n">
        <v>8</v>
      </c>
      <c r="I1433" s="145" t="inlineStr">
        <is>
          <t>Mixed</t>
        </is>
      </c>
      <c r="J1433" s="145" t="inlineStr">
        <is>
          <t>No</t>
        </is>
      </c>
      <c r="K1433" s="145" t="inlineStr">
        <is>
          <t>None</t>
        </is>
      </c>
      <c r="L1433" s="145" t="inlineStr">
        <is>
          <t>Mixed</t>
        </is>
      </c>
      <c r="M1433" s="145" t="inlineStr">
        <is>
          <t>General</t>
        </is>
      </c>
      <c r="N1433" s="145" t="inlineStr">
        <is>
          <t>Center</t>
        </is>
      </c>
      <c r="O1433" s="145" t="inlineStr">
        <is>
          <t>No</t>
        </is>
      </c>
      <c r="P1433" s="145" t="n"/>
      <c r="Q1433" s="145" t="n"/>
      <c r="R1433" s="145" t="n"/>
      <c r="S1433" s="145" t="n">
        <v>27.9402985074627</v>
      </c>
      <c r="T1433" s="145" t="n"/>
      <c r="U1433" s="145" t="inlineStr">
        <is>
          <t>No</t>
        </is>
      </c>
      <c r="V1433" s="145" t="inlineStr">
        <is>
          <t>Visible</t>
        </is>
      </c>
      <c r="W1433" s="145" t="n"/>
      <c r="X1433" s="145" t="inlineStr">
        <is>
          <t>Mixed styles within used column</t>
        </is>
      </c>
    </row>
    <row r="1434" ht="23.85" customHeight="1" s="79">
      <c r="A1434" s="145" t="inlineStr">
        <is>
          <t>GM_TNA</t>
        </is>
      </c>
      <c r="B1434" s="145" t="inlineStr">
        <is>
          <t>Top-Row Cell Format</t>
        </is>
      </c>
      <c r="C1434" s="145" t="inlineStr">
        <is>
          <t>P1</t>
        </is>
      </c>
      <c r="D1434" s="145" t="inlineStr">
        <is>
          <t>GM_TNA!A1:Z373</t>
        </is>
      </c>
      <c r="E1434" s="145" t="inlineStr">
        <is>
          <t>Normal</t>
        </is>
      </c>
      <c r="F1434" s="145" t="inlineStr">
        <is>
          <t>#FFC000</t>
        </is>
      </c>
      <c r="G1434" s="145" t="inlineStr">
        <is>
          <t>Aptos</t>
        </is>
      </c>
      <c r="H1434" s="145" t="n">
        <v>8</v>
      </c>
      <c r="I1434" s="145" t="inlineStr">
        <is>
          <t>Yes</t>
        </is>
      </c>
      <c r="J1434" s="145" t="inlineStr">
        <is>
          <t>No</t>
        </is>
      </c>
      <c r="K1434" s="145" t="inlineStr">
        <is>
          <t>None</t>
        </is>
      </c>
      <c r="L1434" s="145" t="inlineStr">
        <is>
          <t>#FFFFFF</t>
        </is>
      </c>
      <c r="M1434" s="145" t="inlineStr">
        <is>
          <t>General</t>
        </is>
      </c>
      <c r="N1434" s="145" t="inlineStr">
        <is>
          <t>Center</t>
        </is>
      </c>
      <c r="O1434" s="145" t="inlineStr">
        <is>
          <t>No</t>
        </is>
      </c>
      <c r="P1434" s="145" t="inlineStr">
        <is>
          <t>General</t>
        </is>
      </c>
      <c r="Q1434" s="145" t="inlineStr">
        <is>
          <t>General</t>
        </is>
      </c>
      <c r="R1434" s="145" t="n"/>
      <c r="S1434" s="145" t="n"/>
      <c r="T1434" s="145" t="n"/>
      <c r="U1434" s="145" t="n"/>
      <c r="V1434" s="145" t="n"/>
      <c r="W1434" s="145" t="n"/>
      <c r="X1434" s="145" t="inlineStr">
        <is>
          <t>Detailed format sample from top five used rows</t>
        </is>
      </c>
    </row>
    <row r="1435" ht="23.85" customHeight="1" s="79">
      <c r="A1435" s="145" t="inlineStr">
        <is>
          <t>GM_TNA</t>
        </is>
      </c>
      <c r="B1435" s="145" t="inlineStr">
        <is>
          <t>Top-Row Cell Format</t>
        </is>
      </c>
      <c r="C1435" s="145" t="inlineStr">
        <is>
          <t>P2</t>
        </is>
      </c>
      <c r="D1435" s="145" t="inlineStr">
        <is>
          <t>GM_TNA!A1:Z373</t>
        </is>
      </c>
      <c r="E1435" s="145" t="inlineStr">
        <is>
          <t>Normal</t>
        </is>
      </c>
      <c r="F1435" s="145" t="n"/>
      <c r="G1435" s="145" t="inlineStr">
        <is>
          <t>Aptos</t>
        </is>
      </c>
      <c r="H1435" s="145" t="n">
        <v>8</v>
      </c>
      <c r="I1435" s="145" t="inlineStr">
        <is>
          <t>No</t>
        </is>
      </c>
      <c r="J1435" s="145" t="inlineStr">
        <is>
          <t>No</t>
        </is>
      </c>
      <c r="K1435" s="145" t="inlineStr">
        <is>
          <t>None</t>
        </is>
      </c>
      <c r="L1435" s="145" t="inlineStr">
        <is>
          <t>#000000</t>
        </is>
      </c>
      <c r="M1435" s="145" t="inlineStr">
        <is>
          <t>General</t>
        </is>
      </c>
      <c r="N1435" s="145" t="inlineStr">
        <is>
          <t>Center</t>
        </is>
      </c>
      <c r="O1435" s="145" t="inlineStr">
        <is>
          <t>No</t>
        </is>
      </c>
      <c r="P1435" s="145" t="inlineStr">
        <is>
          <t>General</t>
        </is>
      </c>
      <c r="Q1435" s="145" t="inlineStr">
        <is>
          <t>General</t>
        </is>
      </c>
      <c r="R1435" s="145" t="n"/>
      <c r="S1435" s="145" t="n"/>
      <c r="T1435" s="145" t="n"/>
      <c r="U1435" s="145" t="n"/>
      <c r="V1435" s="145" t="n"/>
      <c r="W1435" s="145" t="n"/>
      <c r="X1435" s="145" t="inlineStr">
        <is>
          <t>Detailed format sample from top five used rows</t>
        </is>
      </c>
    </row>
    <row r="1436" ht="23.85" customHeight="1" s="79">
      <c r="A1436" s="145" t="inlineStr">
        <is>
          <t>GM_TNA</t>
        </is>
      </c>
      <c r="B1436" s="145" t="inlineStr">
        <is>
          <t>Top-Row Cell Format</t>
        </is>
      </c>
      <c r="C1436" s="145" t="inlineStr">
        <is>
          <t>P3</t>
        </is>
      </c>
      <c r="D1436" s="145" t="inlineStr">
        <is>
          <t>GM_TNA!A1:Z373</t>
        </is>
      </c>
      <c r="E1436" s="145" t="inlineStr">
        <is>
          <t>Normal</t>
        </is>
      </c>
      <c r="F1436" s="145" t="n"/>
      <c r="G1436" s="145" t="inlineStr">
        <is>
          <t>Aptos</t>
        </is>
      </c>
      <c r="H1436" s="145" t="n">
        <v>8</v>
      </c>
      <c r="I1436" s="145" t="inlineStr">
        <is>
          <t>No</t>
        </is>
      </c>
      <c r="J1436" s="145" t="inlineStr">
        <is>
          <t>No</t>
        </is>
      </c>
      <c r="K1436" s="145" t="inlineStr">
        <is>
          <t>None</t>
        </is>
      </c>
      <c r="L1436" s="145" t="inlineStr">
        <is>
          <t>#000000</t>
        </is>
      </c>
      <c r="M1436" s="145" t="inlineStr">
        <is>
          <t>General</t>
        </is>
      </c>
      <c r="N1436" s="145" t="inlineStr">
        <is>
          <t>Center</t>
        </is>
      </c>
      <c r="O1436" s="145" t="inlineStr">
        <is>
          <t>No</t>
        </is>
      </c>
      <c r="P1436" s="145" t="inlineStr">
        <is>
          <t>General</t>
        </is>
      </c>
      <c r="Q1436" s="145" t="inlineStr">
        <is>
          <t>General</t>
        </is>
      </c>
      <c r="R1436" s="145" t="n"/>
      <c r="S1436" s="145" t="n"/>
      <c r="T1436" s="145" t="n"/>
      <c r="U1436" s="145" t="n"/>
      <c r="V1436" s="145" t="n"/>
      <c r="W1436" s="145" t="n"/>
      <c r="X1436" s="145" t="inlineStr">
        <is>
          <t>Detailed format sample from top five used rows</t>
        </is>
      </c>
    </row>
    <row r="1437" ht="23.85" customHeight="1" s="79">
      <c r="A1437" s="145" t="inlineStr">
        <is>
          <t>GM_TNA</t>
        </is>
      </c>
      <c r="B1437" s="145" t="inlineStr">
        <is>
          <t>Top-Row Cell Format</t>
        </is>
      </c>
      <c r="C1437" s="145" t="inlineStr">
        <is>
          <t>P4</t>
        </is>
      </c>
      <c r="D1437" s="145" t="inlineStr">
        <is>
          <t>GM_TNA!A1:Z373</t>
        </is>
      </c>
      <c r="E1437" s="145" t="inlineStr">
        <is>
          <t>Normal</t>
        </is>
      </c>
      <c r="F1437" s="145" t="n"/>
      <c r="G1437" s="145" t="inlineStr">
        <is>
          <t>Aptos</t>
        </is>
      </c>
      <c r="H1437" s="145" t="n">
        <v>8</v>
      </c>
      <c r="I1437" s="145" t="inlineStr">
        <is>
          <t>No</t>
        </is>
      </c>
      <c r="J1437" s="145" t="inlineStr">
        <is>
          <t>No</t>
        </is>
      </c>
      <c r="K1437" s="145" t="inlineStr">
        <is>
          <t>None</t>
        </is>
      </c>
      <c r="L1437" s="145" t="inlineStr">
        <is>
          <t>#000000</t>
        </is>
      </c>
      <c r="M1437" s="145" t="inlineStr">
        <is>
          <t>General</t>
        </is>
      </c>
      <c r="N1437" s="145" t="inlineStr">
        <is>
          <t>Center</t>
        </is>
      </c>
      <c r="O1437" s="145" t="inlineStr">
        <is>
          <t>No</t>
        </is>
      </c>
      <c r="P1437" s="145" t="inlineStr">
        <is>
          <t>General</t>
        </is>
      </c>
      <c r="Q1437" s="145" t="inlineStr">
        <is>
          <t>General</t>
        </is>
      </c>
      <c r="R1437" s="145" t="n"/>
      <c r="S1437" s="145" t="n"/>
      <c r="T1437" s="145" t="n"/>
      <c r="U1437" s="145" t="n"/>
      <c r="V1437" s="145" t="n"/>
      <c r="W1437" s="145" t="n"/>
      <c r="X1437" s="145" t="inlineStr">
        <is>
          <t>Detailed format sample from top five used rows</t>
        </is>
      </c>
    </row>
    <row r="1438" ht="23.85" customHeight="1" s="79">
      <c r="A1438" s="145" t="inlineStr">
        <is>
          <t>GM_TNA</t>
        </is>
      </c>
      <c r="B1438" s="145" t="inlineStr">
        <is>
          <t>Top-Row Cell Format</t>
        </is>
      </c>
      <c r="C1438" s="145" t="inlineStr">
        <is>
          <t>P5</t>
        </is>
      </c>
      <c r="D1438" s="145" t="inlineStr">
        <is>
          <t>GM_TNA!A1:Z373</t>
        </is>
      </c>
      <c r="E1438" s="145" t="inlineStr">
        <is>
          <t>Normal</t>
        </is>
      </c>
      <c r="F1438" s="145" t="n"/>
      <c r="G1438" s="145" t="inlineStr">
        <is>
          <t>Aptos</t>
        </is>
      </c>
      <c r="H1438" s="145" t="n">
        <v>8</v>
      </c>
      <c r="I1438" s="145" t="inlineStr">
        <is>
          <t>No</t>
        </is>
      </c>
      <c r="J1438" s="145" t="inlineStr">
        <is>
          <t>No</t>
        </is>
      </c>
      <c r="K1438" s="145" t="inlineStr">
        <is>
          <t>None</t>
        </is>
      </c>
      <c r="L1438" s="145" t="inlineStr">
        <is>
          <t>#000000</t>
        </is>
      </c>
      <c r="M1438" s="145" t="inlineStr">
        <is>
          <t>General</t>
        </is>
      </c>
      <c r="N1438" s="145" t="inlineStr">
        <is>
          <t>Center</t>
        </is>
      </c>
      <c r="O1438" s="145" t="inlineStr">
        <is>
          <t>No</t>
        </is>
      </c>
      <c r="P1438" s="145" t="inlineStr">
        <is>
          <t>General</t>
        </is>
      </c>
      <c r="Q1438" s="145" t="inlineStr">
        <is>
          <t>General</t>
        </is>
      </c>
      <c r="R1438" s="145" t="n"/>
      <c r="S1438" s="145" t="n"/>
      <c r="T1438" s="145" t="n"/>
      <c r="U1438" s="145" t="n"/>
      <c r="V1438" s="145" t="n"/>
      <c r="W1438" s="145" t="n"/>
      <c r="X1438" s="145" t="inlineStr">
        <is>
          <t>Detailed format sample from top five used rows</t>
        </is>
      </c>
    </row>
    <row r="1439" ht="23.85" customHeight="1" s="79">
      <c r="A1439" s="145" t="inlineStr">
        <is>
          <t>GM_TNA</t>
        </is>
      </c>
      <c r="B1439" s="145" t="inlineStr">
        <is>
          <t>Column Format</t>
        </is>
      </c>
      <c r="C1439" s="145" t="inlineStr">
        <is>
          <t>Q:Q</t>
        </is>
      </c>
      <c r="D1439" s="145" t="inlineStr">
        <is>
          <t>GM_TNA!A1:Z373</t>
        </is>
      </c>
      <c r="E1439" s="145" t="inlineStr">
        <is>
          <t>Normal</t>
        </is>
      </c>
      <c r="F1439" s="145" t="inlineStr">
        <is>
          <t>Mixed</t>
        </is>
      </c>
      <c r="G1439" s="145" t="inlineStr">
        <is>
          <t>Aptos</t>
        </is>
      </c>
      <c r="H1439" s="145" t="n">
        <v>8</v>
      </c>
      <c r="I1439" s="145" t="inlineStr">
        <is>
          <t>Mixed</t>
        </is>
      </c>
      <c r="J1439" s="145" t="inlineStr">
        <is>
          <t>No</t>
        </is>
      </c>
      <c r="K1439" s="145" t="inlineStr">
        <is>
          <t>None</t>
        </is>
      </c>
      <c r="L1439" s="145" t="inlineStr">
        <is>
          <t>Mixed</t>
        </is>
      </c>
      <c r="M1439" s="145" t="inlineStr">
        <is>
          <t>General</t>
        </is>
      </c>
      <c r="N1439" s="145" t="inlineStr">
        <is>
          <t>Center</t>
        </is>
      </c>
      <c r="O1439" s="145" t="inlineStr">
        <is>
          <t>No</t>
        </is>
      </c>
      <c r="P1439" s="145" t="n"/>
      <c r="Q1439" s="145" t="n"/>
      <c r="R1439" s="145" t="n"/>
      <c r="S1439" s="145" t="n">
        <v>26.865671641791</v>
      </c>
      <c r="T1439" s="145" t="n"/>
      <c r="U1439" s="145" t="inlineStr">
        <is>
          <t>No</t>
        </is>
      </c>
      <c r="V1439" s="145" t="inlineStr">
        <is>
          <t>Visible</t>
        </is>
      </c>
      <c r="W1439" s="145" t="n"/>
      <c r="X1439" s="145" t="inlineStr">
        <is>
          <t>Mixed styles within used column</t>
        </is>
      </c>
    </row>
    <row r="1440" ht="23.85" customHeight="1" s="79">
      <c r="A1440" s="145" t="inlineStr">
        <is>
          <t>GM_TNA</t>
        </is>
      </c>
      <c r="B1440" s="145" t="inlineStr">
        <is>
          <t>Top-Row Cell Format</t>
        </is>
      </c>
      <c r="C1440" s="145" t="inlineStr">
        <is>
          <t>Q1</t>
        </is>
      </c>
      <c r="D1440" s="145" t="inlineStr">
        <is>
          <t>GM_TNA!A1:Z373</t>
        </is>
      </c>
      <c r="E1440" s="145" t="inlineStr">
        <is>
          <t>Normal</t>
        </is>
      </c>
      <c r="F1440" s="145" t="inlineStr">
        <is>
          <t>#FFC000</t>
        </is>
      </c>
      <c r="G1440" s="145" t="inlineStr">
        <is>
          <t>Aptos</t>
        </is>
      </c>
      <c r="H1440" s="145" t="n">
        <v>8</v>
      </c>
      <c r="I1440" s="145" t="inlineStr">
        <is>
          <t>Yes</t>
        </is>
      </c>
      <c r="J1440" s="145" t="inlineStr">
        <is>
          <t>No</t>
        </is>
      </c>
      <c r="K1440" s="145" t="inlineStr">
        <is>
          <t>None</t>
        </is>
      </c>
      <c r="L1440" s="145" t="inlineStr">
        <is>
          <t>#FFFFFF</t>
        </is>
      </c>
      <c r="M1440" s="145" t="inlineStr">
        <is>
          <t>General</t>
        </is>
      </c>
      <c r="N1440" s="145" t="inlineStr">
        <is>
          <t>Center</t>
        </is>
      </c>
      <c r="O1440" s="145" t="inlineStr">
        <is>
          <t>No</t>
        </is>
      </c>
      <c r="P1440" s="145" t="inlineStr">
        <is>
          <t>General</t>
        </is>
      </c>
      <c r="Q1440" s="145" t="inlineStr">
        <is>
          <t>General</t>
        </is>
      </c>
      <c r="R1440" s="145" t="n"/>
      <c r="S1440" s="145" t="n"/>
      <c r="T1440" s="145" t="n"/>
      <c r="U1440" s="145" t="n"/>
      <c r="V1440" s="145" t="n"/>
      <c r="W1440" s="145" t="n"/>
      <c r="X1440" s="145" t="inlineStr">
        <is>
          <t>Detailed format sample from top five used rows</t>
        </is>
      </c>
    </row>
    <row r="1441" ht="23.85" customHeight="1" s="79">
      <c r="A1441" s="145" t="inlineStr">
        <is>
          <t>GM_TNA</t>
        </is>
      </c>
      <c r="B1441" s="145" t="inlineStr">
        <is>
          <t>Top-Row Cell Format</t>
        </is>
      </c>
      <c r="C1441" s="145" t="inlineStr">
        <is>
          <t>Q2</t>
        </is>
      </c>
      <c r="D1441" s="145" t="inlineStr">
        <is>
          <t>GM_TNA!A1:Z373</t>
        </is>
      </c>
      <c r="E1441" s="145" t="inlineStr">
        <is>
          <t>Normal</t>
        </is>
      </c>
      <c r="F1441" s="145" t="n"/>
      <c r="G1441" s="145" t="inlineStr">
        <is>
          <t>Aptos</t>
        </is>
      </c>
      <c r="H1441" s="145" t="n">
        <v>8</v>
      </c>
      <c r="I1441" s="145" t="inlineStr">
        <is>
          <t>No</t>
        </is>
      </c>
      <c r="J1441" s="145" t="inlineStr">
        <is>
          <t>No</t>
        </is>
      </c>
      <c r="K1441" s="145" t="inlineStr">
        <is>
          <t>None</t>
        </is>
      </c>
      <c r="L1441" s="145" t="inlineStr">
        <is>
          <t>#000000</t>
        </is>
      </c>
      <c r="M1441" s="145" t="inlineStr">
        <is>
          <t>General</t>
        </is>
      </c>
      <c r="N1441" s="145" t="inlineStr">
        <is>
          <t>Center</t>
        </is>
      </c>
      <c r="O1441" s="145" t="inlineStr">
        <is>
          <t>No</t>
        </is>
      </c>
      <c r="P1441" s="145" t="inlineStr">
        <is>
          <t>General</t>
        </is>
      </c>
      <c r="Q1441" s="145" t="inlineStr">
        <is>
          <t>General</t>
        </is>
      </c>
      <c r="R1441" s="145" t="n"/>
      <c r="S1441" s="145" t="n"/>
      <c r="T1441" s="145" t="n"/>
      <c r="U1441" s="145" t="n"/>
      <c r="V1441" s="145" t="n"/>
      <c r="W1441" s="145" t="n"/>
      <c r="X1441" s="145" t="inlineStr">
        <is>
          <t>Detailed format sample from top five used rows</t>
        </is>
      </c>
    </row>
    <row r="1442" ht="23.85" customHeight="1" s="79">
      <c r="A1442" s="145" t="inlineStr">
        <is>
          <t>GM_TNA</t>
        </is>
      </c>
      <c r="B1442" s="145" t="inlineStr">
        <is>
          <t>Top-Row Cell Format</t>
        </is>
      </c>
      <c r="C1442" s="145" t="inlineStr">
        <is>
          <t>Q3</t>
        </is>
      </c>
      <c r="D1442" s="145" t="inlineStr">
        <is>
          <t>GM_TNA!A1:Z373</t>
        </is>
      </c>
      <c r="E1442" s="145" t="inlineStr">
        <is>
          <t>Normal</t>
        </is>
      </c>
      <c r="F1442" s="145" t="n"/>
      <c r="G1442" s="145" t="inlineStr">
        <is>
          <t>Aptos</t>
        </is>
      </c>
      <c r="H1442" s="145" t="n">
        <v>8</v>
      </c>
      <c r="I1442" s="145" t="inlineStr">
        <is>
          <t>No</t>
        </is>
      </c>
      <c r="J1442" s="145" t="inlineStr">
        <is>
          <t>No</t>
        </is>
      </c>
      <c r="K1442" s="145" t="inlineStr">
        <is>
          <t>None</t>
        </is>
      </c>
      <c r="L1442" s="145" t="inlineStr">
        <is>
          <t>#000000</t>
        </is>
      </c>
      <c r="M1442" s="145" t="inlineStr">
        <is>
          <t>General</t>
        </is>
      </c>
      <c r="N1442" s="145" t="inlineStr">
        <is>
          <t>Center</t>
        </is>
      </c>
      <c r="O1442" s="145" t="inlineStr">
        <is>
          <t>No</t>
        </is>
      </c>
      <c r="P1442" s="145" t="inlineStr">
        <is>
          <t>General</t>
        </is>
      </c>
      <c r="Q1442" s="145" t="inlineStr">
        <is>
          <t>General</t>
        </is>
      </c>
      <c r="R1442" s="145" t="n"/>
      <c r="S1442" s="145" t="n"/>
      <c r="T1442" s="145" t="n"/>
      <c r="U1442" s="145" t="n"/>
      <c r="V1442" s="145" t="n"/>
      <c r="W1442" s="145" t="n"/>
      <c r="X1442" s="145" t="inlineStr">
        <is>
          <t>Detailed format sample from top five used rows</t>
        </is>
      </c>
    </row>
    <row r="1443" ht="23.85" customHeight="1" s="79">
      <c r="A1443" s="145" t="inlineStr">
        <is>
          <t>GM_TNA</t>
        </is>
      </c>
      <c r="B1443" s="145" t="inlineStr">
        <is>
          <t>Top-Row Cell Format</t>
        </is>
      </c>
      <c r="C1443" s="145" t="inlineStr">
        <is>
          <t>Q4</t>
        </is>
      </c>
      <c r="D1443" s="145" t="inlineStr">
        <is>
          <t>GM_TNA!A1:Z373</t>
        </is>
      </c>
      <c r="E1443" s="145" t="inlineStr">
        <is>
          <t>Normal</t>
        </is>
      </c>
      <c r="F1443" s="145" t="n"/>
      <c r="G1443" s="145" t="inlineStr">
        <is>
          <t>Aptos</t>
        </is>
      </c>
      <c r="H1443" s="145" t="n">
        <v>8</v>
      </c>
      <c r="I1443" s="145" t="inlineStr">
        <is>
          <t>No</t>
        </is>
      </c>
      <c r="J1443" s="145" t="inlineStr">
        <is>
          <t>No</t>
        </is>
      </c>
      <c r="K1443" s="145" t="inlineStr">
        <is>
          <t>None</t>
        </is>
      </c>
      <c r="L1443" s="145" t="inlineStr">
        <is>
          <t>#000000</t>
        </is>
      </c>
      <c r="M1443" s="145" t="inlineStr">
        <is>
          <t>General</t>
        </is>
      </c>
      <c r="N1443" s="145" t="inlineStr">
        <is>
          <t>Center</t>
        </is>
      </c>
      <c r="O1443" s="145" t="inlineStr">
        <is>
          <t>No</t>
        </is>
      </c>
      <c r="P1443" s="145" t="inlineStr">
        <is>
          <t>General</t>
        </is>
      </c>
      <c r="Q1443" s="145" t="inlineStr">
        <is>
          <t>General</t>
        </is>
      </c>
      <c r="R1443" s="145" t="n"/>
      <c r="S1443" s="145" t="n"/>
      <c r="T1443" s="145" t="n"/>
      <c r="U1443" s="145" t="n"/>
      <c r="V1443" s="145" t="n"/>
      <c r="W1443" s="145" t="n"/>
      <c r="X1443" s="145" t="inlineStr">
        <is>
          <t>Detailed format sample from top five used rows</t>
        </is>
      </c>
    </row>
    <row r="1444" ht="23.85" customHeight="1" s="79">
      <c r="A1444" s="145" t="inlineStr">
        <is>
          <t>GM_TNA</t>
        </is>
      </c>
      <c r="B1444" s="145" t="inlineStr">
        <is>
          <t>Top-Row Cell Format</t>
        </is>
      </c>
      <c r="C1444" s="145" t="inlineStr">
        <is>
          <t>Q5</t>
        </is>
      </c>
      <c r="D1444" s="145" t="inlineStr">
        <is>
          <t>GM_TNA!A1:Z373</t>
        </is>
      </c>
      <c r="E1444" s="145" t="inlineStr">
        <is>
          <t>Normal</t>
        </is>
      </c>
      <c r="F1444" s="145" t="n"/>
      <c r="G1444" s="145" t="inlineStr">
        <is>
          <t>Aptos</t>
        </is>
      </c>
      <c r="H1444" s="145" t="n">
        <v>8</v>
      </c>
      <c r="I1444" s="145" t="inlineStr">
        <is>
          <t>No</t>
        </is>
      </c>
      <c r="J1444" s="145" t="inlineStr">
        <is>
          <t>No</t>
        </is>
      </c>
      <c r="K1444" s="145" t="inlineStr">
        <is>
          <t>None</t>
        </is>
      </c>
      <c r="L1444" s="145" t="inlineStr">
        <is>
          <t>#000000</t>
        </is>
      </c>
      <c r="M1444" s="145" t="inlineStr">
        <is>
          <t>General</t>
        </is>
      </c>
      <c r="N1444" s="145" t="inlineStr">
        <is>
          <t>Center</t>
        </is>
      </c>
      <c r="O1444" s="145" t="inlineStr">
        <is>
          <t>No</t>
        </is>
      </c>
      <c r="P1444" s="145" t="inlineStr">
        <is>
          <t>General</t>
        </is>
      </c>
      <c r="Q1444" s="145" t="inlineStr">
        <is>
          <t>General</t>
        </is>
      </c>
      <c r="R1444" s="145" t="n"/>
      <c r="S1444" s="145" t="n"/>
      <c r="T1444" s="145" t="n"/>
      <c r="U1444" s="145" t="n"/>
      <c r="V1444" s="145" t="n"/>
      <c r="W1444" s="145" t="n"/>
      <c r="X1444" s="145" t="inlineStr">
        <is>
          <t>Detailed format sample from top five used rows</t>
        </is>
      </c>
    </row>
    <row r="1445" ht="23.85" customHeight="1" s="79">
      <c r="A1445" s="145" t="inlineStr">
        <is>
          <t>GM_TNA</t>
        </is>
      </c>
      <c r="B1445" s="145" t="inlineStr">
        <is>
          <t>Column Format</t>
        </is>
      </c>
      <c r="C1445" s="145" t="inlineStr">
        <is>
          <t>R:R</t>
        </is>
      </c>
      <c r="D1445" s="145" t="inlineStr">
        <is>
          <t>GM_TNA!A1:Z373</t>
        </is>
      </c>
      <c r="E1445" s="145" t="inlineStr">
        <is>
          <t>Normal</t>
        </is>
      </c>
      <c r="F1445" s="145" t="inlineStr">
        <is>
          <t>Mixed</t>
        </is>
      </c>
      <c r="G1445" s="145" t="inlineStr">
        <is>
          <t>Aptos</t>
        </is>
      </c>
      <c r="H1445" s="145" t="n">
        <v>8</v>
      </c>
      <c r="I1445" s="145" t="inlineStr">
        <is>
          <t>Mixed</t>
        </is>
      </c>
      <c r="J1445" s="145" t="inlineStr">
        <is>
          <t>No</t>
        </is>
      </c>
      <c r="K1445" s="145" t="inlineStr">
        <is>
          <t>None</t>
        </is>
      </c>
      <c r="L1445" s="145" t="inlineStr">
        <is>
          <t>Mixed</t>
        </is>
      </c>
      <c r="M1445" s="145" t="inlineStr">
        <is>
          <t>General</t>
        </is>
      </c>
      <c r="N1445" s="145" t="inlineStr">
        <is>
          <t>Center</t>
        </is>
      </c>
      <c r="O1445" s="145" t="inlineStr">
        <is>
          <t>No</t>
        </is>
      </c>
      <c r="P1445" s="145" t="n"/>
      <c r="Q1445" s="145" t="n"/>
      <c r="R1445" s="145" t="n"/>
      <c r="S1445" s="145" t="n">
        <v>26.865671641791</v>
      </c>
      <c r="T1445" s="145" t="n"/>
      <c r="U1445" s="145" t="inlineStr">
        <is>
          <t>No</t>
        </is>
      </c>
      <c r="V1445" s="145" t="inlineStr">
        <is>
          <t>Visible</t>
        </is>
      </c>
      <c r="W1445" s="145" t="n"/>
      <c r="X1445" s="145" t="inlineStr">
        <is>
          <t>Mixed styles within used column</t>
        </is>
      </c>
    </row>
    <row r="1446" ht="23.85" customHeight="1" s="79">
      <c r="A1446" s="145" t="inlineStr">
        <is>
          <t>GM_TNA</t>
        </is>
      </c>
      <c r="B1446" s="145" t="inlineStr">
        <is>
          <t>Top-Row Cell Format</t>
        </is>
      </c>
      <c r="C1446" s="145" t="inlineStr">
        <is>
          <t>R1</t>
        </is>
      </c>
      <c r="D1446" s="145" t="inlineStr">
        <is>
          <t>GM_TNA!A1:Z373</t>
        </is>
      </c>
      <c r="E1446" s="145" t="inlineStr">
        <is>
          <t>Normal</t>
        </is>
      </c>
      <c r="F1446" s="145" t="inlineStr">
        <is>
          <t>#FFC000</t>
        </is>
      </c>
      <c r="G1446" s="145" t="inlineStr">
        <is>
          <t>Aptos</t>
        </is>
      </c>
      <c r="H1446" s="145" t="n">
        <v>8</v>
      </c>
      <c r="I1446" s="145" t="inlineStr">
        <is>
          <t>Yes</t>
        </is>
      </c>
      <c r="J1446" s="145" t="inlineStr">
        <is>
          <t>No</t>
        </is>
      </c>
      <c r="K1446" s="145" t="inlineStr">
        <is>
          <t>None</t>
        </is>
      </c>
      <c r="L1446" s="145" t="inlineStr">
        <is>
          <t>#FFFFFF</t>
        </is>
      </c>
      <c r="M1446" s="145" t="inlineStr">
        <is>
          <t>General</t>
        </is>
      </c>
      <c r="N1446" s="145" t="inlineStr">
        <is>
          <t>Center</t>
        </is>
      </c>
      <c r="O1446" s="145" t="inlineStr">
        <is>
          <t>No</t>
        </is>
      </c>
      <c r="P1446" s="145" t="inlineStr">
        <is>
          <t>General</t>
        </is>
      </c>
      <c r="Q1446" s="145" t="inlineStr">
        <is>
          <t>General</t>
        </is>
      </c>
      <c r="R1446" s="145" t="n"/>
      <c r="S1446" s="145" t="n"/>
      <c r="T1446" s="145" t="n"/>
      <c r="U1446" s="145" t="n"/>
      <c r="V1446" s="145" t="n"/>
      <c r="W1446" s="145" t="n"/>
      <c r="X1446" s="145" t="inlineStr">
        <is>
          <t>Detailed format sample from top five used rows</t>
        </is>
      </c>
    </row>
    <row r="1447" ht="23.85" customHeight="1" s="79">
      <c r="A1447" s="145" t="inlineStr">
        <is>
          <t>GM_TNA</t>
        </is>
      </c>
      <c r="B1447" s="145" t="inlineStr">
        <is>
          <t>Top-Row Cell Format</t>
        </is>
      </c>
      <c r="C1447" s="145" t="inlineStr">
        <is>
          <t>R2</t>
        </is>
      </c>
      <c r="D1447" s="145" t="inlineStr">
        <is>
          <t>GM_TNA!A1:Z373</t>
        </is>
      </c>
      <c r="E1447" s="145" t="inlineStr">
        <is>
          <t>Normal</t>
        </is>
      </c>
      <c r="F1447" s="145" t="n"/>
      <c r="G1447" s="145" t="inlineStr">
        <is>
          <t>Aptos</t>
        </is>
      </c>
      <c r="H1447" s="145" t="n">
        <v>8</v>
      </c>
      <c r="I1447" s="145" t="inlineStr">
        <is>
          <t>No</t>
        </is>
      </c>
      <c r="J1447" s="145" t="inlineStr">
        <is>
          <t>No</t>
        </is>
      </c>
      <c r="K1447" s="145" t="inlineStr">
        <is>
          <t>None</t>
        </is>
      </c>
      <c r="L1447" s="145" t="inlineStr">
        <is>
          <t>#000000</t>
        </is>
      </c>
      <c r="M1447" s="145" t="inlineStr">
        <is>
          <t>General</t>
        </is>
      </c>
      <c r="N1447" s="145" t="inlineStr">
        <is>
          <t>Center</t>
        </is>
      </c>
      <c r="O1447" s="145" t="inlineStr">
        <is>
          <t>No</t>
        </is>
      </c>
      <c r="P1447" s="145" t="inlineStr">
        <is>
          <t>General</t>
        </is>
      </c>
      <c r="Q1447" s="145" t="inlineStr">
        <is>
          <t>General</t>
        </is>
      </c>
      <c r="R1447" s="145" t="n"/>
      <c r="S1447" s="145" t="n"/>
      <c r="T1447" s="145" t="n"/>
      <c r="U1447" s="145" t="n"/>
      <c r="V1447" s="145" t="n"/>
      <c r="W1447" s="145" t="n"/>
      <c r="X1447" s="145" t="inlineStr">
        <is>
          <t>Detailed format sample from top five used rows</t>
        </is>
      </c>
    </row>
    <row r="1448" ht="23.85" customHeight="1" s="79">
      <c r="A1448" s="145" t="inlineStr">
        <is>
          <t>GM_TNA</t>
        </is>
      </c>
      <c r="B1448" s="145" t="inlineStr">
        <is>
          <t>Top-Row Cell Format</t>
        </is>
      </c>
      <c r="C1448" s="145" t="inlineStr">
        <is>
          <t>R3</t>
        </is>
      </c>
      <c r="D1448" s="145" t="inlineStr">
        <is>
          <t>GM_TNA!A1:Z373</t>
        </is>
      </c>
      <c r="E1448" s="145" t="inlineStr">
        <is>
          <t>Normal</t>
        </is>
      </c>
      <c r="F1448" s="145" t="n"/>
      <c r="G1448" s="145" t="inlineStr">
        <is>
          <t>Aptos</t>
        </is>
      </c>
      <c r="H1448" s="145" t="n">
        <v>8</v>
      </c>
      <c r="I1448" s="145" t="inlineStr">
        <is>
          <t>No</t>
        </is>
      </c>
      <c r="J1448" s="145" t="inlineStr">
        <is>
          <t>No</t>
        </is>
      </c>
      <c r="K1448" s="145" t="inlineStr">
        <is>
          <t>None</t>
        </is>
      </c>
      <c r="L1448" s="145" t="inlineStr">
        <is>
          <t>#000000</t>
        </is>
      </c>
      <c r="M1448" s="145" t="inlineStr">
        <is>
          <t>General</t>
        </is>
      </c>
      <c r="N1448" s="145" t="inlineStr">
        <is>
          <t>Center</t>
        </is>
      </c>
      <c r="O1448" s="145" t="inlineStr">
        <is>
          <t>No</t>
        </is>
      </c>
      <c r="P1448" s="145" t="inlineStr">
        <is>
          <t>General</t>
        </is>
      </c>
      <c r="Q1448" s="145" t="inlineStr">
        <is>
          <t>General</t>
        </is>
      </c>
      <c r="R1448" s="145" t="n"/>
      <c r="S1448" s="145" t="n"/>
      <c r="T1448" s="145" t="n"/>
      <c r="U1448" s="145" t="n"/>
      <c r="V1448" s="145" t="n"/>
      <c r="W1448" s="145" t="n"/>
      <c r="X1448" s="145" t="inlineStr">
        <is>
          <t>Detailed format sample from top five used rows</t>
        </is>
      </c>
    </row>
    <row r="1449" ht="23.85" customHeight="1" s="79">
      <c r="A1449" s="145" t="inlineStr">
        <is>
          <t>GM_TNA</t>
        </is>
      </c>
      <c r="B1449" s="145" t="inlineStr">
        <is>
          <t>Top-Row Cell Format</t>
        </is>
      </c>
      <c r="C1449" s="145" t="inlineStr">
        <is>
          <t>R4</t>
        </is>
      </c>
      <c r="D1449" s="145" t="inlineStr">
        <is>
          <t>GM_TNA!A1:Z373</t>
        </is>
      </c>
      <c r="E1449" s="145" t="inlineStr">
        <is>
          <t>Normal</t>
        </is>
      </c>
      <c r="F1449" s="145" t="n"/>
      <c r="G1449" s="145" t="inlineStr">
        <is>
          <t>Aptos</t>
        </is>
      </c>
      <c r="H1449" s="145" t="n">
        <v>8</v>
      </c>
      <c r="I1449" s="145" t="inlineStr">
        <is>
          <t>No</t>
        </is>
      </c>
      <c r="J1449" s="145" t="inlineStr">
        <is>
          <t>No</t>
        </is>
      </c>
      <c r="K1449" s="145" t="inlineStr">
        <is>
          <t>None</t>
        </is>
      </c>
      <c r="L1449" s="145" t="inlineStr">
        <is>
          <t>#000000</t>
        </is>
      </c>
      <c r="M1449" s="145" t="inlineStr">
        <is>
          <t>General</t>
        </is>
      </c>
      <c r="N1449" s="145" t="inlineStr">
        <is>
          <t>Center</t>
        </is>
      </c>
      <c r="O1449" s="145" t="inlineStr">
        <is>
          <t>No</t>
        </is>
      </c>
      <c r="P1449" s="145" t="inlineStr">
        <is>
          <t>General</t>
        </is>
      </c>
      <c r="Q1449" s="145" t="inlineStr">
        <is>
          <t>General</t>
        </is>
      </c>
      <c r="R1449" s="145" t="n"/>
      <c r="S1449" s="145" t="n"/>
      <c r="T1449" s="145" t="n"/>
      <c r="U1449" s="145" t="n"/>
      <c r="V1449" s="145" t="n"/>
      <c r="W1449" s="145" t="n"/>
      <c r="X1449" s="145" t="inlineStr">
        <is>
          <t>Detailed format sample from top five used rows</t>
        </is>
      </c>
    </row>
    <row r="1450" ht="23.85" customHeight="1" s="79">
      <c r="A1450" s="145" t="inlineStr">
        <is>
          <t>GM_TNA</t>
        </is>
      </c>
      <c r="B1450" s="145" t="inlineStr">
        <is>
          <t>Top-Row Cell Format</t>
        </is>
      </c>
      <c r="C1450" s="145" t="inlineStr">
        <is>
          <t>R5</t>
        </is>
      </c>
      <c r="D1450" s="145" t="inlineStr">
        <is>
          <t>GM_TNA!A1:Z373</t>
        </is>
      </c>
      <c r="E1450" s="145" t="inlineStr">
        <is>
          <t>Normal</t>
        </is>
      </c>
      <c r="F1450" s="145" t="n"/>
      <c r="G1450" s="145" t="inlineStr">
        <is>
          <t>Aptos</t>
        </is>
      </c>
      <c r="H1450" s="145" t="n">
        <v>8</v>
      </c>
      <c r="I1450" s="145" t="inlineStr">
        <is>
          <t>No</t>
        </is>
      </c>
      <c r="J1450" s="145" t="inlineStr">
        <is>
          <t>No</t>
        </is>
      </c>
      <c r="K1450" s="145" t="inlineStr">
        <is>
          <t>None</t>
        </is>
      </c>
      <c r="L1450" s="145" t="inlineStr">
        <is>
          <t>#000000</t>
        </is>
      </c>
      <c r="M1450" s="145" t="inlineStr">
        <is>
          <t>General</t>
        </is>
      </c>
      <c r="N1450" s="145" t="inlineStr">
        <is>
          <t>Center</t>
        </is>
      </c>
      <c r="O1450" s="145" t="inlineStr">
        <is>
          <t>No</t>
        </is>
      </c>
      <c r="P1450" s="145" t="inlineStr">
        <is>
          <t>General</t>
        </is>
      </c>
      <c r="Q1450" s="145" t="inlineStr">
        <is>
          <t>General</t>
        </is>
      </c>
      <c r="R1450" s="145" t="n"/>
      <c r="S1450" s="145" t="n"/>
      <c r="T1450" s="145" t="n"/>
      <c r="U1450" s="145" t="n"/>
      <c r="V1450" s="145" t="n"/>
      <c r="W1450" s="145" t="n"/>
      <c r="X1450" s="145" t="inlineStr">
        <is>
          <t>Detailed format sample from top five used rows</t>
        </is>
      </c>
    </row>
    <row r="1451" ht="23.85" customHeight="1" s="79">
      <c r="A1451" s="145" t="inlineStr">
        <is>
          <t>GM_TNA</t>
        </is>
      </c>
      <c r="B1451" s="145" t="inlineStr">
        <is>
          <t>Column Format</t>
        </is>
      </c>
      <c r="C1451" s="145" t="inlineStr">
        <is>
          <t>S:S</t>
        </is>
      </c>
      <c r="D1451" s="145" t="inlineStr">
        <is>
          <t>GM_TNA!A1:Z373</t>
        </is>
      </c>
      <c r="E1451" s="145" t="inlineStr">
        <is>
          <t>Mixed</t>
        </is>
      </c>
      <c r="F1451" s="145" t="inlineStr">
        <is>
          <t>Mixed</t>
        </is>
      </c>
      <c r="G1451" s="145" t="inlineStr">
        <is>
          <t>Aptos</t>
        </is>
      </c>
      <c r="H1451" s="145" t="n">
        <v>8</v>
      </c>
      <c r="I1451" s="145" t="inlineStr">
        <is>
          <t>Mixed</t>
        </is>
      </c>
      <c r="J1451" s="145" t="inlineStr">
        <is>
          <t>No</t>
        </is>
      </c>
      <c r="K1451" s="145" t="inlineStr">
        <is>
          <t>None</t>
        </is>
      </c>
      <c r="L1451" s="145" t="inlineStr">
        <is>
          <t>Mixed</t>
        </is>
      </c>
      <c r="M1451" s="145" t="inlineStr">
        <is>
          <t>General</t>
        </is>
      </c>
      <c r="N1451" s="145" t="inlineStr">
        <is>
          <t>Center</t>
        </is>
      </c>
      <c r="O1451" s="145" t="inlineStr">
        <is>
          <t>No</t>
        </is>
      </c>
      <c r="P1451" s="145" t="n"/>
      <c r="Q1451" s="145" t="n"/>
      <c r="R1451" s="145" t="n"/>
      <c r="S1451" s="145" t="n">
        <v>54.8059701492537</v>
      </c>
      <c r="T1451" s="145" t="n"/>
      <c r="U1451" s="145" t="inlineStr">
        <is>
          <t>No</t>
        </is>
      </c>
      <c r="V1451" s="145" t="inlineStr">
        <is>
          <t>Visible</t>
        </is>
      </c>
      <c r="W1451" s="145" t="n"/>
      <c r="X1451" s="145" t="inlineStr">
        <is>
          <t>Mixed styles within used column</t>
        </is>
      </c>
    </row>
    <row r="1452" ht="23.85" customHeight="1" s="79">
      <c r="A1452" s="145" t="inlineStr">
        <is>
          <t>GM_TNA</t>
        </is>
      </c>
      <c r="B1452" s="145" t="inlineStr">
        <is>
          <t>Top-Row Cell Format</t>
        </is>
      </c>
      <c r="C1452" s="145" t="inlineStr">
        <is>
          <t>S1</t>
        </is>
      </c>
      <c r="D1452" s="145" t="inlineStr">
        <is>
          <t>GM_TNA!A1:Z373</t>
        </is>
      </c>
      <c r="E1452" s="145" t="inlineStr">
        <is>
          <t>Normal</t>
        </is>
      </c>
      <c r="F1452" s="145" t="inlineStr">
        <is>
          <t>#FFC000</t>
        </is>
      </c>
      <c r="G1452" s="145" t="inlineStr">
        <is>
          <t>Aptos</t>
        </is>
      </c>
      <c r="H1452" s="145" t="n">
        <v>8</v>
      </c>
      <c r="I1452" s="145" t="inlineStr">
        <is>
          <t>Yes</t>
        </is>
      </c>
      <c r="J1452" s="145" t="inlineStr">
        <is>
          <t>No</t>
        </is>
      </c>
      <c r="K1452" s="145" t="inlineStr">
        <is>
          <t>None</t>
        </is>
      </c>
      <c r="L1452" s="145" t="inlineStr">
        <is>
          <t>#FFFFFF</t>
        </is>
      </c>
      <c r="M1452" s="145" t="inlineStr">
        <is>
          <t>General</t>
        </is>
      </c>
      <c r="N1452" s="145" t="inlineStr">
        <is>
          <t>Center</t>
        </is>
      </c>
      <c r="O1452" s="145" t="inlineStr">
        <is>
          <t>No</t>
        </is>
      </c>
      <c r="P1452" s="145" t="inlineStr">
        <is>
          <t>General</t>
        </is>
      </c>
      <c r="Q1452" s="145" t="inlineStr">
        <is>
          <t>General</t>
        </is>
      </c>
      <c r="R1452" s="145" t="n"/>
      <c r="S1452" s="145" t="n"/>
      <c r="T1452" s="145" t="n"/>
      <c r="U1452" s="145" t="n"/>
      <c r="V1452" s="145" t="n"/>
      <c r="W1452" s="145" t="n"/>
      <c r="X1452" s="145" t="inlineStr">
        <is>
          <t>Detailed format sample from top five used rows</t>
        </is>
      </c>
    </row>
    <row r="1453" ht="35.05" customHeight="1" s="79">
      <c r="A1453" s="145" t="inlineStr">
        <is>
          <t>GM_TNA</t>
        </is>
      </c>
      <c r="B1453" s="145" t="inlineStr">
        <is>
          <t>Top-Row Cell Format</t>
        </is>
      </c>
      <c r="C1453" s="145" t="inlineStr">
        <is>
          <t>S2</t>
        </is>
      </c>
      <c r="D1453" s="145" t="inlineStr">
        <is>
          <t>GM_TNA!A1:Z373</t>
        </is>
      </c>
      <c r="E1453" s="145" t="inlineStr">
        <is>
          <t>Comma</t>
        </is>
      </c>
      <c r="F1453" s="145" t="n"/>
      <c r="G1453" s="145" t="inlineStr">
        <is>
          <t>Aptos</t>
        </is>
      </c>
      <c r="H1453" s="145" t="n">
        <v>8</v>
      </c>
      <c r="I1453" s="145" t="inlineStr">
        <is>
          <t>No</t>
        </is>
      </c>
      <c r="J1453" s="145" t="inlineStr">
        <is>
          <t>No</t>
        </is>
      </c>
      <c r="K1453" s="145" t="inlineStr">
        <is>
          <t>None</t>
        </is>
      </c>
      <c r="L1453" s="145" t="inlineStr">
        <is>
          <t>#000000</t>
        </is>
      </c>
      <c r="M1453" s="145" t="inlineStr">
        <is>
          <t>General</t>
        </is>
      </c>
      <c r="N1453" s="145" t="inlineStr">
        <is>
          <t>Center</t>
        </is>
      </c>
      <c r="O1453" s="145" t="inlineStr">
        <is>
          <t>No</t>
        </is>
      </c>
      <c r="P1453" s="145" t="inlineStr">
        <is>
          <t xml:space="preserve">_ * #,##0.00_ ;_ * -#,##0.00_ ;_ * "-"??_ ;_ @_ </t>
        </is>
      </c>
      <c r="Q1453" s="145" t="inlineStr">
        <is>
          <t>Text</t>
        </is>
      </c>
      <c r="R1453" s="145" t="n"/>
      <c r="S1453" s="145" t="n"/>
      <c r="T1453" s="145" t="n"/>
      <c r="U1453" s="145" t="n"/>
      <c r="V1453" s="145" t="n"/>
      <c r="W1453" s="145" t="n"/>
      <c r="X1453" s="145" t="inlineStr">
        <is>
          <t>Detailed format sample from top five used rows</t>
        </is>
      </c>
    </row>
    <row r="1454" ht="35.05" customHeight="1" s="79">
      <c r="A1454" s="145" t="inlineStr">
        <is>
          <t>GM_TNA</t>
        </is>
      </c>
      <c r="B1454" s="145" t="inlineStr">
        <is>
          <t>Top-Row Cell Format</t>
        </is>
      </c>
      <c r="C1454" s="145" t="inlineStr">
        <is>
          <t>S3</t>
        </is>
      </c>
      <c r="D1454" s="145" t="inlineStr">
        <is>
          <t>GM_TNA!A1:Z373</t>
        </is>
      </c>
      <c r="E1454" s="145" t="inlineStr">
        <is>
          <t>Comma</t>
        </is>
      </c>
      <c r="F1454" s="145" t="n"/>
      <c r="G1454" s="145" t="inlineStr">
        <is>
          <t>Aptos</t>
        </is>
      </c>
      <c r="H1454" s="145" t="n">
        <v>8</v>
      </c>
      <c r="I1454" s="145" t="inlineStr">
        <is>
          <t>No</t>
        </is>
      </c>
      <c r="J1454" s="145" t="inlineStr">
        <is>
          <t>No</t>
        </is>
      </c>
      <c r="K1454" s="145" t="inlineStr">
        <is>
          <t>None</t>
        </is>
      </c>
      <c r="L1454" s="145" t="inlineStr">
        <is>
          <t>#000000</t>
        </is>
      </c>
      <c r="M1454" s="145" t="inlineStr">
        <is>
          <t>General</t>
        </is>
      </c>
      <c r="N1454" s="145" t="inlineStr">
        <is>
          <t>Center</t>
        </is>
      </c>
      <c r="O1454" s="145" t="inlineStr">
        <is>
          <t>No</t>
        </is>
      </c>
      <c r="P1454" s="145" t="inlineStr">
        <is>
          <t xml:space="preserve">_ * #,##0.00_ ;_ * -#,##0.00_ ;_ * "-"??_ ;_ @_ </t>
        </is>
      </c>
      <c r="Q1454" s="145" t="inlineStr">
        <is>
          <t>Text</t>
        </is>
      </c>
      <c r="R1454" s="145" t="n"/>
      <c r="S1454" s="145" t="n"/>
      <c r="T1454" s="145" t="n"/>
      <c r="U1454" s="145" t="n"/>
      <c r="V1454" s="145" t="n"/>
      <c r="W1454" s="145" t="n"/>
      <c r="X1454" s="145" t="inlineStr">
        <is>
          <t>Detailed format sample from top five used rows</t>
        </is>
      </c>
    </row>
    <row r="1455" ht="35.05" customHeight="1" s="79">
      <c r="A1455" s="145" t="inlineStr">
        <is>
          <t>GM_TNA</t>
        </is>
      </c>
      <c r="B1455" s="145" t="inlineStr">
        <is>
          <t>Top-Row Cell Format</t>
        </is>
      </c>
      <c r="C1455" s="145" t="inlineStr">
        <is>
          <t>S4</t>
        </is>
      </c>
      <c r="D1455" s="145" t="inlineStr">
        <is>
          <t>GM_TNA!A1:Z373</t>
        </is>
      </c>
      <c r="E1455" s="145" t="inlineStr">
        <is>
          <t>Comma</t>
        </is>
      </c>
      <c r="F1455" s="145" t="n"/>
      <c r="G1455" s="145" t="inlineStr">
        <is>
          <t>Aptos</t>
        </is>
      </c>
      <c r="H1455" s="145" t="n">
        <v>8</v>
      </c>
      <c r="I1455" s="145" t="inlineStr">
        <is>
          <t>No</t>
        </is>
      </c>
      <c r="J1455" s="145" t="inlineStr">
        <is>
          <t>No</t>
        </is>
      </c>
      <c r="K1455" s="145" t="inlineStr">
        <is>
          <t>None</t>
        </is>
      </c>
      <c r="L1455" s="145" t="inlineStr">
        <is>
          <t>#000000</t>
        </is>
      </c>
      <c r="M1455" s="145" t="inlineStr">
        <is>
          <t>General</t>
        </is>
      </c>
      <c r="N1455" s="145" t="inlineStr">
        <is>
          <t>Center</t>
        </is>
      </c>
      <c r="O1455" s="145" t="inlineStr">
        <is>
          <t>No</t>
        </is>
      </c>
      <c r="P1455" s="145" t="inlineStr">
        <is>
          <t xml:space="preserve">_ * #,##0.00_ ;_ * -#,##0.00_ ;_ * "-"??_ ;_ @_ </t>
        </is>
      </c>
      <c r="Q1455" s="145" t="inlineStr">
        <is>
          <t>Text</t>
        </is>
      </c>
      <c r="R1455" s="145" t="n"/>
      <c r="S1455" s="145" t="n"/>
      <c r="T1455" s="145" t="n"/>
      <c r="U1455" s="145" t="n"/>
      <c r="V1455" s="145" t="n"/>
      <c r="W1455" s="145" t="n"/>
      <c r="X1455" s="145" t="inlineStr">
        <is>
          <t>Detailed format sample from top five used rows</t>
        </is>
      </c>
    </row>
    <row r="1456" ht="35.05" customHeight="1" s="79">
      <c r="A1456" s="145" t="inlineStr">
        <is>
          <t>GM_TNA</t>
        </is>
      </c>
      <c r="B1456" s="145" t="inlineStr">
        <is>
          <t>Top-Row Cell Format</t>
        </is>
      </c>
      <c r="C1456" s="145" t="inlineStr">
        <is>
          <t>S5</t>
        </is>
      </c>
      <c r="D1456" s="145" t="inlineStr">
        <is>
          <t>GM_TNA!A1:Z373</t>
        </is>
      </c>
      <c r="E1456" s="145" t="inlineStr">
        <is>
          <t>Comma</t>
        </is>
      </c>
      <c r="F1456" s="145" t="n"/>
      <c r="G1456" s="145" t="inlineStr">
        <is>
          <t>Aptos</t>
        </is>
      </c>
      <c r="H1456" s="145" t="n">
        <v>8</v>
      </c>
      <c r="I1456" s="145" t="inlineStr">
        <is>
          <t>No</t>
        </is>
      </c>
      <c r="J1456" s="145" t="inlineStr">
        <is>
          <t>No</t>
        </is>
      </c>
      <c r="K1456" s="145" t="inlineStr">
        <is>
          <t>None</t>
        </is>
      </c>
      <c r="L1456" s="145" t="inlineStr">
        <is>
          <t>#000000</t>
        </is>
      </c>
      <c r="M1456" s="145" t="inlineStr">
        <is>
          <t>General</t>
        </is>
      </c>
      <c r="N1456" s="145" t="inlineStr">
        <is>
          <t>Center</t>
        </is>
      </c>
      <c r="O1456" s="145" t="inlineStr">
        <is>
          <t>No</t>
        </is>
      </c>
      <c r="P1456" s="145" t="inlineStr">
        <is>
          <t xml:space="preserve">_ * #,##0.00_ ;_ * -#,##0.00_ ;_ * "-"??_ ;_ @_ </t>
        </is>
      </c>
      <c r="Q1456" s="145" t="inlineStr">
        <is>
          <t>Text</t>
        </is>
      </c>
      <c r="R1456" s="145" t="n"/>
      <c r="S1456" s="145" t="n"/>
      <c r="T1456" s="145" t="n"/>
      <c r="U1456" s="145" t="n"/>
      <c r="V1456" s="145" t="n"/>
      <c r="W1456" s="145" t="n"/>
      <c r="X1456" s="145" t="inlineStr">
        <is>
          <t>Detailed format sample from top five used rows</t>
        </is>
      </c>
    </row>
    <row r="1457" ht="23.85" customHeight="1" s="79">
      <c r="A1457" s="145" t="inlineStr">
        <is>
          <t>GM_TNA</t>
        </is>
      </c>
      <c r="B1457" s="145" t="inlineStr">
        <is>
          <t>Column Format</t>
        </is>
      </c>
      <c r="C1457" s="145" t="inlineStr">
        <is>
          <t>T:T</t>
        </is>
      </c>
      <c r="D1457" s="145" t="inlineStr">
        <is>
          <t>GM_TNA!A1:Z373</t>
        </is>
      </c>
      <c r="E1457" s="145" t="inlineStr">
        <is>
          <t>Mixed</t>
        </is>
      </c>
      <c r="F1457" s="145" t="inlineStr">
        <is>
          <t>Mixed</t>
        </is>
      </c>
      <c r="G1457" s="145" t="inlineStr">
        <is>
          <t>Aptos</t>
        </is>
      </c>
      <c r="H1457" s="145" t="n">
        <v>8</v>
      </c>
      <c r="I1457" s="145" t="inlineStr">
        <is>
          <t>Mixed</t>
        </is>
      </c>
      <c r="J1457" s="145" t="inlineStr">
        <is>
          <t>No</t>
        </is>
      </c>
      <c r="K1457" s="145" t="inlineStr">
        <is>
          <t>None</t>
        </is>
      </c>
      <c r="L1457" s="145" t="inlineStr">
        <is>
          <t>Mixed</t>
        </is>
      </c>
      <c r="M1457" s="145" t="inlineStr">
        <is>
          <t>General</t>
        </is>
      </c>
      <c r="N1457" s="145" t="inlineStr">
        <is>
          <t>Center</t>
        </is>
      </c>
      <c r="O1457" s="145" t="inlineStr">
        <is>
          <t>No</t>
        </is>
      </c>
      <c r="P1457" s="145" t="n"/>
      <c r="Q1457" s="145" t="n"/>
      <c r="R1457" s="145" t="n"/>
      <c r="S1457" s="145" t="n">
        <v>52.1194029850746</v>
      </c>
      <c r="T1457" s="145" t="n"/>
      <c r="U1457" s="145" t="inlineStr">
        <is>
          <t>No</t>
        </is>
      </c>
      <c r="V1457" s="145" t="inlineStr">
        <is>
          <t>Visible</t>
        </is>
      </c>
      <c r="W1457" s="145" t="n"/>
      <c r="X1457" s="145" t="inlineStr">
        <is>
          <t>Mixed styles within used column</t>
        </is>
      </c>
    </row>
    <row r="1458" ht="23.85" customHeight="1" s="79">
      <c r="A1458" s="145" t="inlineStr">
        <is>
          <t>GM_TNA</t>
        </is>
      </c>
      <c r="B1458" s="145" t="inlineStr">
        <is>
          <t>Top-Row Cell Format</t>
        </is>
      </c>
      <c r="C1458" s="145" t="inlineStr">
        <is>
          <t>T1</t>
        </is>
      </c>
      <c r="D1458" s="145" t="inlineStr">
        <is>
          <t>GM_TNA!A1:Z373</t>
        </is>
      </c>
      <c r="E1458" s="145" t="inlineStr">
        <is>
          <t>Normal</t>
        </is>
      </c>
      <c r="F1458" s="145" t="inlineStr">
        <is>
          <t>#FFC000</t>
        </is>
      </c>
      <c r="G1458" s="145" t="inlineStr">
        <is>
          <t>Aptos</t>
        </is>
      </c>
      <c r="H1458" s="145" t="n">
        <v>8</v>
      </c>
      <c r="I1458" s="145" t="inlineStr">
        <is>
          <t>Yes</t>
        </is>
      </c>
      <c r="J1458" s="145" t="inlineStr">
        <is>
          <t>No</t>
        </is>
      </c>
      <c r="K1458" s="145" t="inlineStr">
        <is>
          <t>None</t>
        </is>
      </c>
      <c r="L1458" s="145" t="inlineStr">
        <is>
          <t>#FFFFFF</t>
        </is>
      </c>
      <c r="M1458" s="145" t="inlineStr">
        <is>
          <t>General</t>
        </is>
      </c>
      <c r="N1458" s="145" t="inlineStr">
        <is>
          <t>Center</t>
        </is>
      </c>
      <c r="O1458" s="145" t="inlineStr">
        <is>
          <t>No</t>
        </is>
      </c>
      <c r="P1458" s="145" t="inlineStr">
        <is>
          <t>General</t>
        </is>
      </c>
      <c r="Q1458" s="145" t="inlineStr">
        <is>
          <t>General</t>
        </is>
      </c>
      <c r="R1458" s="145" t="n"/>
      <c r="S1458" s="145" t="n"/>
      <c r="T1458" s="145" t="n"/>
      <c r="U1458" s="145" t="n"/>
      <c r="V1458" s="145" t="n"/>
      <c r="W1458" s="145" t="n"/>
      <c r="X1458" s="145" t="inlineStr">
        <is>
          <t>Detailed format sample from top five used rows</t>
        </is>
      </c>
    </row>
    <row r="1459" ht="35.05" customHeight="1" s="79">
      <c r="A1459" s="145" t="inlineStr">
        <is>
          <t>GM_TNA</t>
        </is>
      </c>
      <c r="B1459" s="145" t="inlineStr">
        <is>
          <t>Top-Row Cell Format</t>
        </is>
      </c>
      <c r="C1459" s="145" t="inlineStr">
        <is>
          <t>T2</t>
        </is>
      </c>
      <c r="D1459" s="145" t="inlineStr">
        <is>
          <t>GM_TNA!A1:Z373</t>
        </is>
      </c>
      <c r="E1459" s="145" t="inlineStr">
        <is>
          <t>Comma</t>
        </is>
      </c>
      <c r="F1459" s="145" t="n"/>
      <c r="G1459" s="145" t="inlineStr">
        <is>
          <t>Aptos</t>
        </is>
      </c>
      <c r="H1459" s="145" t="n">
        <v>8</v>
      </c>
      <c r="I1459" s="145" t="inlineStr">
        <is>
          <t>No</t>
        </is>
      </c>
      <c r="J1459" s="145" t="inlineStr">
        <is>
          <t>No</t>
        </is>
      </c>
      <c r="K1459" s="145" t="inlineStr">
        <is>
          <t>None</t>
        </is>
      </c>
      <c r="L1459" s="145" t="inlineStr">
        <is>
          <t>#000000</t>
        </is>
      </c>
      <c r="M1459" s="145" t="inlineStr">
        <is>
          <t>General</t>
        </is>
      </c>
      <c r="N1459" s="145" t="inlineStr">
        <is>
          <t>Center</t>
        </is>
      </c>
      <c r="O1459" s="145" t="inlineStr">
        <is>
          <t>No</t>
        </is>
      </c>
      <c r="P1459" s="145" t="inlineStr">
        <is>
          <t xml:space="preserve">_ * #,##0.00_ ;_ * -#,##0.00_ ;_ * "-"??_ ;_ @_ </t>
        </is>
      </c>
      <c r="Q1459" s="145" t="inlineStr">
        <is>
          <t>Text</t>
        </is>
      </c>
      <c r="R1459" s="145" t="n"/>
      <c r="S1459" s="145" t="n"/>
      <c r="T1459" s="145" t="n"/>
      <c r="U1459" s="145" t="n"/>
      <c r="V1459" s="145" t="n"/>
      <c r="W1459" s="145" t="n"/>
      <c r="X1459" s="145" t="inlineStr">
        <is>
          <t>Detailed format sample from top five used rows</t>
        </is>
      </c>
    </row>
    <row r="1460" ht="35.05" customHeight="1" s="79">
      <c r="A1460" s="145" t="inlineStr">
        <is>
          <t>GM_TNA</t>
        </is>
      </c>
      <c r="B1460" s="145" t="inlineStr">
        <is>
          <t>Top-Row Cell Format</t>
        </is>
      </c>
      <c r="C1460" s="145" t="inlineStr">
        <is>
          <t>T3</t>
        </is>
      </c>
      <c r="D1460" s="145" t="inlineStr">
        <is>
          <t>GM_TNA!A1:Z373</t>
        </is>
      </c>
      <c r="E1460" s="145" t="inlineStr">
        <is>
          <t>Comma</t>
        </is>
      </c>
      <c r="F1460" s="145" t="n"/>
      <c r="G1460" s="145" t="inlineStr">
        <is>
          <t>Aptos</t>
        </is>
      </c>
      <c r="H1460" s="145" t="n">
        <v>8</v>
      </c>
      <c r="I1460" s="145" t="inlineStr">
        <is>
          <t>No</t>
        </is>
      </c>
      <c r="J1460" s="145" t="inlineStr">
        <is>
          <t>No</t>
        </is>
      </c>
      <c r="K1460" s="145" t="inlineStr">
        <is>
          <t>None</t>
        </is>
      </c>
      <c r="L1460" s="145" t="inlineStr">
        <is>
          <t>#000000</t>
        </is>
      </c>
      <c r="M1460" s="145" t="inlineStr">
        <is>
          <t>General</t>
        </is>
      </c>
      <c r="N1460" s="145" t="inlineStr">
        <is>
          <t>Center</t>
        </is>
      </c>
      <c r="O1460" s="145" t="inlineStr">
        <is>
          <t>No</t>
        </is>
      </c>
      <c r="P1460" s="145" t="inlineStr">
        <is>
          <t xml:space="preserve">_ * #,##0.00_ ;_ * -#,##0.00_ ;_ * "-"??_ ;_ @_ </t>
        </is>
      </c>
      <c r="Q1460" s="145" t="inlineStr">
        <is>
          <t>Text</t>
        </is>
      </c>
      <c r="R1460" s="145" t="n"/>
      <c r="S1460" s="145" t="n"/>
      <c r="T1460" s="145" t="n"/>
      <c r="U1460" s="145" t="n"/>
      <c r="V1460" s="145" t="n"/>
      <c r="W1460" s="145" t="n"/>
      <c r="X1460" s="145" t="inlineStr">
        <is>
          <t>Detailed format sample from top five used rows</t>
        </is>
      </c>
    </row>
    <row r="1461" ht="35.05" customHeight="1" s="79">
      <c r="A1461" s="145" t="inlineStr">
        <is>
          <t>GM_TNA</t>
        </is>
      </c>
      <c r="B1461" s="145" t="inlineStr">
        <is>
          <t>Top-Row Cell Format</t>
        </is>
      </c>
      <c r="C1461" s="145" t="inlineStr">
        <is>
          <t>T4</t>
        </is>
      </c>
      <c r="D1461" s="145" t="inlineStr">
        <is>
          <t>GM_TNA!A1:Z373</t>
        </is>
      </c>
      <c r="E1461" s="145" t="inlineStr">
        <is>
          <t>Comma</t>
        </is>
      </c>
      <c r="F1461" s="145" t="n"/>
      <c r="G1461" s="145" t="inlineStr">
        <is>
          <t>Aptos</t>
        </is>
      </c>
      <c r="H1461" s="145" t="n">
        <v>8</v>
      </c>
      <c r="I1461" s="145" t="inlineStr">
        <is>
          <t>No</t>
        </is>
      </c>
      <c r="J1461" s="145" t="inlineStr">
        <is>
          <t>No</t>
        </is>
      </c>
      <c r="K1461" s="145" t="inlineStr">
        <is>
          <t>None</t>
        </is>
      </c>
      <c r="L1461" s="145" t="inlineStr">
        <is>
          <t>#000000</t>
        </is>
      </c>
      <c r="M1461" s="145" t="inlineStr">
        <is>
          <t>General</t>
        </is>
      </c>
      <c r="N1461" s="145" t="inlineStr">
        <is>
          <t>Center</t>
        </is>
      </c>
      <c r="O1461" s="145" t="inlineStr">
        <is>
          <t>No</t>
        </is>
      </c>
      <c r="P1461" s="145" t="inlineStr">
        <is>
          <t xml:space="preserve">_ * #,##0.00_ ;_ * -#,##0.00_ ;_ * "-"??_ ;_ @_ </t>
        </is>
      </c>
      <c r="Q1461" s="145" t="inlineStr">
        <is>
          <t>Text</t>
        </is>
      </c>
      <c r="R1461" s="145" t="n"/>
      <c r="S1461" s="145" t="n"/>
      <c r="T1461" s="145" t="n"/>
      <c r="U1461" s="145" t="n"/>
      <c r="V1461" s="145" t="n"/>
      <c r="W1461" s="145" t="n"/>
      <c r="X1461" s="145" t="inlineStr">
        <is>
          <t>Detailed format sample from top five used rows</t>
        </is>
      </c>
    </row>
    <row r="1462" ht="35.05" customHeight="1" s="79">
      <c r="A1462" s="145" t="inlineStr">
        <is>
          <t>GM_TNA</t>
        </is>
      </c>
      <c r="B1462" s="145" t="inlineStr">
        <is>
          <t>Top-Row Cell Format</t>
        </is>
      </c>
      <c r="C1462" s="145" t="inlineStr">
        <is>
          <t>T5</t>
        </is>
      </c>
      <c r="D1462" s="145" t="inlineStr">
        <is>
          <t>GM_TNA!A1:Z373</t>
        </is>
      </c>
      <c r="E1462" s="145" t="inlineStr">
        <is>
          <t>Comma</t>
        </is>
      </c>
      <c r="F1462" s="145" t="n"/>
      <c r="G1462" s="145" t="inlineStr">
        <is>
          <t>Aptos</t>
        </is>
      </c>
      <c r="H1462" s="145" t="n">
        <v>8</v>
      </c>
      <c r="I1462" s="145" t="inlineStr">
        <is>
          <t>No</t>
        </is>
      </c>
      <c r="J1462" s="145" t="inlineStr">
        <is>
          <t>No</t>
        </is>
      </c>
      <c r="K1462" s="145" t="inlineStr">
        <is>
          <t>None</t>
        </is>
      </c>
      <c r="L1462" s="145" t="inlineStr">
        <is>
          <t>#000000</t>
        </is>
      </c>
      <c r="M1462" s="145" t="inlineStr">
        <is>
          <t>General</t>
        </is>
      </c>
      <c r="N1462" s="145" t="inlineStr">
        <is>
          <t>Center</t>
        </is>
      </c>
      <c r="O1462" s="145" t="inlineStr">
        <is>
          <t>No</t>
        </is>
      </c>
      <c r="P1462" s="145" t="inlineStr">
        <is>
          <t xml:space="preserve">_ * #,##0.00_ ;_ * -#,##0.00_ ;_ * "-"??_ ;_ @_ </t>
        </is>
      </c>
      <c r="Q1462" s="145" t="inlineStr">
        <is>
          <t>Text</t>
        </is>
      </c>
      <c r="R1462" s="145" t="n"/>
      <c r="S1462" s="145" t="n"/>
      <c r="T1462" s="145" t="n"/>
      <c r="U1462" s="145" t="n"/>
      <c r="V1462" s="145" t="n"/>
      <c r="W1462" s="145" t="n"/>
      <c r="X1462" s="145" t="inlineStr">
        <is>
          <t>Detailed format sample from top five used rows</t>
        </is>
      </c>
    </row>
    <row r="1463" ht="23.85" customHeight="1" s="79">
      <c r="A1463" s="145" t="inlineStr">
        <is>
          <t>GM_TNA</t>
        </is>
      </c>
      <c r="B1463" s="145" t="inlineStr">
        <is>
          <t>Column Format</t>
        </is>
      </c>
      <c r="C1463" s="145" t="inlineStr">
        <is>
          <t>U:U</t>
        </is>
      </c>
      <c r="D1463" s="145" t="inlineStr">
        <is>
          <t>GM_TNA!A1:Z373</t>
        </is>
      </c>
      <c r="E1463" s="145" t="inlineStr">
        <is>
          <t>Normal</t>
        </is>
      </c>
      <c r="F1463" s="145" t="inlineStr">
        <is>
          <t>Mixed</t>
        </is>
      </c>
      <c r="G1463" s="145" t="inlineStr">
        <is>
          <t>Aptos</t>
        </is>
      </c>
      <c r="H1463" s="145" t="n">
        <v>8</v>
      </c>
      <c r="I1463" s="145" t="inlineStr">
        <is>
          <t>Mixed</t>
        </is>
      </c>
      <c r="J1463" s="145" t="inlineStr">
        <is>
          <t>No</t>
        </is>
      </c>
      <c r="K1463" s="145" t="inlineStr">
        <is>
          <t>None</t>
        </is>
      </c>
      <c r="L1463" s="145" t="inlineStr">
        <is>
          <t>Mixed</t>
        </is>
      </c>
      <c r="M1463" s="145" t="inlineStr">
        <is>
          <t>General</t>
        </is>
      </c>
      <c r="N1463" s="145" t="inlineStr">
        <is>
          <t>Center</t>
        </is>
      </c>
      <c r="O1463" s="145" t="inlineStr">
        <is>
          <t>No</t>
        </is>
      </c>
      <c r="P1463" s="145" t="n"/>
      <c r="Q1463" s="145" t="n"/>
      <c r="R1463" s="145" t="n"/>
      <c r="S1463" s="145" t="n">
        <v>51.044776119403</v>
      </c>
      <c r="T1463" s="145" t="n"/>
      <c r="U1463" s="145" t="inlineStr">
        <is>
          <t>No</t>
        </is>
      </c>
      <c r="V1463" s="145" t="inlineStr">
        <is>
          <t>Visible</t>
        </is>
      </c>
      <c r="W1463" s="145" t="n"/>
      <c r="X1463" s="145" t="inlineStr">
        <is>
          <t>Mixed styles within used column</t>
        </is>
      </c>
    </row>
    <row r="1464" ht="23.85" customHeight="1" s="79">
      <c r="A1464" s="145" t="inlineStr">
        <is>
          <t>GM_TNA</t>
        </is>
      </c>
      <c r="B1464" s="145" t="inlineStr">
        <is>
          <t>Top-Row Cell Format</t>
        </is>
      </c>
      <c r="C1464" s="145" t="inlineStr">
        <is>
          <t>U1</t>
        </is>
      </c>
      <c r="D1464" s="145" t="inlineStr">
        <is>
          <t>GM_TNA!A1:Z373</t>
        </is>
      </c>
      <c r="E1464" s="145" t="inlineStr">
        <is>
          <t>Normal</t>
        </is>
      </c>
      <c r="F1464" s="145" t="inlineStr">
        <is>
          <t>#FFC000</t>
        </is>
      </c>
      <c r="G1464" s="145" t="inlineStr">
        <is>
          <t>Aptos</t>
        </is>
      </c>
      <c r="H1464" s="145" t="n">
        <v>8</v>
      </c>
      <c r="I1464" s="145" t="inlineStr">
        <is>
          <t>Yes</t>
        </is>
      </c>
      <c r="J1464" s="145" t="inlineStr">
        <is>
          <t>No</t>
        </is>
      </c>
      <c r="K1464" s="145" t="inlineStr">
        <is>
          <t>None</t>
        </is>
      </c>
      <c r="L1464" s="145" t="inlineStr">
        <is>
          <t>#FFFFFF</t>
        </is>
      </c>
      <c r="M1464" s="145" t="inlineStr">
        <is>
          <t>General</t>
        </is>
      </c>
      <c r="N1464" s="145" t="inlineStr">
        <is>
          <t>Center</t>
        </is>
      </c>
      <c r="O1464" s="145" t="inlineStr">
        <is>
          <t>No</t>
        </is>
      </c>
      <c r="P1464" s="145" t="inlineStr">
        <is>
          <t>General</t>
        </is>
      </c>
      <c r="Q1464" s="145" t="inlineStr">
        <is>
          <t>General</t>
        </is>
      </c>
      <c r="R1464" s="145" t="n"/>
      <c r="S1464" s="145" t="n"/>
      <c r="T1464" s="145" t="n"/>
      <c r="U1464" s="145" t="n"/>
      <c r="V1464" s="145" t="n"/>
      <c r="W1464" s="145" t="n"/>
      <c r="X1464" s="145" t="inlineStr">
        <is>
          <t>Detailed format sample from top five used rows</t>
        </is>
      </c>
    </row>
    <row r="1465" ht="23.85" customHeight="1" s="79">
      <c r="A1465" s="145" t="inlineStr">
        <is>
          <t>GM_TNA</t>
        </is>
      </c>
      <c r="B1465" s="145" t="inlineStr">
        <is>
          <t>Top-Row Cell Format</t>
        </is>
      </c>
      <c r="C1465" s="145" t="inlineStr">
        <is>
          <t>U2</t>
        </is>
      </c>
      <c r="D1465" s="145" t="inlineStr">
        <is>
          <t>GM_TNA!A1:Z373</t>
        </is>
      </c>
      <c r="E1465" s="145" t="inlineStr">
        <is>
          <t>Normal</t>
        </is>
      </c>
      <c r="F1465" s="145" t="n"/>
      <c r="G1465" s="145" t="inlineStr">
        <is>
          <t>Aptos</t>
        </is>
      </c>
      <c r="H1465" s="145" t="n">
        <v>8</v>
      </c>
      <c r="I1465" s="145" t="inlineStr">
        <is>
          <t>No</t>
        </is>
      </c>
      <c r="J1465" s="145" t="inlineStr">
        <is>
          <t>No</t>
        </is>
      </c>
      <c r="K1465" s="145" t="inlineStr">
        <is>
          <t>None</t>
        </is>
      </c>
      <c r="L1465" s="145" t="inlineStr">
        <is>
          <t>#000000</t>
        </is>
      </c>
      <c r="M1465" s="145" t="inlineStr">
        <is>
          <t>General</t>
        </is>
      </c>
      <c r="N1465" s="145" t="inlineStr">
        <is>
          <t>Center</t>
        </is>
      </c>
      <c r="O1465" s="145" t="inlineStr">
        <is>
          <t>No</t>
        </is>
      </c>
      <c r="P1465" s="145" t="inlineStr">
        <is>
          <t>General</t>
        </is>
      </c>
      <c r="Q1465" s="145" t="inlineStr">
        <is>
          <t>General</t>
        </is>
      </c>
      <c r="R1465" s="145" t="n"/>
      <c r="S1465" s="145" t="n"/>
      <c r="T1465" s="145" t="n"/>
      <c r="U1465" s="145" t="n"/>
      <c r="V1465" s="145" t="n"/>
      <c r="W1465" s="145" t="n"/>
      <c r="X1465" s="145" t="inlineStr">
        <is>
          <t>Detailed format sample from top five used rows</t>
        </is>
      </c>
    </row>
    <row r="1466" ht="23.85" customHeight="1" s="79">
      <c r="A1466" s="145" t="inlineStr">
        <is>
          <t>GM_TNA</t>
        </is>
      </c>
      <c r="B1466" s="145" t="inlineStr">
        <is>
          <t>Top-Row Cell Format</t>
        </is>
      </c>
      <c r="C1466" s="145" t="inlineStr">
        <is>
          <t>U3</t>
        </is>
      </c>
      <c r="D1466" s="145" t="inlineStr">
        <is>
          <t>GM_TNA!A1:Z373</t>
        </is>
      </c>
      <c r="E1466" s="145" t="inlineStr">
        <is>
          <t>Normal</t>
        </is>
      </c>
      <c r="F1466" s="145" t="n"/>
      <c r="G1466" s="145" t="inlineStr">
        <is>
          <t>Aptos</t>
        </is>
      </c>
      <c r="H1466" s="145" t="n">
        <v>8</v>
      </c>
      <c r="I1466" s="145" t="inlineStr">
        <is>
          <t>No</t>
        </is>
      </c>
      <c r="J1466" s="145" t="inlineStr">
        <is>
          <t>No</t>
        </is>
      </c>
      <c r="K1466" s="145" t="inlineStr">
        <is>
          <t>None</t>
        </is>
      </c>
      <c r="L1466" s="145" t="inlineStr">
        <is>
          <t>#000000</t>
        </is>
      </c>
      <c r="M1466" s="145" t="inlineStr">
        <is>
          <t>General</t>
        </is>
      </c>
      <c r="N1466" s="145" t="inlineStr">
        <is>
          <t>Center</t>
        </is>
      </c>
      <c r="O1466" s="145" t="inlineStr">
        <is>
          <t>No</t>
        </is>
      </c>
      <c r="P1466" s="145" t="inlineStr">
        <is>
          <t>General</t>
        </is>
      </c>
      <c r="Q1466" s="145" t="inlineStr">
        <is>
          <t>General</t>
        </is>
      </c>
      <c r="R1466" s="145" t="n"/>
      <c r="S1466" s="145" t="n"/>
      <c r="T1466" s="145" t="n"/>
      <c r="U1466" s="145" t="n"/>
      <c r="V1466" s="145" t="n"/>
      <c r="W1466" s="145" t="n"/>
      <c r="X1466" s="145" t="inlineStr">
        <is>
          <t>Detailed format sample from top five used rows</t>
        </is>
      </c>
    </row>
    <row r="1467" ht="23.85" customHeight="1" s="79">
      <c r="A1467" s="145" t="inlineStr">
        <is>
          <t>GM_TNA</t>
        </is>
      </c>
      <c r="B1467" s="145" t="inlineStr">
        <is>
          <t>Top-Row Cell Format</t>
        </is>
      </c>
      <c r="C1467" s="145" t="inlineStr">
        <is>
          <t>U4</t>
        </is>
      </c>
      <c r="D1467" s="145" t="inlineStr">
        <is>
          <t>GM_TNA!A1:Z373</t>
        </is>
      </c>
      <c r="E1467" s="145" t="inlineStr">
        <is>
          <t>Normal</t>
        </is>
      </c>
      <c r="F1467" s="145" t="n"/>
      <c r="G1467" s="145" t="inlineStr">
        <is>
          <t>Aptos</t>
        </is>
      </c>
      <c r="H1467" s="145" t="n">
        <v>8</v>
      </c>
      <c r="I1467" s="145" t="inlineStr">
        <is>
          <t>No</t>
        </is>
      </c>
      <c r="J1467" s="145" t="inlineStr">
        <is>
          <t>No</t>
        </is>
      </c>
      <c r="K1467" s="145" t="inlineStr">
        <is>
          <t>None</t>
        </is>
      </c>
      <c r="L1467" s="145" t="inlineStr">
        <is>
          <t>#000000</t>
        </is>
      </c>
      <c r="M1467" s="145" t="inlineStr">
        <is>
          <t>General</t>
        </is>
      </c>
      <c r="N1467" s="145" t="inlineStr">
        <is>
          <t>Center</t>
        </is>
      </c>
      <c r="O1467" s="145" t="inlineStr">
        <is>
          <t>No</t>
        </is>
      </c>
      <c r="P1467" s="145" t="inlineStr">
        <is>
          <t>General</t>
        </is>
      </c>
      <c r="Q1467" s="145" t="inlineStr">
        <is>
          <t>General</t>
        </is>
      </c>
      <c r="R1467" s="145" t="n"/>
      <c r="S1467" s="145" t="n"/>
      <c r="T1467" s="145" t="n"/>
      <c r="U1467" s="145" t="n"/>
      <c r="V1467" s="145" t="n"/>
      <c r="W1467" s="145" t="n"/>
      <c r="X1467" s="145" t="inlineStr">
        <is>
          <t>Detailed format sample from top five used rows</t>
        </is>
      </c>
    </row>
    <row r="1468" ht="23.85" customHeight="1" s="79">
      <c r="A1468" s="145" t="inlineStr">
        <is>
          <t>GM_TNA</t>
        </is>
      </c>
      <c r="B1468" s="145" t="inlineStr">
        <is>
          <t>Top-Row Cell Format</t>
        </is>
      </c>
      <c r="C1468" s="145" t="inlineStr">
        <is>
          <t>U5</t>
        </is>
      </c>
      <c r="D1468" s="145" t="inlineStr">
        <is>
          <t>GM_TNA!A1:Z373</t>
        </is>
      </c>
      <c r="E1468" s="145" t="inlineStr">
        <is>
          <t>Normal</t>
        </is>
      </c>
      <c r="F1468" s="145" t="n"/>
      <c r="G1468" s="145" t="inlineStr">
        <is>
          <t>Aptos</t>
        </is>
      </c>
      <c r="H1468" s="145" t="n">
        <v>8</v>
      </c>
      <c r="I1468" s="145" t="inlineStr">
        <is>
          <t>No</t>
        </is>
      </c>
      <c r="J1468" s="145" t="inlineStr">
        <is>
          <t>No</t>
        </is>
      </c>
      <c r="K1468" s="145" t="inlineStr">
        <is>
          <t>None</t>
        </is>
      </c>
      <c r="L1468" s="145" t="inlineStr">
        <is>
          <t>#000000</t>
        </is>
      </c>
      <c r="M1468" s="145" t="inlineStr">
        <is>
          <t>General</t>
        </is>
      </c>
      <c r="N1468" s="145" t="inlineStr">
        <is>
          <t>Center</t>
        </is>
      </c>
      <c r="O1468" s="145" t="inlineStr">
        <is>
          <t>No</t>
        </is>
      </c>
      <c r="P1468" s="145" t="inlineStr">
        <is>
          <t>General</t>
        </is>
      </c>
      <c r="Q1468" s="145" t="inlineStr">
        <is>
          <t>General</t>
        </is>
      </c>
      <c r="R1468" s="145" t="n"/>
      <c r="S1468" s="145" t="n"/>
      <c r="T1468" s="145" t="n"/>
      <c r="U1468" s="145" t="n"/>
      <c r="V1468" s="145" t="n"/>
      <c r="W1468" s="145" t="n"/>
      <c r="X1468" s="145" t="inlineStr">
        <is>
          <t>Detailed format sample from top five used rows</t>
        </is>
      </c>
    </row>
    <row r="1469" ht="23.85" customHeight="1" s="79">
      <c r="A1469" s="145" t="inlineStr">
        <is>
          <t>GM_TNA</t>
        </is>
      </c>
      <c r="B1469" s="145" t="inlineStr">
        <is>
          <t>Column Format</t>
        </is>
      </c>
      <c r="C1469" s="145" t="inlineStr">
        <is>
          <t>V:V</t>
        </is>
      </c>
      <c r="D1469" s="145" t="inlineStr">
        <is>
          <t>GM_TNA!A1:Z373</t>
        </is>
      </c>
      <c r="E1469" s="145" t="inlineStr">
        <is>
          <t>Normal</t>
        </is>
      </c>
      <c r="F1469" s="145" t="inlineStr">
        <is>
          <t>Mixed</t>
        </is>
      </c>
      <c r="G1469" s="145" t="inlineStr">
        <is>
          <t>Aptos</t>
        </is>
      </c>
      <c r="H1469" s="145" t="n">
        <v>8</v>
      </c>
      <c r="I1469" s="145" t="inlineStr">
        <is>
          <t>Mixed</t>
        </is>
      </c>
      <c r="J1469" s="145" t="inlineStr">
        <is>
          <t>No</t>
        </is>
      </c>
      <c r="K1469" s="145" t="inlineStr">
        <is>
          <t>None</t>
        </is>
      </c>
      <c r="L1469" s="145" t="inlineStr">
        <is>
          <t>Mixed</t>
        </is>
      </c>
      <c r="M1469" s="145" t="inlineStr">
        <is>
          <t>Mixed</t>
        </is>
      </c>
      <c r="N1469" s="145" t="inlineStr">
        <is>
          <t>Center</t>
        </is>
      </c>
      <c r="O1469" s="145" t="inlineStr">
        <is>
          <t>No</t>
        </is>
      </c>
      <c r="P1469" s="145" t="n"/>
      <c r="Q1469" s="145" t="n"/>
      <c r="R1469" s="145" t="n"/>
      <c r="S1469" s="145" t="n">
        <v>106.388059701493</v>
      </c>
      <c r="T1469" s="145" t="n"/>
      <c r="U1469" s="145" t="inlineStr">
        <is>
          <t>No</t>
        </is>
      </c>
      <c r="V1469" s="145" t="inlineStr">
        <is>
          <t>Visible</t>
        </is>
      </c>
      <c r="W1469" s="145" t="n"/>
      <c r="X1469" s="145" t="inlineStr">
        <is>
          <t>Mixed styles within used column</t>
        </is>
      </c>
    </row>
    <row r="1470" ht="23.85" customHeight="1" s="79">
      <c r="A1470" s="145" t="inlineStr">
        <is>
          <t>GM_TNA</t>
        </is>
      </c>
      <c r="B1470" s="145" t="inlineStr">
        <is>
          <t>Top-Row Cell Format</t>
        </is>
      </c>
      <c r="C1470" s="145" t="inlineStr">
        <is>
          <t>V1</t>
        </is>
      </c>
      <c r="D1470" s="145" t="inlineStr">
        <is>
          <t>GM_TNA!A1:Z373</t>
        </is>
      </c>
      <c r="E1470" s="145" t="inlineStr">
        <is>
          <t>Normal</t>
        </is>
      </c>
      <c r="F1470" s="145" t="inlineStr">
        <is>
          <t>#BF8F00</t>
        </is>
      </c>
      <c r="G1470" s="145" t="inlineStr">
        <is>
          <t>Aptos</t>
        </is>
      </c>
      <c r="H1470" s="145" t="n">
        <v>8</v>
      </c>
      <c r="I1470" s="145" t="inlineStr">
        <is>
          <t>Yes</t>
        </is>
      </c>
      <c r="J1470" s="145" t="inlineStr">
        <is>
          <t>No</t>
        </is>
      </c>
      <c r="K1470" s="145" t="inlineStr">
        <is>
          <t>None</t>
        </is>
      </c>
      <c r="L1470" s="145" t="inlineStr">
        <is>
          <t>#FFFFFF</t>
        </is>
      </c>
      <c r="M1470" s="145" t="inlineStr">
        <is>
          <t>Center</t>
        </is>
      </c>
      <c r="N1470" s="145" t="inlineStr">
        <is>
          <t>Center</t>
        </is>
      </c>
      <c r="O1470" s="145" t="inlineStr">
        <is>
          <t>No</t>
        </is>
      </c>
      <c r="P1470" s="145" t="inlineStr">
        <is>
          <t>General</t>
        </is>
      </c>
      <c r="Q1470" s="145" t="inlineStr">
        <is>
          <t>General</t>
        </is>
      </c>
      <c r="R1470" s="145" t="n"/>
      <c r="S1470" s="145" t="n"/>
      <c r="T1470" s="145" t="n"/>
      <c r="U1470" s="145" t="n"/>
      <c r="V1470" s="145" t="n"/>
      <c r="W1470" s="145" t="n"/>
      <c r="X1470" s="145" t="inlineStr">
        <is>
          <t>Detailed format sample from top five used rows</t>
        </is>
      </c>
    </row>
    <row r="1471" ht="23.85" customHeight="1" s="79">
      <c r="A1471" s="145" t="inlineStr">
        <is>
          <t>GM_TNA</t>
        </is>
      </c>
      <c r="B1471" s="145" t="inlineStr">
        <is>
          <t>Top-Row Cell Format</t>
        </is>
      </c>
      <c r="C1471" s="145" t="inlineStr">
        <is>
          <t>V2</t>
        </is>
      </c>
      <c r="D1471" s="145" t="inlineStr">
        <is>
          <t>GM_TNA!A1:Z373</t>
        </is>
      </c>
      <c r="E1471" s="145" t="inlineStr">
        <is>
          <t>Normal</t>
        </is>
      </c>
      <c r="F1471" s="145" t="n"/>
      <c r="G1471" s="145" t="inlineStr">
        <is>
          <t>Aptos</t>
        </is>
      </c>
      <c r="H1471" s="145" t="n">
        <v>8</v>
      </c>
      <c r="I1471" s="145" t="inlineStr">
        <is>
          <t>No</t>
        </is>
      </c>
      <c r="J1471" s="145" t="inlineStr">
        <is>
          <t>No</t>
        </is>
      </c>
      <c r="K1471" s="145" t="inlineStr">
        <is>
          <t>None</t>
        </is>
      </c>
      <c r="L1471" s="145" t="inlineStr">
        <is>
          <t>#000000</t>
        </is>
      </c>
      <c r="M1471" s="145" t="inlineStr">
        <is>
          <t>General</t>
        </is>
      </c>
      <c r="N1471" s="145" t="inlineStr">
        <is>
          <t>Center</t>
        </is>
      </c>
      <c r="O1471" s="145" t="inlineStr">
        <is>
          <t>No</t>
        </is>
      </c>
      <c r="P1471" s="145" t="inlineStr">
        <is>
          <t>General</t>
        </is>
      </c>
      <c r="Q1471" s="145" t="inlineStr">
        <is>
          <t>General</t>
        </is>
      </c>
      <c r="R1471" s="145" t="n"/>
      <c r="S1471" s="145" t="n"/>
      <c r="T1471" s="145" t="n"/>
      <c r="U1471" s="145" t="n"/>
      <c r="V1471" s="145" t="n"/>
      <c r="W1471" s="145" t="n"/>
      <c r="X1471" s="145" t="inlineStr">
        <is>
          <t>Detailed format sample from top five used rows</t>
        </is>
      </c>
    </row>
    <row r="1472" ht="23.85" customHeight="1" s="79">
      <c r="A1472" s="145" t="inlineStr">
        <is>
          <t>GM_TNA</t>
        </is>
      </c>
      <c r="B1472" s="145" t="inlineStr">
        <is>
          <t>Top-Row Cell Format</t>
        </is>
      </c>
      <c r="C1472" s="145" t="inlineStr">
        <is>
          <t>V3</t>
        </is>
      </c>
      <c r="D1472" s="145" t="inlineStr">
        <is>
          <t>GM_TNA!A1:Z373</t>
        </is>
      </c>
      <c r="E1472" s="145" t="inlineStr">
        <is>
          <t>Normal</t>
        </is>
      </c>
      <c r="F1472" s="145" t="n"/>
      <c r="G1472" s="145" t="inlineStr">
        <is>
          <t>Aptos</t>
        </is>
      </c>
      <c r="H1472" s="145" t="n">
        <v>8</v>
      </c>
      <c r="I1472" s="145" t="inlineStr">
        <is>
          <t>No</t>
        </is>
      </c>
      <c r="J1472" s="145" t="inlineStr">
        <is>
          <t>No</t>
        </is>
      </c>
      <c r="K1472" s="145" t="inlineStr">
        <is>
          <t>None</t>
        </is>
      </c>
      <c r="L1472" s="145" t="inlineStr">
        <is>
          <t>#000000</t>
        </is>
      </c>
      <c r="M1472" s="145" t="inlineStr">
        <is>
          <t>General</t>
        </is>
      </c>
      <c r="N1472" s="145" t="inlineStr">
        <is>
          <t>Center</t>
        </is>
      </c>
      <c r="O1472" s="145" t="inlineStr">
        <is>
          <t>No</t>
        </is>
      </c>
      <c r="P1472" s="145" t="inlineStr">
        <is>
          <t>General</t>
        </is>
      </c>
      <c r="Q1472" s="145" t="inlineStr">
        <is>
          <t>General</t>
        </is>
      </c>
      <c r="R1472" s="145" t="n"/>
      <c r="S1472" s="145" t="n"/>
      <c r="T1472" s="145" t="n"/>
      <c r="U1472" s="145" t="n"/>
      <c r="V1472" s="145" t="n"/>
      <c r="W1472" s="145" t="n"/>
      <c r="X1472" s="145" t="inlineStr">
        <is>
          <t>Detailed format sample from top five used rows</t>
        </is>
      </c>
    </row>
    <row r="1473" ht="23.85" customHeight="1" s="79">
      <c r="A1473" s="145" t="inlineStr">
        <is>
          <t>GM_TNA</t>
        </is>
      </c>
      <c r="B1473" s="145" t="inlineStr">
        <is>
          <t>Top-Row Cell Format</t>
        </is>
      </c>
      <c r="C1473" s="145" t="inlineStr">
        <is>
          <t>V4</t>
        </is>
      </c>
      <c r="D1473" s="145" t="inlineStr">
        <is>
          <t>GM_TNA!A1:Z373</t>
        </is>
      </c>
      <c r="E1473" s="145" t="inlineStr">
        <is>
          <t>Normal</t>
        </is>
      </c>
      <c r="F1473" s="145" t="n"/>
      <c r="G1473" s="145" t="inlineStr">
        <is>
          <t>Aptos</t>
        </is>
      </c>
      <c r="H1473" s="145" t="n">
        <v>8</v>
      </c>
      <c r="I1473" s="145" t="inlineStr">
        <is>
          <t>No</t>
        </is>
      </c>
      <c r="J1473" s="145" t="inlineStr">
        <is>
          <t>No</t>
        </is>
      </c>
      <c r="K1473" s="145" t="inlineStr">
        <is>
          <t>None</t>
        </is>
      </c>
      <c r="L1473" s="145" t="inlineStr">
        <is>
          <t>#000000</t>
        </is>
      </c>
      <c r="M1473" s="145" t="inlineStr">
        <is>
          <t>General</t>
        </is>
      </c>
      <c r="N1473" s="145" t="inlineStr">
        <is>
          <t>Center</t>
        </is>
      </c>
      <c r="O1473" s="145" t="inlineStr">
        <is>
          <t>No</t>
        </is>
      </c>
      <c r="P1473" s="145" t="inlineStr">
        <is>
          <t>General</t>
        </is>
      </c>
      <c r="Q1473" s="145" t="inlineStr">
        <is>
          <t>General</t>
        </is>
      </c>
      <c r="R1473" s="145" t="n"/>
      <c r="S1473" s="145" t="n"/>
      <c r="T1473" s="145" t="n"/>
      <c r="U1473" s="145" t="n"/>
      <c r="V1473" s="145" t="n"/>
      <c r="W1473" s="145" t="n"/>
      <c r="X1473" s="145" t="inlineStr">
        <is>
          <t>Detailed format sample from top five used rows</t>
        </is>
      </c>
    </row>
    <row r="1474" ht="23.85" customHeight="1" s="79">
      <c r="A1474" s="145" t="inlineStr">
        <is>
          <t>GM_TNA</t>
        </is>
      </c>
      <c r="B1474" s="145" t="inlineStr">
        <is>
          <t>Top-Row Cell Format</t>
        </is>
      </c>
      <c r="C1474" s="145" t="inlineStr">
        <is>
          <t>V5</t>
        </is>
      </c>
      <c r="D1474" s="145" t="inlineStr">
        <is>
          <t>GM_TNA!A1:Z373</t>
        </is>
      </c>
      <c r="E1474" s="145" t="inlineStr">
        <is>
          <t>Normal</t>
        </is>
      </c>
      <c r="F1474" s="145" t="n"/>
      <c r="G1474" s="145" t="inlineStr">
        <is>
          <t>Aptos</t>
        </is>
      </c>
      <c r="H1474" s="145" t="n">
        <v>8</v>
      </c>
      <c r="I1474" s="145" t="inlineStr">
        <is>
          <t>No</t>
        </is>
      </c>
      <c r="J1474" s="145" t="inlineStr">
        <is>
          <t>No</t>
        </is>
      </c>
      <c r="K1474" s="145" t="inlineStr">
        <is>
          <t>None</t>
        </is>
      </c>
      <c r="L1474" s="145" t="inlineStr">
        <is>
          <t>#000000</t>
        </is>
      </c>
      <c r="M1474" s="145" t="inlineStr">
        <is>
          <t>General</t>
        </is>
      </c>
      <c r="N1474" s="145" t="inlineStr">
        <is>
          <t>Center</t>
        </is>
      </c>
      <c r="O1474" s="145" t="inlineStr">
        <is>
          <t>No</t>
        </is>
      </c>
      <c r="P1474" s="145" t="inlineStr">
        <is>
          <t>General</t>
        </is>
      </c>
      <c r="Q1474" s="145" t="inlineStr">
        <is>
          <t>General</t>
        </is>
      </c>
      <c r="R1474" s="145" t="n"/>
      <c r="S1474" s="145" t="n"/>
      <c r="T1474" s="145" t="n"/>
      <c r="U1474" s="145" t="n"/>
      <c r="V1474" s="145" t="n"/>
      <c r="W1474" s="145" t="n"/>
      <c r="X1474" s="145" t="inlineStr">
        <is>
          <t>Detailed format sample from top five used rows</t>
        </is>
      </c>
    </row>
    <row r="1475" ht="23.85" customHeight="1" s="79">
      <c r="A1475" s="145" t="inlineStr">
        <is>
          <t>GM_TNA</t>
        </is>
      </c>
      <c r="B1475" s="145" t="inlineStr">
        <is>
          <t>Column Format</t>
        </is>
      </c>
      <c r="C1475" s="145" t="inlineStr">
        <is>
          <t>W:W</t>
        </is>
      </c>
      <c r="D1475" s="145" t="inlineStr">
        <is>
          <t>GM_TNA!A1:Z373</t>
        </is>
      </c>
      <c r="E1475" s="145" t="inlineStr">
        <is>
          <t>Normal</t>
        </is>
      </c>
      <c r="F1475" s="145" t="inlineStr">
        <is>
          <t>Mixed</t>
        </is>
      </c>
      <c r="G1475" s="145" t="inlineStr">
        <is>
          <t>Aptos</t>
        </is>
      </c>
      <c r="H1475" s="145" t="n">
        <v>8</v>
      </c>
      <c r="I1475" s="145" t="inlineStr">
        <is>
          <t>Mixed</t>
        </is>
      </c>
      <c r="J1475" s="145" t="inlineStr">
        <is>
          <t>No</t>
        </is>
      </c>
      <c r="K1475" s="145" t="inlineStr">
        <is>
          <t>None</t>
        </is>
      </c>
      <c r="L1475" s="145" t="inlineStr">
        <is>
          <t>Mixed</t>
        </is>
      </c>
      <c r="M1475" s="145" t="inlineStr">
        <is>
          <t>Mixed</t>
        </is>
      </c>
      <c r="N1475" s="145" t="inlineStr">
        <is>
          <t>Center</t>
        </is>
      </c>
      <c r="O1475" s="145" t="inlineStr">
        <is>
          <t>No</t>
        </is>
      </c>
      <c r="P1475" s="145" t="n"/>
      <c r="Q1475" s="145" t="n"/>
      <c r="R1475" s="145" t="n"/>
      <c r="S1475" s="145" t="n">
        <v>31.1641791044776</v>
      </c>
      <c r="T1475" s="145" t="n"/>
      <c r="U1475" s="145" t="inlineStr">
        <is>
          <t>No</t>
        </is>
      </c>
      <c r="V1475" s="145" t="inlineStr">
        <is>
          <t>Visible</t>
        </is>
      </c>
      <c r="W1475" s="145" t="n"/>
      <c r="X1475" s="145" t="inlineStr">
        <is>
          <t>Mixed styles within used column</t>
        </is>
      </c>
    </row>
    <row r="1476" ht="23.85" customHeight="1" s="79">
      <c r="A1476" s="145" t="inlineStr">
        <is>
          <t>GM_TNA</t>
        </is>
      </c>
      <c r="B1476" s="145" t="inlineStr">
        <is>
          <t>Top-Row Cell Format</t>
        </is>
      </c>
      <c r="C1476" s="145" t="inlineStr">
        <is>
          <t>W1</t>
        </is>
      </c>
      <c r="D1476" s="145" t="inlineStr">
        <is>
          <t>GM_TNA!A1:Z373</t>
        </is>
      </c>
      <c r="E1476" s="145" t="inlineStr">
        <is>
          <t>Normal</t>
        </is>
      </c>
      <c r="F1476" s="145" t="inlineStr">
        <is>
          <t>#BF8F00</t>
        </is>
      </c>
      <c r="G1476" s="145" t="inlineStr">
        <is>
          <t>Aptos</t>
        </is>
      </c>
      <c r="H1476" s="145" t="n">
        <v>8</v>
      </c>
      <c r="I1476" s="145" t="inlineStr">
        <is>
          <t>Yes</t>
        </is>
      </c>
      <c r="J1476" s="145" t="inlineStr">
        <is>
          <t>No</t>
        </is>
      </c>
      <c r="K1476" s="145" t="inlineStr">
        <is>
          <t>None</t>
        </is>
      </c>
      <c r="L1476" s="145" t="inlineStr">
        <is>
          <t>#FFFFFF</t>
        </is>
      </c>
      <c r="M1476" s="145" t="inlineStr">
        <is>
          <t>Center</t>
        </is>
      </c>
      <c r="N1476" s="145" t="inlineStr">
        <is>
          <t>Center</t>
        </is>
      </c>
      <c r="O1476" s="145" t="inlineStr">
        <is>
          <t>No</t>
        </is>
      </c>
      <c r="P1476" s="145" t="inlineStr">
        <is>
          <t>General</t>
        </is>
      </c>
      <c r="Q1476" s="145" t="inlineStr">
        <is>
          <t>General</t>
        </is>
      </c>
      <c r="R1476" s="145" t="n"/>
      <c r="S1476" s="145" t="n"/>
      <c r="T1476" s="145" t="n"/>
      <c r="U1476" s="145" t="n"/>
      <c r="V1476" s="145" t="n"/>
      <c r="W1476" s="145" t="n"/>
      <c r="X1476" s="145" t="inlineStr">
        <is>
          <t>Detailed format sample from top five used rows</t>
        </is>
      </c>
    </row>
    <row r="1477" ht="23.85" customHeight="1" s="79">
      <c r="A1477" s="145" t="inlineStr">
        <is>
          <t>GM_TNA</t>
        </is>
      </c>
      <c r="B1477" s="145" t="inlineStr">
        <is>
          <t>Top-Row Cell Format</t>
        </is>
      </c>
      <c r="C1477" s="145" t="inlineStr">
        <is>
          <t>W2</t>
        </is>
      </c>
      <c r="D1477" s="145" t="inlineStr">
        <is>
          <t>GM_TNA!A1:Z373</t>
        </is>
      </c>
      <c r="E1477" s="145" t="inlineStr">
        <is>
          <t>Normal</t>
        </is>
      </c>
      <c r="F1477" s="145" t="n"/>
      <c r="G1477" s="145" t="inlineStr">
        <is>
          <t>Aptos</t>
        </is>
      </c>
      <c r="H1477" s="145" t="n">
        <v>8</v>
      </c>
      <c r="I1477" s="145" t="inlineStr">
        <is>
          <t>No</t>
        </is>
      </c>
      <c r="J1477" s="145" t="inlineStr">
        <is>
          <t>No</t>
        </is>
      </c>
      <c r="K1477" s="145" t="inlineStr">
        <is>
          <t>None</t>
        </is>
      </c>
      <c r="L1477" s="145" t="inlineStr">
        <is>
          <t>#000000</t>
        </is>
      </c>
      <c r="M1477" s="145" t="inlineStr">
        <is>
          <t>General</t>
        </is>
      </c>
      <c r="N1477" s="145" t="inlineStr">
        <is>
          <t>Center</t>
        </is>
      </c>
      <c r="O1477" s="145" t="inlineStr">
        <is>
          <t>No</t>
        </is>
      </c>
      <c r="P1477" s="145" t="inlineStr">
        <is>
          <t>General</t>
        </is>
      </c>
      <c r="Q1477" s="145" t="inlineStr">
        <is>
          <t>General</t>
        </is>
      </c>
      <c r="R1477" s="145" t="n"/>
      <c r="S1477" s="145" t="n"/>
      <c r="T1477" s="145" t="n"/>
      <c r="U1477" s="145" t="n"/>
      <c r="V1477" s="145" t="n"/>
      <c r="W1477" s="145" t="n"/>
      <c r="X1477" s="145" t="inlineStr">
        <is>
          <t>Detailed format sample from top five used rows</t>
        </is>
      </c>
    </row>
    <row r="1478" ht="23.85" customHeight="1" s="79">
      <c r="A1478" s="145" t="inlineStr">
        <is>
          <t>GM_TNA</t>
        </is>
      </c>
      <c r="B1478" s="145" t="inlineStr">
        <is>
          <t>Top-Row Cell Format</t>
        </is>
      </c>
      <c r="C1478" s="145" t="inlineStr">
        <is>
          <t>W3</t>
        </is>
      </c>
      <c r="D1478" s="145" t="inlineStr">
        <is>
          <t>GM_TNA!A1:Z373</t>
        </is>
      </c>
      <c r="E1478" s="145" t="inlineStr">
        <is>
          <t>Normal</t>
        </is>
      </c>
      <c r="F1478" s="145" t="n"/>
      <c r="G1478" s="145" t="inlineStr">
        <is>
          <t>Aptos</t>
        </is>
      </c>
      <c r="H1478" s="145" t="n">
        <v>8</v>
      </c>
      <c r="I1478" s="145" t="inlineStr">
        <is>
          <t>No</t>
        </is>
      </c>
      <c r="J1478" s="145" t="inlineStr">
        <is>
          <t>No</t>
        </is>
      </c>
      <c r="K1478" s="145" t="inlineStr">
        <is>
          <t>None</t>
        </is>
      </c>
      <c r="L1478" s="145" t="inlineStr">
        <is>
          <t>#000000</t>
        </is>
      </c>
      <c r="M1478" s="145" t="inlineStr">
        <is>
          <t>General</t>
        </is>
      </c>
      <c r="N1478" s="145" t="inlineStr">
        <is>
          <t>Center</t>
        </is>
      </c>
      <c r="O1478" s="145" t="inlineStr">
        <is>
          <t>No</t>
        </is>
      </c>
      <c r="P1478" s="145" t="inlineStr">
        <is>
          <t>General</t>
        </is>
      </c>
      <c r="Q1478" s="145" t="inlineStr">
        <is>
          <t>General</t>
        </is>
      </c>
      <c r="R1478" s="145" t="n"/>
      <c r="S1478" s="145" t="n"/>
      <c r="T1478" s="145" t="n"/>
      <c r="U1478" s="145" t="n"/>
      <c r="V1478" s="145" t="n"/>
      <c r="W1478" s="145" t="n"/>
      <c r="X1478" s="145" t="inlineStr">
        <is>
          <t>Detailed format sample from top five used rows</t>
        </is>
      </c>
    </row>
    <row r="1479" ht="23.85" customHeight="1" s="79">
      <c r="A1479" s="145" t="inlineStr">
        <is>
          <t>GM_TNA</t>
        </is>
      </c>
      <c r="B1479" s="145" t="inlineStr">
        <is>
          <t>Top-Row Cell Format</t>
        </is>
      </c>
      <c r="C1479" s="145" t="inlineStr">
        <is>
          <t>W4</t>
        </is>
      </c>
      <c r="D1479" s="145" t="inlineStr">
        <is>
          <t>GM_TNA!A1:Z373</t>
        </is>
      </c>
      <c r="E1479" s="145" t="inlineStr">
        <is>
          <t>Normal</t>
        </is>
      </c>
      <c r="F1479" s="145" t="n"/>
      <c r="G1479" s="145" t="inlineStr">
        <is>
          <t>Aptos</t>
        </is>
      </c>
      <c r="H1479" s="145" t="n">
        <v>8</v>
      </c>
      <c r="I1479" s="145" t="inlineStr">
        <is>
          <t>No</t>
        </is>
      </c>
      <c r="J1479" s="145" t="inlineStr">
        <is>
          <t>No</t>
        </is>
      </c>
      <c r="K1479" s="145" t="inlineStr">
        <is>
          <t>None</t>
        </is>
      </c>
      <c r="L1479" s="145" t="inlineStr">
        <is>
          <t>#000000</t>
        </is>
      </c>
      <c r="M1479" s="145" t="inlineStr">
        <is>
          <t>General</t>
        </is>
      </c>
      <c r="N1479" s="145" t="inlineStr">
        <is>
          <t>Center</t>
        </is>
      </c>
      <c r="O1479" s="145" t="inlineStr">
        <is>
          <t>No</t>
        </is>
      </c>
      <c r="P1479" s="145" t="inlineStr">
        <is>
          <t>General</t>
        </is>
      </c>
      <c r="Q1479" s="145" t="inlineStr">
        <is>
          <t>General</t>
        </is>
      </c>
      <c r="R1479" s="145" t="n"/>
      <c r="S1479" s="145" t="n"/>
      <c r="T1479" s="145" t="n"/>
      <c r="U1479" s="145" t="n"/>
      <c r="V1479" s="145" t="n"/>
      <c r="W1479" s="145" t="n"/>
      <c r="X1479" s="145" t="inlineStr">
        <is>
          <t>Detailed format sample from top five used rows</t>
        </is>
      </c>
    </row>
    <row r="1480" ht="23.85" customHeight="1" s="79">
      <c r="A1480" s="145" t="inlineStr">
        <is>
          <t>GM_TNA</t>
        </is>
      </c>
      <c r="B1480" s="145" t="inlineStr">
        <is>
          <t>Top-Row Cell Format</t>
        </is>
      </c>
      <c r="C1480" s="145" t="inlineStr">
        <is>
          <t>W5</t>
        </is>
      </c>
      <c r="D1480" s="145" t="inlineStr">
        <is>
          <t>GM_TNA!A1:Z373</t>
        </is>
      </c>
      <c r="E1480" s="145" t="inlineStr">
        <is>
          <t>Normal</t>
        </is>
      </c>
      <c r="F1480" s="145" t="n"/>
      <c r="G1480" s="145" t="inlineStr">
        <is>
          <t>Aptos</t>
        </is>
      </c>
      <c r="H1480" s="145" t="n">
        <v>8</v>
      </c>
      <c r="I1480" s="145" t="inlineStr">
        <is>
          <t>No</t>
        </is>
      </c>
      <c r="J1480" s="145" t="inlineStr">
        <is>
          <t>No</t>
        </is>
      </c>
      <c r="K1480" s="145" t="inlineStr">
        <is>
          <t>None</t>
        </is>
      </c>
      <c r="L1480" s="145" t="inlineStr">
        <is>
          <t>#000000</t>
        </is>
      </c>
      <c r="M1480" s="145" t="inlineStr">
        <is>
          <t>General</t>
        </is>
      </c>
      <c r="N1480" s="145" t="inlineStr">
        <is>
          <t>Center</t>
        </is>
      </c>
      <c r="O1480" s="145" t="inlineStr">
        <is>
          <t>No</t>
        </is>
      </c>
      <c r="P1480" s="145" t="inlineStr">
        <is>
          <t>General</t>
        </is>
      </c>
      <c r="Q1480" s="145" t="inlineStr">
        <is>
          <t>General</t>
        </is>
      </c>
      <c r="R1480" s="145" t="n"/>
      <c r="S1480" s="145" t="n"/>
      <c r="T1480" s="145" t="n"/>
      <c r="U1480" s="145" t="n"/>
      <c r="V1480" s="145" t="n"/>
      <c r="W1480" s="145" t="n"/>
      <c r="X1480" s="145" t="inlineStr">
        <is>
          <t>Detailed format sample from top five used rows</t>
        </is>
      </c>
    </row>
    <row r="1481" ht="23.85" customHeight="1" s="79">
      <c r="A1481" s="145" t="inlineStr">
        <is>
          <t>GM_TNA</t>
        </is>
      </c>
      <c r="B1481" s="145" t="inlineStr">
        <is>
          <t>Column Format</t>
        </is>
      </c>
      <c r="C1481" s="145" t="inlineStr">
        <is>
          <t>X:X</t>
        </is>
      </c>
      <c r="D1481" s="145" t="inlineStr">
        <is>
          <t>GM_TNA!A1:Z373</t>
        </is>
      </c>
      <c r="E1481" s="145" t="inlineStr">
        <is>
          <t>Normal</t>
        </is>
      </c>
      <c r="F1481" s="145" t="inlineStr">
        <is>
          <t>Mixed</t>
        </is>
      </c>
      <c r="G1481" s="145" t="inlineStr">
        <is>
          <t>Aptos</t>
        </is>
      </c>
      <c r="H1481" s="145" t="n">
        <v>8</v>
      </c>
      <c r="I1481" s="145" t="inlineStr">
        <is>
          <t>Mixed</t>
        </is>
      </c>
      <c r="J1481" s="145" t="inlineStr">
        <is>
          <t>No</t>
        </is>
      </c>
      <c r="K1481" s="145" t="inlineStr">
        <is>
          <t>None</t>
        </is>
      </c>
      <c r="L1481" s="145" t="inlineStr">
        <is>
          <t>Mixed</t>
        </is>
      </c>
      <c r="M1481" s="145" t="inlineStr">
        <is>
          <t>Mixed</t>
        </is>
      </c>
      <c r="N1481" s="145" t="inlineStr">
        <is>
          <t>Center</t>
        </is>
      </c>
      <c r="O1481" s="145" t="inlineStr">
        <is>
          <t>No</t>
        </is>
      </c>
      <c r="P1481" s="145" t="n"/>
      <c r="Q1481" s="145" t="n"/>
      <c r="R1481" s="145" t="n"/>
      <c r="S1481" s="145" t="n">
        <v>38.6865671641791</v>
      </c>
      <c r="T1481" s="145" t="n"/>
      <c r="U1481" s="145" t="inlineStr">
        <is>
          <t>No</t>
        </is>
      </c>
      <c r="V1481" s="145" t="inlineStr">
        <is>
          <t>Visible</t>
        </is>
      </c>
      <c r="W1481" s="145" t="n"/>
      <c r="X1481" s="145" t="inlineStr">
        <is>
          <t>Mixed styles within used column</t>
        </is>
      </c>
    </row>
    <row r="1482" ht="23.85" customHeight="1" s="79">
      <c r="A1482" s="145" t="inlineStr">
        <is>
          <t>GM_TNA</t>
        </is>
      </c>
      <c r="B1482" s="145" t="inlineStr">
        <is>
          <t>Top-Row Cell Format</t>
        </is>
      </c>
      <c r="C1482" s="145" t="inlineStr">
        <is>
          <t>X1</t>
        </is>
      </c>
      <c r="D1482" s="145" t="inlineStr">
        <is>
          <t>GM_TNA!A1:Z373</t>
        </is>
      </c>
      <c r="E1482" s="145" t="inlineStr">
        <is>
          <t>Normal</t>
        </is>
      </c>
      <c r="F1482" s="145" t="inlineStr">
        <is>
          <t>#BF8F00</t>
        </is>
      </c>
      <c r="G1482" s="145" t="inlineStr">
        <is>
          <t>Aptos</t>
        </is>
      </c>
      <c r="H1482" s="145" t="n">
        <v>8</v>
      </c>
      <c r="I1482" s="145" t="inlineStr">
        <is>
          <t>Yes</t>
        </is>
      </c>
      <c r="J1482" s="145" t="inlineStr">
        <is>
          <t>No</t>
        </is>
      </c>
      <c r="K1482" s="145" t="inlineStr">
        <is>
          <t>None</t>
        </is>
      </c>
      <c r="L1482" s="145" t="inlineStr">
        <is>
          <t>#FFFFFF</t>
        </is>
      </c>
      <c r="M1482" s="145" t="inlineStr">
        <is>
          <t>Center</t>
        </is>
      </c>
      <c r="N1482" s="145" t="inlineStr">
        <is>
          <t>Center</t>
        </is>
      </c>
      <c r="O1482" s="145" t="inlineStr">
        <is>
          <t>No</t>
        </is>
      </c>
      <c r="P1482" s="145" t="inlineStr">
        <is>
          <t>General</t>
        </is>
      </c>
      <c r="Q1482" s="145" t="inlineStr">
        <is>
          <t>General</t>
        </is>
      </c>
      <c r="R1482" s="145" t="n"/>
      <c r="S1482" s="145" t="n"/>
      <c r="T1482" s="145" t="n"/>
      <c r="U1482" s="145" t="n"/>
      <c r="V1482" s="145" t="n"/>
      <c r="W1482" s="145" t="n"/>
      <c r="X1482" s="145" t="inlineStr">
        <is>
          <t>Detailed format sample from top five used rows</t>
        </is>
      </c>
    </row>
    <row r="1483" ht="23.85" customHeight="1" s="79">
      <c r="A1483" s="145" t="inlineStr">
        <is>
          <t>GM_TNA</t>
        </is>
      </c>
      <c r="B1483" s="145" t="inlineStr">
        <is>
          <t>Top-Row Cell Format</t>
        </is>
      </c>
      <c r="C1483" s="145" t="inlineStr">
        <is>
          <t>X2</t>
        </is>
      </c>
      <c r="D1483" s="145" t="inlineStr">
        <is>
          <t>GM_TNA!A1:Z373</t>
        </is>
      </c>
      <c r="E1483" s="145" t="inlineStr">
        <is>
          <t>Normal</t>
        </is>
      </c>
      <c r="F1483" s="145" t="n"/>
      <c r="G1483" s="145" t="inlineStr">
        <is>
          <t>Aptos</t>
        </is>
      </c>
      <c r="H1483" s="145" t="n">
        <v>8</v>
      </c>
      <c r="I1483" s="145" t="inlineStr">
        <is>
          <t>No</t>
        </is>
      </c>
      <c r="J1483" s="145" t="inlineStr">
        <is>
          <t>No</t>
        </is>
      </c>
      <c r="K1483" s="145" t="inlineStr">
        <is>
          <t>None</t>
        </is>
      </c>
      <c r="L1483" s="145" t="inlineStr">
        <is>
          <t>#000000</t>
        </is>
      </c>
      <c r="M1483" s="145" t="inlineStr">
        <is>
          <t>General</t>
        </is>
      </c>
      <c r="N1483" s="145" t="inlineStr">
        <is>
          <t>Center</t>
        </is>
      </c>
      <c r="O1483" s="145" t="inlineStr">
        <is>
          <t>No</t>
        </is>
      </c>
      <c r="P1483" s="145" t="inlineStr">
        <is>
          <t>General</t>
        </is>
      </c>
      <c r="Q1483" s="145" t="inlineStr">
        <is>
          <t>General</t>
        </is>
      </c>
      <c r="R1483" s="145" t="n"/>
      <c r="S1483" s="145" t="n"/>
      <c r="T1483" s="145" t="n"/>
      <c r="U1483" s="145" t="n"/>
      <c r="V1483" s="145" t="n"/>
      <c r="W1483" s="145" t="n"/>
      <c r="X1483" s="145" t="inlineStr">
        <is>
          <t>Detailed format sample from top five used rows</t>
        </is>
      </c>
    </row>
    <row r="1484" ht="23.85" customHeight="1" s="79">
      <c r="A1484" s="145" t="inlineStr">
        <is>
          <t>GM_TNA</t>
        </is>
      </c>
      <c r="B1484" s="145" t="inlineStr">
        <is>
          <t>Top-Row Cell Format</t>
        </is>
      </c>
      <c r="C1484" s="145" t="inlineStr">
        <is>
          <t>X3</t>
        </is>
      </c>
      <c r="D1484" s="145" t="inlineStr">
        <is>
          <t>GM_TNA!A1:Z373</t>
        </is>
      </c>
      <c r="E1484" s="145" t="inlineStr">
        <is>
          <t>Normal</t>
        </is>
      </c>
      <c r="F1484" s="145" t="n"/>
      <c r="G1484" s="145" t="inlineStr">
        <is>
          <t>Aptos</t>
        </is>
      </c>
      <c r="H1484" s="145" t="n">
        <v>8</v>
      </c>
      <c r="I1484" s="145" t="inlineStr">
        <is>
          <t>No</t>
        </is>
      </c>
      <c r="J1484" s="145" t="inlineStr">
        <is>
          <t>No</t>
        </is>
      </c>
      <c r="K1484" s="145" t="inlineStr">
        <is>
          <t>None</t>
        </is>
      </c>
      <c r="L1484" s="145" t="inlineStr">
        <is>
          <t>#000000</t>
        </is>
      </c>
      <c r="M1484" s="145" t="inlineStr">
        <is>
          <t>General</t>
        </is>
      </c>
      <c r="N1484" s="145" t="inlineStr">
        <is>
          <t>Center</t>
        </is>
      </c>
      <c r="O1484" s="145" t="inlineStr">
        <is>
          <t>No</t>
        </is>
      </c>
      <c r="P1484" s="145" t="inlineStr">
        <is>
          <t>General</t>
        </is>
      </c>
      <c r="Q1484" s="145" t="inlineStr">
        <is>
          <t>General</t>
        </is>
      </c>
      <c r="R1484" s="145" t="n"/>
      <c r="S1484" s="145" t="n"/>
      <c r="T1484" s="145" t="n"/>
      <c r="U1484" s="145" t="n"/>
      <c r="V1484" s="145" t="n"/>
      <c r="W1484" s="145" t="n"/>
      <c r="X1484" s="145" t="inlineStr">
        <is>
          <t>Detailed format sample from top five used rows</t>
        </is>
      </c>
    </row>
    <row r="1485" ht="23.85" customHeight="1" s="79">
      <c r="A1485" s="145" t="inlineStr">
        <is>
          <t>GM_TNA</t>
        </is>
      </c>
      <c r="B1485" s="145" t="inlineStr">
        <is>
          <t>Top-Row Cell Format</t>
        </is>
      </c>
      <c r="C1485" s="145" t="inlineStr">
        <is>
          <t>X4</t>
        </is>
      </c>
      <c r="D1485" s="145" t="inlineStr">
        <is>
          <t>GM_TNA!A1:Z373</t>
        </is>
      </c>
      <c r="E1485" s="145" t="inlineStr">
        <is>
          <t>Normal</t>
        </is>
      </c>
      <c r="F1485" s="145" t="n"/>
      <c r="G1485" s="145" t="inlineStr">
        <is>
          <t>Aptos</t>
        </is>
      </c>
      <c r="H1485" s="145" t="n">
        <v>8</v>
      </c>
      <c r="I1485" s="145" t="inlineStr">
        <is>
          <t>No</t>
        </is>
      </c>
      <c r="J1485" s="145" t="inlineStr">
        <is>
          <t>No</t>
        </is>
      </c>
      <c r="K1485" s="145" t="inlineStr">
        <is>
          <t>None</t>
        </is>
      </c>
      <c r="L1485" s="145" t="inlineStr">
        <is>
          <t>#000000</t>
        </is>
      </c>
      <c r="M1485" s="145" t="inlineStr">
        <is>
          <t>General</t>
        </is>
      </c>
      <c r="N1485" s="145" t="inlineStr">
        <is>
          <t>Center</t>
        </is>
      </c>
      <c r="O1485" s="145" t="inlineStr">
        <is>
          <t>No</t>
        </is>
      </c>
      <c r="P1485" s="145" t="inlineStr">
        <is>
          <t>General</t>
        </is>
      </c>
      <c r="Q1485" s="145" t="inlineStr">
        <is>
          <t>General</t>
        </is>
      </c>
      <c r="R1485" s="145" t="n"/>
      <c r="S1485" s="145" t="n"/>
      <c r="T1485" s="145" t="n"/>
      <c r="U1485" s="145" t="n"/>
      <c r="V1485" s="145" t="n"/>
      <c r="W1485" s="145" t="n"/>
      <c r="X1485" s="145" t="inlineStr">
        <is>
          <t>Detailed format sample from top five used rows</t>
        </is>
      </c>
    </row>
    <row r="1486" ht="23.85" customHeight="1" s="79">
      <c r="A1486" s="145" t="inlineStr">
        <is>
          <t>GM_TNA</t>
        </is>
      </c>
      <c r="B1486" s="145" t="inlineStr">
        <is>
          <t>Top-Row Cell Format</t>
        </is>
      </c>
      <c r="C1486" s="145" t="inlineStr">
        <is>
          <t>X5</t>
        </is>
      </c>
      <c r="D1486" s="145" t="inlineStr">
        <is>
          <t>GM_TNA!A1:Z373</t>
        </is>
      </c>
      <c r="E1486" s="145" t="inlineStr">
        <is>
          <t>Normal</t>
        </is>
      </c>
      <c r="F1486" s="145" t="n"/>
      <c r="G1486" s="145" t="inlineStr">
        <is>
          <t>Aptos</t>
        </is>
      </c>
      <c r="H1486" s="145" t="n">
        <v>8</v>
      </c>
      <c r="I1486" s="145" t="inlineStr">
        <is>
          <t>No</t>
        </is>
      </c>
      <c r="J1486" s="145" t="inlineStr">
        <is>
          <t>No</t>
        </is>
      </c>
      <c r="K1486" s="145" t="inlineStr">
        <is>
          <t>None</t>
        </is>
      </c>
      <c r="L1486" s="145" t="inlineStr">
        <is>
          <t>#000000</t>
        </is>
      </c>
      <c r="M1486" s="145" t="inlineStr">
        <is>
          <t>General</t>
        </is>
      </c>
      <c r="N1486" s="145" t="inlineStr">
        <is>
          <t>Center</t>
        </is>
      </c>
      <c r="O1486" s="145" t="inlineStr">
        <is>
          <t>No</t>
        </is>
      </c>
      <c r="P1486" s="145" t="inlineStr">
        <is>
          <t>General</t>
        </is>
      </c>
      <c r="Q1486" s="145" t="inlineStr">
        <is>
          <t>General</t>
        </is>
      </c>
      <c r="R1486" s="145" t="n"/>
      <c r="S1486" s="145" t="n"/>
      <c r="T1486" s="145" t="n"/>
      <c r="U1486" s="145" t="n"/>
      <c r="V1486" s="145" t="n"/>
      <c r="W1486" s="145" t="n"/>
      <c r="X1486" s="145" t="inlineStr">
        <is>
          <t>Detailed format sample from top five used rows</t>
        </is>
      </c>
    </row>
    <row r="1487" ht="23.85" customHeight="1" s="79">
      <c r="A1487" s="145" t="inlineStr">
        <is>
          <t>GM_TNA</t>
        </is>
      </c>
      <c r="B1487" s="145" t="inlineStr">
        <is>
          <t>Column Format</t>
        </is>
      </c>
      <c r="C1487" s="145" t="inlineStr">
        <is>
          <t>Y:Y</t>
        </is>
      </c>
      <c r="D1487" s="145" t="inlineStr">
        <is>
          <t>GM_TNA!A1:Z373</t>
        </is>
      </c>
      <c r="E1487" s="145" t="inlineStr">
        <is>
          <t>Normal</t>
        </is>
      </c>
      <c r="F1487" s="145" t="inlineStr">
        <is>
          <t>Mixed</t>
        </is>
      </c>
      <c r="G1487" s="145" t="inlineStr">
        <is>
          <t>Aptos</t>
        </is>
      </c>
      <c r="H1487" s="145" t="n">
        <v>8</v>
      </c>
      <c r="I1487" s="145" t="inlineStr">
        <is>
          <t>Mixed</t>
        </is>
      </c>
      <c r="J1487" s="145" t="inlineStr">
        <is>
          <t>No</t>
        </is>
      </c>
      <c r="K1487" s="145" t="inlineStr">
        <is>
          <t>None</t>
        </is>
      </c>
      <c r="L1487" s="145" t="inlineStr">
        <is>
          <t>Mixed</t>
        </is>
      </c>
      <c r="M1487" s="145" t="inlineStr">
        <is>
          <t>Mixed</t>
        </is>
      </c>
      <c r="N1487" s="145" t="inlineStr">
        <is>
          <t>Center</t>
        </is>
      </c>
      <c r="O1487" s="145" t="inlineStr">
        <is>
          <t>No</t>
        </is>
      </c>
      <c r="P1487" s="145" t="n"/>
      <c r="Q1487" s="145" t="n"/>
      <c r="R1487" s="145" t="n"/>
      <c r="S1487" s="145" t="n">
        <v>72.5373134328358</v>
      </c>
      <c r="T1487" s="145" t="n"/>
      <c r="U1487" s="145" t="inlineStr">
        <is>
          <t>No</t>
        </is>
      </c>
      <c r="V1487" s="145" t="inlineStr">
        <is>
          <t>Visible</t>
        </is>
      </c>
      <c r="W1487" s="145" t="n"/>
      <c r="X1487" s="145" t="inlineStr">
        <is>
          <t>Mixed styles within used column</t>
        </is>
      </c>
    </row>
    <row r="1488" ht="23.85" customHeight="1" s="79">
      <c r="A1488" s="145" t="inlineStr">
        <is>
          <t>GM_TNA</t>
        </is>
      </c>
      <c r="B1488" s="145" t="inlineStr">
        <is>
          <t>Top-Row Cell Format</t>
        </is>
      </c>
      <c r="C1488" s="145" t="inlineStr">
        <is>
          <t>Y1</t>
        </is>
      </c>
      <c r="D1488" s="145" t="inlineStr">
        <is>
          <t>GM_TNA!A1:Z373</t>
        </is>
      </c>
      <c r="E1488" s="145" t="inlineStr">
        <is>
          <t>Normal</t>
        </is>
      </c>
      <c r="F1488" s="145" t="inlineStr">
        <is>
          <t>#BF8F00</t>
        </is>
      </c>
      <c r="G1488" s="145" t="inlineStr">
        <is>
          <t>Aptos</t>
        </is>
      </c>
      <c r="H1488" s="145" t="n">
        <v>8</v>
      </c>
      <c r="I1488" s="145" t="inlineStr">
        <is>
          <t>Yes</t>
        </is>
      </c>
      <c r="J1488" s="145" t="inlineStr">
        <is>
          <t>No</t>
        </is>
      </c>
      <c r="K1488" s="145" t="inlineStr">
        <is>
          <t>None</t>
        </is>
      </c>
      <c r="L1488" s="145" t="inlineStr">
        <is>
          <t>#FFFFFF</t>
        </is>
      </c>
      <c r="M1488" s="145" t="inlineStr">
        <is>
          <t>Center</t>
        </is>
      </c>
      <c r="N1488" s="145" t="inlineStr">
        <is>
          <t>Center</t>
        </is>
      </c>
      <c r="O1488" s="145" t="inlineStr">
        <is>
          <t>No</t>
        </is>
      </c>
      <c r="P1488" s="145" t="inlineStr">
        <is>
          <t>General</t>
        </is>
      </c>
      <c r="Q1488" s="145" t="inlineStr">
        <is>
          <t>General</t>
        </is>
      </c>
      <c r="R1488" s="145" t="n"/>
      <c r="S1488" s="145" t="n"/>
      <c r="T1488" s="145" t="n"/>
      <c r="U1488" s="145" t="n"/>
      <c r="V1488" s="145" t="n"/>
      <c r="W1488" s="145" t="n"/>
      <c r="X1488" s="145" t="inlineStr">
        <is>
          <t>Detailed format sample from top five used rows</t>
        </is>
      </c>
    </row>
    <row r="1489" ht="23.85" customHeight="1" s="79">
      <c r="A1489" s="145" t="inlineStr">
        <is>
          <t>GM_TNA</t>
        </is>
      </c>
      <c r="B1489" s="145" t="inlineStr">
        <is>
          <t>Top-Row Cell Format</t>
        </is>
      </c>
      <c r="C1489" s="145" t="inlineStr">
        <is>
          <t>Y2</t>
        </is>
      </c>
      <c r="D1489" s="145" t="inlineStr">
        <is>
          <t>GM_TNA!A1:Z373</t>
        </is>
      </c>
      <c r="E1489" s="145" t="inlineStr">
        <is>
          <t>Normal</t>
        </is>
      </c>
      <c r="F1489" s="145" t="n"/>
      <c r="G1489" s="145" t="inlineStr">
        <is>
          <t>Aptos</t>
        </is>
      </c>
      <c r="H1489" s="145" t="n">
        <v>8</v>
      </c>
      <c r="I1489" s="145" t="inlineStr">
        <is>
          <t>No</t>
        </is>
      </c>
      <c r="J1489" s="145" t="inlineStr">
        <is>
          <t>No</t>
        </is>
      </c>
      <c r="K1489" s="145" t="inlineStr">
        <is>
          <t>None</t>
        </is>
      </c>
      <c r="L1489" s="145" t="inlineStr">
        <is>
          <t>#000000</t>
        </is>
      </c>
      <c r="M1489" s="145" t="inlineStr">
        <is>
          <t>General</t>
        </is>
      </c>
      <c r="N1489" s="145" t="inlineStr">
        <is>
          <t>Center</t>
        </is>
      </c>
      <c r="O1489" s="145" t="inlineStr">
        <is>
          <t>No</t>
        </is>
      </c>
      <c r="P1489" s="145" t="inlineStr">
        <is>
          <t>General</t>
        </is>
      </c>
      <c r="Q1489" s="145" t="inlineStr">
        <is>
          <t>General</t>
        </is>
      </c>
      <c r="R1489" s="145" t="n"/>
      <c r="S1489" s="145" t="n"/>
      <c r="T1489" s="145" t="n"/>
      <c r="U1489" s="145" t="n"/>
      <c r="V1489" s="145" t="n"/>
      <c r="W1489" s="145" t="n"/>
      <c r="X1489" s="145" t="inlineStr">
        <is>
          <t>Detailed format sample from top five used rows</t>
        </is>
      </c>
    </row>
    <row r="1490" ht="23.85" customHeight="1" s="79">
      <c r="A1490" s="145" t="inlineStr">
        <is>
          <t>GM_TNA</t>
        </is>
      </c>
      <c r="B1490" s="145" t="inlineStr">
        <is>
          <t>Top-Row Cell Format</t>
        </is>
      </c>
      <c r="C1490" s="145" t="inlineStr">
        <is>
          <t>Y3</t>
        </is>
      </c>
      <c r="D1490" s="145" t="inlineStr">
        <is>
          <t>GM_TNA!A1:Z373</t>
        </is>
      </c>
      <c r="E1490" s="145" t="inlineStr">
        <is>
          <t>Normal</t>
        </is>
      </c>
      <c r="F1490" s="145" t="n"/>
      <c r="G1490" s="145" t="inlineStr">
        <is>
          <t>Aptos</t>
        </is>
      </c>
      <c r="H1490" s="145" t="n">
        <v>8</v>
      </c>
      <c r="I1490" s="145" t="inlineStr">
        <is>
          <t>No</t>
        </is>
      </c>
      <c r="J1490" s="145" t="inlineStr">
        <is>
          <t>No</t>
        </is>
      </c>
      <c r="K1490" s="145" t="inlineStr">
        <is>
          <t>None</t>
        </is>
      </c>
      <c r="L1490" s="145" t="inlineStr">
        <is>
          <t>#000000</t>
        </is>
      </c>
      <c r="M1490" s="145" t="inlineStr">
        <is>
          <t>General</t>
        </is>
      </c>
      <c r="N1490" s="145" t="inlineStr">
        <is>
          <t>Center</t>
        </is>
      </c>
      <c r="O1490" s="145" t="inlineStr">
        <is>
          <t>No</t>
        </is>
      </c>
      <c r="P1490" s="145" t="inlineStr">
        <is>
          <t>General</t>
        </is>
      </c>
      <c r="Q1490" s="145" t="inlineStr">
        <is>
          <t>General</t>
        </is>
      </c>
      <c r="R1490" s="145" t="n"/>
      <c r="S1490" s="145" t="n"/>
      <c r="T1490" s="145" t="n"/>
      <c r="U1490" s="145" t="n"/>
      <c r="V1490" s="145" t="n"/>
      <c r="W1490" s="145" t="n"/>
      <c r="X1490" s="145" t="inlineStr">
        <is>
          <t>Detailed format sample from top five used rows</t>
        </is>
      </c>
    </row>
    <row r="1491" ht="23.85" customHeight="1" s="79">
      <c r="A1491" s="145" t="inlineStr">
        <is>
          <t>GM_TNA</t>
        </is>
      </c>
      <c r="B1491" s="145" t="inlineStr">
        <is>
          <t>Top-Row Cell Format</t>
        </is>
      </c>
      <c r="C1491" s="145" t="inlineStr">
        <is>
          <t>Y4</t>
        </is>
      </c>
      <c r="D1491" s="145" t="inlineStr">
        <is>
          <t>GM_TNA!A1:Z373</t>
        </is>
      </c>
      <c r="E1491" s="145" t="inlineStr">
        <is>
          <t>Normal</t>
        </is>
      </c>
      <c r="F1491" s="145" t="n"/>
      <c r="G1491" s="145" t="inlineStr">
        <is>
          <t>Aptos</t>
        </is>
      </c>
      <c r="H1491" s="145" t="n">
        <v>8</v>
      </c>
      <c r="I1491" s="145" t="inlineStr">
        <is>
          <t>No</t>
        </is>
      </c>
      <c r="J1491" s="145" t="inlineStr">
        <is>
          <t>No</t>
        </is>
      </c>
      <c r="K1491" s="145" t="inlineStr">
        <is>
          <t>None</t>
        </is>
      </c>
      <c r="L1491" s="145" t="inlineStr">
        <is>
          <t>#000000</t>
        </is>
      </c>
      <c r="M1491" s="145" t="inlineStr">
        <is>
          <t>General</t>
        </is>
      </c>
      <c r="N1491" s="145" t="inlineStr">
        <is>
          <t>Center</t>
        </is>
      </c>
      <c r="O1491" s="145" t="inlineStr">
        <is>
          <t>No</t>
        </is>
      </c>
      <c r="P1491" s="145" t="inlineStr">
        <is>
          <t>General</t>
        </is>
      </c>
      <c r="Q1491" s="145" t="inlineStr">
        <is>
          <t>General</t>
        </is>
      </c>
      <c r="R1491" s="145" t="n"/>
      <c r="S1491" s="145" t="n"/>
      <c r="T1491" s="145" t="n"/>
      <c r="U1491" s="145" t="n"/>
      <c r="V1491" s="145" t="n"/>
      <c r="W1491" s="145" t="n"/>
      <c r="X1491" s="145" t="inlineStr">
        <is>
          <t>Detailed format sample from top five used rows</t>
        </is>
      </c>
    </row>
    <row r="1492" ht="23.85" customHeight="1" s="79">
      <c r="A1492" s="145" t="inlineStr">
        <is>
          <t>GM_TNA</t>
        </is>
      </c>
      <c r="B1492" s="145" t="inlineStr">
        <is>
          <t>Top-Row Cell Format</t>
        </is>
      </c>
      <c r="C1492" s="145" t="inlineStr">
        <is>
          <t>Y5</t>
        </is>
      </c>
      <c r="D1492" s="145" t="inlineStr">
        <is>
          <t>GM_TNA!A1:Z373</t>
        </is>
      </c>
      <c r="E1492" s="145" t="inlineStr">
        <is>
          <t>Normal</t>
        </is>
      </c>
      <c r="F1492" s="145" t="n"/>
      <c r="G1492" s="145" t="inlineStr">
        <is>
          <t>Aptos</t>
        </is>
      </c>
      <c r="H1492" s="145" t="n">
        <v>8</v>
      </c>
      <c r="I1492" s="145" t="inlineStr">
        <is>
          <t>No</t>
        </is>
      </c>
      <c r="J1492" s="145" t="inlineStr">
        <is>
          <t>No</t>
        </is>
      </c>
      <c r="K1492" s="145" t="inlineStr">
        <is>
          <t>None</t>
        </is>
      </c>
      <c r="L1492" s="145" t="inlineStr">
        <is>
          <t>#000000</t>
        </is>
      </c>
      <c r="M1492" s="145" t="inlineStr">
        <is>
          <t>General</t>
        </is>
      </c>
      <c r="N1492" s="145" t="inlineStr">
        <is>
          <t>Center</t>
        </is>
      </c>
      <c r="O1492" s="145" t="inlineStr">
        <is>
          <t>No</t>
        </is>
      </c>
      <c r="P1492" s="145" t="inlineStr">
        <is>
          <t>General</t>
        </is>
      </c>
      <c r="Q1492" s="145" t="inlineStr">
        <is>
          <t>General</t>
        </is>
      </c>
      <c r="R1492" s="145" t="n"/>
      <c r="S1492" s="145" t="n"/>
      <c r="T1492" s="145" t="n"/>
      <c r="U1492" s="145" t="n"/>
      <c r="V1492" s="145" t="n"/>
      <c r="W1492" s="145" t="n"/>
      <c r="X1492" s="145" t="inlineStr">
        <is>
          <t>Detailed format sample from top five used rows</t>
        </is>
      </c>
    </row>
    <row r="1493" ht="23.85" customHeight="1" s="79">
      <c r="A1493" s="145" t="inlineStr">
        <is>
          <t>GM_TNA</t>
        </is>
      </c>
      <c r="B1493" s="145" t="inlineStr">
        <is>
          <t>Column Format</t>
        </is>
      </c>
      <c r="C1493" s="145" t="inlineStr">
        <is>
          <t>Z:Z</t>
        </is>
      </c>
      <c r="D1493" s="145" t="inlineStr">
        <is>
          <t>GM_TNA!A1:Z373</t>
        </is>
      </c>
      <c r="E1493" s="145" t="inlineStr">
        <is>
          <t>Normal</t>
        </is>
      </c>
      <c r="F1493" s="145" t="inlineStr">
        <is>
          <t>Mixed</t>
        </is>
      </c>
      <c r="G1493" s="145" t="inlineStr">
        <is>
          <t>Aptos</t>
        </is>
      </c>
      <c r="H1493" s="145" t="n">
        <v>8</v>
      </c>
      <c r="I1493" s="145" t="inlineStr">
        <is>
          <t>Mixed</t>
        </is>
      </c>
      <c r="J1493" s="145" t="inlineStr">
        <is>
          <t>No</t>
        </is>
      </c>
      <c r="K1493" s="145" t="inlineStr">
        <is>
          <t>None</t>
        </is>
      </c>
      <c r="L1493" s="145" t="inlineStr">
        <is>
          <t>Mixed</t>
        </is>
      </c>
      <c r="M1493" s="145" t="inlineStr">
        <is>
          <t>Mixed</t>
        </is>
      </c>
      <c r="N1493" s="145" t="inlineStr">
        <is>
          <t>Center</t>
        </is>
      </c>
      <c r="O1493" s="145" t="inlineStr">
        <is>
          <t>No</t>
        </is>
      </c>
      <c r="P1493" s="145" t="n"/>
      <c r="Q1493" s="145" t="n"/>
      <c r="R1493" s="145" t="n"/>
      <c r="S1493" s="145" t="n">
        <v>41.910447761194</v>
      </c>
      <c r="T1493" s="145" t="n"/>
      <c r="U1493" s="145" t="inlineStr">
        <is>
          <t>No</t>
        </is>
      </c>
      <c r="V1493" s="145" t="inlineStr">
        <is>
          <t>Visible</t>
        </is>
      </c>
      <c r="W1493" s="145" t="n"/>
      <c r="X1493" s="145" t="inlineStr">
        <is>
          <t>Mixed styles within used column</t>
        </is>
      </c>
    </row>
    <row r="1494" ht="23.85" customHeight="1" s="79">
      <c r="A1494" s="145" t="inlineStr">
        <is>
          <t>GM_TNA</t>
        </is>
      </c>
      <c r="B1494" s="145" t="inlineStr">
        <is>
          <t>Top-Row Cell Format</t>
        </is>
      </c>
      <c r="C1494" s="145" t="inlineStr">
        <is>
          <t>Z1</t>
        </is>
      </c>
      <c r="D1494" s="145" t="inlineStr">
        <is>
          <t>GM_TNA!A1:Z373</t>
        </is>
      </c>
      <c r="E1494" s="145" t="inlineStr">
        <is>
          <t>Normal</t>
        </is>
      </c>
      <c r="F1494" s="145" t="inlineStr">
        <is>
          <t>#BF8F00</t>
        </is>
      </c>
      <c r="G1494" s="145" t="inlineStr">
        <is>
          <t>Aptos</t>
        </is>
      </c>
      <c r="H1494" s="145" t="n">
        <v>8</v>
      </c>
      <c r="I1494" s="145" t="inlineStr">
        <is>
          <t>Yes</t>
        </is>
      </c>
      <c r="J1494" s="145" t="inlineStr">
        <is>
          <t>No</t>
        </is>
      </c>
      <c r="K1494" s="145" t="inlineStr">
        <is>
          <t>None</t>
        </is>
      </c>
      <c r="L1494" s="145" t="inlineStr">
        <is>
          <t>#FFFFFF</t>
        </is>
      </c>
      <c r="M1494" s="145" t="inlineStr">
        <is>
          <t>General</t>
        </is>
      </c>
      <c r="N1494" s="145" t="inlineStr">
        <is>
          <t>Center</t>
        </is>
      </c>
      <c r="O1494" s="145" t="inlineStr">
        <is>
          <t>No</t>
        </is>
      </c>
      <c r="P1494" s="145" t="inlineStr">
        <is>
          <t>General</t>
        </is>
      </c>
      <c r="Q1494" s="145" t="inlineStr">
        <is>
          <t>General</t>
        </is>
      </c>
      <c r="R1494" s="145" t="n"/>
      <c r="S1494" s="145" t="n"/>
      <c r="T1494" s="145" t="n"/>
      <c r="U1494" s="145" t="n"/>
      <c r="V1494" s="145" t="n"/>
      <c r="W1494" s="145" t="n"/>
      <c r="X1494" s="145" t="inlineStr">
        <is>
          <t>Detailed format sample from top five used rows</t>
        </is>
      </c>
    </row>
    <row r="1495" ht="23.85" customHeight="1" s="79">
      <c r="A1495" s="145" t="inlineStr">
        <is>
          <t>GM_TNA</t>
        </is>
      </c>
      <c r="B1495" s="145" t="inlineStr">
        <is>
          <t>Top-Row Cell Format</t>
        </is>
      </c>
      <c r="C1495" s="145" t="inlineStr">
        <is>
          <t>Z2</t>
        </is>
      </c>
      <c r="D1495" s="145" t="inlineStr">
        <is>
          <t>GM_TNA!A1:Z373</t>
        </is>
      </c>
      <c r="E1495" s="145" t="inlineStr">
        <is>
          <t>Normal</t>
        </is>
      </c>
      <c r="F1495" s="145" t="n"/>
      <c r="G1495" s="145" t="inlineStr">
        <is>
          <t>Aptos</t>
        </is>
      </c>
      <c r="H1495" s="145" t="n">
        <v>8</v>
      </c>
      <c r="I1495" s="145" t="inlineStr">
        <is>
          <t>No</t>
        </is>
      </c>
      <c r="J1495" s="145" t="inlineStr">
        <is>
          <t>No</t>
        </is>
      </c>
      <c r="K1495" s="145" t="inlineStr">
        <is>
          <t>None</t>
        </is>
      </c>
      <c r="L1495" s="145" t="inlineStr">
        <is>
          <t>#000000</t>
        </is>
      </c>
      <c r="M1495" s="145" t="inlineStr">
        <is>
          <t>Center</t>
        </is>
      </c>
      <c r="N1495" s="145" t="inlineStr">
        <is>
          <t>Center</t>
        </is>
      </c>
      <c r="O1495" s="145" t="inlineStr">
        <is>
          <t>No</t>
        </is>
      </c>
      <c r="P1495" s="145" t="inlineStr">
        <is>
          <t>General</t>
        </is>
      </c>
      <c r="Q1495" s="145" t="inlineStr">
        <is>
          <t>General</t>
        </is>
      </c>
      <c r="R1495" s="145" t="n"/>
      <c r="S1495" s="145" t="n"/>
      <c r="T1495" s="145" t="n"/>
      <c r="U1495" s="145" t="n"/>
      <c r="V1495" s="145" t="n"/>
      <c r="W1495" s="145" t="n"/>
      <c r="X1495" s="145" t="inlineStr">
        <is>
          <t>Detailed format sample from top five used rows</t>
        </is>
      </c>
    </row>
    <row r="1496" ht="23.85" customHeight="1" s="79">
      <c r="A1496" s="145" t="inlineStr">
        <is>
          <t>GM_TNA</t>
        </is>
      </c>
      <c r="B1496" s="145" t="inlineStr">
        <is>
          <t>Top-Row Cell Format</t>
        </is>
      </c>
      <c r="C1496" s="145" t="inlineStr">
        <is>
          <t>Z3</t>
        </is>
      </c>
      <c r="D1496" s="145" t="inlineStr">
        <is>
          <t>GM_TNA!A1:Z373</t>
        </is>
      </c>
      <c r="E1496" s="145" t="inlineStr">
        <is>
          <t>Normal</t>
        </is>
      </c>
      <c r="F1496" s="145" t="n"/>
      <c r="G1496" s="145" t="inlineStr">
        <is>
          <t>Aptos</t>
        </is>
      </c>
      <c r="H1496" s="145" t="n">
        <v>8</v>
      </c>
      <c r="I1496" s="145" t="inlineStr">
        <is>
          <t>No</t>
        </is>
      </c>
      <c r="J1496" s="145" t="inlineStr">
        <is>
          <t>No</t>
        </is>
      </c>
      <c r="K1496" s="145" t="inlineStr">
        <is>
          <t>None</t>
        </is>
      </c>
      <c r="L1496" s="145" t="inlineStr">
        <is>
          <t>#000000</t>
        </is>
      </c>
      <c r="M1496" s="145" t="inlineStr">
        <is>
          <t>Center</t>
        </is>
      </c>
      <c r="N1496" s="145" t="inlineStr">
        <is>
          <t>Center</t>
        </is>
      </c>
      <c r="O1496" s="145" t="inlineStr">
        <is>
          <t>No</t>
        </is>
      </c>
      <c r="P1496" s="145" t="inlineStr">
        <is>
          <t>General</t>
        </is>
      </c>
      <c r="Q1496" s="145" t="inlineStr">
        <is>
          <t>General</t>
        </is>
      </c>
      <c r="R1496" s="145" t="n"/>
      <c r="S1496" s="145" t="n"/>
      <c r="T1496" s="145" t="n"/>
      <c r="U1496" s="145" t="n"/>
      <c r="V1496" s="145" t="n"/>
      <c r="W1496" s="145" t="n"/>
      <c r="X1496" s="145" t="inlineStr">
        <is>
          <t>Detailed format sample from top five used rows</t>
        </is>
      </c>
    </row>
    <row r="1497" ht="23.85" customHeight="1" s="79">
      <c r="A1497" s="145" t="inlineStr">
        <is>
          <t>GM_TNA</t>
        </is>
      </c>
      <c r="B1497" s="145" t="inlineStr">
        <is>
          <t>Top-Row Cell Format</t>
        </is>
      </c>
      <c r="C1497" s="145" t="inlineStr">
        <is>
          <t>Z4</t>
        </is>
      </c>
      <c r="D1497" s="145" t="inlineStr">
        <is>
          <t>GM_TNA!A1:Z373</t>
        </is>
      </c>
      <c r="E1497" s="145" t="inlineStr">
        <is>
          <t>Normal</t>
        </is>
      </c>
      <c r="F1497" s="145" t="n"/>
      <c r="G1497" s="145" t="inlineStr">
        <is>
          <t>Aptos</t>
        </is>
      </c>
      <c r="H1497" s="145" t="n">
        <v>8</v>
      </c>
      <c r="I1497" s="145" t="inlineStr">
        <is>
          <t>No</t>
        </is>
      </c>
      <c r="J1497" s="145" t="inlineStr">
        <is>
          <t>No</t>
        </is>
      </c>
      <c r="K1497" s="145" t="inlineStr">
        <is>
          <t>None</t>
        </is>
      </c>
      <c r="L1497" s="145" t="inlineStr">
        <is>
          <t>#000000</t>
        </is>
      </c>
      <c r="M1497" s="145" t="inlineStr">
        <is>
          <t>Center</t>
        </is>
      </c>
      <c r="N1497" s="145" t="inlineStr">
        <is>
          <t>Center</t>
        </is>
      </c>
      <c r="O1497" s="145" t="inlineStr">
        <is>
          <t>No</t>
        </is>
      </c>
      <c r="P1497" s="145" t="inlineStr">
        <is>
          <t>General</t>
        </is>
      </c>
      <c r="Q1497" s="145" t="inlineStr">
        <is>
          <t>General</t>
        </is>
      </c>
      <c r="R1497" s="145" t="n"/>
      <c r="S1497" s="145" t="n"/>
      <c r="T1497" s="145" t="n"/>
      <c r="U1497" s="145" t="n"/>
      <c r="V1497" s="145" t="n"/>
      <c r="W1497" s="145" t="n"/>
      <c r="X1497" s="145" t="inlineStr">
        <is>
          <t>Detailed format sample from top five used rows</t>
        </is>
      </c>
    </row>
    <row r="1498" ht="23.85" customHeight="1" s="79">
      <c r="A1498" s="145" t="inlineStr">
        <is>
          <t>GM_TNA</t>
        </is>
      </c>
      <c r="B1498" s="145" t="inlineStr">
        <is>
          <t>Top-Row Cell Format</t>
        </is>
      </c>
      <c r="C1498" s="145" t="inlineStr">
        <is>
          <t>Z5</t>
        </is>
      </c>
      <c r="D1498" s="145" t="inlineStr">
        <is>
          <t>GM_TNA!A1:Z373</t>
        </is>
      </c>
      <c r="E1498" s="145" t="inlineStr">
        <is>
          <t>Normal</t>
        </is>
      </c>
      <c r="F1498" s="145" t="n"/>
      <c r="G1498" s="145" t="inlineStr">
        <is>
          <t>Aptos</t>
        </is>
      </c>
      <c r="H1498" s="145" t="n">
        <v>8</v>
      </c>
      <c r="I1498" s="145" t="inlineStr">
        <is>
          <t>No</t>
        </is>
      </c>
      <c r="J1498" s="145" t="inlineStr">
        <is>
          <t>No</t>
        </is>
      </c>
      <c r="K1498" s="145" t="inlineStr">
        <is>
          <t>None</t>
        </is>
      </c>
      <c r="L1498" s="145" t="inlineStr">
        <is>
          <t>#000000</t>
        </is>
      </c>
      <c r="M1498" s="145" t="inlineStr">
        <is>
          <t>Center</t>
        </is>
      </c>
      <c r="N1498" s="145" t="inlineStr">
        <is>
          <t>Center</t>
        </is>
      </c>
      <c r="O1498" s="145" t="inlineStr">
        <is>
          <t>No</t>
        </is>
      </c>
      <c r="P1498" s="145" t="inlineStr">
        <is>
          <t>General</t>
        </is>
      </c>
      <c r="Q1498" s="145" t="inlineStr">
        <is>
          <t>General</t>
        </is>
      </c>
      <c r="R1498" s="145" t="n"/>
      <c r="S1498" s="145" t="n"/>
      <c r="T1498" s="145" t="n"/>
      <c r="U1498" s="145" t="n"/>
      <c r="V1498" s="145" t="n"/>
      <c r="W1498" s="145" t="n"/>
      <c r="X1498" s="145" t="inlineStr">
        <is>
          <t>Detailed format sample from top five used rows</t>
        </is>
      </c>
    </row>
    <row r="1499" ht="23.85" customHeight="1" s="79">
      <c r="A1499" s="145" t="inlineStr">
        <is>
          <t>MNL_PPO</t>
        </is>
      </c>
      <c r="B1499" s="145" t="inlineStr">
        <is>
          <t>Sheet Summary</t>
        </is>
      </c>
      <c r="C1499" s="145" t="inlineStr">
        <is>
          <t>MNL_PPO</t>
        </is>
      </c>
      <c r="D1499" s="145" t="inlineStr">
        <is>
          <t>MNL_PPO!A1:AM329</t>
        </is>
      </c>
      <c r="E1499" s="145" t="n"/>
      <c r="F1499" s="145" t="n"/>
      <c r="G1499" s="145" t="n"/>
      <c r="H1499" s="145" t="n"/>
      <c r="I1499" s="145" t="n"/>
      <c r="J1499" s="145" t="n"/>
      <c r="K1499" s="145" t="n"/>
      <c r="L1499" s="145" t="n"/>
      <c r="M1499" s="145" t="n"/>
      <c r="N1499" s="145" t="n"/>
      <c r="O1499" s="145" t="n"/>
      <c r="P1499" s="145" t="n"/>
      <c r="Q1499" s="145" t="n"/>
      <c r="R1499" s="145" t="n"/>
      <c r="S1499" s="145" t="n"/>
      <c r="T1499" s="145" t="n"/>
      <c r="U1499" s="145" t="inlineStr">
        <is>
          <t>No</t>
        </is>
      </c>
      <c r="V1499" s="145" t="inlineStr">
        <is>
          <t>Visible</t>
        </is>
      </c>
      <c r="W1499" s="145" t="inlineStr">
        <is>
          <t>No worksheet AutoFilter</t>
        </is>
      </c>
      <c r="X1499" s="145" t="inlineStr">
        <is>
          <t>Used rows: 329; used columns: 39</t>
        </is>
      </c>
    </row>
    <row r="1500" ht="23.85" customHeight="1" s="79">
      <c r="A1500" s="145" t="inlineStr">
        <is>
          <t>MNL_PPO</t>
        </is>
      </c>
      <c r="B1500" s="145" t="inlineStr">
        <is>
          <t>Column Format</t>
        </is>
      </c>
      <c r="C1500" s="145" t="inlineStr">
        <is>
          <t>A:A</t>
        </is>
      </c>
      <c r="D1500" s="145" t="inlineStr">
        <is>
          <t>MNL_PPO!A1:AM329</t>
        </is>
      </c>
      <c r="E1500" s="145" t="inlineStr">
        <is>
          <t>Normal</t>
        </is>
      </c>
      <c r="F1500" s="145" t="inlineStr">
        <is>
          <t>Mixed</t>
        </is>
      </c>
      <c r="G1500" s="145" t="inlineStr">
        <is>
          <t>Cambria</t>
        </is>
      </c>
      <c r="H1500" s="145" t="n">
        <v>8</v>
      </c>
      <c r="I1500" s="145" t="inlineStr">
        <is>
          <t>Mixed</t>
        </is>
      </c>
      <c r="J1500" s="145" t="inlineStr">
        <is>
          <t>No</t>
        </is>
      </c>
      <c r="K1500" s="145" t="inlineStr">
        <is>
          <t>None</t>
        </is>
      </c>
      <c r="L1500" s="145" t="inlineStr">
        <is>
          <t>Mixed</t>
        </is>
      </c>
      <c r="M1500" s="145" t="inlineStr">
        <is>
          <t>General</t>
        </is>
      </c>
      <c r="N1500" s="145" t="inlineStr">
        <is>
          <t>Center</t>
        </is>
      </c>
      <c r="O1500" s="145" t="inlineStr">
        <is>
          <t>No</t>
        </is>
      </c>
      <c r="P1500" s="145" t="n"/>
      <c r="Q1500" s="145" t="n"/>
      <c r="R1500" s="145" t="n"/>
      <c r="S1500" s="145" t="n">
        <v>23.1044776119403</v>
      </c>
      <c r="T1500" s="145" t="n"/>
      <c r="U1500" s="145" t="inlineStr">
        <is>
          <t>No</t>
        </is>
      </c>
      <c r="V1500" s="145" t="inlineStr">
        <is>
          <t>Visible</t>
        </is>
      </c>
      <c r="W1500" s="145" t="n"/>
      <c r="X1500" s="145" t="inlineStr">
        <is>
          <t>Mixed styles within used column</t>
        </is>
      </c>
    </row>
    <row r="1501" ht="23.85" customHeight="1" s="79">
      <c r="A1501" s="145" t="inlineStr">
        <is>
          <t>MNL_PPO</t>
        </is>
      </c>
      <c r="B1501" s="145" t="inlineStr">
        <is>
          <t>Top-Row Cell Format</t>
        </is>
      </c>
      <c r="C1501" s="145" t="inlineStr">
        <is>
          <t>A1</t>
        </is>
      </c>
      <c r="D1501" s="145" t="inlineStr">
        <is>
          <t>MNL_PPO!A1:AM329</t>
        </is>
      </c>
      <c r="E1501" s="145" t="inlineStr">
        <is>
          <t>Normal</t>
        </is>
      </c>
      <c r="F1501" s="145" t="inlineStr">
        <is>
          <t>#70AD47</t>
        </is>
      </c>
      <c r="G1501" s="145" t="inlineStr">
        <is>
          <t>Cambria</t>
        </is>
      </c>
      <c r="H1501" s="145" t="n">
        <v>8</v>
      </c>
      <c r="I1501" s="145" t="inlineStr">
        <is>
          <t>Yes</t>
        </is>
      </c>
      <c r="J1501" s="145" t="inlineStr">
        <is>
          <t>No</t>
        </is>
      </c>
      <c r="K1501" s="145" t="inlineStr">
        <is>
          <t>None</t>
        </is>
      </c>
      <c r="L1501" s="145" t="inlineStr">
        <is>
          <t>#FFFFFF</t>
        </is>
      </c>
      <c r="M1501" s="145" t="inlineStr">
        <is>
          <t>General</t>
        </is>
      </c>
      <c r="N1501" s="145" t="inlineStr">
        <is>
          <t>Center</t>
        </is>
      </c>
      <c r="O1501" s="145" t="inlineStr">
        <is>
          <t>No</t>
        </is>
      </c>
      <c r="P1501" s="145" t="inlineStr">
        <is>
          <t>General</t>
        </is>
      </c>
      <c r="Q1501" s="145" t="inlineStr">
        <is>
          <t>General</t>
        </is>
      </c>
      <c r="R1501" s="145" t="n"/>
      <c r="S1501" s="145" t="n"/>
      <c r="T1501" s="145" t="n"/>
      <c r="U1501" s="145" t="n"/>
      <c r="V1501" s="145" t="n"/>
      <c r="W1501" s="145" t="n"/>
      <c r="X1501" s="145" t="inlineStr">
        <is>
          <t>Detailed format sample from top five used rows</t>
        </is>
      </c>
    </row>
    <row r="1502" ht="23.85" customHeight="1" s="79">
      <c r="A1502" s="145" t="inlineStr">
        <is>
          <t>MNL_PPO</t>
        </is>
      </c>
      <c r="B1502" s="145" t="inlineStr">
        <is>
          <t>Top-Row Cell Format</t>
        </is>
      </c>
      <c r="C1502" s="145" t="inlineStr">
        <is>
          <t>A2</t>
        </is>
      </c>
      <c r="D1502" s="145" t="inlineStr">
        <is>
          <t>MNL_PPO!A1:AM329</t>
        </is>
      </c>
      <c r="E1502" s="145" t="inlineStr">
        <is>
          <t>Normal</t>
        </is>
      </c>
      <c r="F1502" s="145" t="n"/>
      <c r="G1502" s="145" t="inlineStr">
        <is>
          <t>Cambria</t>
        </is>
      </c>
      <c r="H1502" s="145" t="n">
        <v>8</v>
      </c>
      <c r="I1502" s="145" t="inlineStr">
        <is>
          <t>No</t>
        </is>
      </c>
      <c r="J1502" s="145" t="inlineStr">
        <is>
          <t>No</t>
        </is>
      </c>
      <c r="K1502" s="145" t="inlineStr">
        <is>
          <t>None</t>
        </is>
      </c>
      <c r="L1502" s="145" t="inlineStr">
        <is>
          <t>#000000</t>
        </is>
      </c>
      <c r="M1502" s="145" t="inlineStr">
        <is>
          <t>General</t>
        </is>
      </c>
      <c r="N1502" s="145" t="inlineStr">
        <is>
          <t>Center</t>
        </is>
      </c>
      <c r="O1502" s="145" t="inlineStr">
        <is>
          <t>No</t>
        </is>
      </c>
      <c r="P1502" s="145" t="inlineStr">
        <is>
          <t>General</t>
        </is>
      </c>
      <c r="Q1502" s="145" t="inlineStr">
        <is>
          <t>General</t>
        </is>
      </c>
      <c r="R1502" s="145" t="n"/>
      <c r="S1502" s="145" t="n"/>
      <c r="T1502" s="145" t="n"/>
      <c r="U1502" s="145" t="n"/>
      <c r="V1502" s="145" t="n"/>
      <c r="W1502" s="145" t="n"/>
      <c r="X1502" s="145" t="inlineStr">
        <is>
          <t>Detailed format sample from top five used rows</t>
        </is>
      </c>
    </row>
    <row r="1503" ht="23.85" customHeight="1" s="79">
      <c r="A1503" s="145" t="inlineStr">
        <is>
          <t>MNL_PPO</t>
        </is>
      </c>
      <c r="B1503" s="145" t="inlineStr">
        <is>
          <t>Top-Row Cell Format</t>
        </is>
      </c>
      <c r="C1503" s="145" t="inlineStr">
        <is>
          <t>A3</t>
        </is>
      </c>
      <c r="D1503" s="145" t="inlineStr">
        <is>
          <t>MNL_PPO!A1:AM329</t>
        </is>
      </c>
      <c r="E1503" s="145" t="inlineStr">
        <is>
          <t>Normal</t>
        </is>
      </c>
      <c r="F1503" s="145" t="n"/>
      <c r="G1503" s="145" t="inlineStr">
        <is>
          <t>Cambria</t>
        </is>
      </c>
      <c r="H1503" s="145" t="n">
        <v>8</v>
      </c>
      <c r="I1503" s="145" t="inlineStr">
        <is>
          <t>No</t>
        </is>
      </c>
      <c r="J1503" s="145" t="inlineStr">
        <is>
          <t>No</t>
        </is>
      </c>
      <c r="K1503" s="145" t="inlineStr">
        <is>
          <t>None</t>
        </is>
      </c>
      <c r="L1503" s="145" t="inlineStr">
        <is>
          <t>#000000</t>
        </is>
      </c>
      <c r="M1503" s="145" t="inlineStr">
        <is>
          <t>General</t>
        </is>
      </c>
      <c r="N1503" s="145" t="inlineStr">
        <is>
          <t>Center</t>
        </is>
      </c>
      <c r="O1503" s="145" t="inlineStr">
        <is>
          <t>No</t>
        </is>
      </c>
      <c r="P1503" s="145" t="inlineStr">
        <is>
          <t>General</t>
        </is>
      </c>
      <c r="Q1503" s="145" t="inlineStr">
        <is>
          <t>General</t>
        </is>
      </c>
      <c r="R1503" s="145" t="n"/>
      <c r="S1503" s="145" t="n"/>
      <c r="T1503" s="145" t="n"/>
      <c r="U1503" s="145" t="n"/>
      <c r="V1503" s="145" t="n"/>
      <c r="W1503" s="145" t="n"/>
      <c r="X1503" s="145" t="inlineStr">
        <is>
          <t>Detailed format sample from top five used rows</t>
        </is>
      </c>
    </row>
    <row r="1504" ht="23.85" customHeight="1" s="79">
      <c r="A1504" s="145" t="inlineStr">
        <is>
          <t>MNL_PPO</t>
        </is>
      </c>
      <c r="B1504" s="145" t="inlineStr">
        <is>
          <t>Top-Row Cell Format</t>
        </is>
      </c>
      <c r="C1504" s="145" t="inlineStr">
        <is>
          <t>A4</t>
        </is>
      </c>
      <c r="D1504" s="145" t="inlineStr">
        <is>
          <t>MNL_PPO!A1:AM329</t>
        </is>
      </c>
      <c r="E1504" s="145" t="inlineStr">
        <is>
          <t>Normal</t>
        </is>
      </c>
      <c r="F1504" s="145" t="n"/>
      <c r="G1504" s="145" t="inlineStr">
        <is>
          <t>Cambria</t>
        </is>
      </c>
      <c r="H1504" s="145" t="n">
        <v>8</v>
      </c>
      <c r="I1504" s="145" t="inlineStr">
        <is>
          <t>No</t>
        </is>
      </c>
      <c r="J1504" s="145" t="inlineStr">
        <is>
          <t>No</t>
        </is>
      </c>
      <c r="K1504" s="145" t="inlineStr">
        <is>
          <t>None</t>
        </is>
      </c>
      <c r="L1504" s="145" t="inlineStr">
        <is>
          <t>#000000</t>
        </is>
      </c>
      <c r="M1504" s="145" t="inlineStr">
        <is>
          <t>General</t>
        </is>
      </c>
      <c r="N1504" s="145" t="inlineStr">
        <is>
          <t>Center</t>
        </is>
      </c>
      <c r="O1504" s="145" t="inlineStr">
        <is>
          <t>No</t>
        </is>
      </c>
      <c r="P1504" s="145" t="inlineStr">
        <is>
          <t>General</t>
        </is>
      </c>
      <c r="Q1504" s="145" t="inlineStr">
        <is>
          <t>General</t>
        </is>
      </c>
      <c r="R1504" s="145" t="n"/>
      <c r="S1504" s="145" t="n"/>
      <c r="T1504" s="145" t="n"/>
      <c r="U1504" s="145" t="n"/>
      <c r="V1504" s="145" t="n"/>
      <c r="W1504" s="145" t="n"/>
      <c r="X1504" s="145" t="inlineStr">
        <is>
          <t>Detailed format sample from top five used rows</t>
        </is>
      </c>
    </row>
    <row r="1505" ht="23.85" customHeight="1" s="79">
      <c r="A1505" s="145" t="inlineStr">
        <is>
          <t>MNL_PPO</t>
        </is>
      </c>
      <c r="B1505" s="145" t="inlineStr">
        <is>
          <t>Top-Row Cell Format</t>
        </is>
      </c>
      <c r="C1505" s="145" t="inlineStr">
        <is>
          <t>A5</t>
        </is>
      </c>
      <c r="D1505" s="145" t="inlineStr">
        <is>
          <t>MNL_PPO!A1:AM329</t>
        </is>
      </c>
      <c r="E1505" s="145" t="inlineStr">
        <is>
          <t>Normal</t>
        </is>
      </c>
      <c r="F1505" s="145" t="n"/>
      <c r="G1505" s="145" t="inlineStr">
        <is>
          <t>Cambria</t>
        </is>
      </c>
      <c r="H1505" s="145" t="n">
        <v>8</v>
      </c>
      <c r="I1505" s="145" t="inlineStr">
        <is>
          <t>No</t>
        </is>
      </c>
      <c r="J1505" s="145" t="inlineStr">
        <is>
          <t>No</t>
        </is>
      </c>
      <c r="K1505" s="145" t="inlineStr">
        <is>
          <t>None</t>
        </is>
      </c>
      <c r="L1505" s="145" t="inlineStr">
        <is>
          <t>#000000</t>
        </is>
      </c>
      <c r="M1505" s="145" t="inlineStr">
        <is>
          <t>General</t>
        </is>
      </c>
      <c r="N1505" s="145" t="inlineStr">
        <is>
          <t>Center</t>
        </is>
      </c>
      <c r="O1505" s="145" t="inlineStr">
        <is>
          <t>No</t>
        </is>
      </c>
      <c r="P1505" s="145" t="inlineStr">
        <is>
          <t>General</t>
        </is>
      </c>
      <c r="Q1505" s="145" t="inlineStr">
        <is>
          <t>General</t>
        </is>
      </c>
      <c r="R1505" s="145" t="n"/>
      <c r="S1505" s="145" t="n"/>
      <c r="T1505" s="145" t="n"/>
      <c r="U1505" s="145" t="n"/>
      <c r="V1505" s="145" t="n"/>
      <c r="W1505" s="145" t="n"/>
      <c r="X1505" s="145" t="inlineStr">
        <is>
          <t>Detailed format sample from top five used rows</t>
        </is>
      </c>
    </row>
    <row r="1506" ht="23.85" customHeight="1" s="79">
      <c r="A1506" s="145" t="inlineStr">
        <is>
          <t>MNL_PPO</t>
        </is>
      </c>
      <c r="B1506" s="145" t="inlineStr">
        <is>
          <t>Column Format</t>
        </is>
      </c>
      <c r="C1506" s="145" t="inlineStr">
        <is>
          <t>B:B</t>
        </is>
      </c>
      <c r="D1506" s="145" t="inlineStr">
        <is>
          <t>MNL_PPO!A1:AM329</t>
        </is>
      </c>
      <c r="E1506" s="145" t="inlineStr">
        <is>
          <t>Normal</t>
        </is>
      </c>
      <c r="F1506" s="145" t="inlineStr">
        <is>
          <t>Mixed</t>
        </is>
      </c>
      <c r="G1506" s="145" t="inlineStr">
        <is>
          <t>Cambria</t>
        </is>
      </c>
      <c r="H1506" s="145" t="n">
        <v>8</v>
      </c>
      <c r="I1506" s="145" t="inlineStr">
        <is>
          <t>Mixed</t>
        </is>
      </c>
      <c r="J1506" s="145" t="inlineStr">
        <is>
          <t>No</t>
        </is>
      </c>
      <c r="K1506" s="145" t="inlineStr">
        <is>
          <t>None</t>
        </is>
      </c>
      <c r="L1506" s="145" t="inlineStr">
        <is>
          <t>Mixed</t>
        </is>
      </c>
      <c r="M1506" s="145" t="inlineStr">
        <is>
          <t>General</t>
        </is>
      </c>
      <c r="N1506" s="145" t="inlineStr">
        <is>
          <t>Center</t>
        </is>
      </c>
      <c r="O1506" s="145" t="inlineStr">
        <is>
          <t>No</t>
        </is>
      </c>
      <c r="P1506" s="145" t="n"/>
      <c r="Q1506" s="145" t="n"/>
      <c r="R1506" s="145" t="n"/>
      <c r="S1506" s="145" t="n">
        <v>34.9253731343284</v>
      </c>
      <c r="T1506" s="145" t="n"/>
      <c r="U1506" s="145" t="inlineStr">
        <is>
          <t>No</t>
        </is>
      </c>
      <c r="V1506" s="145" t="inlineStr">
        <is>
          <t>Visible</t>
        </is>
      </c>
      <c r="W1506" s="145" t="n"/>
      <c r="X1506" s="145" t="inlineStr">
        <is>
          <t>Mixed styles within used column</t>
        </is>
      </c>
    </row>
    <row r="1507" ht="23.85" customHeight="1" s="79">
      <c r="A1507" s="145" t="inlineStr">
        <is>
          <t>MNL_PPO</t>
        </is>
      </c>
      <c r="B1507" s="145" t="inlineStr">
        <is>
          <t>Top-Row Cell Format</t>
        </is>
      </c>
      <c r="C1507" s="145" t="inlineStr">
        <is>
          <t>B1</t>
        </is>
      </c>
      <c r="D1507" s="145" t="inlineStr">
        <is>
          <t>MNL_PPO!A1:AM329</t>
        </is>
      </c>
      <c r="E1507" s="145" t="inlineStr">
        <is>
          <t>Normal</t>
        </is>
      </c>
      <c r="F1507" s="145" t="inlineStr">
        <is>
          <t>#70AD47</t>
        </is>
      </c>
      <c r="G1507" s="145" t="inlineStr">
        <is>
          <t>Cambria</t>
        </is>
      </c>
      <c r="H1507" s="145" t="n">
        <v>8</v>
      </c>
      <c r="I1507" s="145" t="inlineStr">
        <is>
          <t>Yes</t>
        </is>
      </c>
      <c r="J1507" s="145" t="inlineStr">
        <is>
          <t>No</t>
        </is>
      </c>
      <c r="K1507" s="145" t="inlineStr">
        <is>
          <t>None</t>
        </is>
      </c>
      <c r="L1507" s="145" t="inlineStr">
        <is>
          <t>#FFFFFF</t>
        </is>
      </c>
      <c r="M1507" s="145" t="inlineStr">
        <is>
          <t>General</t>
        </is>
      </c>
      <c r="N1507" s="145" t="inlineStr">
        <is>
          <t>Center</t>
        </is>
      </c>
      <c r="O1507" s="145" t="inlineStr">
        <is>
          <t>No</t>
        </is>
      </c>
      <c r="P1507" s="145" t="inlineStr">
        <is>
          <t>General</t>
        </is>
      </c>
      <c r="Q1507" s="145" t="inlineStr">
        <is>
          <t>General</t>
        </is>
      </c>
      <c r="R1507" s="145" t="n"/>
      <c r="S1507" s="145" t="n"/>
      <c r="T1507" s="145" t="n"/>
      <c r="U1507" s="145" t="n"/>
      <c r="V1507" s="145" t="n"/>
      <c r="W1507" s="145" t="n"/>
      <c r="X1507" s="145" t="inlineStr">
        <is>
          <t>Detailed format sample from top five used rows</t>
        </is>
      </c>
    </row>
    <row r="1508" ht="23.85" customHeight="1" s="79">
      <c r="A1508" s="145" t="inlineStr">
        <is>
          <t>MNL_PPO</t>
        </is>
      </c>
      <c r="B1508" s="145" t="inlineStr">
        <is>
          <t>Top-Row Cell Format</t>
        </is>
      </c>
      <c r="C1508" s="145" t="inlineStr">
        <is>
          <t>B2</t>
        </is>
      </c>
      <c r="D1508" s="145" t="inlineStr">
        <is>
          <t>MNL_PPO!A1:AM329</t>
        </is>
      </c>
      <c r="E1508" s="145" t="inlineStr">
        <is>
          <t>Normal</t>
        </is>
      </c>
      <c r="F1508" s="145" t="n"/>
      <c r="G1508" s="145" t="inlineStr">
        <is>
          <t>Cambria</t>
        </is>
      </c>
      <c r="H1508" s="145" t="n">
        <v>8</v>
      </c>
      <c r="I1508" s="145" t="inlineStr">
        <is>
          <t>No</t>
        </is>
      </c>
      <c r="J1508" s="145" t="inlineStr">
        <is>
          <t>No</t>
        </is>
      </c>
      <c r="K1508" s="145" t="inlineStr">
        <is>
          <t>None</t>
        </is>
      </c>
      <c r="L1508" s="145" t="inlineStr">
        <is>
          <t>#000000</t>
        </is>
      </c>
      <c r="M1508" s="145" t="inlineStr">
        <is>
          <t>General</t>
        </is>
      </c>
      <c r="N1508" s="145" t="inlineStr">
        <is>
          <t>Center</t>
        </is>
      </c>
      <c r="O1508" s="145" t="inlineStr">
        <is>
          <t>No</t>
        </is>
      </c>
      <c r="P1508" s="145" t="inlineStr">
        <is>
          <t>General</t>
        </is>
      </c>
      <c r="Q1508" s="145" t="inlineStr">
        <is>
          <t>General</t>
        </is>
      </c>
      <c r="R1508" s="145" t="n"/>
      <c r="S1508" s="145" t="n"/>
      <c r="T1508" s="145" t="n"/>
      <c r="U1508" s="145" t="n"/>
      <c r="V1508" s="145" t="n"/>
      <c r="W1508" s="145" t="n"/>
      <c r="X1508" s="145" t="inlineStr">
        <is>
          <t>Detailed format sample from top five used rows</t>
        </is>
      </c>
    </row>
    <row r="1509" ht="23.85" customHeight="1" s="79">
      <c r="A1509" s="145" t="inlineStr">
        <is>
          <t>MNL_PPO</t>
        </is>
      </c>
      <c r="B1509" s="145" t="inlineStr">
        <is>
          <t>Top-Row Cell Format</t>
        </is>
      </c>
      <c r="C1509" s="145" t="inlineStr">
        <is>
          <t>B3</t>
        </is>
      </c>
      <c r="D1509" s="145" t="inlineStr">
        <is>
          <t>MNL_PPO!A1:AM329</t>
        </is>
      </c>
      <c r="E1509" s="145" t="inlineStr">
        <is>
          <t>Normal</t>
        </is>
      </c>
      <c r="F1509" s="145" t="n"/>
      <c r="G1509" s="145" t="inlineStr">
        <is>
          <t>Cambria</t>
        </is>
      </c>
      <c r="H1509" s="145" t="n">
        <v>8</v>
      </c>
      <c r="I1509" s="145" t="inlineStr">
        <is>
          <t>No</t>
        </is>
      </c>
      <c r="J1509" s="145" t="inlineStr">
        <is>
          <t>No</t>
        </is>
      </c>
      <c r="K1509" s="145" t="inlineStr">
        <is>
          <t>None</t>
        </is>
      </c>
      <c r="L1509" s="145" t="inlineStr">
        <is>
          <t>#000000</t>
        </is>
      </c>
      <c r="M1509" s="145" t="inlineStr">
        <is>
          <t>General</t>
        </is>
      </c>
      <c r="N1509" s="145" t="inlineStr">
        <is>
          <t>Center</t>
        </is>
      </c>
      <c r="O1509" s="145" t="inlineStr">
        <is>
          <t>No</t>
        </is>
      </c>
      <c r="P1509" s="145" t="inlineStr">
        <is>
          <t>General</t>
        </is>
      </c>
      <c r="Q1509" s="145" t="inlineStr">
        <is>
          <t>General</t>
        </is>
      </c>
      <c r="R1509" s="145" t="n"/>
      <c r="S1509" s="145" t="n"/>
      <c r="T1509" s="145" t="n"/>
      <c r="U1509" s="145" t="n"/>
      <c r="V1509" s="145" t="n"/>
      <c r="W1509" s="145" t="n"/>
      <c r="X1509" s="145" t="inlineStr">
        <is>
          <t>Detailed format sample from top five used rows</t>
        </is>
      </c>
    </row>
    <row r="1510" ht="23.85" customHeight="1" s="79">
      <c r="A1510" s="145" t="inlineStr">
        <is>
          <t>MNL_PPO</t>
        </is>
      </c>
      <c r="B1510" s="145" t="inlineStr">
        <is>
          <t>Top-Row Cell Format</t>
        </is>
      </c>
      <c r="C1510" s="145" t="inlineStr">
        <is>
          <t>B4</t>
        </is>
      </c>
      <c r="D1510" s="145" t="inlineStr">
        <is>
          <t>MNL_PPO!A1:AM329</t>
        </is>
      </c>
      <c r="E1510" s="145" t="inlineStr">
        <is>
          <t>Normal</t>
        </is>
      </c>
      <c r="F1510" s="145" t="n"/>
      <c r="G1510" s="145" t="inlineStr">
        <is>
          <t>Cambria</t>
        </is>
      </c>
      <c r="H1510" s="145" t="n">
        <v>8</v>
      </c>
      <c r="I1510" s="145" t="inlineStr">
        <is>
          <t>No</t>
        </is>
      </c>
      <c r="J1510" s="145" t="inlineStr">
        <is>
          <t>No</t>
        </is>
      </c>
      <c r="K1510" s="145" t="inlineStr">
        <is>
          <t>None</t>
        </is>
      </c>
      <c r="L1510" s="145" t="inlineStr">
        <is>
          <t>#000000</t>
        </is>
      </c>
      <c r="M1510" s="145" t="inlineStr">
        <is>
          <t>General</t>
        </is>
      </c>
      <c r="N1510" s="145" t="inlineStr">
        <is>
          <t>Center</t>
        </is>
      </c>
      <c r="O1510" s="145" t="inlineStr">
        <is>
          <t>No</t>
        </is>
      </c>
      <c r="P1510" s="145" t="inlineStr">
        <is>
          <t>General</t>
        </is>
      </c>
      <c r="Q1510" s="145" t="inlineStr">
        <is>
          <t>General</t>
        </is>
      </c>
      <c r="R1510" s="145" t="n"/>
      <c r="S1510" s="145" t="n"/>
      <c r="T1510" s="145" t="n"/>
      <c r="U1510" s="145" t="n"/>
      <c r="V1510" s="145" t="n"/>
      <c r="W1510" s="145" t="n"/>
      <c r="X1510" s="145" t="inlineStr">
        <is>
          <t>Detailed format sample from top five used rows</t>
        </is>
      </c>
    </row>
    <row r="1511" ht="23.85" customHeight="1" s="79">
      <c r="A1511" s="145" t="inlineStr">
        <is>
          <t>MNL_PPO</t>
        </is>
      </c>
      <c r="B1511" s="145" t="inlineStr">
        <is>
          <t>Top-Row Cell Format</t>
        </is>
      </c>
      <c r="C1511" s="145" t="inlineStr">
        <is>
          <t>B5</t>
        </is>
      </c>
      <c r="D1511" s="145" t="inlineStr">
        <is>
          <t>MNL_PPO!A1:AM329</t>
        </is>
      </c>
      <c r="E1511" s="145" t="inlineStr">
        <is>
          <t>Normal</t>
        </is>
      </c>
      <c r="F1511" s="145" t="n"/>
      <c r="G1511" s="145" t="inlineStr">
        <is>
          <t>Cambria</t>
        </is>
      </c>
      <c r="H1511" s="145" t="n">
        <v>8</v>
      </c>
      <c r="I1511" s="145" t="inlineStr">
        <is>
          <t>No</t>
        </is>
      </c>
      <c r="J1511" s="145" t="inlineStr">
        <is>
          <t>No</t>
        </is>
      </c>
      <c r="K1511" s="145" t="inlineStr">
        <is>
          <t>None</t>
        </is>
      </c>
      <c r="L1511" s="145" t="inlineStr">
        <is>
          <t>#000000</t>
        </is>
      </c>
      <c r="M1511" s="145" t="inlineStr">
        <is>
          <t>General</t>
        </is>
      </c>
      <c r="N1511" s="145" t="inlineStr">
        <is>
          <t>Center</t>
        </is>
      </c>
      <c r="O1511" s="145" t="inlineStr">
        <is>
          <t>No</t>
        </is>
      </c>
      <c r="P1511" s="145" t="inlineStr">
        <is>
          <t>General</t>
        </is>
      </c>
      <c r="Q1511" s="145" t="inlineStr">
        <is>
          <t>General</t>
        </is>
      </c>
      <c r="R1511" s="145" t="n"/>
      <c r="S1511" s="145" t="n"/>
      <c r="T1511" s="145" t="n"/>
      <c r="U1511" s="145" t="n"/>
      <c r="V1511" s="145" t="n"/>
      <c r="W1511" s="145" t="n"/>
      <c r="X1511" s="145" t="inlineStr">
        <is>
          <t>Detailed format sample from top five used rows</t>
        </is>
      </c>
    </row>
    <row r="1512" ht="23.85" customHeight="1" s="79">
      <c r="A1512" s="145" t="inlineStr">
        <is>
          <t>MNL_PPO</t>
        </is>
      </c>
      <c r="B1512" s="145" t="inlineStr">
        <is>
          <t>Column Format</t>
        </is>
      </c>
      <c r="C1512" s="145" t="inlineStr">
        <is>
          <t>C:C</t>
        </is>
      </c>
      <c r="D1512" s="145" t="inlineStr">
        <is>
          <t>MNL_PPO!A1:AM329</t>
        </is>
      </c>
      <c r="E1512" s="145" t="inlineStr">
        <is>
          <t>Normal</t>
        </is>
      </c>
      <c r="F1512" s="145" t="inlineStr">
        <is>
          <t>Mixed</t>
        </is>
      </c>
      <c r="G1512" s="145" t="inlineStr">
        <is>
          <t>Cambria</t>
        </is>
      </c>
      <c r="H1512" s="145" t="n">
        <v>8</v>
      </c>
      <c r="I1512" s="145" t="inlineStr">
        <is>
          <t>Mixed</t>
        </is>
      </c>
      <c r="J1512" s="145" t="inlineStr">
        <is>
          <t>No</t>
        </is>
      </c>
      <c r="K1512" s="145" t="inlineStr">
        <is>
          <t>None</t>
        </is>
      </c>
      <c r="L1512" s="145" t="inlineStr">
        <is>
          <t>Mixed</t>
        </is>
      </c>
      <c r="M1512" s="145" t="inlineStr">
        <is>
          <t>General</t>
        </is>
      </c>
      <c r="N1512" s="145" t="inlineStr">
        <is>
          <t>Center</t>
        </is>
      </c>
      <c r="O1512" s="145" t="inlineStr">
        <is>
          <t>No</t>
        </is>
      </c>
      <c r="P1512" s="145" t="n"/>
      <c r="Q1512" s="145" t="n"/>
      <c r="R1512" s="145" t="n"/>
      <c r="S1512" s="145" t="n">
        <v>38.6865671641791</v>
      </c>
      <c r="T1512" s="145" t="n"/>
      <c r="U1512" s="145" t="inlineStr">
        <is>
          <t>No</t>
        </is>
      </c>
      <c r="V1512" s="145" t="inlineStr">
        <is>
          <t>Visible</t>
        </is>
      </c>
      <c r="W1512" s="145" t="n"/>
      <c r="X1512" s="145" t="inlineStr">
        <is>
          <t>Mixed styles within used column</t>
        </is>
      </c>
    </row>
    <row r="1513" ht="23.85" customHeight="1" s="79">
      <c r="A1513" s="145" t="inlineStr">
        <is>
          <t>MNL_PPO</t>
        </is>
      </c>
      <c r="B1513" s="145" t="inlineStr">
        <is>
          <t>Top-Row Cell Format</t>
        </is>
      </c>
      <c r="C1513" s="145" t="inlineStr">
        <is>
          <t>C1</t>
        </is>
      </c>
      <c r="D1513" s="145" t="inlineStr">
        <is>
          <t>MNL_PPO!A1:AM329</t>
        </is>
      </c>
      <c r="E1513" s="145" t="inlineStr">
        <is>
          <t>Normal</t>
        </is>
      </c>
      <c r="F1513" s="145" t="inlineStr">
        <is>
          <t>#70AD47</t>
        </is>
      </c>
      <c r="G1513" s="145" t="inlineStr">
        <is>
          <t>Cambria</t>
        </is>
      </c>
      <c r="H1513" s="145" t="n">
        <v>8</v>
      </c>
      <c r="I1513" s="145" t="inlineStr">
        <is>
          <t>Yes</t>
        </is>
      </c>
      <c r="J1513" s="145" t="inlineStr">
        <is>
          <t>No</t>
        </is>
      </c>
      <c r="K1513" s="145" t="inlineStr">
        <is>
          <t>None</t>
        </is>
      </c>
      <c r="L1513" s="145" t="inlineStr">
        <is>
          <t>#FFFFFF</t>
        </is>
      </c>
      <c r="M1513" s="145" t="inlineStr">
        <is>
          <t>General</t>
        </is>
      </c>
      <c r="N1513" s="145" t="inlineStr">
        <is>
          <t>Center</t>
        </is>
      </c>
      <c r="O1513" s="145" t="inlineStr">
        <is>
          <t>No</t>
        </is>
      </c>
      <c r="P1513" s="145" t="inlineStr">
        <is>
          <t>General</t>
        </is>
      </c>
      <c r="Q1513" s="145" t="inlineStr">
        <is>
          <t>General</t>
        </is>
      </c>
      <c r="R1513" s="145" t="n"/>
      <c r="S1513" s="145" t="n"/>
      <c r="T1513" s="145" t="n"/>
      <c r="U1513" s="145" t="n"/>
      <c r="V1513" s="145" t="n"/>
      <c r="W1513" s="145" t="n"/>
      <c r="X1513" s="145" t="inlineStr">
        <is>
          <t>Detailed format sample from top five used rows</t>
        </is>
      </c>
    </row>
    <row r="1514" ht="23.85" customHeight="1" s="79">
      <c r="A1514" s="145" t="inlineStr">
        <is>
          <t>MNL_PPO</t>
        </is>
      </c>
      <c r="B1514" s="145" t="inlineStr">
        <is>
          <t>Top-Row Cell Format</t>
        </is>
      </c>
      <c r="C1514" s="145" t="inlineStr">
        <is>
          <t>C2</t>
        </is>
      </c>
      <c r="D1514" s="145" t="inlineStr">
        <is>
          <t>MNL_PPO!A1:AM329</t>
        </is>
      </c>
      <c r="E1514" s="145" t="inlineStr">
        <is>
          <t>Normal</t>
        </is>
      </c>
      <c r="F1514" s="145" t="n"/>
      <c r="G1514" s="145" t="inlineStr">
        <is>
          <t>Cambria</t>
        </is>
      </c>
      <c r="H1514" s="145" t="n">
        <v>8</v>
      </c>
      <c r="I1514" s="145" t="inlineStr">
        <is>
          <t>No</t>
        </is>
      </c>
      <c r="J1514" s="145" t="inlineStr">
        <is>
          <t>No</t>
        </is>
      </c>
      <c r="K1514" s="145" t="inlineStr">
        <is>
          <t>None</t>
        </is>
      </c>
      <c r="L1514" s="145" t="inlineStr">
        <is>
          <t>#000000</t>
        </is>
      </c>
      <c r="M1514" s="145" t="inlineStr">
        <is>
          <t>General</t>
        </is>
      </c>
      <c r="N1514" s="145" t="inlineStr">
        <is>
          <t>Center</t>
        </is>
      </c>
      <c r="O1514" s="145" t="inlineStr">
        <is>
          <t>No</t>
        </is>
      </c>
      <c r="P1514" s="145" t="inlineStr">
        <is>
          <t>General</t>
        </is>
      </c>
      <c r="Q1514" s="145" t="inlineStr">
        <is>
          <t>General</t>
        </is>
      </c>
      <c r="R1514" s="145" t="n"/>
      <c r="S1514" s="145" t="n"/>
      <c r="T1514" s="145" t="n"/>
      <c r="U1514" s="145" t="n"/>
      <c r="V1514" s="145" t="n"/>
      <c r="W1514" s="145" t="n"/>
      <c r="X1514" s="145" t="inlineStr">
        <is>
          <t>Detailed format sample from top five used rows</t>
        </is>
      </c>
    </row>
    <row r="1515" ht="23.85" customHeight="1" s="79">
      <c r="A1515" s="145" t="inlineStr">
        <is>
          <t>MNL_PPO</t>
        </is>
      </c>
      <c r="B1515" s="145" t="inlineStr">
        <is>
          <t>Top-Row Cell Format</t>
        </is>
      </c>
      <c r="C1515" s="145" t="inlineStr">
        <is>
          <t>C3</t>
        </is>
      </c>
      <c r="D1515" s="145" t="inlineStr">
        <is>
          <t>MNL_PPO!A1:AM329</t>
        </is>
      </c>
      <c r="E1515" s="145" t="inlineStr">
        <is>
          <t>Normal</t>
        </is>
      </c>
      <c r="F1515" s="145" t="n"/>
      <c r="G1515" s="145" t="inlineStr">
        <is>
          <t>Cambria</t>
        </is>
      </c>
      <c r="H1515" s="145" t="n">
        <v>8</v>
      </c>
      <c r="I1515" s="145" t="inlineStr">
        <is>
          <t>No</t>
        </is>
      </c>
      <c r="J1515" s="145" t="inlineStr">
        <is>
          <t>No</t>
        </is>
      </c>
      <c r="K1515" s="145" t="inlineStr">
        <is>
          <t>None</t>
        </is>
      </c>
      <c r="L1515" s="145" t="inlineStr">
        <is>
          <t>#000000</t>
        </is>
      </c>
      <c r="M1515" s="145" t="inlineStr">
        <is>
          <t>General</t>
        </is>
      </c>
      <c r="N1515" s="145" t="inlineStr">
        <is>
          <t>Center</t>
        </is>
      </c>
      <c r="O1515" s="145" t="inlineStr">
        <is>
          <t>No</t>
        </is>
      </c>
      <c r="P1515" s="145" t="inlineStr">
        <is>
          <t>General</t>
        </is>
      </c>
      <c r="Q1515" s="145" t="inlineStr">
        <is>
          <t>General</t>
        </is>
      </c>
      <c r="R1515" s="145" t="n"/>
      <c r="S1515" s="145" t="n"/>
      <c r="T1515" s="145" t="n"/>
      <c r="U1515" s="145" t="n"/>
      <c r="V1515" s="145" t="n"/>
      <c r="W1515" s="145" t="n"/>
      <c r="X1515" s="145" t="inlineStr">
        <is>
          <t>Detailed format sample from top five used rows</t>
        </is>
      </c>
    </row>
    <row r="1516" ht="23.85" customHeight="1" s="79">
      <c r="A1516" s="145" t="inlineStr">
        <is>
          <t>MNL_PPO</t>
        </is>
      </c>
      <c r="B1516" s="145" t="inlineStr">
        <is>
          <t>Top-Row Cell Format</t>
        </is>
      </c>
      <c r="C1516" s="145" t="inlineStr">
        <is>
          <t>C4</t>
        </is>
      </c>
      <c r="D1516" s="145" t="inlineStr">
        <is>
          <t>MNL_PPO!A1:AM329</t>
        </is>
      </c>
      <c r="E1516" s="145" t="inlineStr">
        <is>
          <t>Normal</t>
        </is>
      </c>
      <c r="F1516" s="145" t="n"/>
      <c r="G1516" s="145" t="inlineStr">
        <is>
          <t>Cambria</t>
        </is>
      </c>
      <c r="H1516" s="145" t="n">
        <v>8</v>
      </c>
      <c r="I1516" s="145" t="inlineStr">
        <is>
          <t>No</t>
        </is>
      </c>
      <c r="J1516" s="145" t="inlineStr">
        <is>
          <t>No</t>
        </is>
      </c>
      <c r="K1516" s="145" t="inlineStr">
        <is>
          <t>None</t>
        </is>
      </c>
      <c r="L1516" s="145" t="inlineStr">
        <is>
          <t>#000000</t>
        </is>
      </c>
      <c r="M1516" s="145" t="inlineStr">
        <is>
          <t>General</t>
        </is>
      </c>
      <c r="N1516" s="145" t="inlineStr">
        <is>
          <t>Center</t>
        </is>
      </c>
      <c r="O1516" s="145" t="inlineStr">
        <is>
          <t>No</t>
        </is>
      </c>
      <c r="P1516" s="145" t="inlineStr">
        <is>
          <t>General</t>
        </is>
      </c>
      <c r="Q1516" s="145" t="inlineStr">
        <is>
          <t>General</t>
        </is>
      </c>
      <c r="R1516" s="145" t="n"/>
      <c r="S1516" s="145" t="n"/>
      <c r="T1516" s="145" t="n"/>
      <c r="U1516" s="145" t="n"/>
      <c r="V1516" s="145" t="n"/>
      <c r="W1516" s="145" t="n"/>
      <c r="X1516" s="145" t="inlineStr">
        <is>
          <t>Detailed format sample from top five used rows</t>
        </is>
      </c>
    </row>
    <row r="1517" ht="23.85" customHeight="1" s="79">
      <c r="A1517" s="145" t="inlineStr">
        <is>
          <t>MNL_PPO</t>
        </is>
      </c>
      <c r="B1517" s="145" t="inlineStr">
        <is>
          <t>Top-Row Cell Format</t>
        </is>
      </c>
      <c r="C1517" s="145" t="inlineStr">
        <is>
          <t>C5</t>
        </is>
      </c>
      <c r="D1517" s="145" t="inlineStr">
        <is>
          <t>MNL_PPO!A1:AM329</t>
        </is>
      </c>
      <c r="E1517" s="145" t="inlineStr">
        <is>
          <t>Normal</t>
        </is>
      </c>
      <c r="F1517" s="145" t="n"/>
      <c r="G1517" s="145" t="inlineStr">
        <is>
          <t>Cambria</t>
        </is>
      </c>
      <c r="H1517" s="145" t="n">
        <v>8</v>
      </c>
      <c r="I1517" s="145" t="inlineStr">
        <is>
          <t>No</t>
        </is>
      </c>
      <c r="J1517" s="145" t="inlineStr">
        <is>
          <t>No</t>
        </is>
      </c>
      <c r="K1517" s="145" t="inlineStr">
        <is>
          <t>None</t>
        </is>
      </c>
      <c r="L1517" s="145" t="inlineStr">
        <is>
          <t>#000000</t>
        </is>
      </c>
      <c r="M1517" s="145" t="inlineStr">
        <is>
          <t>General</t>
        </is>
      </c>
      <c r="N1517" s="145" t="inlineStr">
        <is>
          <t>Center</t>
        </is>
      </c>
      <c r="O1517" s="145" t="inlineStr">
        <is>
          <t>No</t>
        </is>
      </c>
      <c r="P1517" s="145" t="inlineStr">
        <is>
          <t>General</t>
        </is>
      </c>
      <c r="Q1517" s="145" t="inlineStr">
        <is>
          <t>General</t>
        </is>
      </c>
      <c r="R1517" s="145" t="n"/>
      <c r="S1517" s="145" t="n"/>
      <c r="T1517" s="145" t="n"/>
      <c r="U1517" s="145" t="n"/>
      <c r="V1517" s="145" t="n"/>
      <c r="W1517" s="145" t="n"/>
      <c r="X1517" s="145" t="inlineStr">
        <is>
          <t>Detailed format sample from top five used rows</t>
        </is>
      </c>
    </row>
    <row r="1518" ht="23.85" customHeight="1" s="79">
      <c r="A1518" s="145" t="inlineStr">
        <is>
          <t>MNL_PPO</t>
        </is>
      </c>
      <c r="B1518" s="145" t="inlineStr">
        <is>
          <t>Column Format</t>
        </is>
      </c>
      <c r="C1518" s="145" t="inlineStr">
        <is>
          <t>D:D</t>
        </is>
      </c>
      <c r="D1518" s="145" t="inlineStr">
        <is>
          <t>MNL_PPO!A1:AM329</t>
        </is>
      </c>
      <c r="E1518" s="145" t="inlineStr">
        <is>
          <t>Normal</t>
        </is>
      </c>
      <c r="F1518" s="145" t="inlineStr">
        <is>
          <t>Mixed</t>
        </is>
      </c>
      <c r="G1518" s="145" t="inlineStr">
        <is>
          <t>Cambria</t>
        </is>
      </c>
      <c r="H1518" s="145" t="n">
        <v>8</v>
      </c>
      <c r="I1518" s="145" t="inlineStr">
        <is>
          <t>Mixed</t>
        </is>
      </c>
      <c r="J1518" s="145" t="inlineStr">
        <is>
          <t>No</t>
        </is>
      </c>
      <c r="K1518" s="145" t="inlineStr">
        <is>
          <t>None</t>
        </is>
      </c>
      <c r="L1518" s="145" t="inlineStr">
        <is>
          <t>Mixed</t>
        </is>
      </c>
      <c r="M1518" s="145" t="inlineStr">
        <is>
          <t>General</t>
        </is>
      </c>
      <c r="N1518" s="145" t="inlineStr">
        <is>
          <t>Center</t>
        </is>
      </c>
      <c r="O1518" s="145" t="inlineStr">
        <is>
          <t>No</t>
        </is>
      </c>
      <c r="P1518" s="145" t="n"/>
      <c r="Q1518" s="145" t="n"/>
      <c r="R1518" s="145" t="n"/>
      <c r="S1518" s="145" t="n">
        <v>34.9253731343284</v>
      </c>
      <c r="T1518" s="145" t="n"/>
      <c r="U1518" s="145" t="inlineStr">
        <is>
          <t>No</t>
        </is>
      </c>
      <c r="V1518" s="145" t="inlineStr">
        <is>
          <t>Visible</t>
        </is>
      </c>
      <c r="W1518" s="145" t="n"/>
      <c r="X1518" s="145" t="inlineStr">
        <is>
          <t>Mixed styles within used column</t>
        </is>
      </c>
    </row>
    <row r="1519" ht="23.85" customHeight="1" s="79">
      <c r="A1519" s="145" t="inlineStr">
        <is>
          <t>MNL_PPO</t>
        </is>
      </c>
      <c r="B1519" s="145" t="inlineStr">
        <is>
          <t>Top-Row Cell Format</t>
        </is>
      </c>
      <c r="C1519" s="145" t="inlineStr">
        <is>
          <t>D1</t>
        </is>
      </c>
      <c r="D1519" s="145" t="inlineStr">
        <is>
          <t>MNL_PPO!A1:AM329</t>
        </is>
      </c>
      <c r="E1519" s="145" t="inlineStr">
        <is>
          <t>Normal</t>
        </is>
      </c>
      <c r="F1519" s="145" t="inlineStr">
        <is>
          <t>#70AD47</t>
        </is>
      </c>
      <c r="G1519" s="145" t="inlineStr">
        <is>
          <t>Cambria</t>
        </is>
      </c>
      <c r="H1519" s="145" t="n">
        <v>8</v>
      </c>
      <c r="I1519" s="145" t="inlineStr">
        <is>
          <t>Yes</t>
        </is>
      </c>
      <c r="J1519" s="145" t="inlineStr">
        <is>
          <t>No</t>
        </is>
      </c>
      <c r="K1519" s="145" t="inlineStr">
        <is>
          <t>None</t>
        </is>
      </c>
      <c r="L1519" s="145" t="inlineStr">
        <is>
          <t>#FFFFFF</t>
        </is>
      </c>
      <c r="M1519" s="145" t="inlineStr">
        <is>
          <t>General</t>
        </is>
      </c>
      <c r="N1519" s="145" t="inlineStr">
        <is>
          <t>Center</t>
        </is>
      </c>
      <c r="O1519" s="145" t="inlineStr">
        <is>
          <t>No</t>
        </is>
      </c>
      <c r="P1519" s="145" t="inlineStr">
        <is>
          <t>General</t>
        </is>
      </c>
      <c r="Q1519" s="145" t="inlineStr">
        <is>
          <t>General</t>
        </is>
      </c>
      <c r="R1519" s="145" t="n"/>
      <c r="S1519" s="145" t="n"/>
      <c r="T1519" s="145" t="n"/>
      <c r="U1519" s="145" t="n"/>
      <c r="V1519" s="145" t="n"/>
      <c r="W1519" s="145" t="n"/>
      <c r="X1519" s="145" t="inlineStr">
        <is>
          <t>Detailed format sample from top five used rows</t>
        </is>
      </c>
    </row>
    <row r="1520" ht="23.85" customHeight="1" s="79">
      <c r="A1520" s="145" t="inlineStr">
        <is>
          <t>MNL_PPO</t>
        </is>
      </c>
      <c r="B1520" s="145" t="inlineStr">
        <is>
          <t>Top-Row Cell Format</t>
        </is>
      </c>
      <c r="C1520" s="145" t="inlineStr">
        <is>
          <t>D2</t>
        </is>
      </c>
      <c r="D1520" s="145" t="inlineStr">
        <is>
          <t>MNL_PPO!A1:AM329</t>
        </is>
      </c>
      <c r="E1520" s="145" t="inlineStr">
        <is>
          <t>Normal</t>
        </is>
      </c>
      <c r="F1520" s="145" t="n"/>
      <c r="G1520" s="145" t="inlineStr">
        <is>
          <t>Cambria</t>
        </is>
      </c>
      <c r="H1520" s="145" t="n">
        <v>8</v>
      </c>
      <c r="I1520" s="145" t="inlineStr">
        <is>
          <t>No</t>
        </is>
      </c>
      <c r="J1520" s="145" t="inlineStr">
        <is>
          <t>No</t>
        </is>
      </c>
      <c r="K1520" s="145" t="inlineStr">
        <is>
          <t>None</t>
        </is>
      </c>
      <c r="L1520" s="145" t="inlineStr">
        <is>
          <t>#000000</t>
        </is>
      </c>
      <c r="M1520" s="145" t="inlineStr">
        <is>
          <t>General</t>
        </is>
      </c>
      <c r="N1520" s="145" t="inlineStr">
        <is>
          <t>Center</t>
        </is>
      </c>
      <c r="O1520" s="145" t="inlineStr">
        <is>
          <t>No</t>
        </is>
      </c>
      <c r="P1520" s="145" t="inlineStr">
        <is>
          <t>General</t>
        </is>
      </c>
      <c r="Q1520" s="145" t="inlineStr">
        <is>
          <t>General</t>
        </is>
      </c>
      <c r="R1520" s="145" t="n"/>
      <c r="S1520" s="145" t="n"/>
      <c r="T1520" s="145" t="n"/>
      <c r="U1520" s="145" t="n"/>
      <c r="V1520" s="145" t="n"/>
      <c r="W1520" s="145" t="n"/>
      <c r="X1520" s="145" t="inlineStr">
        <is>
          <t>Detailed format sample from top five used rows</t>
        </is>
      </c>
    </row>
    <row r="1521" ht="23.85" customHeight="1" s="79">
      <c r="A1521" s="145" t="inlineStr">
        <is>
          <t>MNL_PPO</t>
        </is>
      </c>
      <c r="B1521" s="145" t="inlineStr">
        <is>
          <t>Top-Row Cell Format</t>
        </is>
      </c>
      <c r="C1521" s="145" t="inlineStr">
        <is>
          <t>D3</t>
        </is>
      </c>
      <c r="D1521" s="145" t="inlineStr">
        <is>
          <t>MNL_PPO!A1:AM329</t>
        </is>
      </c>
      <c r="E1521" s="145" t="inlineStr">
        <is>
          <t>Normal</t>
        </is>
      </c>
      <c r="F1521" s="145" t="n"/>
      <c r="G1521" s="145" t="inlineStr">
        <is>
          <t>Cambria</t>
        </is>
      </c>
      <c r="H1521" s="145" t="n">
        <v>8</v>
      </c>
      <c r="I1521" s="145" t="inlineStr">
        <is>
          <t>No</t>
        </is>
      </c>
      <c r="J1521" s="145" t="inlineStr">
        <is>
          <t>No</t>
        </is>
      </c>
      <c r="K1521" s="145" t="inlineStr">
        <is>
          <t>None</t>
        </is>
      </c>
      <c r="L1521" s="145" t="inlineStr">
        <is>
          <t>#000000</t>
        </is>
      </c>
      <c r="M1521" s="145" t="inlineStr">
        <is>
          <t>General</t>
        </is>
      </c>
      <c r="N1521" s="145" t="inlineStr">
        <is>
          <t>Center</t>
        </is>
      </c>
      <c r="O1521" s="145" t="inlineStr">
        <is>
          <t>No</t>
        </is>
      </c>
      <c r="P1521" s="145" t="inlineStr">
        <is>
          <t>General</t>
        </is>
      </c>
      <c r="Q1521" s="145" t="inlineStr">
        <is>
          <t>General</t>
        </is>
      </c>
      <c r="R1521" s="145" t="n"/>
      <c r="S1521" s="145" t="n"/>
      <c r="T1521" s="145" t="n"/>
      <c r="U1521" s="145" t="n"/>
      <c r="V1521" s="145" t="n"/>
      <c r="W1521" s="145" t="n"/>
      <c r="X1521" s="145" t="inlineStr">
        <is>
          <t>Detailed format sample from top five used rows</t>
        </is>
      </c>
    </row>
    <row r="1522" ht="23.85" customHeight="1" s="79">
      <c r="A1522" s="145" t="inlineStr">
        <is>
          <t>MNL_PPO</t>
        </is>
      </c>
      <c r="B1522" s="145" t="inlineStr">
        <is>
          <t>Top-Row Cell Format</t>
        </is>
      </c>
      <c r="C1522" s="145" t="inlineStr">
        <is>
          <t>D4</t>
        </is>
      </c>
      <c r="D1522" s="145" t="inlineStr">
        <is>
          <t>MNL_PPO!A1:AM329</t>
        </is>
      </c>
      <c r="E1522" s="145" t="inlineStr">
        <is>
          <t>Normal</t>
        </is>
      </c>
      <c r="F1522" s="145" t="n"/>
      <c r="G1522" s="145" t="inlineStr">
        <is>
          <t>Cambria</t>
        </is>
      </c>
      <c r="H1522" s="145" t="n">
        <v>8</v>
      </c>
      <c r="I1522" s="145" t="inlineStr">
        <is>
          <t>No</t>
        </is>
      </c>
      <c r="J1522" s="145" t="inlineStr">
        <is>
          <t>No</t>
        </is>
      </c>
      <c r="K1522" s="145" t="inlineStr">
        <is>
          <t>None</t>
        </is>
      </c>
      <c r="L1522" s="145" t="inlineStr">
        <is>
          <t>#000000</t>
        </is>
      </c>
      <c r="M1522" s="145" t="inlineStr">
        <is>
          <t>General</t>
        </is>
      </c>
      <c r="N1522" s="145" t="inlineStr">
        <is>
          <t>Center</t>
        </is>
      </c>
      <c r="O1522" s="145" t="inlineStr">
        <is>
          <t>No</t>
        </is>
      </c>
      <c r="P1522" s="145" t="inlineStr">
        <is>
          <t>General</t>
        </is>
      </c>
      <c r="Q1522" s="145" t="inlineStr">
        <is>
          <t>General</t>
        </is>
      </c>
      <c r="R1522" s="145" t="n"/>
      <c r="S1522" s="145" t="n"/>
      <c r="T1522" s="145" t="n"/>
      <c r="U1522" s="145" t="n"/>
      <c r="V1522" s="145" t="n"/>
      <c r="W1522" s="145" t="n"/>
      <c r="X1522" s="145" t="inlineStr">
        <is>
          <t>Detailed format sample from top five used rows</t>
        </is>
      </c>
    </row>
    <row r="1523" ht="23.85" customHeight="1" s="79">
      <c r="A1523" s="145" t="inlineStr">
        <is>
          <t>MNL_PPO</t>
        </is>
      </c>
      <c r="B1523" s="145" t="inlineStr">
        <is>
          <t>Top-Row Cell Format</t>
        </is>
      </c>
      <c r="C1523" s="145" t="inlineStr">
        <is>
          <t>D5</t>
        </is>
      </c>
      <c r="D1523" s="145" t="inlineStr">
        <is>
          <t>MNL_PPO!A1:AM329</t>
        </is>
      </c>
      <c r="E1523" s="145" t="inlineStr">
        <is>
          <t>Normal</t>
        </is>
      </c>
      <c r="F1523" s="145" t="n"/>
      <c r="G1523" s="145" t="inlineStr">
        <is>
          <t>Cambria</t>
        </is>
      </c>
      <c r="H1523" s="145" t="n">
        <v>8</v>
      </c>
      <c r="I1523" s="145" t="inlineStr">
        <is>
          <t>No</t>
        </is>
      </c>
      <c r="J1523" s="145" t="inlineStr">
        <is>
          <t>No</t>
        </is>
      </c>
      <c r="K1523" s="145" t="inlineStr">
        <is>
          <t>None</t>
        </is>
      </c>
      <c r="L1523" s="145" t="inlineStr">
        <is>
          <t>#000000</t>
        </is>
      </c>
      <c r="M1523" s="145" t="inlineStr">
        <is>
          <t>General</t>
        </is>
      </c>
      <c r="N1523" s="145" t="inlineStr">
        <is>
          <t>Center</t>
        </is>
      </c>
      <c r="O1523" s="145" t="inlineStr">
        <is>
          <t>No</t>
        </is>
      </c>
      <c r="P1523" s="145" t="inlineStr">
        <is>
          <t>General</t>
        </is>
      </c>
      <c r="Q1523" s="145" t="inlineStr">
        <is>
          <t>General</t>
        </is>
      </c>
      <c r="R1523" s="145" t="n"/>
      <c r="S1523" s="145" t="n"/>
      <c r="T1523" s="145" t="n"/>
      <c r="U1523" s="145" t="n"/>
      <c r="V1523" s="145" t="n"/>
      <c r="W1523" s="145" t="n"/>
      <c r="X1523" s="145" t="inlineStr">
        <is>
          <t>Detailed format sample from top five used rows</t>
        </is>
      </c>
    </row>
    <row r="1524" ht="23.85" customHeight="1" s="79">
      <c r="A1524" s="145" t="inlineStr">
        <is>
          <t>MNL_PPO</t>
        </is>
      </c>
      <c r="B1524" s="145" t="inlineStr">
        <is>
          <t>Column Format</t>
        </is>
      </c>
      <c r="C1524" s="145" t="inlineStr">
        <is>
          <t>E:E</t>
        </is>
      </c>
      <c r="D1524" s="145" t="inlineStr">
        <is>
          <t>MNL_PPO!A1:AM329</t>
        </is>
      </c>
      <c r="E1524" s="145" t="inlineStr">
        <is>
          <t>Normal</t>
        </is>
      </c>
      <c r="F1524" s="145" t="inlineStr">
        <is>
          <t>Mixed</t>
        </is>
      </c>
      <c r="G1524" s="145" t="inlineStr">
        <is>
          <t>Cambria</t>
        </is>
      </c>
      <c r="H1524" s="145" t="n">
        <v>8</v>
      </c>
      <c r="I1524" s="145" t="inlineStr">
        <is>
          <t>Mixed</t>
        </is>
      </c>
      <c r="J1524" s="145" t="inlineStr">
        <is>
          <t>No</t>
        </is>
      </c>
      <c r="K1524" s="145" t="inlineStr">
        <is>
          <t>None</t>
        </is>
      </c>
      <c r="L1524" s="145" t="inlineStr">
        <is>
          <t>Mixed</t>
        </is>
      </c>
      <c r="M1524" s="145" t="inlineStr">
        <is>
          <t>General</t>
        </is>
      </c>
      <c r="N1524" s="145" t="inlineStr">
        <is>
          <t>Center</t>
        </is>
      </c>
      <c r="O1524" s="145" t="inlineStr">
        <is>
          <t>No</t>
        </is>
      </c>
      <c r="P1524" s="145" t="n"/>
      <c r="Q1524" s="145" t="n"/>
      <c r="R1524" s="145" t="n"/>
      <c r="S1524" s="145" t="n">
        <v>56.4179104477612</v>
      </c>
      <c r="T1524" s="145" t="n"/>
      <c r="U1524" s="145" t="inlineStr">
        <is>
          <t>No</t>
        </is>
      </c>
      <c r="V1524" s="145" t="inlineStr">
        <is>
          <t>Visible</t>
        </is>
      </c>
      <c r="W1524" s="145" t="n"/>
      <c r="X1524" s="145" t="inlineStr">
        <is>
          <t>Mixed styles within used column</t>
        </is>
      </c>
    </row>
    <row r="1525" ht="23.85" customHeight="1" s="79">
      <c r="A1525" s="145" t="inlineStr">
        <is>
          <t>MNL_PPO</t>
        </is>
      </c>
      <c r="B1525" s="145" t="inlineStr">
        <is>
          <t>Top-Row Cell Format</t>
        </is>
      </c>
      <c r="C1525" s="145" t="inlineStr">
        <is>
          <t>E1</t>
        </is>
      </c>
      <c r="D1525" s="145" t="inlineStr">
        <is>
          <t>MNL_PPO!A1:AM329</t>
        </is>
      </c>
      <c r="E1525" s="145" t="inlineStr">
        <is>
          <t>Normal</t>
        </is>
      </c>
      <c r="F1525" s="145" t="inlineStr">
        <is>
          <t>#70AD47</t>
        </is>
      </c>
      <c r="G1525" s="145" t="inlineStr">
        <is>
          <t>Cambria</t>
        </is>
      </c>
      <c r="H1525" s="145" t="n">
        <v>8</v>
      </c>
      <c r="I1525" s="145" t="inlineStr">
        <is>
          <t>Yes</t>
        </is>
      </c>
      <c r="J1525" s="145" t="inlineStr">
        <is>
          <t>No</t>
        </is>
      </c>
      <c r="K1525" s="145" t="inlineStr">
        <is>
          <t>None</t>
        </is>
      </c>
      <c r="L1525" s="145" t="inlineStr">
        <is>
          <t>#FFFFFF</t>
        </is>
      </c>
      <c r="M1525" s="145" t="inlineStr">
        <is>
          <t>General</t>
        </is>
      </c>
      <c r="N1525" s="145" t="inlineStr">
        <is>
          <t>Center</t>
        </is>
      </c>
      <c r="O1525" s="145" t="inlineStr">
        <is>
          <t>No</t>
        </is>
      </c>
      <c r="P1525" s="145" t="inlineStr">
        <is>
          <t>General</t>
        </is>
      </c>
      <c r="Q1525" s="145" t="inlineStr">
        <is>
          <t>General</t>
        </is>
      </c>
      <c r="R1525" s="145" t="n"/>
      <c r="S1525" s="145" t="n"/>
      <c r="T1525" s="145" t="n"/>
      <c r="U1525" s="145" t="n"/>
      <c r="V1525" s="145" t="n"/>
      <c r="W1525" s="145" t="n"/>
      <c r="X1525" s="145" t="inlineStr">
        <is>
          <t>Detailed format sample from top five used rows</t>
        </is>
      </c>
    </row>
    <row r="1526" ht="23.85" customHeight="1" s="79">
      <c r="A1526" s="145" t="inlineStr">
        <is>
          <t>MNL_PPO</t>
        </is>
      </c>
      <c r="B1526" s="145" t="inlineStr">
        <is>
          <t>Top-Row Cell Format</t>
        </is>
      </c>
      <c r="C1526" s="145" t="inlineStr">
        <is>
          <t>E2</t>
        </is>
      </c>
      <c r="D1526" s="145" t="inlineStr">
        <is>
          <t>MNL_PPO!A1:AM329</t>
        </is>
      </c>
      <c r="E1526" s="145" t="inlineStr">
        <is>
          <t>Normal</t>
        </is>
      </c>
      <c r="F1526" s="145" t="n"/>
      <c r="G1526" s="145" t="inlineStr">
        <is>
          <t>Cambria</t>
        </is>
      </c>
      <c r="H1526" s="145" t="n">
        <v>8</v>
      </c>
      <c r="I1526" s="145" t="inlineStr">
        <is>
          <t>No</t>
        </is>
      </c>
      <c r="J1526" s="145" t="inlineStr">
        <is>
          <t>No</t>
        </is>
      </c>
      <c r="K1526" s="145" t="inlineStr">
        <is>
          <t>None</t>
        </is>
      </c>
      <c r="L1526" s="145" t="inlineStr">
        <is>
          <t>#000000</t>
        </is>
      </c>
      <c r="M1526" s="145" t="inlineStr">
        <is>
          <t>General</t>
        </is>
      </c>
      <c r="N1526" s="145" t="inlineStr">
        <is>
          <t>Center</t>
        </is>
      </c>
      <c r="O1526" s="145" t="inlineStr">
        <is>
          <t>No</t>
        </is>
      </c>
      <c r="P1526" s="145" t="inlineStr">
        <is>
          <t>General</t>
        </is>
      </c>
      <c r="Q1526" s="145" t="inlineStr">
        <is>
          <t>General</t>
        </is>
      </c>
      <c r="R1526" s="145" t="n"/>
      <c r="S1526" s="145" t="n"/>
      <c r="T1526" s="145" t="n"/>
      <c r="U1526" s="145" t="n"/>
      <c r="V1526" s="145" t="n"/>
      <c r="W1526" s="145" t="n"/>
      <c r="X1526" s="145" t="inlineStr">
        <is>
          <t>Detailed format sample from top five used rows</t>
        </is>
      </c>
    </row>
    <row r="1527" ht="23.85" customHeight="1" s="79">
      <c r="A1527" s="145" t="inlineStr">
        <is>
          <t>MNL_PPO</t>
        </is>
      </c>
      <c r="B1527" s="145" t="inlineStr">
        <is>
          <t>Top-Row Cell Format</t>
        </is>
      </c>
      <c r="C1527" s="145" t="inlineStr">
        <is>
          <t>E3</t>
        </is>
      </c>
      <c r="D1527" s="145" t="inlineStr">
        <is>
          <t>MNL_PPO!A1:AM329</t>
        </is>
      </c>
      <c r="E1527" s="145" t="inlineStr">
        <is>
          <t>Normal</t>
        </is>
      </c>
      <c r="F1527" s="145" t="n"/>
      <c r="G1527" s="145" t="inlineStr">
        <is>
          <t>Cambria</t>
        </is>
      </c>
      <c r="H1527" s="145" t="n">
        <v>8</v>
      </c>
      <c r="I1527" s="145" t="inlineStr">
        <is>
          <t>No</t>
        </is>
      </c>
      <c r="J1527" s="145" t="inlineStr">
        <is>
          <t>No</t>
        </is>
      </c>
      <c r="K1527" s="145" t="inlineStr">
        <is>
          <t>None</t>
        </is>
      </c>
      <c r="L1527" s="145" t="inlineStr">
        <is>
          <t>#000000</t>
        </is>
      </c>
      <c r="M1527" s="145" t="inlineStr">
        <is>
          <t>General</t>
        </is>
      </c>
      <c r="N1527" s="145" t="inlineStr">
        <is>
          <t>Center</t>
        </is>
      </c>
      <c r="O1527" s="145" t="inlineStr">
        <is>
          <t>No</t>
        </is>
      </c>
      <c r="P1527" s="145" t="inlineStr">
        <is>
          <t>General</t>
        </is>
      </c>
      <c r="Q1527" s="145" t="inlineStr">
        <is>
          <t>General</t>
        </is>
      </c>
      <c r="R1527" s="145" t="n"/>
      <c r="S1527" s="145" t="n"/>
      <c r="T1527" s="145" t="n"/>
      <c r="U1527" s="145" t="n"/>
      <c r="V1527" s="145" t="n"/>
      <c r="W1527" s="145" t="n"/>
      <c r="X1527" s="145" t="inlineStr">
        <is>
          <t>Detailed format sample from top five used rows</t>
        </is>
      </c>
    </row>
    <row r="1528" ht="23.85" customHeight="1" s="79">
      <c r="A1528" s="145" t="inlineStr">
        <is>
          <t>MNL_PPO</t>
        </is>
      </c>
      <c r="B1528" s="145" t="inlineStr">
        <is>
          <t>Top-Row Cell Format</t>
        </is>
      </c>
      <c r="C1528" s="145" t="inlineStr">
        <is>
          <t>E4</t>
        </is>
      </c>
      <c r="D1528" s="145" t="inlineStr">
        <is>
          <t>MNL_PPO!A1:AM329</t>
        </is>
      </c>
      <c r="E1528" s="145" t="inlineStr">
        <is>
          <t>Normal</t>
        </is>
      </c>
      <c r="F1528" s="145" t="n"/>
      <c r="G1528" s="145" t="inlineStr">
        <is>
          <t>Cambria</t>
        </is>
      </c>
      <c r="H1528" s="145" t="n">
        <v>8</v>
      </c>
      <c r="I1528" s="145" t="inlineStr">
        <is>
          <t>No</t>
        </is>
      </c>
      <c r="J1528" s="145" t="inlineStr">
        <is>
          <t>No</t>
        </is>
      </c>
      <c r="K1528" s="145" t="inlineStr">
        <is>
          <t>None</t>
        </is>
      </c>
      <c r="L1528" s="145" t="inlineStr">
        <is>
          <t>#000000</t>
        </is>
      </c>
      <c r="M1528" s="145" t="inlineStr">
        <is>
          <t>General</t>
        </is>
      </c>
      <c r="N1528" s="145" t="inlineStr">
        <is>
          <t>Center</t>
        </is>
      </c>
      <c r="O1528" s="145" t="inlineStr">
        <is>
          <t>No</t>
        </is>
      </c>
      <c r="P1528" s="145" t="inlineStr">
        <is>
          <t>General</t>
        </is>
      </c>
      <c r="Q1528" s="145" t="inlineStr">
        <is>
          <t>General</t>
        </is>
      </c>
      <c r="R1528" s="145" t="n"/>
      <c r="S1528" s="145" t="n"/>
      <c r="T1528" s="145" t="n"/>
      <c r="U1528" s="145" t="n"/>
      <c r="V1528" s="145" t="n"/>
      <c r="W1528" s="145" t="n"/>
      <c r="X1528" s="145" t="inlineStr">
        <is>
          <t>Detailed format sample from top five used rows</t>
        </is>
      </c>
    </row>
    <row r="1529" ht="23.85" customHeight="1" s="79">
      <c r="A1529" s="145" t="inlineStr">
        <is>
          <t>MNL_PPO</t>
        </is>
      </c>
      <c r="B1529" s="145" t="inlineStr">
        <is>
          <t>Top-Row Cell Format</t>
        </is>
      </c>
      <c r="C1529" s="145" t="inlineStr">
        <is>
          <t>E5</t>
        </is>
      </c>
      <c r="D1529" s="145" t="inlineStr">
        <is>
          <t>MNL_PPO!A1:AM329</t>
        </is>
      </c>
      <c r="E1529" s="145" t="inlineStr">
        <is>
          <t>Normal</t>
        </is>
      </c>
      <c r="F1529" s="145" t="n"/>
      <c r="G1529" s="145" t="inlineStr">
        <is>
          <t>Cambria</t>
        </is>
      </c>
      <c r="H1529" s="145" t="n">
        <v>8</v>
      </c>
      <c r="I1529" s="145" t="inlineStr">
        <is>
          <t>No</t>
        </is>
      </c>
      <c r="J1529" s="145" t="inlineStr">
        <is>
          <t>No</t>
        </is>
      </c>
      <c r="K1529" s="145" t="inlineStr">
        <is>
          <t>None</t>
        </is>
      </c>
      <c r="L1529" s="145" t="inlineStr">
        <is>
          <t>#000000</t>
        </is>
      </c>
      <c r="M1529" s="145" t="inlineStr">
        <is>
          <t>General</t>
        </is>
      </c>
      <c r="N1529" s="145" t="inlineStr">
        <is>
          <t>Center</t>
        </is>
      </c>
      <c r="O1529" s="145" t="inlineStr">
        <is>
          <t>No</t>
        </is>
      </c>
      <c r="P1529" s="145" t="inlineStr">
        <is>
          <t>General</t>
        </is>
      </c>
      <c r="Q1529" s="145" t="inlineStr">
        <is>
          <t>General</t>
        </is>
      </c>
      <c r="R1529" s="145" t="n"/>
      <c r="S1529" s="145" t="n"/>
      <c r="T1529" s="145" t="n"/>
      <c r="U1529" s="145" t="n"/>
      <c r="V1529" s="145" t="n"/>
      <c r="W1529" s="145" t="n"/>
      <c r="X1529" s="145" t="inlineStr">
        <is>
          <t>Detailed format sample from top five used rows</t>
        </is>
      </c>
    </row>
    <row r="1530" ht="23.85" customHeight="1" s="79">
      <c r="A1530" s="145" t="inlineStr">
        <is>
          <t>MNL_PPO</t>
        </is>
      </c>
      <c r="B1530" s="145" t="inlineStr">
        <is>
          <t>Column Format</t>
        </is>
      </c>
      <c r="C1530" s="145" t="inlineStr">
        <is>
          <t>F:F</t>
        </is>
      </c>
      <c r="D1530" s="145" t="inlineStr">
        <is>
          <t>MNL_PPO!A1:AM329</t>
        </is>
      </c>
      <c r="E1530" s="145" t="inlineStr">
        <is>
          <t>Normal</t>
        </is>
      </c>
      <c r="F1530" s="145" t="inlineStr">
        <is>
          <t>Mixed</t>
        </is>
      </c>
      <c r="G1530" s="145" t="inlineStr">
        <is>
          <t>Cambria</t>
        </is>
      </c>
      <c r="H1530" s="145" t="n">
        <v>8</v>
      </c>
      <c r="I1530" s="145" t="inlineStr">
        <is>
          <t>Mixed</t>
        </is>
      </c>
      <c r="J1530" s="145" t="inlineStr">
        <is>
          <t>No</t>
        </is>
      </c>
      <c r="K1530" s="145" t="inlineStr">
        <is>
          <t>None</t>
        </is>
      </c>
      <c r="L1530" s="145" t="inlineStr">
        <is>
          <t>Mixed</t>
        </is>
      </c>
      <c r="M1530" s="145" t="inlineStr">
        <is>
          <t>General</t>
        </is>
      </c>
      <c r="N1530" s="145" t="inlineStr">
        <is>
          <t>Center</t>
        </is>
      </c>
      <c r="O1530" s="145" t="inlineStr">
        <is>
          <t>No</t>
        </is>
      </c>
      <c r="P1530" s="145" t="n"/>
      <c r="Q1530" s="145" t="n"/>
      <c r="R1530" s="145" t="n"/>
      <c r="S1530" s="145" t="n">
        <v>26.865671641791</v>
      </c>
      <c r="T1530" s="145" t="n"/>
      <c r="U1530" s="145" t="inlineStr">
        <is>
          <t>No</t>
        </is>
      </c>
      <c r="V1530" s="145" t="inlineStr">
        <is>
          <t>Visible</t>
        </is>
      </c>
      <c r="W1530" s="145" t="n"/>
      <c r="X1530" s="145" t="inlineStr">
        <is>
          <t>Mixed styles within used column</t>
        </is>
      </c>
    </row>
    <row r="1531" ht="23.85" customHeight="1" s="79">
      <c r="A1531" s="145" t="inlineStr">
        <is>
          <t>MNL_PPO</t>
        </is>
      </c>
      <c r="B1531" s="145" t="inlineStr">
        <is>
          <t>Top-Row Cell Format</t>
        </is>
      </c>
      <c r="C1531" s="145" t="inlineStr">
        <is>
          <t>F1</t>
        </is>
      </c>
      <c r="D1531" s="145" t="inlineStr">
        <is>
          <t>MNL_PPO!A1:AM329</t>
        </is>
      </c>
      <c r="E1531" s="145" t="inlineStr">
        <is>
          <t>Normal</t>
        </is>
      </c>
      <c r="F1531" s="145" t="inlineStr">
        <is>
          <t>#70AD47</t>
        </is>
      </c>
      <c r="G1531" s="145" t="inlineStr">
        <is>
          <t>Cambria</t>
        </is>
      </c>
      <c r="H1531" s="145" t="n">
        <v>8</v>
      </c>
      <c r="I1531" s="145" t="inlineStr">
        <is>
          <t>Yes</t>
        </is>
      </c>
      <c r="J1531" s="145" t="inlineStr">
        <is>
          <t>No</t>
        </is>
      </c>
      <c r="K1531" s="145" t="inlineStr">
        <is>
          <t>None</t>
        </is>
      </c>
      <c r="L1531" s="145" t="inlineStr">
        <is>
          <t>#FFFFFF</t>
        </is>
      </c>
      <c r="M1531" s="145" t="inlineStr">
        <is>
          <t>General</t>
        </is>
      </c>
      <c r="N1531" s="145" t="inlineStr">
        <is>
          <t>Center</t>
        </is>
      </c>
      <c r="O1531" s="145" t="inlineStr">
        <is>
          <t>No</t>
        </is>
      </c>
      <c r="P1531" s="145" t="inlineStr">
        <is>
          <t>General</t>
        </is>
      </c>
      <c r="Q1531" s="145" t="inlineStr">
        <is>
          <t>General</t>
        </is>
      </c>
      <c r="R1531" s="145" t="n"/>
      <c r="S1531" s="145" t="n"/>
      <c r="T1531" s="145" t="n"/>
      <c r="U1531" s="145" t="n"/>
      <c r="V1531" s="145" t="n"/>
      <c r="W1531" s="145" t="n"/>
      <c r="X1531" s="145" t="inlineStr">
        <is>
          <t>Detailed format sample from top five used rows</t>
        </is>
      </c>
    </row>
    <row r="1532" ht="23.85" customHeight="1" s="79">
      <c r="A1532" s="145" t="inlineStr">
        <is>
          <t>MNL_PPO</t>
        </is>
      </c>
      <c r="B1532" s="145" t="inlineStr">
        <is>
          <t>Top-Row Cell Format</t>
        </is>
      </c>
      <c r="C1532" s="145" t="inlineStr">
        <is>
          <t>F2</t>
        </is>
      </c>
      <c r="D1532" s="145" t="inlineStr">
        <is>
          <t>MNL_PPO!A1:AM329</t>
        </is>
      </c>
      <c r="E1532" s="145" t="inlineStr">
        <is>
          <t>Normal</t>
        </is>
      </c>
      <c r="F1532" s="145" t="n"/>
      <c r="G1532" s="145" t="inlineStr">
        <is>
          <t>Cambria</t>
        </is>
      </c>
      <c r="H1532" s="145" t="n">
        <v>8</v>
      </c>
      <c r="I1532" s="145" t="inlineStr">
        <is>
          <t>No</t>
        </is>
      </c>
      <c r="J1532" s="145" t="inlineStr">
        <is>
          <t>No</t>
        </is>
      </c>
      <c r="K1532" s="145" t="inlineStr">
        <is>
          <t>None</t>
        </is>
      </c>
      <c r="L1532" s="145" t="inlineStr">
        <is>
          <t>#000000</t>
        </is>
      </c>
      <c r="M1532" s="145" t="inlineStr">
        <is>
          <t>General</t>
        </is>
      </c>
      <c r="N1532" s="145" t="inlineStr">
        <is>
          <t>Center</t>
        </is>
      </c>
      <c r="O1532" s="145" t="inlineStr">
        <is>
          <t>No</t>
        </is>
      </c>
      <c r="P1532" s="145" t="inlineStr">
        <is>
          <t>General</t>
        </is>
      </c>
      <c r="Q1532" s="145" t="inlineStr">
        <is>
          <t>General</t>
        </is>
      </c>
      <c r="R1532" s="145" t="n"/>
      <c r="S1532" s="145" t="n"/>
      <c r="T1532" s="145" t="n"/>
      <c r="U1532" s="145" t="n"/>
      <c r="V1532" s="145" t="n"/>
      <c r="W1532" s="145" t="n"/>
      <c r="X1532" s="145" t="inlineStr">
        <is>
          <t>Detailed format sample from top five used rows</t>
        </is>
      </c>
    </row>
    <row r="1533" ht="23.85" customHeight="1" s="79">
      <c r="A1533" s="145" t="inlineStr">
        <is>
          <t>MNL_PPO</t>
        </is>
      </c>
      <c r="B1533" s="145" t="inlineStr">
        <is>
          <t>Top-Row Cell Format</t>
        </is>
      </c>
      <c r="C1533" s="145" t="inlineStr">
        <is>
          <t>F3</t>
        </is>
      </c>
      <c r="D1533" s="145" t="inlineStr">
        <is>
          <t>MNL_PPO!A1:AM329</t>
        </is>
      </c>
      <c r="E1533" s="145" t="inlineStr">
        <is>
          <t>Normal</t>
        </is>
      </c>
      <c r="F1533" s="145" t="n"/>
      <c r="G1533" s="145" t="inlineStr">
        <is>
          <t>Cambria</t>
        </is>
      </c>
      <c r="H1533" s="145" t="n">
        <v>8</v>
      </c>
      <c r="I1533" s="145" t="inlineStr">
        <is>
          <t>No</t>
        </is>
      </c>
      <c r="J1533" s="145" t="inlineStr">
        <is>
          <t>No</t>
        </is>
      </c>
      <c r="K1533" s="145" t="inlineStr">
        <is>
          <t>None</t>
        </is>
      </c>
      <c r="L1533" s="145" t="inlineStr">
        <is>
          <t>#000000</t>
        </is>
      </c>
      <c r="M1533" s="145" t="inlineStr">
        <is>
          <t>General</t>
        </is>
      </c>
      <c r="N1533" s="145" t="inlineStr">
        <is>
          <t>Center</t>
        </is>
      </c>
      <c r="O1533" s="145" t="inlineStr">
        <is>
          <t>No</t>
        </is>
      </c>
      <c r="P1533" s="145" t="inlineStr">
        <is>
          <t>General</t>
        </is>
      </c>
      <c r="Q1533" s="145" t="inlineStr">
        <is>
          <t>General</t>
        </is>
      </c>
      <c r="R1533" s="145" t="n"/>
      <c r="S1533" s="145" t="n"/>
      <c r="T1533" s="145" t="n"/>
      <c r="U1533" s="145" t="n"/>
      <c r="V1533" s="145" t="n"/>
      <c r="W1533" s="145" t="n"/>
      <c r="X1533" s="145" t="inlineStr">
        <is>
          <t>Detailed format sample from top five used rows</t>
        </is>
      </c>
    </row>
    <row r="1534" ht="23.85" customHeight="1" s="79">
      <c r="A1534" s="145" t="inlineStr">
        <is>
          <t>MNL_PPO</t>
        </is>
      </c>
      <c r="B1534" s="145" t="inlineStr">
        <is>
          <t>Top-Row Cell Format</t>
        </is>
      </c>
      <c r="C1534" s="145" t="inlineStr">
        <is>
          <t>F4</t>
        </is>
      </c>
      <c r="D1534" s="145" t="inlineStr">
        <is>
          <t>MNL_PPO!A1:AM329</t>
        </is>
      </c>
      <c r="E1534" s="145" t="inlineStr">
        <is>
          <t>Normal</t>
        </is>
      </c>
      <c r="F1534" s="145" t="n"/>
      <c r="G1534" s="145" t="inlineStr">
        <is>
          <t>Cambria</t>
        </is>
      </c>
      <c r="H1534" s="145" t="n">
        <v>8</v>
      </c>
      <c r="I1534" s="145" t="inlineStr">
        <is>
          <t>No</t>
        </is>
      </c>
      <c r="J1534" s="145" t="inlineStr">
        <is>
          <t>No</t>
        </is>
      </c>
      <c r="K1534" s="145" t="inlineStr">
        <is>
          <t>None</t>
        </is>
      </c>
      <c r="L1534" s="145" t="inlineStr">
        <is>
          <t>#000000</t>
        </is>
      </c>
      <c r="M1534" s="145" t="inlineStr">
        <is>
          <t>General</t>
        </is>
      </c>
      <c r="N1534" s="145" t="inlineStr">
        <is>
          <t>Center</t>
        </is>
      </c>
      <c r="O1534" s="145" t="inlineStr">
        <is>
          <t>No</t>
        </is>
      </c>
      <c r="P1534" s="145" t="inlineStr">
        <is>
          <t>General</t>
        </is>
      </c>
      <c r="Q1534" s="145" t="inlineStr">
        <is>
          <t>General</t>
        </is>
      </c>
      <c r="R1534" s="145" t="n"/>
      <c r="S1534" s="145" t="n"/>
      <c r="T1534" s="145" t="n"/>
      <c r="U1534" s="145" t="n"/>
      <c r="V1534" s="145" t="n"/>
      <c r="W1534" s="145" t="n"/>
      <c r="X1534" s="145" t="inlineStr">
        <is>
          <t>Detailed format sample from top five used rows</t>
        </is>
      </c>
    </row>
    <row r="1535" ht="23.85" customHeight="1" s="79">
      <c r="A1535" s="145" t="inlineStr">
        <is>
          <t>MNL_PPO</t>
        </is>
      </c>
      <c r="B1535" s="145" t="inlineStr">
        <is>
          <t>Top-Row Cell Format</t>
        </is>
      </c>
      <c r="C1535" s="145" t="inlineStr">
        <is>
          <t>F5</t>
        </is>
      </c>
      <c r="D1535" s="145" t="inlineStr">
        <is>
          <t>MNL_PPO!A1:AM329</t>
        </is>
      </c>
      <c r="E1535" s="145" t="inlineStr">
        <is>
          <t>Normal</t>
        </is>
      </c>
      <c r="F1535" s="145" t="n"/>
      <c r="G1535" s="145" t="inlineStr">
        <is>
          <t>Cambria</t>
        </is>
      </c>
      <c r="H1535" s="145" t="n">
        <v>8</v>
      </c>
      <c r="I1535" s="145" t="inlineStr">
        <is>
          <t>No</t>
        </is>
      </c>
      <c r="J1535" s="145" t="inlineStr">
        <is>
          <t>No</t>
        </is>
      </c>
      <c r="K1535" s="145" t="inlineStr">
        <is>
          <t>None</t>
        </is>
      </c>
      <c r="L1535" s="145" t="inlineStr">
        <is>
          <t>#000000</t>
        </is>
      </c>
      <c r="M1535" s="145" t="inlineStr">
        <is>
          <t>General</t>
        </is>
      </c>
      <c r="N1535" s="145" t="inlineStr">
        <is>
          <t>Center</t>
        </is>
      </c>
      <c r="O1535" s="145" t="inlineStr">
        <is>
          <t>No</t>
        </is>
      </c>
      <c r="P1535" s="145" t="inlineStr">
        <is>
          <t>General</t>
        </is>
      </c>
      <c r="Q1535" s="145" t="inlineStr">
        <is>
          <t>General</t>
        </is>
      </c>
      <c r="R1535" s="145" t="n"/>
      <c r="S1535" s="145" t="n"/>
      <c r="T1535" s="145" t="n"/>
      <c r="U1535" s="145" t="n"/>
      <c r="V1535" s="145" t="n"/>
      <c r="W1535" s="145" t="n"/>
      <c r="X1535" s="145" t="inlineStr">
        <is>
          <t>Detailed format sample from top five used rows</t>
        </is>
      </c>
    </row>
    <row r="1536" ht="23.85" customHeight="1" s="79">
      <c r="A1536" s="145" t="inlineStr">
        <is>
          <t>MNL_PPO</t>
        </is>
      </c>
      <c r="B1536" s="145" t="inlineStr">
        <is>
          <t>Column Format</t>
        </is>
      </c>
      <c r="C1536" s="145" t="inlineStr">
        <is>
          <t>G:G</t>
        </is>
      </c>
      <c r="D1536" s="145" t="inlineStr">
        <is>
          <t>MNL_PPO!A1:AM329</t>
        </is>
      </c>
      <c r="E1536" s="145" t="inlineStr">
        <is>
          <t>Normal</t>
        </is>
      </c>
      <c r="F1536" s="145" t="inlineStr">
        <is>
          <t>Mixed</t>
        </is>
      </c>
      <c r="G1536" s="145" t="inlineStr">
        <is>
          <t>Cambria</t>
        </is>
      </c>
      <c r="H1536" s="145" t="n">
        <v>8</v>
      </c>
      <c r="I1536" s="145" t="inlineStr">
        <is>
          <t>Mixed</t>
        </is>
      </c>
      <c r="J1536" s="145" t="inlineStr">
        <is>
          <t>No</t>
        </is>
      </c>
      <c r="K1536" s="145" t="inlineStr">
        <is>
          <t>None</t>
        </is>
      </c>
      <c r="L1536" s="145" t="inlineStr">
        <is>
          <t>Mixed</t>
        </is>
      </c>
      <c r="M1536" s="145" t="inlineStr">
        <is>
          <t>General</t>
        </is>
      </c>
      <c r="N1536" s="145" t="inlineStr">
        <is>
          <t>Center</t>
        </is>
      </c>
      <c r="O1536" s="145" t="inlineStr">
        <is>
          <t>No</t>
        </is>
      </c>
      <c r="P1536" s="145" t="n"/>
      <c r="Q1536" s="145" t="n"/>
      <c r="R1536" s="145" t="n"/>
      <c r="S1536" s="145" t="n">
        <v>60.1791044776119</v>
      </c>
      <c r="T1536" s="145" t="n"/>
      <c r="U1536" s="145" t="inlineStr">
        <is>
          <t>No</t>
        </is>
      </c>
      <c r="V1536" s="145" t="inlineStr">
        <is>
          <t>Visible</t>
        </is>
      </c>
      <c r="W1536" s="145" t="n"/>
      <c r="X1536" s="145" t="inlineStr">
        <is>
          <t>Mixed styles within used column</t>
        </is>
      </c>
    </row>
    <row r="1537" ht="23.85" customHeight="1" s="79">
      <c r="A1537" s="145" t="inlineStr">
        <is>
          <t>MNL_PPO</t>
        </is>
      </c>
      <c r="B1537" s="145" t="inlineStr">
        <is>
          <t>Top-Row Cell Format</t>
        </is>
      </c>
      <c r="C1537" s="145" t="inlineStr">
        <is>
          <t>G1</t>
        </is>
      </c>
      <c r="D1537" s="145" t="inlineStr">
        <is>
          <t>MNL_PPO!A1:AM329</t>
        </is>
      </c>
      <c r="E1537" s="145" t="inlineStr">
        <is>
          <t>Normal</t>
        </is>
      </c>
      <c r="F1537" s="145" t="inlineStr">
        <is>
          <t>#70AD47</t>
        </is>
      </c>
      <c r="G1537" s="145" t="inlineStr">
        <is>
          <t>Cambria</t>
        </is>
      </c>
      <c r="H1537" s="145" t="n">
        <v>8</v>
      </c>
      <c r="I1537" s="145" t="inlineStr">
        <is>
          <t>Yes</t>
        </is>
      </c>
      <c r="J1537" s="145" t="inlineStr">
        <is>
          <t>No</t>
        </is>
      </c>
      <c r="K1537" s="145" t="inlineStr">
        <is>
          <t>None</t>
        </is>
      </c>
      <c r="L1537" s="145" t="inlineStr">
        <is>
          <t>#FFFFFF</t>
        </is>
      </c>
      <c r="M1537" s="145" t="inlineStr">
        <is>
          <t>General</t>
        </is>
      </c>
      <c r="N1537" s="145" t="inlineStr">
        <is>
          <t>Center</t>
        </is>
      </c>
      <c r="O1537" s="145" t="inlineStr">
        <is>
          <t>No</t>
        </is>
      </c>
      <c r="P1537" s="145" t="inlineStr">
        <is>
          <t>General</t>
        </is>
      </c>
      <c r="Q1537" s="145" t="inlineStr">
        <is>
          <t>General</t>
        </is>
      </c>
      <c r="R1537" s="145" t="n"/>
      <c r="S1537" s="145" t="n"/>
      <c r="T1537" s="145" t="n"/>
      <c r="U1537" s="145" t="n"/>
      <c r="V1537" s="145" t="n"/>
      <c r="W1537" s="145" t="n"/>
      <c r="X1537" s="145" t="inlineStr">
        <is>
          <t>Detailed format sample from top five used rows</t>
        </is>
      </c>
    </row>
    <row r="1538" ht="23.85" customHeight="1" s="79">
      <c r="A1538" s="145" t="inlineStr">
        <is>
          <t>MNL_PPO</t>
        </is>
      </c>
      <c r="B1538" s="145" t="inlineStr">
        <is>
          <t>Top-Row Cell Format</t>
        </is>
      </c>
      <c r="C1538" s="145" t="inlineStr">
        <is>
          <t>G2</t>
        </is>
      </c>
      <c r="D1538" s="145" t="inlineStr">
        <is>
          <t>MNL_PPO!A1:AM329</t>
        </is>
      </c>
      <c r="E1538" s="145" t="inlineStr">
        <is>
          <t>Normal</t>
        </is>
      </c>
      <c r="F1538" s="145" t="n"/>
      <c r="G1538" s="145" t="inlineStr">
        <is>
          <t>Cambria</t>
        </is>
      </c>
      <c r="H1538" s="145" t="n">
        <v>8</v>
      </c>
      <c r="I1538" s="145" t="inlineStr">
        <is>
          <t>No</t>
        </is>
      </c>
      <c r="J1538" s="145" t="inlineStr">
        <is>
          <t>No</t>
        </is>
      </c>
      <c r="K1538" s="145" t="inlineStr">
        <is>
          <t>None</t>
        </is>
      </c>
      <c r="L1538" s="145" t="inlineStr">
        <is>
          <t>#000000</t>
        </is>
      </c>
      <c r="M1538" s="145" t="inlineStr">
        <is>
          <t>General</t>
        </is>
      </c>
      <c r="N1538" s="145" t="inlineStr">
        <is>
          <t>Center</t>
        </is>
      </c>
      <c r="O1538" s="145" t="inlineStr">
        <is>
          <t>No</t>
        </is>
      </c>
      <c r="P1538" s="145" t="inlineStr">
        <is>
          <t>General</t>
        </is>
      </c>
      <c r="Q1538" s="145" t="inlineStr">
        <is>
          <t>General</t>
        </is>
      </c>
      <c r="R1538" s="145" t="n"/>
      <c r="S1538" s="145" t="n"/>
      <c r="T1538" s="145" t="n"/>
      <c r="U1538" s="145" t="n"/>
      <c r="V1538" s="145" t="n"/>
      <c r="W1538" s="145" t="n"/>
      <c r="X1538" s="145" t="inlineStr">
        <is>
          <t>Detailed format sample from top five used rows</t>
        </is>
      </c>
    </row>
    <row r="1539" ht="23.85" customHeight="1" s="79">
      <c r="A1539" s="145" t="inlineStr">
        <is>
          <t>MNL_PPO</t>
        </is>
      </c>
      <c r="B1539" s="145" t="inlineStr">
        <is>
          <t>Top-Row Cell Format</t>
        </is>
      </c>
      <c r="C1539" s="145" t="inlineStr">
        <is>
          <t>G3</t>
        </is>
      </c>
      <c r="D1539" s="145" t="inlineStr">
        <is>
          <t>MNL_PPO!A1:AM329</t>
        </is>
      </c>
      <c r="E1539" s="145" t="inlineStr">
        <is>
          <t>Normal</t>
        </is>
      </c>
      <c r="F1539" s="145" t="n"/>
      <c r="G1539" s="145" t="inlineStr">
        <is>
          <t>Cambria</t>
        </is>
      </c>
      <c r="H1539" s="145" t="n">
        <v>8</v>
      </c>
      <c r="I1539" s="145" t="inlineStr">
        <is>
          <t>No</t>
        </is>
      </c>
      <c r="J1539" s="145" t="inlineStr">
        <is>
          <t>No</t>
        </is>
      </c>
      <c r="K1539" s="145" t="inlineStr">
        <is>
          <t>None</t>
        </is>
      </c>
      <c r="L1539" s="145" t="inlineStr">
        <is>
          <t>#000000</t>
        </is>
      </c>
      <c r="M1539" s="145" t="inlineStr">
        <is>
          <t>General</t>
        </is>
      </c>
      <c r="N1539" s="145" t="inlineStr">
        <is>
          <t>Center</t>
        </is>
      </c>
      <c r="O1539" s="145" t="inlineStr">
        <is>
          <t>No</t>
        </is>
      </c>
      <c r="P1539" s="145" t="inlineStr">
        <is>
          <t>General</t>
        </is>
      </c>
      <c r="Q1539" s="145" t="inlineStr">
        <is>
          <t>General</t>
        </is>
      </c>
      <c r="R1539" s="145" t="n"/>
      <c r="S1539" s="145" t="n"/>
      <c r="T1539" s="145" t="n"/>
      <c r="U1539" s="145" t="n"/>
      <c r="V1539" s="145" t="n"/>
      <c r="W1539" s="145" t="n"/>
      <c r="X1539" s="145" t="inlineStr">
        <is>
          <t>Detailed format sample from top five used rows</t>
        </is>
      </c>
    </row>
    <row r="1540" ht="23.85" customHeight="1" s="79">
      <c r="A1540" s="145" t="inlineStr">
        <is>
          <t>MNL_PPO</t>
        </is>
      </c>
      <c r="B1540" s="145" t="inlineStr">
        <is>
          <t>Top-Row Cell Format</t>
        </is>
      </c>
      <c r="C1540" s="145" t="inlineStr">
        <is>
          <t>G4</t>
        </is>
      </c>
      <c r="D1540" s="145" t="inlineStr">
        <is>
          <t>MNL_PPO!A1:AM329</t>
        </is>
      </c>
      <c r="E1540" s="145" t="inlineStr">
        <is>
          <t>Normal</t>
        </is>
      </c>
      <c r="F1540" s="145" t="n"/>
      <c r="G1540" s="145" t="inlineStr">
        <is>
          <t>Cambria</t>
        </is>
      </c>
      <c r="H1540" s="145" t="n">
        <v>8</v>
      </c>
      <c r="I1540" s="145" t="inlineStr">
        <is>
          <t>No</t>
        </is>
      </c>
      <c r="J1540" s="145" t="inlineStr">
        <is>
          <t>No</t>
        </is>
      </c>
      <c r="K1540" s="145" t="inlineStr">
        <is>
          <t>None</t>
        </is>
      </c>
      <c r="L1540" s="145" t="inlineStr">
        <is>
          <t>#000000</t>
        </is>
      </c>
      <c r="M1540" s="145" t="inlineStr">
        <is>
          <t>General</t>
        </is>
      </c>
      <c r="N1540" s="145" t="inlineStr">
        <is>
          <t>Center</t>
        </is>
      </c>
      <c r="O1540" s="145" t="inlineStr">
        <is>
          <t>No</t>
        </is>
      </c>
      <c r="P1540" s="145" t="inlineStr">
        <is>
          <t>General</t>
        </is>
      </c>
      <c r="Q1540" s="145" t="inlineStr">
        <is>
          <t>General</t>
        </is>
      </c>
      <c r="R1540" s="145" t="n"/>
      <c r="S1540" s="145" t="n"/>
      <c r="T1540" s="145" t="n"/>
      <c r="U1540" s="145" t="n"/>
      <c r="V1540" s="145" t="n"/>
      <c r="W1540" s="145" t="n"/>
      <c r="X1540" s="145" t="inlineStr">
        <is>
          <t>Detailed format sample from top five used rows</t>
        </is>
      </c>
    </row>
    <row r="1541" ht="23.85" customHeight="1" s="79">
      <c r="A1541" s="145" t="inlineStr">
        <is>
          <t>MNL_PPO</t>
        </is>
      </c>
      <c r="B1541" s="145" t="inlineStr">
        <is>
          <t>Top-Row Cell Format</t>
        </is>
      </c>
      <c r="C1541" s="145" t="inlineStr">
        <is>
          <t>G5</t>
        </is>
      </c>
      <c r="D1541" s="145" t="inlineStr">
        <is>
          <t>MNL_PPO!A1:AM329</t>
        </is>
      </c>
      <c r="E1541" s="145" t="inlineStr">
        <is>
          <t>Normal</t>
        </is>
      </c>
      <c r="F1541" s="145" t="n"/>
      <c r="G1541" s="145" t="inlineStr">
        <is>
          <t>Cambria</t>
        </is>
      </c>
      <c r="H1541" s="145" t="n">
        <v>8</v>
      </c>
      <c r="I1541" s="145" t="inlineStr">
        <is>
          <t>No</t>
        </is>
      </c>
      <c r="J1541" s="145" t="inlineStr">
        <is>
          <t>No</t>
        </is>
      </c>
      <c r="K1541" s="145" t="inlineStr">
        <is>
          <t>None</t>
        </is>
      </c>
      <c r="L1541" s="145" t="inlineStr">
        <is>
          <t>#000000</t>
        </is>
      </c>
      <c r="M1541" s="145" t="inlineStr">
        <is>
          <t>General</t>
        </is>
      </c>
      <c r="N1541" s="145" t="inlineStr">
        <is>
          <t>Center</t>
        </is>
      </c>
      <c r="O1541" s="145" t="inlineStr">
        <is>
          <t>No</t>
        </is>
      </c>
      <c r="P1541" s="145" t="inlineStr">
        <is>
          <t>General</t>
        </is>
      </c>
      <c r="Q1541" s="145" t="inlineStr">
        <is>
          <t>General</t>
        </is>
      </c>
      <c r="R1541" s="145" t="n"/>
      <c r="S1541" s="145" t="n"/>
      <c r="T1541" s="145" t="n"/>
      <c r="U1541" s="145" t="n"/>
      <c r="V1541" s="145" t="n"/>
      <c r="W1541" s="145" t="n"/>
      <c r="X1541" s="145" t="inlineStr">
        <is>
          <t>Detailed format sample from top five used rows</t>
        </is>
      </c>
    </row>
    <row r="1542" ht="23.85" customHeight="1" s="79">
      <c r="A1542" s="145" t="inlineStr">
        <is>
          <t>MNL_PPO</t>
        </is>
      </c>
      <c r="B1542" s="145" t="inlineStr">
        <is>
          <t>Column Format</t>
        </is>
      </c>
      <c r="C1542" s="145" t="inlineStr">
        <is>
          <t>H:H</t>
        </is>
      </c>
      <c r="D1542" s="145" t="inlineStr">
        <is>
          <t>MNL_PPO!A1:AM329</t>
        </is>
      </c>
      <c r="E1542" s="145" t="inlineStr">
        <is>
          <t>Normal</t>
        </is>
      </c>
      <c r="F1542" s="145" t="inlineStr">
        <is>
          <t>Mixed</t>
        </is>
      </c>
      <c r="G1542" s="145" t="inlineStr">
        <is>
          <t>Cambria</t>
        </is>
      </c>
      <c r="H1542" s="145" t="n">
        <v>8</v>
      </c>
      <c r="I1542" s="145" t="inlineStr">
        <is>
          <t>Mixed</t>
        </is>
      </c>
      <c r="J1542" s="145" t="inlineStr">
        <is>
          <t>No</t>
        </is>
      </c>
      <c r="K1542" s="145" t="inlineStr">
        <is>
          <t>None</t>
        </is>
      </c>
      <c r="L1542" s="145" t="inlineStr">
        <is>
          <t>Mixed</t>
        </is>
      </c>
      <c r="M1542" s="145" t="inlineStr">
        <is>
          <t>General</t>
        </is>
      </c>
      <c r="N1542" s="145" t="inlineStr">
        <is>
          <t>Center</t>
        </is>
      </c>
      <c r="O1542" s="145" t="inlineStr">
        <is>
          <t>No</t>
        </is>
      </c>
      <c r="P1542" s="145" t="n"/>
      <c r="Q1542" s="145" t="n"/>
      <c r="R1542" s="145" t="n"/>
      <c r="S1542" s="145" t="n">
        <v>51.044776119403</v>
      </c>
      <c r="T1542" s="145" t="n"/>
      <c r="U1542" s="145" t="inlineStr">
        <is>
          <t>No</t>
        </is>
      </c>
      <c r="V1542" s="145" t="inlineStr">
        <is>
          <t>Visible</t>
        </is>
      </c>
      <c r="W1542" s="145" t="n"/>
      <c r="X1542" s="145" t="inlineStr">
        <is>
          <t>Mixed styles within used column</t>
        </is>
      </c>
    </row>
    <row r="1543" ht="23.85" customHeight="1" s="79">
      <c r="A1543" s="145" t="inlineStr">
        <is>
          <t>MNL_PPO</t>
        </is>
      </c>
      <c r="B1543" s="145" t="inlineStr">
        <is>
          <t>Top-Row Cell Format</t>
        </is>
      </c>
      <c r="C1543" s="145" t="inlineStr">
        <is>
          <t>H1</t>
        </is>
      </c>
      <c r="D1543" s="145" t="inlineStr">
        <is>
          <t>MNL_PPO!A1:AM329</t>
        </is>
      </c>
      <c r="E1543" s="145" t="inlineStr">
        <is>
          <t>Normal</t>
        </is>
      </c>
      <c r="F1543" s="145" t="inlineStr">
        <is>
          <t>#70AD47</t>
        </is>
      </c>
      <c r="G1543" s="145" t="inlineStr">
        <is>
          <t>Cambria</t>
        </is>
      </c>
      <c r="H1543" s="145" t="n">
        <v>8</v>
      </c>
      <c r="I1543" s="145" t="inlineStr">
        <is>
          <t>Yes</t>
        </is>
      </c>
      <c r="J1543" s="145" t="inlineStr">
        <is>
          <t>No</t>
        </is>
      </c>
      <c r="K1543" s="145" t="inlineStr">
        <is>
          <t>None</t>
        </is>
      </c>
      <c r="L1543" s="145" t="inlineStr">
        <is>
          <t>#FFFFFF</t>
        </is>
      </c>
      <c r="M1543" s="145" t="inlineStr">
        <is>
          <t>General</t>
        </is>
      </c>
      <c r="N1543" s="145" t="inlineStr">
        <is>
          <t>Center</t>
        </is>
      </c>
      <c r="O1543" s="145" t="inlineStr">
        <is>
          <t>No</t>
        </is>
      </c>
      <c r="P1543" s="145" t="inlineStr">
        <is>
          <t>General</t>
        </is>
      </c>
      <c r="Q1543" s="145" t="inlineStr">
        <is>
          <t>General</t>
        </is>
      </c>
      <c r="R1543" s="145" t="n"/>
      <c r="S1543" s="145" t="n"/>
      <c r="T1543" s="145" t="n"/>
      <c r="U1543" s="145" t="n"/>
      <c r="V1543" s="145" t="n"/>
      <c r="W1543" s="145" t="n"/>
      <c r="X1543" s="145" t="inlineStr">
        <is>
          <t>Detailed format sample from top five used rows</t>
        </is>
      </c>
    </row>
    <row r="1544" ht="23.85" customHeight="1" s="79">
      <c r="A1544" s="145" t="inlineStr">
        <is>
          <t>MNL_PPO</t>
        </is>
      </c>
      <c r="B1544" s="145" t="inlineStr">
        <is>
          <t>Top-Row Cell Format</t>
        </is>
      </c>
      <c r="C1544" s="145" t="inlineStr">
        <is>
          <t>H2</t>
        </is>
      </c>
      <c r="D1544" s="145" t="inlineStr">
        <is>
          <t>MNL_PPO!A1:AM329</t>
        </is>
      </c>
      <c r="E1544" s="145" t="inlineStr">
        <is>
          <t>Normal</t>
        </is>
      </c>
      <c r="F1544" s="145" t="n"/>
      <c r="G1544" s="145" t="inlineStr">
        <is>
          <t>Cambria</t>
        </is>
      </c>
      <c r="H1544" s="145" t="n">
        <v>8</v>
      </c>
      <c r="I1544" s="145" t="inlineStr">
        <is>
          <t>No</t>
        </is>
      </c>
      <c r="J1544" s="145" t="inlineStr">
        <is>
          <t>No</t>
        </is>
      </c>
      <c r="K1544" s="145" t="inlineStr">
        <is>
          <t>None</t>
        </is>
      </c>
      <c r="L1544" s="145" t="inlineStr">
        <is>
          <t>#000000</t>
        </is>
      </c>
      <c r="M1544" s="145" t="inlineStr">
        <is>
          <t>General</t>
        </is>
      </c>
      <c r="N1544" s="145" t="inlineStr">
        <is>
          <t>Center</t>
        </is>
      </c>
      <c r="O1544" s="145" t="inlineStr">
        <is>
          <t>No</t>
        </is>
      </c>
      <c r="P1544" s="145" t="inlineStr">
        <is>
          <t>General</t>
        </is>
      </c>
      <c r="Q1544" s="145" t="inlineStr">
        <is>
          <t>General</t>
        </is>
      </c>
      <c r="R1544" s="145" t="n"/>
      <c r="S1544" s="145" t="n"/>
      <c r="T1544" s="145" t="n"/>
      <c r="U1544" s="145" t="n"/>
      <c r="V1544" s="145" t="n"/>
      <c r="W1544" s="145" t="n"/>
      <c r="X1544" s="145" t="inlineStr">
        <is>
          <t>Detailed format sample from top five used rows</t>
        </is>
      </c>
    </row>
    <row r="1545" ht="23.85" customHeight="1" s="79">
      <c r="A1545" s="145" t="inlineStr">
        <is>
          <t>MNL_PPO</t>
        </is>
      </c>
      <c r="B1545" s="145" t="inlineStr">
        <is>
          <t>Top-Row Cell Format</t>
        </is>
      </c>
      <c r="C1545" s="145" t="inlineStr">
        <is>
          <t>H3</t>
        </is>
      </c>
      <c r="D1545" s="145" t="inlineStr">
        <is>
          <t>MNL_PPO!A1:AM329</t>
        </is>
      </c>
      <c r="E1545" s="145" t="inlineStr">
        <is>
          <t>Normal</t>
        </is>
      </c>
      <c r="F1545" s="145" t="n"/>
      <c r="G1545" s="145" t="inlineStr">
        <is>
          <t>Cambria</t>
        </is>
      </c>
      <c r="H1545" s="145" t="n">
        <v>8</v>
      </c>
      <c r="I1545" s="145" t="inlineStr">
        <is>
          <t>No</t>
        </is>
      </c>
      <c r="J1545" s="145" t="inlineStr">
        <is>
          <t>No</t>
        </is>
      </c>
      <c r="K1545" s="145" t="inlineStr">
        <is>
          <t>None</t>
        </is>
      </c>
      <c r="L1545" s="145" t="inlineStr">
        <is>
          <t>#000000</t>
        </is>
      </c>
      <c r="M1545" s="145" t="inlineStr">
        <is>
          <t>General</t>
        </is>
      </c>
      <c r="N1545" s="145" t="inlineStr">
        <is>
          <t>Center</t>
        </is>
      </c>
      <c r="O1545" s="145" t="inlineStr">
        <is>
          <t>No</t>
        </is>
      </c>
      <c r="P1545" s="145" t="inlineStr">
        <is>
          <t>General</t>
        </is>
      </c>
      <c r="Q1545" s="145" t="inlineStr">
        <is>
          <t>General</t>
        </is>
      </c>
      <c r="R1545" s="145" t="n"/>
      <c r="S1545" s="145" t="n"/>
      <c r="T1545" s="145" t="n"/>
      <c r="U1545" s="145" t="n"/>
      <c r="V1545" s="145" t="n"/>
      <c r="W1545" s="145" t="n"/>
      <c r="X1545" s="145" t="inlineStr">
        <is>
          <t>Detailed format sample from top five used rows</t>
        </is>
      </c>
    </row>
    <row r="1546" ht="23.85" customHeight="1" s="79">
      <c r="A1546" s="145" t="inlineStr">
        <is>
          <t>MNL_PPO</t>
        </is>
      </c>
      <c r="B1546" s="145" t="inlineStr">
        <is>
          <t>Top-Row Cell Format</t>
        </is>
      </c>
      <c r="C1546" s="145" t="inlineStr">
        <is>
          <t>H4</t>
        </is>
      </c>
      <c r="D1546" s="145" t="inlineStr">
        <is>
          <t>MNL_PPO!A1:AM329</t>
        </is>
      </c>
      <c r="E1546" s="145" t="inlineStr">
        <is>
          <t>Normal</t>
        </is>
      </c>
      <c r="F1546" s="145" t="n"/>
      <c r="G1546" s="145" t="inlineStr">
        <is>
          <t>Cambria</t>
        </is>
      </c>
      <c r="H1546" s="145" t="n">
        <v>8</v>
      </c>
      <c r="I1546" s="145" t="inlineStr">
        <is>
          <t>No</t>
        </is>
      </c>
      <c r="J1546" s="145" t="inlineStr">
        <is>
          <t>No</t>
        </is>
      </c>
      <c r="K1546" s="145" t="inlineStr">
        <is>
          <t>None</t>
        </is>
      </c>
      <c r="L1546" s="145" t="inlineStr">
        <is>
          <t>#000000</t>
        </is>
      </c>
      <c r="M1546" s="145" t="inlineStr">
        <is>
          <t>General</t>
        </is>
      </c>
      <c r="N1546" s="145" t="inlineStr">
        <is>
          <t>Center</t>
        </is>
      </c>
      <c r="O1546" s="145" t="inlineStr">
        <is>
          <t>No</t>
        </is>
      </c>
      <c r="P1546" s="145" t="inlineStr">
        <is>
          <t>General</t>
        </is>
      </c>
      <c r="Q1546" s="145" t="inlineStr">
        <is>
          <t>General</t>
        </is>
      </c>
      <c r="R1546" s="145" t="n"/>
      <c r="S1546" s="145" t="n"/>
      <c r="T1546" s="145" t="n"/>
      <c r="U1546" s="145" t="n"/>
      <c r="V1546" s="145" t="n"/>
      <c r="W1546" s="145" t="n"/>
      <c r="X1546" s="145" t="inlineStr">
        <is>
          <t>Detailed format sample from top five used rows</t>
        </is>
      </c>
    </row>
    <row r="1547" ht="23.85" customHeight="1" s="79">
      <c r="A1547" s="145" t="inlineStr">
        <is>
          <t>MNL_PPO</t>
        </is>
      </c>
      <c r="B1547" s="145" t="inlineStr">
        <is>
          <t>Top-Row Cell Format</t>
        </is>
      </c>
      <c r="C1547" s="145" t="inlineStr">
        <is>
          <t>H5</t>
        </is>
      </c>
      <c r="D1547" s="145" t="inlineStr">
        <is>
          <t>MNL_PPO!A1:AM329</t>
        </is>
      </c>
      <c r="E1547" s="145" t="inlineStr">
        <is>
          <t>Normal</t>
        </is>
      </c>
      <c r="F1547" s="145" t="n"/>
      <c r="G1547" s="145" t="inlineStr">
        <is>
          <t>Cambria</t>
        </is>
      </c>
      <c r="H1547" s="145" t="n">
        <v>8</v>
      </c>
      <c r="I1547" s="145" t="inlineStr">
        <is>
          <t>No</t>
        </is>
      </c>
      <c r="J1547" s="145" t="inlineStr">
        <is>
          <t>No</t>
        </is>
      </c>
      <c r="K1547" s="145" t="inlineStr">
        <is>
          <t>None</t>
        </is>
      </c>
      <c r="L1547" s="145" t="inlineStr">
        <is>
          <t>#000000</t>
        </is>
      </c>
      <c r="M1547" s="145" t="inlineStr">
        <is>
          <t>General</t>
        </is>
      </c>
      <c r="N1547" s="145" t="inlineStr">
        <is>
          <t>Center</t>
        </is>
      </c>
      <c r="O1547" s="145" t="inlineStr">
        <is>
          <t>No</t>
        </is>
      </c>
      <c r="P1547" s="145" t="inlineStr">
        <is>
          <t>General</t>
        </is>
      </c>
      <c r="Q1547" s="145" t="inlineStr">
        <is>
          <t>General</t>
        </is>
      </c>
      <c r="R1547" s="145" t="n"/>
      <c r="S1547" s="145" t="n"/>
      <c r="T1547" s="145" t="n"/>
      <c r="U1547" s="145" t="n"/>
      <c r="V1547" s="145" t="n"/>
      <c r="W1547" s="145" t="n"/>
      <c r="X1547" s="145" t="inlineStr">
        <is>
          <t>Detailed format sample from top five used rows</t>
        </is>
      </c>
    </row>
    <row r="1548" ht="23.85" customHeight="1" s="79">
      <c r="A1548" s="145" t="inlineStr">
        <is>
          <t>MNL_PPO</t>
        </is>
      </c>
      <c r="B1548" s="145" t="inlineStr">
        <is>
          <t>Column Format</t>
        </is>
      </c>
      <c r="C1548" s="145" t="inlineStr">
        <is>
          <t>I:I</t>
        </is>
      </c>
      <c r="D1548" s="145" t="inlineStr">
        <is>
          <t>MNL_PPO!A1:AM329</t>
        </is>
      </c>
      <c r="E1548" s="145" t="inlineStr">
        <is>
          <t>Normal</t>
        </is>
      </c>
      <c r="F1548" s="145" t="inlineStr">
        <is>
          <t>Mixed</t>
        </is>
      </c>
      <c r="G1548" s="145" t="inlineStr">
        <is>
          <t>Cambria</t>
        </is>
      </c>
      <c r="H1548" s="145" t="n">
        <v>8</v>
      </c>
      <c r="I1548" s="145" t="inlineStr">
        <is>
          <t>Mixed</t>
        </is>
      </c>
      <c r="J1548" s="145" t="inlineStr">
        <is>
          <t>No</t>
        </is>
      </c>
      <c r="K1548" s="145" t="inlineStr">
        <is>
          <t>None</t>
        </is>
      </c>
      <c r="L1548" s="145" t="inlineStr">
        <is>
          <t>Mixed</t>
        </is>
      </c>
      <c r="M1548" s="145" t="inlineStr">
        <is>
          <t>General</t>
        </is>
      </c>
      <c r="N1548" s="145" t="inlineStr">
        <is>
          <t>Center</t>
        </is>
      </c>
      <c r="O1548" s="145" t="inlineStr">
        <is>
          <t>No</t>
        </is>
      </c>
      <c r="P1548" s="145" t="n"/>
      <c r="Q1548" s="145" t="n"/>
      <c r="R1548" s="145" t="n"/>
      <c r="S1548" s="145" t="n">
        <v>45.6716417910448</v>
      </c>
      <c r="T1548" s="145" t="n"/>
      <c r="U1548" s="145" t="inlineStr">
        <is>
          <t>No</t>
        </is>
      </c>
      <c r="V1548" s="145" t="inlineStr">
        <is>
          <t>Visible</t>
        </is>
      </c>
      <c r="W1548" s="145" t="n"/>
      <c r="X1548" s="145" t="inlineStr">
        <is>
          <t>Mixed styles within used column</t>
        </is>
      </c>
    </row>
    <row r="1549" ht="23.85" customHeight="1" s="79">
      <c r="A1549" s="145" t="inlineStr">
        <is>
          <t>MNL_PPO</t>
        </is>
      </c>
      <c r="B1549" s="145" t="inlineStr">
        <is>
          <t>Top-Row Cell Format</t>
        </is>
      </c>
      <c r="C1549" s="145" t="inlineStr">
        <is>
          <t>I1</t>
        </is>
      </c>
      <c r="D1549" s="145" t="inlineStr">
        <is>
          <t>MNL_PPO!A1:AM329</t>
        </is>
      </c>
      <c r="E1549" s="145" t="inlineStr">
        <is>
          <t>Normal</t>
        </is>
      </c>
      <c r="F1549" s="145" t="inlineStr">
        <is>
          <t>#70AD47</t>
        </is>
      </c>
      <c r="G1549" s="145" t="inlineStr">
        <is>
          <t>Cambria</t>
        </is>
      </c>
      <c r="H1549" s="145" t="n">
        <v>8</v>
      </c>
      <c r="I1549" s="145" t="inlineStr">
        <is>
          <t>Yes</t>
        </is>
      </c>
      <c r="J1549" s="145" t="inlineStr">
        <is>
          <t>No</t>
        </is>
      </c>
      <c r="K1549" s="145" t="inlineStr">
        <is>
          <t>None</t>
        </is>
      </c>
      <c r="L1549" s="145" t="inlineStr">
        <is>
          <t>#FFFFFF</t>
        </is>
      </c>
      <c r="M1549" s="145" t="inlineStr">
        <is>
          <t>General</t>
        </is>
      </c>
      <c r="N1549" s="145" t="inlineStr">
        <is>
          <t>Center</t>
        </is>
      </c>
      <c r="O1549" s="145" t="inlineStr">
        <is>
          <t>No</t>
        </is>
      </c>
      <c r="P1549" s="145" t="inlineStr">
        <is>
          <t>General</t>
        </is>
      </c>
      <c r="Q1549" s="145" t="inlineStr">
        <is>
          <t>General</t>
        </is>
      </c>
      <c r="R1549" s="145" t="n"/>
      <c r="S1549" s="145" t="n"/>
      <c r="T1549" s="145" t="n"/>
      <c r="U1549" s="145" t="n"/>
      <c r="V1549" s="145" t="n"/>
      <c r="W1549" s="145" t="n"/>
      <c r="X1549" s="145" t="inlineStr">
        <is>
          <t>Detailed format sample from top five used rows</t>
        </is>
      </c>
    </row>
    <row r="1550" ht="23.85" customHeight="1" s="79">
      <c r="A1550" s="145" t="inlineStr">
        <is>
          <t>MNL_PPO</t>
        </is>
      </c>
      <c r="B1550" s="145" t="inlineStr">
        <is>
          <t>Top-Row Cell Format</t>
        </is>
      </c>
      <c r="C1550" s="145" t="inlineStr">
        <is>
          <t>I2</t>
        </is>
      </c>
      <c r="D1550" s="145" t="inlineStr">
        <is>
          <t>MNL_PPO!A1:AM329</t>
        </is>
      </c>
      <c r="E1550" s="145" t="inlineStr">
        <is>
          <t>Normal</t>
        </is>
      </c>
      <c r="F1550" s="145" t="n"/>
      <c r="G1550" s="145" t="inlineStr">
        <is>
          <t>Cambria</t>
        </is>
      </c>
      <c r="H1550" s="145" t="n">
        <v>8</v>
      </c>
      <c r="I1550" s="145" t="inlineStr">
        <is>
          <t>No</t>
        </is>
      </c>
      <c r="J1550" s="145" t="inlineStr">
        <is>
          <t>No</t>
        </is>
      </c>
      <c r="K1550" s="145" t="inlineStr">
        <is>
          <t>None</t>
        </is>
      </c>
      <c r="L1550" s="145" t="inlineStr">
        <is>
          <t>#000000</t>
        </is>
      </c>
      <c r="M1550" s="145" t="inlineStr">
        <is>
          <t>General</t>
        </is>
      </c>
      <c r="N1550" s="145" t="inlineStr">
        <is>
          <t>Center</t>
        </is>
      </c>
      <c r="O1550" s="145" t="inlineStr">
        <is>
          <t>No</t>
        </is>
      </c>
      <c r="P1550" s="145" t="inlineStr">
        <is>
          <t>General</t>
        </is>
      </c>
      <c r="Q1550" s="145" t="inlineStr">
        <is>
          <t>General</t>
        </is>
      </c>
      <c r="R1550" s="145" t="n"/>
      <c r="S1550" s="145" t="n"/>
      <c r="T1550" s="145" t="n"/>
      <c r="U1550" s="145" t="n"/>
      <c r="V1550" s="145" t="n"/>
      <c r="W1550" s="145" t="n"/>
      <c r="X1550" s="145" t="inlineStr">
        <is>
          <t>Detailed format sample from top five used rows</t>
        </is>
      </c>
    </row>
    <row r="1551" ht="23.85" customHeight="1" s="79">
      <c r="A1551" s="145" t="inlineStr">
        <is>
          <t>MNL_PPO</t>
        </is>
      </c>
      <c r="B1551" s="145" t="inlineStr">
        <is>
          <t>Top-Row Cell Format</t>
        </is>
      </c>
      <c r="C1551" s="145" t="inlineStr">
        <is>
          <t>I3</t>
        </is>
      </c>
      <c r="D1551" s="145" t="inlineStr">
        <is>
          <t>MNL_PPO!A1:AM329</t>
        </is>
      </c>
      <c r="E1551" s="145" t="inlineStr">
        <is>
          <t>Normal</t>
        </is>
      </c>
      <c r="F1551" s="145" t="n"/>
      <c r="G1551" s="145" t="inlineStr">
        <is>
          <t>Cambria</t>
        </is>
      </c>
      <c r="H1551" s="145" t="n">
        <v>8</v>
      </c>
      <c r="I1551" s="145" t="inlineStr">
        <is>
          <t>No</t>
        </is>
      </c>
      <c r="J1551" s="145" t="inlineStr">
        <is>
          <t>No</t>
        </is>
      </c>
      <c r="K1551" s="145" t="inlineStr">
        <is>
          <t>None</t>
        </is>
      </c>
      <c r="L1551" s="145" t="inlineStr">
        <is>
          <t>#000000</t>
        </is>
      </c>
      <c r="M1551" s="145" t="inlineStr">
        <is>
          <t>General</t>
        </is>
      </c>
      <c r="N1551" s="145" t="inlineStr">
        <is>
          <t>Center</t>
        </is>
      </c>
      <c r="O1551" s="145" t="inlineStr">
        <is>
          <t>No</t>
        </is>
      </c>
      <c r="P1551" s="145" t="inlineStr">
        <is>
          <t>General</t>
        </is>
      </c>
      <c r="Q1551" s="145" t="inlineStr">
        <is>
          <t>General</t>
        </is>
      </c>
      <c r="R1551" s="145" t="n"/>
      <c r="S1551" s="145" t="n"/>
      <c r="T1551" s="145" t="n"/>
      <c r="U1551" s="145" t="n"/>
      <c r="V1551" s="145" t="n"/>
      <c r="W1551" s="145" t="n"/>
      <c r="X1551" s="145" t="inlineStr">
        <is>
          <t>Detailed format sample from top five used rows</t>
        </is>
      </c>
    </row>
    <row r="1552" ht="23.85" customHeight="1" s="79">
      <c r="A1552" s="145" t="inlineStr">
        <is>
          <t>MNL_PPO</t>
        </is>
      </c>
      <c r="B1552" s="145" t="inlineStr">
        <is>
          <t>Top-Row Cell Format</t>
        </is>
      </c>
      <c r="C1552" s="145" t="inlineStr">
        <is>
          <t>I4</t>
        </is>
      </c>
      <c r="D1552" s="145" t="inlineStr">
        <is>
          <t>MNL_PPO!A1:AM329</t>
        </is>
      </c>
      <c r="E1552" s="145" t="inlineStr">
        <is>
          <t>Normal</t>
        </is>
      </c>
      <c r="F1552" s="145" t="n"/>
      <c r="G1552" s="145" t="inlineStr">
        <is>
          <t>Cambria</t>
        </is>
      </c>
      <c r="H1552" s="145" t="n">
        <v>8</v>
      </c>
      <c r="I1552" s="145" t="inlineStr">
        <is>
          <t>No</t>
        </is>
      </c>
      <c r="J1552" s="145" t="inlineStr">
        <is>
          <t>No</t>
        </is>
      </c>
      <c r="K1552" s="145" t="inlineStr">
        <is>
          <t>None</t>
        </is>
      </c>
      <c r="L1552" s="145" t="inlineStr">
        <is>
          <t>#000000</t>
        </is>
      </c>
      <c r="M1552" s="145" t="inlineStr">
        <is>
          <t>General</t>
        </is>
      </c>
      <c r="N1552" s="145" t="inlineStr">
        <is>
          <t>Center</t>
        </is>
      </c>
      <c r="O1552" s="145" t="inlineStr">
        <is>
          <t>No</t>
        </is>
      </c>
      <c r="P1552" s="145" t="inlineStr">
        <is>
          <t>General</t>
        </is>
      </c>
      <c r="Q1552" s="145" t="inlineStr">
        <is>
          <t>General</t>
        </is>
      </c>
      <c r="R1552" s="145" t="n"/>
      <c r="S1552" s="145" t="n"/>
      <c r="T1552" s="145" t="n"/>
      <c r="U1552" s="145" t="n"/>
      <c r="V1552" s="145" t="n"/>
      <c r="W1552" s="145" t="n"/>
      <c r="X1552" s="145" t="inlineStr">
        <is>
          <t>Detailed format sample from top five used rows</t>
        </is>
      </c>
    </row>
    <row r="1553" ht="23.85" customHeight="1" s="79">
      <c r="A1553" s="145" t="inlineStr">
        <is>
          <t>MNL_PPO</t>
        </is>
      </c>
      <c r="B1553" s="145" t="inlineStr">
        <is>
          <t>Top-Row Cell Format</t>
        </is>
      </c>
      <c r="C1553" s="145" t="inlineStr">
        <is>
          <t>I5</t>
        </is>
      </c>
      <c r="D1553" s="145" t="inlineStr">
        <is>
          <t>MNL_PPO!A1:AM329</t>
        </is>
      </c>
      <c r="E1553" s="145" t="inlineStr">
        <is>
          <t>Normal</t>
        </is>
      </c>
      <c r="F1553" s="145" t="n"/>
      <c r="G1553" s="145" t="inlineStr">
        <is>
          <t>Cambria</t>
        </is>
      </c>
      <c r="H1553" s="145" t="n">
        <v>8</v>
      </c>
      <c r="I1553" s="145" t="inlineStr">
        <is>
          <t>No</t>
        </is>
      </c>
      <c r="J1553" s="145" t="inlineStr">
        <is>
          <t>No</t>
        </is>
      </c>
      <c r="K1553" s="145" t="inlineStr">
        <is>
          <t>None</t>
        </is>
      </c>
      <c r="L1553" s="145" t="inlineStr">
        <is>
          <t>#000000</t>
        </is>
      </c>
      <c r="M1553" s="145" t="inlineStr">
        <is>
          <t>General</t>
        </is>
      </c>
      <c r="N1553" s="145" t="inlineStr">
        <is>
          <t>Center</t>
        </is>
      </c>
      <c r="O1553" s="145" t="inlineStr">
        <is>
          <t>No</t>
        </is>
      </c>
      <c r="P1553" s="145" t="inlineStr">
        <is>
          <t>General</t>
        </is>
      </c>
      <c r="Q1553" s="145" t="inlineStr">
        <is>
          <t>General</t>
        </is>
      </c>
      <c r="R1553" s="145" t="n"/>
      <c r="S1553" s="145" t="n"/>
      <c r="T1553" s="145" t="n"/>
      <c r="U1553" s="145" t="n"/>
      <c r="V1553" s="145" t="n"/>
      <c r="W1553" s="145" t="n"/>
      <c r="X1553" s="145" t="inlineStr">
        <is>
          <t>Detailed format sample from top five used rows</t>
        </is>
      </c>
    </row>
    <row r="1554" ht="23.85" customHeight="1" s="79">
      <c r="A1554" s="145" t="inlineStr">
        <is>
          <t>MNL_PPO</t>
        </is>
      </c>
      <c r="B1554" s="145" t="inlineStr">
        <is>
          <t>Column Format</t>
        </is>
      </c>
      <c r="C1554" s="145" t="inlineStr">
        <is>
          <t>J:J</t>
        </is>
      </c>
      <c r="D1554" s="145" t="inlineStr">
        <is>
          <t>MNL_PPO!A1:AM329</t>
        </is>
      </c>
      <c r="E1554" s="145" t="inlineStr">
        <is>
          <t>Normal</t>
        </is>
      </c>
      <c r="F1554" s="145" t="inlineStr">
        <is>
          <t>Mixed</t>
        </is>
      </c>
      <c r="G1554" s="145" t="inlineStr">
        <is>
          <t>Cambria</t>
        </is>
      </c>
      <c r="H1554" s="145" t="n">
        <v>8</v>
      </c>
      <c r="I1554" s="145" t="inlineStr">
        <is>
          <t>Mixed</t>
        </is>
      </c>
      <c r="J1554" s="145" t="inlineStr">
        <is>
          <t>No</t>
        </is>
      </c>
      <c r="K1554" s="145" t="inlineStr">
        <is>
          <t>None</t>
        </is>
      </c>
      <c r="L1554" s="145" t="inlineStr">
        <is>
          <t>Mixed</t>
        </is>
      </c>
      <c r="M1554" s="145" t="inlineStr">
        <is>
          <t>General</t>
        </is>
      </c>
      <c r="N1554" s="145" t="inlineStr">
        <is>
          <t>Center</t>
        </is>
      </c>
      <c r="O1554" s="145" t="inlineStr">
        <is>
          <t>No</t>
        </is>
      </c>
      <c r="P1554" s="145" t="n"/>
      <c r="Q1554" s="145" t="n"/>
      <c r="R1554" s="145" t="n"/>
      <c r="S1554" s="145" t="n">
        <v>34.9253731343284</v>
      </c>
      <c r="T1554" s="145" t="n"/>
      <c r="U1554" s="145" t="inlineStr">
        <is>
          <t>No</t>
        </is>
      </c>
      <c r="V1554" s="145" t="inlineStr">
        <is>
          <t>Visible</t>
        </is>
      </c>
      <c r="W1554" s="145" t="n"/>
      <c r="X1554" s="145" t="inlineStr">
        <is>
          <t>Mixed styles within used column</t>
        </is>
      </c>
    </row>
    <row r="1555" ht="23.85" customHeight="1" s="79">
      <c r="A1555" s="145" t="inlineStr">
        <is>
          <t>MNL_PPO</t>
        </is>
      </c>
      <c r="B1555" s="145" t="inlineStr">
        <is>
          <t>Top-Row Cell Format</t>
        </is>
      </c>
      <c r="C1555" s="145" t="inlineStr">
        <is>
          <t>J1</t>
        </is>
      </c>
      <c r="D1555" s="145" t="inlineStr">
        <is>
          <t>MNL_PPO!A1:AM329</t>
        </is>
      </c>
      <c r="E1555" s="145" t="inlineStr">
        <is>
          <t>Normal</t>
        </is>
      </c>
      <c r="F1555" s="145" t="inlineStr">
        <is>
          <t>#70AD47</t>
        </is>
      </c>
      <c r="G1555" s="145" t="inlineStr">
        <is>
          <t>Cambria</t>
        </is>
      </c>
      <c r="H1555" s="145" t="n">
        <v>8</v>
      </c>
      <c r="I1555" s="145" t="inlineStr">
        <is>
          <t>Yes</t>
        </is>
      </c>
      <c r="J1555" s="145" t="inlineStr">
        <is>
          <t>No</t>
        </is>
      </c>
      <c r="K1555" s="145" t="inlineStr">
        <is>
          <t>None</t>
        </is>
      </c>
      <c r="L1555" s="145" t="inlineStr">
        <is>
          <t>#FFFFFF</t>
        </is>
      </c>
      <c r="M1555" s="145" t="inlineStr">
        <is>
          <t>General</t>
        </is>
      </c>
      <c r="N1555" s="145" t="inlineStr">
        <is>
          <t>Center</t>
        </is>
      </c>
      <c r="O1555" s="145" t="inlineStr">
        <is>
          <t>No</t>
        </is>
      </c>
      <c r="P1555" s="145" t="inlineStr">
        <is>
          <t>General</t>
        </is>
      </c>
      <c r="Q1555" s="145" t="inlineStr">
        <is>
          <t>General</t>
        </is>
      </c>
      <c r="R1555" s="145" t="n"/>
      <c r="S1555" s="145" t="n"/>
      <c r="T1555" s="145" t="n"/>
      <c r="U1555" s="145" t="n"/>
      <c r="V1555" s="145" t="n"/>
      <c r="W1555" s="145" t="n"/>
      <c r="X1555" s="145" t="inlineStr">
        <is>
          <t>Detailed format sample from top five used rows</t>
        </is>
      </c>
    </row>
    <row r="1556" ht="23.85" customHeight="1" s="79">
      <c r="A1556" s="145" t="inlineStr">
        <is>
          <t>MNL_PPO</t>
        </is>
      </c>
      <c r="B1556" s="145" t="inlineStr">
        <is>
          <t>Top-Row Cell Format</t>
        </is>
      </c>
      <c r="C1556" s="145" t="inlineStr">
        <is>
          <t>J2</t>
        </is>
      </c>
      <c r="D1556" s="145" t="inlineStr">
        <is>
          <t>MNL_PPO!A1:AM329</t>
        </is>
      </c>
      <c r="E1556" s="145" t="inlineStr">
        <is>
          <t>Normal</t>
        </is>
      </c>
      <c r="F1556" s="145" t="n"/>
      <c r="G1556" s="145" t="inlineStr">
        <is>
          <t>Cambria</t>
        </is>
      </c>
      <c r="H1556" s="145" t="n">
        <v>8</v>
      </c>
      <c r="I1556" s="145" t="inlineStr">
        <is>
          <t>No</t>
        </is>
      </c>
      <c r="J1556" s="145" t="inlineStr">
        <is>
          <t>No</t>
        </is>
      </c>
      <c r="K1556" s="145" t="inlineStr">
        <is>
          <t>None</t>
        </is>
      </c>
      <c r="L1556" s="145" t="inlineStr">
        <is>
          <t>#000000</t>
        </is>
      </c>
      <c r="M1556" s="145" t="inlineStr">
        <is>
          <t>General</t>
        </is>
      </c>
      <c r="N1556" s="145" t="inlineStr">
        <is>
          <t>Center</t>
        </is>
      </c>
      <c r="O1556" s="145" t="inlineStr">
        <is>
          <t>No</t>
        </is>
      </c>
      <c r="P1556" s="145" t="inlineStr">
        <is>
          <t>General</t>
        </is>
      </c>
      <c r="Q1556" s="145" t="inlineStr">
        <is>
          <t>General</t>
        </is>
      </c>
      <c r="R1556" s="145" t="n"/>
      <c r="S1556" s="145" t="n"/>
      <c r="T1556" s="145" t="n"/>
      <c r="U1556" s="145" t="n"/>
      <c r="V1556" s="145" t="n"/>
      <c r="W1556" s="145" t="n"/>
      <c r="X1556" s="145" t="inlineStr">
        <is>
          <t>Detailed format sample from top five used rows</t>
        </is>
      </c>
    </row>
    <row r="1557" ht="23.85" customHeight="1" s="79">
      <c r="A1557" s="145" t="inlineStr">
        <is>
          <t>MNL_PPO</t>
        </is>
      </c>
      <c r="B1557" s="145" t="inlineStr">
        <is>
          <t>Top-Row Cell Format</t>
        </is>
      </c>
      <c r="C1557" s="145" t="inlineStr">
        <is>
          <t>J3</t>
        </is>
      </c>
      <c r="D1557" s="145" t="inlineStr">
        <is>
          <t>MNL_PPO!A1:AM329</t>
        </is>
      </c>
      <c r="E1557" s="145" t="inlineStr">
        <is>
          <t>Normal</t>
        </is>
      </c>
      <c r="F1557" s="145" t="n"/>
      <c r="G1557" s="145" t="inlineStr">
        <is>
          <t>Cambria</t>
        </is>
      </c>
      <c r="H1557" s="145" t="n">
        <v>8</v>
      </c>
      <c r="I1557" s="145" t="inlineStr">
        <is>
          <t>No</t>
        </is>
      </c>
      <c r="J1557" s="145" t="inlineStr">
        <is>
          <t>No</t>
        </is>
      </c>
      <c r="K1557" s="145" t="inlineStr">
        <is>
          <t>None</t>
        </is>
      </c>
      <c r="L1557" s="145" t="inlineStr">
        <is>
          <t>#000000</t>
        </is>
      </c>
      <c r="M1557" s="145" t="inlineStr">
        <is>
          <t>General</t>
        </is>
      </c>
      <c r="N1557" s="145" t="inlineStr">
        <is>
          <t>Center</t>
        </is>
      </c>
      <c r="O1557" s="145" t="inlineStr">
        <is>
          <t>No</t>
        </is>
      </c>
      <c r="P1557" s="145" t="inlineStr">
        <is>
          <t>General</t>
        </is>
      </c>
      <c r="Q1557" s="145" t="inlineStr">
        <is>
          <t>General</t>
        </is>
      </c>
      <c r="R1557" s="145" t="n"/>
      <c r="S1557" s="145" t="n"/>
      <c r="T1557" s="145" t="n"/>
      <c r="U1557" s="145" t="n"/>
      <c r="V1557" s="145" t="n"/>
      <c r="W1557" s="145" t="n"/>
      <c r="X1557" s="145" t="inlineStr">
        <is>
          <t>Detailed format sample from top five used rows</t>
        </is>
      </c>
    </row>
    <row r="1558" ht="23.85" customHeight="1" s="79">
      <c r="A1558" s="145" t="inlineStr">
        <is>
          <t>MNL_PPO</t>
        </is>
      </c>
      <c r="B1558" s="145" t="inlineStr">
        <is>
          <t>Top-Row Cell Format</t>
        </is>
      </c>
      <c r="C1558" s="145" t="inlineStr">
        <is>
          <t>J4</t>
        </is>
      </c>
      <c r="D1558" s="145" t="inlineStr">
        <is>
          <t>MNL_PPO!A1:AM329</t>
        </is>
      </c>
      <c r="E1558" s="145" t="inlineStr">
        <is>
          <t>Normal</t>
        </is>
      </c>
      <c r="F1558" s="145" t="n"/>
      <c r="G1558" s="145" t="inlineStr">
        <is>
          <t>Cambria</t>
        </is>
      </c>
      <c r="H1558" s="145" t="n">
        <v>8</v>
      </c>
      <c r="I1558" s="145" t="inlineStr">
        <is>
          <t>No</t>
        </is>
      </c>
      <c r="J1558" s="145" t="inlineStr">
        <is>
          <t>No</t>
        </is>
      </c>
      <c r="K1558" s="145" t="inlineStr">
        <is>
          <t>None</t>
        </is>
      </c>
      <c r="L1558" s="145" t="inlineStr">
        <is>
          <t>#000000</t>
        </is>
      </c>
      <c r="M1558" s="145" t="inlineStr">
        <is>
          <t>General</t>
        </is>
      </c>
      <c r="N1558" s="145" t="inlineStr">
        <is>
          <t>Center</t>
        </is>
      </c>
      <c r="O1558" s="145" t="inlineStr">
        <is>
          <t>No</t>
        </is>
      </c>
      <c r="P1558" s="145" t="inlineStr">
        <is>
          <t>General</t>
        </is>
      </c>
      <c r="Q1558" s="145" t="inlineStr">
        <is>
          <t>General</t>
        </is>
      </c>
      <c r="R1558" s="145" t="n"/>
      <c r="S1558" s="145" t="n"/>
      <c r="T1558" s="145" t="n"/>
      <c r="U1558" s="145" t="n"/>
      <c r="V1558" s="145" t="n"/>
      <c r="W1558" s="145" t="n"/>
      <c r="X1558" s="145" t="inlineStr">
        <is>
          <t>Detailed format sample from top five used rows</t>
        </is>
      </c>
    </row>
    <row r="1559" ht="23.85" customHeight="1" s="79">
      <c r="A1559" s="145" t="inlineStr">
        <is>
          <t>MNL_PPO</t>
        </is>
      </c>
      <c r="B1559" s="145" t="inlineStr">
        <is>
          <t>Top-Row Cell Format</t>
        </is>
      </c>
      <c r="C1559" s="145" t="inlineStr">
        <is>
          <t>J5</t>
        </is>
      </c>
      <c r="D1559" s="145" t="inlineStr">
        <is>
          <t>MNL_PPO!A1:AM329</t>
        </is>
      </c>
      <c r="E1559" s="145" t="inlineStr">
        <is>
          <t>Normal</t>
        </is>
      </c>
      <c r="F1559" s="145" t="n"/>
      <c r="G1559" s="145" t="inlineStr">
        <is>
          <t>Cambria</t>
        </is>
      </c>
      <c r="H1559" s="145" t="n">
        <v>8</v>
      </c>
      <c r="I1559" s="145" t="inlineStr">
        <is>
          <t>No</t>
        </is>
      </c>
      <c r="J1559" s="145" t="inlineStr">
        <is>
          <t>No</t>
        </is>
      </c>
      <c r="K1559" s="145" t="inlineStr">
        <is>
          <t>None</t>
        </is>
      </c>
      <c r="L1559" s="145" t="inlineStr">
        <is>
          <t>#000000</t>
        </is>
      </c>
      <c r="M1559" s="145" t="inlineStr">
        <is>
          <t>General</t>
        </is>
      </c>
      <c r="N1559" s="145" t="inlineStr">
        <is>
          <t>Center</t>
        </is>
      </c>
      <c r="O1559" s="145" t="inlineStr">
        <is>
          <t>No</t>
        </is>
      </c>
      <c r="P1559" s="145" t="inlineStr">
        <is>
          <t>General</t>
        </is>
      </c>
      <c r="Q1559" s="145" t="inlineStr">
        <is>
          <t>General</t>
        </is>
      </c>
      <c r="R1559" s="145" t="n"/>
      <c r="S1559" s="145" t="n"/>
      <c r="T1559" s="145" t="n"/>
      <c r="U1559" s="145" t="n"/>
      <c r="V1559" s="145" t="n"/>
      <c r="W1559" s="145" t="n"/>
      <c r="X1559" s="145" t="inlineStr">
        <is>
          <t>Detailed format sample from top five used rows</t>
        </is>
      </c>
    </row>
    <row r="1560" ht="23.85" customHeight="1" s="79">
      <c r="A1560" s="145" t="inlineStr">
        <is>
          <t>MNL_PPO</t>
        </is>
      </c>
      <c r="B1560" s="145" t="inlineStr">
        <is>
          <t>Column Format</t>
        </is>
      </c>
      <c r="C1560" s="145" t="inlineStr">
        <is>
          <t>K:K</t>
        </is>
      </c>
      <c r="D1560" s="145" t="inlineStr">
        <is>
          <t>MNL_PPO!A1:AM329</t>
        </is>
      </c>
      <c r="E1560" s="145" t="inlineStr">
        <is>
          <t>Normal</t>
        </is>
      </c>
      <c r="F1560" s="145" t="inlineStr">
        <is>
          <t>Mixed</t>
        </is>
      </c>
      <c r="G1560" s="145" t="inlineStr">
        <is>
          <t>Cambria</t>
        </is>
      </c>
      <c r="H1560" s="145" t="n">
        <v>8</v>
      </c>
      <c r="I1560" s="145" t="inlineStr">
        <is>
          <t>Mixed</t>
        </is>
      </c>
      <c r="J1560" s="145" t="inlineStr">
        <is>
          <t>No</t>
        </is>
      </c>
      <c r="K1560" s="145" t="inlineStr">
        <is>
          <t>None</t>
        </is>
      </c>
      <c r="L1560" s="145" t="inlineStr">
        <is>
          <t>Mixed</t>
        </is>
      </c>
      <c r="M1560" s="145" t="inlineStr">
        <is>
          <t>General</t>
        </is>
      </c>
      <c r="N1560" s="145" t="inlineStr">
        <is>
          <t>Center</t>
        </is>
      </c>
      <c r="O1560" s="145" t="inlineStr">
        <is>
          <t>No</t>
        </is>
      </c>
      <c r="P1560" s="145" t="n"/>
      <c r="Q1560" s="145" t="n"/>
      <c r="R1560" s="145" t="n"/>
      <c r="S1560" s="145" t="n">
        <v>34.9253731343284</v>
      </c>
      <c r="T1560" s="145" t="n"/>
      <c r="U1560" s="145" t="inlineStr">
        <is>
          <t>No</t>
        </is>
      </c>
      <c r="V1560" s="145" t="inlineStr">
        <is>
          <t>Visible</t>
        </is>
      </c>
      <c r="W1560" s="145" t="n"/>
      <c r="X1560" s="145" t="inlineStr">
        <is>
          <t>Mixed styles within used column</t>
        </is>
      </c>
    </row>
    <row r="1561" ht="23.85" customHeight="1" s="79">
      <c r="A1561" s="145" t="inlineStr">
        <is>
          <t>MNL_PPO</t>
        </is>
      </c>
      <c r="B1561" s="145" t="inlineStr">
        <is>
          <t>Top-Row Cell Format</t>
        </is>
      </c>
      <c r="C1561" s="145" t="inlineStr">
        <is>
          <t>K1</t>
        </is>
      </c>
      <c r="D1561" s="145" t="inlineStr">
        <is>
          <t>MNL_PPO!A1:AM329</t>
        </is>
      </c>
      <c r="E1561" s="145" t="inlineStr">
        <is>
          <t>Normal</t>
        </is>
      </c>
      <c r="F1561" s="145" t="inlineStr">
        <is>
          <t>#70AD47</t>
        </is>
      </c>
      <c r="G1561" s="145" t="inlineStr">
        <is>
          <t>Cambria</t>
        </is>
      </c>
      <c r="H1561" s="145" t="n">
        <v>8</v>
      </c>
      <c r="I1561" s="145" t="inlineStr">
        <is>
          <t>Yes</t>
        </is>
      </c>
      <c r="J1561" s="145" t="inlineStr">
        <is>
          <t>No</t>
        </is>
      </c>
      <c r="K1561" s="145" t="inlineStr">
        <is>
          <t>None</t>
        </is>
      </c>
      <c r="L1561" s="145" t="inlineStr">
        <is>
          <t>#FFFFFF</t>
        </is>
      </c>
      <c r="M1561" s="145" t="inlineStr">
        <is>
          <t>General</t>
        </is>
      </c>
      <c r="N1561" s="145" t="inlineStr">
        <is>
          <t>Center</t>
        </is>
      </c>
      <c r="O1561" s="145" t="inlineStr">
        <is>
          <t>No</t>
        </is>
      </c>
      <c r="P1561" s="145" t="inlineStr">
        <is>
          <t>General</t>
        </is>
      </c>
      <c r="Q1561" s="145" t="inlineStr">
        <is>
          <t>General</t>
        </is>
      </c>
      <c r="R1561" s="145" t="n"/>
      <c r="S1561" s="145" t="n"/>
      <c r="T1561" s="145" t="n"/>
      <c r="U1561" s="145" t="n"/>
      <c r="V1561" s="145" t="n"/>
      <c r="W1561" s="145" t="n"/>
      <c r="X1561" s="145" t="inlineStr">
        <is>
          <t>Detailed format sample from top five used rows</t>
        </is>
      </c>
    </row>
    <row r="1562" ht="23.85" customHeight="1" s="79">
      <c r="A1562" s="145" t="inlineStr">
        <is>
          <t>MNL_PPO</t>
        </is>
      </c>
      <c r="B1562" s="145" t="inlineStr">
        <is>
          <t>Top-Row Cell Format</t>
        </is>
      </c>
      <c r="C1562" s="145" t="inlineStr">
        <is>
          <t>K2</t>
        </is>
      </c>
      <c r="D1562" s="145" t="inlineStr">
        <is>
          <t>MNL_PPO!A1:AM329</t>
        </is>
      </c>
      <c r="E1562" s="145" t="inlineStr">
        <is>
          <t>Normal</t>
        </is>
      </c>
      <c r="F1562" s="145" t="n"/>
      <c r="G1562" s="145" t="inlineStr">
        <is>
          <t>Cambria</t>
        </is>
      </c>
      <c r="H1562" s="145" t="n">
        <v>8</v>
      </c>
      <c r="I1562" s="145" t="inlineStr">
        <is>
          <t>No</t>
        </is>
      </c>
      <c r="J1562" s="145" t="inlineStr">
        <is>
          <t>No</t>
        </is>
      </c>
      <c r="K1562" s="145" t="inlineStr">
        <is>
          <t>None</t>
        </is>
      </c>
      <c r="L1562" s="145" t="inlineStr">
        <is>
          <t>#000000</t>
        </is>
      </c>
      <c r="M1562" s="145" t="inlineStr">
        <is>
          <t>General</t>
        </is>
      </c>
      <c r="N1562" s="145" t="inlineStr">
        <is>
          <t>Center</t>
        </is>
      </c>
      <c r="O1562" s="145" t="inlineStr">
        <is>
          <t>No</t>
        </is>
      </c>
      <c r="P1562" s="145" t="inlineStr">
        <is>
          <t>General</t>
        </is>
      </c>
      <c r="Q1562" s="145" t="inlineStr">
        <is>
          <t>General</t>
        </is>
      </c>
      <c r="R1562" s="145" t="n"/>
      <c r="S1562" s="145" t="n"/>
      <c r="T1562" s="145" t="n"/>
      <c r="U1562" s="145" t="n"/>
      <c r="V1562" s="145" t="n"/>
      <c r="W1562" s="145" t="n"/>
      <c r="X1562" s="145" t="inlineStr">
        <is>
          <t>Detailed format sample from top five used rows</t>
        </is>
      </c>
    </row>
    <row r="1563" ht="23.85" customHeight="1" s="79">
      <c r="A1563" s="145" t="inlineStr">
        <is>
          <t>MNL_PPO</t>
        </is>
      </c>
      <c r="B1563" s="145" t="inlineStr">
        <is>
          <t>Top-Row Cell Format</t>
        </is>
      </c>
      <c r="C1563" s="145" t="inlineStr">
        <is>
          <t>K3</t>
        </is>
      </c>
      <c r="D1563" s="145" t="inlineStr">
        <is>
          <t>MNL_PPO!A1:AM329</t>
        </is>
      </c>
      <c r="E1563" s="145" t="inlineStr">
        <is>
          <t>Normal</t>
        </is>
      </c>
      <c r="F1563" s="145" t="n"/>
      <c r="G1563" s="145" t="inlineStr">
        <is>
          <t>Cambria</t>
        </is>
      </c>
      <c r="H1563" s="145" t="n">
        <v>8</v>
      </c>
      <c r="I1563" s="145" t="inlineStr">
        <is>
          <t>No</t>
        </is>
      </c>
      <c r="J1563" s="145" t="inlineStr">
        <is>
          <t>No</t>
        </is>
      </c>
      <c r="K1563" s="145" t="inlineStr">
        <is>
          <t>None</t>
        </is>
      </c>
      <c r="L1563" s="145" t="inlineStr">
        <is>
          <t>#000000</t>
        </is>
      </c>
      <c r="M1563" s="145" t="inlineStr">
        <is>
          <t>General</t>
        </is>
      </c>
      <c r="N1563" s="145" t="inlineStr">
        <is>
          <t>Center</t>
        </is>
      </c>
      <c r="O1563" s="145" t="inlineStr">
        <is>
          <t>No</t>
        </is>
      </c>
      <c r="P1563" s="145" t="inlineStr">
        <is>
          <t>General</t>
        </is>
      </c>
      <c r="Q1563" s="145" t="inlineStr">
        <is>
          <t>General</t>
        </is>
      </c>
      <c r="R1563" s="145" t="n"/>
      <c r="S1563" s="145" t="n"/>
      <c r="T1563" s="145" t="n"/>
      <c r="U1563" s="145" t="n"/>
      <c r="V1563" s="145" t="n"/>
      <c r="W1563" s="145" t="n"/>
      <c r="X1563" s="145" t="inlineStr">
        <is>
          <t>Detailed format sample from top five used rows</t>
        </is>
      </c>
    </row>
    <row r="1564" ht="23.85" customHeight="1" s="79">
      <c r="A1564" s="145" t="inlineStr">
        <is>
          <t>MNL_PPO</t>
        </is>
      </c>
      <c r="B1564" s="145" t="inlineStr">
        <is>
          <t>Top-Row Cell Format</t>
        </is>
      </c>
      <c r="C1564" s="145" t="inlineStr">
        <is>
          <t>K4</t>
        </is>
      </c>
      <c r="D1564" s="145" t="inlineStr">
        <is>
          <t>MNL_PPO!A1:AM329</t>
        </is>
      </c>
      <c r="E1564" s="145" t="inlineStr">
        <is>
          <t>Normal</t>
        </is>
      </c>
      <c r="F1564" s="145" t="n"/>
      <c r="G1564" s="145" t="inlineStr">
        <is>
          <t>Cambria</t>
        </is>
      </c>
      <c r="H1564" s="145" t="n">
        <v>8</v>
      </c>
      <c r="I1564" s="145" t="inlineStr">
        <is>
          <t>No</t>
        </is>
      </c>
      <c r="J1564" s="145" t="inlineStr">
        <is>
          <t>No</t>
        </is>
      </c>
      <c r="K1564" s="145" t="inlineStr">
        <is>
          <t>None</t>
        </is>
      </c>
      <c r="L1564" s="145" t="inlineStr">
        <is>
          <t>#000000</t>
        </is>
      </c>
      <c r="M1564" s="145" t="inlineStr">
        <is>
          <t>General</t>
        </is>
      </c>
      <c r="N1564" s="145" t="inlineStr">
        <is>
          <t>Center</t>
        </is>
      </c>
      <c r="O1564" s="145" t="inlineStr">
        <is>
          <t>No</t>
        </is>
      </c>
      <c r="P1564" s="145" t="inlineStr">
        <is>
          <t>General</t>
        </is>
      </c>
      <c r="Q1564" s="145" t="inlineStr">
        <is>
          <t>General</t>
        </is>
      </c>
      <c r="R1564" s="145" t="n"/>
      <c r="S1564" s="145" t="n"/>
      <c r="T1564" s="145" t="n"/>
      <c r="U1564" s="145" t="n"/>
      <c r="V1564" s="145" t="n"/>
      <c r="W1564" s="145" t="n"/>
      <c r="X1564" s="145" t="inlineStr">
        <is>
          <t>Detailed format sample from top five used rows</t>
        </is>
      </c>
    </row>
    <row r="1565" ht="23.85" customHeight="1" s="79">
      <c r="A1565" s="145" t="inlineStr">
        <is>
          <t>MNL_PPO</t>
        </is>
      </c>
      <c r="B1565" s="145" t="inlineStr">
        <is>
          <t>Top-Row Cell Format</t>
        </is>
      </c>
      <c r="C1565" s="145" t="inlineStr">
        <is>
          <t>K5</t>
        </is>
      </c>
      <c r="D1565" s="145" t="inlineStr">
        <is>
          <t>MNL_PPO!A1:AM329</t>
        </is>
      </c>
      <c r="E1565" s="145" t="inlineStr">
        <is>
          <t>Normal</t>
        </is>
      </c>
      <c r="F1565" s="145" t="n"/>
      <c r="G1565" s="145" t="inlineStr">
        <is>
          <t>Cambria</t>
        </is>
      </c>
      <c r="H1565" s="145" t="n">
        <v>8</v>
      </c>
      <c r="I1565" s="145" t="inlineStr">
        <is>
          <t>No</t>
        </is>
      </c>
      <c r="J1565" s="145" t="inlineStr">
        <is>
          <t>No</t>
        </is>
      </c>
      <c r="K1565" s="145" t="inlineStr">
        <is>
          <t>None</t>
        </is>
      </c>
      <c r="L1565" s="145" t="inlineStr">
        <is>
          <t>#000000</t>
        </is>
      </c>
      <c r="M1565" s="145" t="inlineStr">
        <is>
          <t>General</t>
        </is>
      </c>
      <c r="N1565" s="145" t="inlineStr">
        <is>
          <t>Center</t>
        </is>
      </c>
      <c r="O1565" s="145" t="inlineStr">
        <is>
          <t>No</t>
        </is>
      </c>
      <c r="P1565" s="145" t="inlineStr">
        <is>
          <t>General</t>
        </is>
      </c>
      <c r="Q1565" s="145" t="inlineStr">
        <is>
          <t>General</t>
        </is>
      </c>
      <c r="R1565" s="145" t="n"/>
      <c r="S1565" s="145" t="n"/>
      <c r="T1565" s="145" t="n"/>
      <c r="U1565" s="145" t="n"/>
      <c r="V1565" s="145" t="n"/>
      <c r="W1565" s="145" t="n"/>
      <c r="X1565" s="145" t="inlineStr">
        <is>
          <t>Detailed format sample from top five used rows</t>
        </is>
      </c>
    </row>
    <row r="1566" ht="23.85" customHeight="1" s="79">
      <c r="A1566" s="145" t="inlineStr">
        <is>
          <t>MNL_PPO</t>
        </is>
      </c>
      <c r="B1566" s="145" t="inlineStr">
        <is>
          <t>Column Format</t>
        </is>
      </c>
      <c r="C1566" s="145" t="inlineStr">
        <is>
          <t>L:L</t>
        </is>
      </c>
      <c r="D1566" s="145" t="inlineStr">
        <is>
          <t>MNL_PPO!A1:AM329</t>
        </is>
      </c>
      <c r="E1566" s="145" t="inlineStr">
        <is>
          <t>Normal</t>
        </is>
      </c>
      <c r="F1566" s="145" t="inlineStr">
        <is>
          <t>Mixed</t>
        </is>
      </c>
      <c r="G1566" s="145" t="inlineStr">
        <is>
          <t>Cambria</t>
        </is>
      </c>
      <c r="H1566" s="145" t="n">
        <v>8</v>
      </c>
      <c r="I1566" s="145" t="inlineStr">
        <is>
          <t>Mixed</t>
        </is>
      </c>
      <c r="J1566" s="145" t="inlineStr">
        <is>
          <t>No</t>
        </is>
      </c>
      <c r="K1566" s="145" t="inlineStr">
        <is>
          <t>None</t>
        </is>
      </c>
      <c r="L1566" s="145" t="inlineStr">
        <is>
          <t>Mixed</t>
        </is>
      </c>
      <c r="M1566" s="145" t="inlineStr">
        <is>
          <t>General</t>
        </is>
      </c>
      <c r="N1566" s="145" t="inlineStr">
        <is>
          <t>Center</t>
        </is>
      </c>
      <c r="O1566" s="145" t="inlineStr">
        <is>
          <t>No</t>
        </is>
      </c>
      <c r="P1566" s="145" t="n"/>
      <c r="Q1566" s="145" t="n"/>
      <c r="R1566" s="145" t="n"/>
      <c r="S1566" s="145" t="n">
        <v>34.9253731343284</v>
      </c>
      <c r="T1566" s="145" t="n"/>
      <c r="U1566" s="145" t="inlineStr">
        <is>
          <t>No</t>
        </is>
      </c>
      <c r="V1566" s="145" t="inlineStr">
        <is>
          <t>Visible</t>
        </is>
      </c>
      <c r="W1566" s="145" t="n"/>
      <c r="X1566" s="145" t="inlineStr">
        <is>
          <t>Mixed styles within used column</t>
        </is>
      </c>
    </row>
    <row r="1567" ht="23.85" customHeight="1" s="79">
      <c r="A1567" s="145" t="inlineStr">
        <is>
          <t>MNL_PPO</t>
        </is>
      </c>
      <c r="B1567" s="145" t="inlineStr">
        <is>
          <t>Top-Row Cell Format</t>
        </is>
      </c>
      <c r="C1567" s="145" t="inlineStr">
        <is>
          <t>L1</t>
        </is>
      </c>
      <c r="D1567" s="145" t="inlineStr">
        <is>
          <t>MNL_PPO!A1:AM329</t>
        </is>
      </c>
      <c r="E1567" s="145" t="inlineStr">
        <is>
          <t>Normal</t>
        </is>
      </c>
      <c r="F1567" s="145" t="inlineStr">
        <is>
          <t>#70AD47</t>
        </is>
      </c>
      <c r="G1567" s="145" t="inlineStr">
        <is>
          <t>Cambria</t>
        </is>
      </c>
      <c r="H1567" s="145" t="n">
        <v>8</v>
      </c>
      <c r="I1567" s="145" t="inlineStr">
        <is>
          <t>Yes</t>
        </is>
      </c>
      <c r="J1567" s="145" t="inlineStr">
        <is>
          <t>No</t>
        </is>
      </c>
      <c r="K1567" s="145" t="inlineStr">
        <is>
          <t>None</t>
        </is>
      </c>
      <c r="L1567" s="145" t="inlineStr">
        <is>
          <t>#FFFFFF</t>
        </is>
      </c>
      <c r="M1567" s="145" t="inlineStr">
        <is>
          <t>General</t>
        </is>
      </c>
      <c r="N1567" s="145" t="inlineStr">
        <is>
          <t>Center</t>
        </is>
      </c>
      <c r="O1567" s="145" t="inlineStr">
        <is>
          <t>No</t>
        </is>
      </c>
      <c r="P1567" s="145" t="inlineStr">
        <is>
          <t>General</t>
        </is>
      </c>
      <c r="Q1567" s="145" t="inlineStr">
        <is>
          <t>General</t>
        </is>
      </c>
      <c r="R1567" s="145" t="n"/>
      <c r="S1567" s="145" t="n"/>
      <c r="T1567" s="145" t="n"/>
      <c r="U1567" s="145" t="n"/>
      <c r="V1567" s="145" t="n"/>
      <c r="W1567" s="145" t="n"/>
      <c r="X1567" s="145" t="inlineStr">
        <is>
          <t>Detailed format sample from top five used rows</t>
        </is>
      </c>
    </row>
    <row r="1568" ht="23.85" customHeight="1" s="79">
      <c r="A1568" s="145" t="inlineStr">
        <is>
          <t>MNL_PPO</t>
        </is>
      </c>
      <c r="B1568" s="145" t="inlineStr">
        <is>
          <t>Top-Row Cell Format</t>
        </is>
      </c>
      <c r="C1568" s="145" t="inlineStr">
        <is>
          <t>L2</t>
        </is>
      </c>
      <c r="D1568" s="145" t="inlineStr">
        <is>
          <t>MNL_PPO!A1:AM329</t>
        </is>
      </c>
      <c r="E1568" s="145" t="inlineStr">
        <is>
          <t>Normal</t>
        </is>
      </c>
      <c r="F1568" s="145" t="n"/>
      <c r="G1568" s="145" t="inlineStr">
        <is>
          <t>Cambria</t>
        </is>
      </c>
      <c r="H1568" s="145" t="n">
        <v>8</v>
      </c>
      <c r="I1568" s="145" t="inlineStr">
        <is>
          <t>No</t>
        </is>
      </c>
      <c r="J1568" s="145" t="inlineStr">
        <is>
          <t>No</t>
        </is>
      </c>
      <c r="K1568" s="145" t="inlineStr">
        <is>
          <t>None</t>
        </is>
      </c>
      <c r="L1568" s="145" t="inlineStr">
        <is>
          <t>#000000</t>
        </is>
      </c>
      <c r="M1568" s="145" t="inlineStr">
        <is>
          <t>General</t>
        </is>
      </c>
      <c r="N1568" s="145" t="inlineStr">
        <is>
          <t>Center</t>
        </is>
      </c>
      <c r="O1568" s="145" t="inlineStr">
        <is>
          <t>No</t>
        </is>
      </c>
      <c r="P1568" s="145" t="inlineStr">
        <is>
          <t>General</t>
        </is>
      </c>
      <c r="Q1568" s="145" t="inlineStr">
        <is>
          <t>General</t>
        </is>
      </c>
      <c r="R1568" s="145" t="n"/>
      <c r="S1568" s="145" t="n"/>
      <c r="T1568" s="145" t="n"/>
      <c r="U1568" s="145" t="n"/>
      <c r="V1568" s="145" t="n"/>
      <c r="W1568" s="145" t="n"/>
      <c r="X1568" s="145" t="inlineStr">
        <is>
          <t>Detailed format sample from top five used rows</t>
        </is>
      </c>
    </row>
    <row r="1569" ht="23.85" customHeight="1" s="79">
      <c r="A1569" s="145" t="inlineStr">
        <is>
          <t>MNL_PPO</t>
        </is>
      </c>
      <c r="B1569" s="145" t="inlineStr">
        <is>
          <t>Top-Row Cell Format</t>
        </is>
      </c>
      <c r="C1569" s="145" t="inlineStr">
        <is>
          <t>L3</t>
        </is>
      </c>
      <c r="D1569" s="145" t="inlineStr">
        <is>
          <t>MNL_PPO!A1:AM329</t>
        </is>
      </c>
      <c r="E1569" s="145" t="inlineStr">
        <is>
          <t>Normal</t>
        </is>
      </c>
      <c r="F1569" s="145" t="n"/>
      <c r="G1569" s="145" t="inlineStr">
        <is>
          <t>Cambria</t>
        </is>
      </c>
      <c r="H1569" s="145" t="n">
        <v>8</v>
      </c>
      <c r="I1569" s="145" t="inlineStr">
        <is>
          <t>No</t>
        </is>
      </c>
      <c r="J1569" s="145" t="inlineStr">
        <is>
          <t>No</t>
        </is>
      </c>
      <c r="K1569" s="145" t="inlineStr">
        <is>
          <t>None</t>
        </is>
      </c>
      <c r="L1569" s="145" t="inlineStr">
        <is>
          <t>#000000</t>
        </is>
      </c>
      <c r="M1569" s="145" t="inlineStr">
        <is>
          <t>General</t>
        </is>
      </c>
      <c r="N1569" s="145" t="inlineStr">
        <is>
          <t>Center</t>
        </is>
      </c>
      <c r="O1569" s="145" t="inlineStr">
        <is>
          <t>No</t>
        </is>
      </c>
      <c r="P1569" s="145" t="inlineStr">
        <is>
          <t>General</t>
        </is>
      </c>
      <c r="Q1569" s="145" t="inlineStr">
        <is>
          <t>General</t>
        </is>
      </c>
      <c r="R1569" s="145" t="n"/>
      <c r="S1569" s="145" t="n"/>
      <c r="T1569" s="145" t="n"/>
      <c r="U1569" s="145" t="n"/>
      <c r="V1569" s="145" t="n"/>
      <c r="W1569" s="145" t="n"/>
      <c r="X1569" s="145" t="inlineStr">
        <is>
          <t>Detailed format sample from top five used rows</t>
        </is>
      </c>
    </row>
    <row r="1570" ht="23.85" customHeight="1" s="79">
      <c r="A1570" s="145" t="inlineStr">
        <is>
          <t>MNL_PPO</t>
        </is>
      </c>
      <c r="B1570" s="145" t="inlineStr">
        <is>
          <t>Top-Row Cell Format</t>
        </is>
      </c>
      <c r="C1570" s="145" t="inlineStr">
        <is>
          <t>L4</t>
        </is>
      </c>
      <c r="D1570" s="145" t="inlineStr">
        <is>
          <t>MNL_PPO!A1:AM329</t>
        </is>
      </c>
      <c r="E1570" s="145" t="inlineStr">
        <is>
          <t>Normal</t>
        </is>
      </c>
      <c r="F1570" s="145" t="n"/>
      <c r="G1570" s="145" t="inlineStr">
        <is>
          <t>Cambria</t>
        </is>
      </c>
      <c r="H1570" s="145" t="n">
        <v>8</v>
      </c>
      <c r="I1570" s="145" t="inlineStr">
        <is>
          <t>No</t>
        </is>
      </c>
      <c r="J1570" s="145" t="inlineStr">
        <is>
          <t>No</t>
        </is>
      </c>
      <c r="K1570" s="145" t="inlineStr">
        <is>
          <t>None</t>
        </is>
      </c>
      <c r="L1570" s="145" t="inlineStr">
        <is>
          <t>#000000</t>
        </is>
      </c>
      <c r="M1570" s="145" t="inlineStr">
        <is>
          <t>General</t>
        </is>
      </c>
      <c r="N1570" s="145" t="inlineStr">
        <is>
          <t>Center</t>
        </is>
      </c>
      <c r="O1570" s="145" t="inlineStr">
        <is>
          <t>No</t>
        </is>
      </c>
      <c r="P1570" s="145" t="inlineStr">
        <is>
          <t>General</t>
        </is>
      </c>
      <c r="Q1570" s="145" t="inlineStr">
        <is>
          <t>General</t>
        </is>
      </c>
      <c r="R1570" s="145" t="n"/>
      <c r="S1570" s="145" t="n"/>
      <c r="T1570" s="145" t="n"/>
      <c r="U1570" s="145" t="n"/>
      <c r="V1570" s="145" t="n"/>
      <c r="W1570" s="145" t="n"/>
      <c r="X1570" s="145" t="inlineStr">
        <is>
          <t>Detailed format sample from top five used rows</t>
        </is>
      </c>
    </row>
    <row r="1571" ht="23.85" customHeight="1" s="79">
      <c r="A1571" s="145" t="inlineStr">
        <is>
          <t>MNL_PPO</t>
        </is>
      </c>
      <c r="B1571" s="145" t="inlineStr">
        <is>
          <t>Top-Row Cell Format</t>
        </is>
      </c>
      <c r="C1571" s="145" t="inlineStr">
        <is>
          <t>L5</t>
        </is>
      </c>
      <c r="D1571" s="145" t="inlineStr">
        <is>
          <t>MNL_PPO!A1:AM329</t>
        </is>
      </c>
      <c r="E1571" s="145" t="inlineStr">
        <is>
          <t>Normal</t>
        </is>
      </c>
      <c r="F1571" s="145" t="n"/>
      <c r="G1571" s="145" t="inlineStr">
        <is>
          <t>Cambria</t>
        </is>
      </c>
      <c r="H1571" s="145" t="n">
        <v>8</v>
      </c>
      <c r="I1571" s="145" t="inlineStr">
        <is>
          <t>No</t>
        </is>
      </c>
      <c r="J1571" s="145" t="inlineStr">
        <is>
          <t>No</t>
        </is>
      </c>
      <c r="K1571" s="145" t="inlineStr">
        <is>
          <t>None</t>
        </is>
      </c>
      <c r="L1571" s="145" t="inlineStr">
        <is>
          <t>#000000</t>
        </is>
      </c>
      <c r="M1571" s="145" t="inlineStr">
        <is>
          <t>General</t>
        </is>
      </c>
      <c r="N1571" s="145" t="inlineStr">
        <is>
          <t>Center</t>
        </is>
      </c>
      <c r="O1571" s="145" t="inlineStr">
        <is>
          <t>No</t>
        </is>
      </c>
      <c r="P1571" s="145" t="inlineStr">
        <is>
          <t>General</t>
        </is>
      </c>
      <c r="Q1571" s="145" t="inlineStr">
        <is>
          <t>General</t>
        </is>
      </c>
      <c r="R1571" s="145" t="n"/>
      <c r="S1571" s="145" t="n"/>
      <c r="T1571" s="145" t="n"/>
      <c r="U1571" s="145" t="n"/>
      <c r="V1571" s="145" t="n"/>
      <c r="W1571" s="145" t="n"/>
      <c r="X1571" s="145" t="inlineStr">
        <is>
          <t>Detailed format sample from top five used rows</t>
        </is>
      </c>
    </row>
    <row r="1572" ht="23.85" customHeight="1" s="79">
      <c r="A1572" s="145" t="inlineStr">
        <is>
          <t>MNL_PPO</t>
        </is>
      </c>
      <c r="B1572" s="145" t="inlineStr">
        <is>
          <t>Column Format</t>
        </is>
      </c>
      <c r="C1572" s="145" t="inlineStr">
        <is>
          <t>M:M</t>
        </is>
      </c>
      <c r="D1572" s="145" t="inlineStr">
        <is>
          <t>MNL_PPO!A1:AM329</t>
        </is>
      </c>
      <c r="E1572" s="145" t="inlineStr">
        <is>
          <t>Normal</t>
        </is>
      </c>
      <c r="F1572" s="145" t="inlineStr">
        <is>
          <t>Mixed</t>
        </is>
      </c>
      <c r="G1572" s="145" t="inlineStr">
        <is>
          <t>Cambria</t>
        </is>
      </c>
      <c r="H1572" s="145" t="n">
        <v>8</v>
      </c>
      <c r="I1572" s="145" t="inlineStr">
        <is>
          <t>Mixed</t>
        </is>
      </c>
      <c r="J1572" s="145" t="inlineStr">
        <is>
          <t>No</t>
        </is>
      </c>
      <c r="K1572" s="145" t="inlineStr">
        <is>
          <t>None</t>
        </is>
      </c>
      <c r="L1572" s="145" t="inlineStr">
        <is>
          <t>Mixed</t>
        </is>
      </c>
      <c r="M1572" s="145" t="inlineStr">
        <is>
          <t>General</t>
        </is>
      </c>
      <c r="N1572" s="145" t="inlineStr">
        <is>
          <t>Center</t>
        </is>
      </c>
      <c r="O1572" s="145" t="inlineStr">
        <is>
          <t>No</t>
        </is>
      </c>
      <c r="P1572" s="145" t="n"/>
      <c r="Q1572" s="145" t="n"/>
      <c r="R1572" s="145" t="n"/>
      <c r="S1572" s="145" t="n">
        <v>34.9253731343284</v>
      </c>
      <c r="T1572" s="145" t="n"/>
      <c r="U1572" s="145" t="inlineStr">
        <is>
          <t>No</t>
        </is>
      </c>
      <c r="V1572" s="145" t="inlineStr">
        <is>
          <t>Visible</t>
        </is>
      </c>
      <c r="W1572" s="145" t="n"/>
      <c r="X1572" s="145" t="inlineStr">
        <is>
          <t>Mixed styles within used column</t>
        </is>
      </c>
    </row>
    <row r="1573" ht="23.85" customHeight="1" s="79">
      <c r="A1573" s="145" t="inlineStr">
        <is>
          <t>MNL_PPO</t>
        </is>
      </c>
      <c r="B1573" s="145" t="inlineStr">
        <is>
          <t>Top-Row Cell Format</t>
        </is>
      </c>
      <c r="C1573" s="145" t="inlineStr">
        <is>
          <t>M1</t>
        </is>
      </c>
      <c r="D1573" s="145" t="inlineStr">
        <is>
          <t>MNL_PPO!A1:AM329</t>
        </is>
      </c>
      <c r="E1573" s="145" t="inlineStr">
        <is>
          <t>Normal</t>
        </is>
      </c>
      <c r="F1573" s="145" t="inlineStr">
        <is>
          <t>#70AD47</t>
        </is>
      </c>
      <c r="G1573" s="145" t="inlineStr">
        <is>
          <t>Cambria</t>
        </is>
      </c>
      <c r="H1573" s="145" t="n">
        <v>8</v>
      </c>
      <c r="I1573" s="145" t="inlineStr">
        <is>
          <t>Yes</t>
        </is>
      </c>
      <c r="J1573" s="145" t="inlineStr">
        <is>
          <t>No</t>
        </is>
      </c>
      <c r="K1573" s="145" t="inlineStr">
        <is>
          <t>None</t>
        </is>
      </c>
      <c r="L1573" s="145" t="inlineStr">
        <is>
          <t>#FFFFFF</t>
        </is>
      </c>
      <c r="M1573" s="145" t="inlineStr">
        <is>
          <t>General</t>
        </is>
      </c>
      <c r="N1573" s="145" t="inlineStr">
        <is>
          <t>Center</t>
        </is>
      </c>
      <c r="O1573" s="145" t="inlineStr">
        <is>
          <t>No</t>
        </is>
      </c>
      <c r="P1573" s="145" t="inlineStr">
        <is>
          <t>General</t>
        </is>
      </c>
      <c r="Q1573" s="145" t="inlineStr">
        <is>
          <t>General</t>
        </is>
      </c>
      <c r="R1573" s="145" t="n"/>
      <c r="S1573" s="145" t="n"/>
      <c r="T1573" s="145" t="n"/>
      <c r="U1573" s="145" t="n"/>
      <c r="V1573" s="145" t="n"/>
      <c r="W1573" s="145" t="n"/>
      <c r="X1573" s="145" t="inlineStr">
        <is>
          <t>Detailed format sample from top five used rows</t>
        </is>
      </c>
    </row>
    <row r="1574" ht="23.85" customHeight="1" s="79">
      <c r="A1574" s="145" t="inlineStr">
        <is>
          <t>MNL_PPO</t>
        </is>
      </c>
      <c r="B1574" s="145" t="inlineStr">
        <is>
          <t>Top-Row Cell Format</t>
        </is>
      </c>
      <c r="C1574" s="145" t="inlineStr">
        <is>
          <t>M2</t>
        </is>
      </c>
      <c r="D1574" s="145" t="inlineStr">
        <is>
          <t>MNL_PPO!A1:AM329</t>
        </is>
      </c>
      <c r="E1574" s="145" t="inlineStr">
        <is>
          <t>Normal</t>
        </is>
      </c>
      <c r="F1574" s="145" t="n"/>
      <c r="G1574" s="145" t="inlineStr">
        <is>
          <t>Cambria</t>
        </is>
      </c>
      <c r="H1574" s="145" t="n">
        <v>8</v>
      </c>
      <c r="I1574" s="145" t="inlineStr">
        <is>
          <t>No</t>
        </is>
      </c>
      <c r="J1574" s="145" t="inlineStr">
        <is>
          <t>No</t>
        </is>
      </c>
      <c r="K1574" s="145" t="inlineStr">
        <is>
          <t>None</t>
        </is>
      </c>
      <c r="L1574" s="145" t="inlineStr">
        <is>
          <t>#000000</t>
        </is>
      </c>
      <c r="M1574" s="145" t="inlineStr">
        <is>
          <t>General</t>
        </is>
      </c>
      <c r="N1574" s="145" t="inlineStr">
        <is>
          <t>Center</t>
        </is>
      </c>
      <c r="O1574" s="145" t="inlineStr">
        <is>
          <t>No</t>
        </is>
      </c>
      <c r="P1574" s="145" t="inlineStr">
        <is>
          <t>General</t>
        </is>
      </c>
      <c r="Q1574" s="145" t="inlineStr">
        <is>
          <t>General</t>
        </is>
      </c>
      <c r="R1574" s="145" t="n"/>
      <c r="S1574" s="145" t="n"/>
      <c r="T1574" s="145" t="n"/>
      <c r="U1574" s="145" t="n"/>
      <c r="V1574" s="145" t="n"/>
      <c r="W1574" s="145" t="n"/>
      <c r="X1574" s="145" t="inlineStr">
        <is>
          <t>Detailed format sample from top five used rows</t>
        </is>
      </c>
    </row>
    <row r="1575" ht="23.85" customHeight="1" s="79">
      <c r="A1575" s="145" t="inlineStr">
        <is>
          <t>MNL_PPO</t>
        </is>
      </c>
      <c r="B1575" s="145" t="inlineStr">
        <is>
          <t>Top-Row Cell Format</t>
        </is>
      </c>
      <c r="C1575" s="145" t="inlineStr">
        <is>
          <t>M3</t>
        </is>
      </c>
      <c r="D1575" s="145" t="inlineStr">
        <is>
          <t>MNL_PPO!A1:AM329</t>
        </is>
      </c>
      <c r="E1575" s="145" t="inlineStr">
        <is>
          <t>Normal</t>
        </is>
      </c>
      <c r="F1575" s="145" t="n"/>
      <c r="G1575" s="145" t="inlineStr">
        <is>
          <t>Cambria</t>
        </is>
      </c>
      <c r="H1575" s="145" t="n">
        <v>8</v>
      </c>
      <c r="I1575" s="145" t="inlineStr">
        <is>
          <t>No</t>
        </is>
      </c>
      <c r="J1575" s="145" t="inlineStr">
        <is>
          <t>No</t>
        </is>
      </c>
      <c r="K1575" s="145" t="inlineStr">
        <is>
          <t>None</t>
        </is>
      </c>
      <c r="L1575" s="145" t="inlineStr">
        <is>
          <t>#000000</t>
        </is>
      </c>
      <c r="M1575" s="145" t="inlineStr">
        <is>
          <t>General</t>
        </is>
      </c>
      <c r="N1575" s="145" t="inlineStr">
        <is>
          <t>Center</t>
        </is>
      </c>
      <c r="O1575" s="145" t="inlineStr">
        <is>
          <t>No</t>
        </is>
      </c>
      <c r="P1575" s="145" t="inlineStr">
        <is>
          <t>General</t>
        </is>
      </c>
      <c r="Q1575" s="145" t="inlineStr">
        <is>
          <t>General</t>
        </is>
      </c>
      <c r="R1575" s="145" t="n"/>
      <c r="S1575" s="145" t="n"/>
      <c r="T1575" s="145" t="n"/>
      <c r="U1575" s="145" t="n"/>
      <c r="V1575" s="145" t="n"/>
      <c r="W1575" s="145" t="n"/>
      <c r="X1575" s="145" t="inlineStr">
        <is>
          <t>Detailed format sample from top five used rows</t>
        </is>
      </c>
    </row>
    <row r="1576" ht="23.85" customHeight="1" s="79">
      <c r="A1576" s="145" t="inlineStr">
        <is>
          <t>MNL_PPO</t>
        </is>
      </c>
      <c r="B1576" s="145" t="inlineStr">
        <is>
          <t>Top-Row Cell Format</t>
        </is>
      </c>
      <c r="C1576" s="145" t="inlineStr">
        <is>
          <t>M4</t>
        </is>
      </c>
      <c r="D1576" s="145" t="inlineStr">
        <is>
          <t>MNL_PPO!A1:AM329</t>
        </is>
      </c>
      <c r="E1576" s="145" t="inlineStr">
        <is>
          <t>Normal</t>
        </is>
      </c>
      <c r="F1576" s="145" t="n"/>
      <c r="G1576" s="145" t="inlineStr">
        <is>
          <t>Cambria</t>
        </is>
      </c>
      <c r="H1576" s="145" t="n">
        <v>8</v>
      </c>
      <c r="I1576" s="145" t="inlineStr">
        <is>
          <t>No</t>
        </is>
      </c>
      <c r="J1576" s="145" t="inlineStr">
        <is>
          <t>No</t>
        </is>
      </c>
      <c r="K1576" s="145" t="inlineStr">
        <is>
          <t>None</t>
        </is>
      </c>
      <c r="L1576" s="145" t="inlineStr">
        <is>
          <t>#000000</t>
        </is>
      </c>
      <c r="M1576" s="145" t="inlineStr">
        <is>
          <t>General</t>
        </is>
      </c>
      <c r="N1576" s="145" t="inlineStr">
        <is>
          <t>Center</t>
        </is>
      </c>
      <c r="O1576" s="145" t="inlineStr">
        <is>
          <t>No</t>
        </is>
      </c>
      <c r="P1576" s="145" t="inlineStr">
        <is>
          <t>General</t>
        </is>
      </c>
      <c r="Q1576" s="145" t="inlineStr">
        <is>
          <t>General</t>
        </is>
      </c>
      <c r="R1576" s="145" t="n"/>
      <c r="S1576" s="145" t="n"/>
      <c r="T1576" s="145" t="n"/>
      <c r="U1576" s="145" t="n"/>
      <c r="V1576" s="145" t="n"/>
      <c r="W1576" s="145" t="n"/>
      <c r="X1576" s="145" t="inlineStr">
        <is>
          <t>Detailed format sample from top five used rows</t>
        </is>
      </c>
    </row>
    <row r="1577" ht="23.85" customHeight="1" s="79">
      <c r="A1577" s="145" t="inlineStr">
        <is>
          <t>MNL_PPO</t>
        </is>
      </c>
      <c r="B1577" s="145" t="inlineStr">
        <is>
          <t>Top-Row Cell Format</t>
        </is>
      </c>
      <c r="C1577" s="145" t="inlineStr">
        <is>
          <t>M5</t>
        </is>
      </c>
      <c r="D1577" s="145" t="inlineStr">
        <is>
          <t>MNL_PPO!A1:AM329</t>
        </is>
      </c>
      <c r="E1577" s="145" t="inlineStr">
        <is>
          <t>Normal</t>
        </is>
      </c>
      <c r="F1577" s="145" t="n"/>
      <c r="G1577" s="145" t="inlineStr">
        <is>
          <t>Cambria</t>
        </is>
      </c>
      <c r="H1577" s="145" t="n">
        <v>8</v>
      </c>
      <c r="I1577" s="145" t="inlineStr">
        <is>
          <t>No</t>
        </is>
      </c>
      <c r="J1577" s="145" t="inlineStr">
        <is>
          <t>No</t>
        </is>
      </c>
      <c r="K1577" s="145" t="inlineStr">
        <is>
          <t>None</t>
        </is>
      </c>
      <c r="L1577" s="145" t="inlineStr">
        <is>
          <t>#000000</t>
        </is>
      </c>
      <c r="M1577" s="145" t="inlineStr">
        <is>
          <t>General</t>
        </is>
      </c>
      <c r="N1577" s="145" t="inlineStr">
        <is>
          <t>Center</t>
        </is>
      </c>
      <c r="O1577" s="145" t="inlineStr">
        <is>
          <t>No</t>
        </is>
      </c>
      <c r="P1577" s="145" t="inlineStr">
        <is>
          <t>General</t>
        </is>
      </c>
      <c r="Q1577" s="145" t="inlineStr">
        <is>
          <t>General</t>
        </is>
      </c>
      <c r="R1577" s="145" t="n"/>
      <c r="S1577" s="145" t="n"/>
      <c r="T1577" s="145" t="n"/>
      <c r="U1577" s="145" t="n"/>
      <c r="V1577" s="145" t="n"/>
      <c r="W1577" s="145" t="n"/>
      <c r="X1577" s="145" t="inlineStr">
        <is>
          <t>Detailed format sample from top five used rows</t>
        </is>
      </c>
    </row>
    <row r="1578" ht="23.85" customHeight="1" s="79">
      <c r="A1578" s="145" t="inlineStr">
        <is>
          <t>MNL_PPO</t>
        </is>
      </c>
      <c r="B1578" s="145" t="inlineStr">
        <is>
          <t>Column Format</t>
        </is>
      </c>
      <c r="C1578" s="145" t="inlineStr">
        <is>
          <t>N:N</t>
        </is>
      </c>
      <c r="D1578" s="145" t="inlineStr">
        <is>
          <t>MNL_PPO!A1:AM329</t>
        </is>
      </c>
      <c r="E1578" s="145" t="inlineStr">
        <is>
          <t>Normal</t>
        </is>
      </c>
      <c r="F1578" s="145" t="inlineStr">
        <is>
          <t>Mixed</t>
        </is>
      </c>
      <c r="G1578" s="145" t="inlineStr">
        <is>
          <t>Cambria</t>
        </is>
      </c>
      <c r="H1578" s="145" t="n">
        <v>8</v>
      </c>
      <c r="I1578" s="145" t="inlineStr">
        <is>
          <t>Mixed</t>
        </is>
      </c>
      <c r="J1578" s="145" t="inlineStr">
        <is>
          <t>No</t>
        </is>
      </c>
      <c r="K1578" s="145" t="inlineStr">
        <is>
          <t>None</t>
        </is>
      </c>
      <c r="L1578" s="145" t="inlineStr">
        <is>
          <t>Mixed</t>
        </is>
      </c>
      <c r="M1578" s="145" t="inlineStr">
        <is>
          <t>General</t>
        </is>
      </c>
      <c r="N1578" s="145" t="inlineStr">
        <is>
          <t>Center</t>
        </is>
      </c>
      <c r="O1578" s="145" t="inlineStr">
        <is>
          <t>No</t>
        </is>
      </c>
      <c r="P1578" s="145" t="n"/>
      <c r="Q1578" s="145" t="n"/>
      <c r="R1578" s="145" t="n"/>
      <c r="S1578" s="145" t="n">
        <v>34.9253731343284</v>
      </c>
      <c r="T1578" s="145" t="n"/>
      <c r="U1578" s="145" t="inlineStr">
        <is>
          <t>No</t>
        </is>
      </c>
      <c r="V1578" s="145" t="inlineStr">
        <is>
          <t>Visible</t>
        </is>
      </c>
      <c r="W1578" s="145" t="n"/>
      <c r="X1578" s="145" t="inlineStr">
        <is>
          <t>Mixed styles within used column</t>
        </is>
      </c>
    </row>
    <row r="1579" ht="23.85" customHeight="1" s="79">
      <c r="A1579" s="145" t="inlineStr">
        <is>
          <t>MNL_PPO</t>
        </is>
      </c>
      <c r="B1579" s="145" t="inlineStr">
        <is>
          <t>Top-Row Cell Format</t>
        </is>
      </c>
      <c r="C1579" s="145" t="inlineStr">
        <is>
          <t>N1</t>
        </is>
      </c>
      <c r="D1579" s="145" t="inlineStr">
        <is>
          <t>MNL_PPO!A1:AM329</t>
        </is>
      </c>
      <c r="E1579" s="145" t="inlineStr">
        <is>
          <t>Normal</t>
        </is>
      </c>
      <c r="F1579" s="145" t="inlineStr">
        <is>
          <t>#70AD47</t>
        </is>
      </c>
      <c r="G1579" s="145" t="inlineStr">
        <is>
          <t>Cambria</t>
        </is>
      </c>
      <c r="H1579" s="145" t="n">
        <v>8</v>
      </c>
      <c r="I1579" s="145" t="inlineStr">
        <is>
          <t>Yes</t>
        </is>
      </c>
      <c r="J1579" s="145" t="inlineStr">
        <is>
          <t>No</t>
        </is>
      </c>
      <c r="K1579" s="145" t="inlineStr">
        <is>
          <t>None</t>
        </is>
      </c>
      <c r="L1579" s="145" t="inlineStr">
        <is>
          <t>#FFFFFF</t>
        </is>
      </c>
      <c r="M1579" s="145" t="inlineStr">
        <is>
          <t>General</t>
        </is>
      </c>
      <c r="N1579" s="145" t="inlineStr">
        <is>
          <t>Center</t>
        </is>
      </c>
      <c r="O1579" s="145" t="inlineStr">
        <is>
          <t>No</t>
        </is>
      </c>
      <c r="P1579" s="145" t="inlineStr">
        <is>
          <t>General</t>
        </is>
      </c>
      <c r="Q1579" s="145" t="inlineStr">
        <is>
          <t>General</t>
        </is>
      </c>
      <c r="R1579" s="145" t="n"/>
      <c r="S1579" s="145" t="n"/>
      <c r="T1579" s="145" t="n"/>
      <c r="U1579" s="145" t="n"/>
      <c r="V1579" s="145" t="n"/>
      <c r="W1579" s="145" t="n"/>
      <c r="X1579" s="145" t="inlineStr">
        <is>
          <t>Detailed format sample from top five used rows</t>
        </is>
      </c>
    </row>
    <row r="1580" ht="23.85" customHeight="1" s="79">
      <c r="A1580" s="145" t="inlineStr">
        <is>
          <t>MNL_PPO</t>
        </is>
      </c>
      <c r="B1580" s="145" t="inlineStr">
        <is>
          <t>Top-Row Cell Format</t>
        </is>
      </c>
      <c r="C1580" s="145" t="inlineStr">
        <is>
          <t>N2</t>
        </is>
      </c>
      <c r="D1580" s="145" t="inlineStr">
        <is>
          <t>MNL_PPO!A1:AM329</t>
        </is>
      </c>
      <c r="E1580" s="145" t="inlineStr">
        <is>
          <t>Normal</t>
        </is>
      </c>
      <c r="F1580" s="145" t="n"/>
      <c r="G1580" s="145" t="inlineStr">
        <is>
          <t>Cambria</t>
        </is>
      </c>
      <c r="H1580" s="145" t="n">
        <v>8</v>
      </c>
      <c r="I1580" s="145" t="inlineStr">
        <is>
          <t>No</t>
        </is>
      </c>
      <c r="J1580" s="145" t="inlineStr">
        <is>
          <t>No</t>
        </is>
      </c>
      <c r="K1580" s="145" t="inlineStr">
        <is>
          <t>None</t>
        </is>
      </c>
      <c r="L1580" s="145" t="inlineStr">
        <is>
          <t>#000000</t>
        </is>
      </c>
      <c r="M1580" s="145" t="inlineStr">
        <is>
          <t>General</t>
        </is>
      </c>
      <c r="N1580" s="145" t="inlineStr">
        <is>
          <t>Center</t>
        </is>
      </c>
      <c r="O1580" s="145" t="inlineStr">
        <is>
          <t>No</t>
        </is>
      </c>
      <c r="P1580" s="145" t="inlineStr">
        <is>
          <t>General</t>
        </is>
      </c>
      <c r="Q1580" s="145" t="inlineStr">
        <is>
          <t>General</t>
        </is>
      </c>
      <c r="R1580" s="145" t="n"/>
      <c r="S1580" s="145" t="n"/>
      <c r="T1580" s="145" t="n"/>
      <c r="U1580" s="145" t="n"/>
      <c r="V1580" s="145" t="n"/>
      <c r="W1580" s="145" t="n"/>
      <c r="X1580" s="145" t="inlineStr">
        <is>
          <t>Detailed format sample from top five used rows</t>
        </is>
      </c>
    </row>
    <row r="1581" ht="23.85" customHeight="1" s="79">
      <c r="A1581" s="145" t="inlineStr">
        <is>
          <t>MNL_PPO</t>
        </is>
      </c>
      <c r="B1581" s="145" t="inlineStr">
        <is>
          <t>Top-Row Cell Format</t>
        </is>
      </c>
      <c r="C1581" s="145" t="inlineStr">
        <is>
          <t>N3</t>
        </is>
      </c>
      <c r="D1581" s="145" t="inlineStr">
        <is>
          <t>MNL_PPO!A1:AM329</t>
        </is>
      </c>
      <c r="E1581" s="145" t="inlineStr">
        <is>
          <t>Normal</t>
        </is>
      </c>
      <c r="F1581" s="145" t="n"/>
      <c r="G1581" s="145" t="inlineStr">
        <is>
          <t>Cambria</t>
        </is>
      </c>
      <c r="H1581" s="145" t="n">
        <v>8</v>
      </c>
      <c r="I1581" s="145" t="inlineStr">
        <is>
          <t>No</t>
        </is>
      </c>
      <c r="J1581" s="145" t="inlineStr">
        <is>
          <t>No</t>
        </is>
      </c>
      <c r="K1581" s="145" t="inlineStr">
        <is>
          <t>None</t>
        </is>
      </c>
      <c r="L1581" s="145" t="inlineStr">
        <is>
          <t>#000000</t>
        </is>
      </c>
      <c r="M1581" s="145" t="inlineStr">
        <is>
          <t>General</t>
        </is>
      </c>
      <c r="N1581" s="145" t="inlineStr">
        <is>
          <t>Center</t>
        </is>
      </c>
      <c r="O1581" s="145" t="inlineStr">
        <is>
          <t>No</t>
        </is>
      </c>
      <c r="P1581" s="145" t="inlineStr">
        <is>
          <t>General</t>
        </is>
      </c>
      <c r="Q1581" s="145" t="inlineStr">
        <is>
          <t>General</t>
        </is>
      </c>
      <c r="R1581" s="145" t="n"/>
      <c r="S1581" s="145" t="n"/>
      <c r="T1581" s="145" t="n"/>
      <c r="U1581" s="145" t="n"/>
      <c r="V1581" s="145" t="n"/>
      <c r="W1581" s="145" t="n"/>
      <c r="X1581" s="145" t="inlineStr">
        <is>
          <t>Detailed format sample from top five used rows</t>
        </is>
      </c>
    </row>
    <row r="1582" ht="23.85" customHeight="1" s="79">
      <c r="A1582" s="145" t="inlineStr">
        <is>
          <t>MNL_PPO</t>
        </is>
      </c>
      <c r="B1582" s="145" t="inlineStr">
        <is>
          <t>Top-Row Cell Format</t>
        </is>
      </c>
      <c r="C1582" s="145" t="inlineStr">
        <is>
          <t>N4</t>
        </is>
      </c>
      <c r="D1582" s="145" t="inlineStr">
        <is>
          <t>MNL_PPO!A1:AM329</t>
        </is>
      </c>
      <c r="E1582" s="145" t="inlineStr">
        <is>
          <t>Normal</t>
        </is>
      </c>
      <c r="F1582" s="145" t="n"/>
      <c r="G1582" s="145" t="inlineStr">
        <is>
          <t>Cambria</t>
        </is>
      </c>
      <c r="H1582" s="145" t="n">
        <v>8</v>
      </c>
      <c r="I1582" s="145" t="inlineStr">
        <is>
          <t>No</t>
        </is>
      </c>
      <c r="J1582" s="145" t="inlineStr">
        <is>
          <t>No</t>
        </is>
      </c>
      <c r="K1582" s="145" t="inlineStr">
        <is>
          <t>None</t>
        </is>
      </c>
      <c r="L1582" s="145" t="inlineStr">
        <is>
          <t>#000000</t>
        </is>
      </c>
      <c r="M1582" s="145" t="inlineStr">
        <is>
          <t>General</t>
        </is>
      </c>
      <c r="N1582" s="145" t="inlineStr">
        <is>
          <t>Center</t>
        </is>
      </c>
      <c r="O1582" s="145" t="inlineStr">
        <is>
          <t>No</t>
        </is>
      </c>
      <c r="P1582" s="145" t="inlineStr">
        <is>
          <t>General</t>
        </is>
      </c>
      <c r="Q1582" s="145" t="inlineStr">
        <is>
          <t>General</t>
        </is>
      </c>
      <c r="R1582" s="145" t="n"/>
      <c r="S1582" s="145" t="n"/>
      <c r="T1582" s="145" t="n"/>
      <c r="U1582" s="145" t="n"/>
      <c r="V1582" s="145" t="n"/>
      <c r="W1582" s="145" t="n"/>
      <c r="X1582" s="145" t="inlineStr">
        <is>
          <t>Detailed format sample from top five used rows</t>
        </is>
      </c>
    </row>
    <row r="1583" ht="23.85" customHeight="1" s="79">
      <c r="A1583" s="145" t="inlineStr">
        <is>
          <t>MNL_PPO</t>
        </is>
      </c>
      <c r="B1583" s="145" t="inlineStr">
        <is>
          <t>Top-Row Cell Format</t>
        </is>
      </c>
      <c r="C1583" s="145" t="inlineStr">
        <is>
          <t>N5</t>
        </is>
      </c>
      <c r="D1583" s="145" t="inlineStr">
        <is>
          <t>MNL_PPO!A1:AM329</t>
        </is>
      </c>
      <c r="E1583" s="145" t="inlineStr">
        <is>
          <t>Normal</t>
        </is>
      </c>
      <c r="F1583" s="145" t="n"/>
      <c r="G1583" s="145" t="inlineStr">
        <is>
          <t>Cambria</t>
        </is>
      </c>
      <c r="H1583" s="145" t="n">
        <v>8</v>
      </c>
      <c r="I1583" s="145" t="inlineStr">
        <is>
          <t>No</t>
        </is>
      </c>
      <c r="J1583" s="145" t="inlineStr">
        <is>
          <t>No</t>
        </is>
      </c>
      <c r="K1583" s="145" t="inlineStr">
        <is>
          <t>None</t>
        </is>
      </c>
      <c r="L1583" s="145" t="inlineStr">
        <is>
          <t>#000000</t>
        </is>
      </c>
      <c r="M1583" s="145" t="inlineStr">
        <is>
          <t>General</t>
        </is>
      </c>
      <c r="N1583" s="145" t="inlineStr">
        <is>
          <t>Center</t>
        </is>
      </c>
      <c r="O1583" s="145" t="inlineStr">
        <is>
          <t>No</t>
        </is>
      </c>
      <c r="P1583" s="145" t="inlineStr">
        <is>
          <t>General</t>
        </is>
      </c>
      <c r="Q1583" s="145" t="inlineStr">
        <is>
          <t>General</t>
        </is>
      </c>
      <c r="R1583" s="145" t="n"/>
      <c r="S1583" s="145" t="n"/>
      <c r="T1583" s="145" t="n"/>
      <c r="U1583" s="145" t="n"/>
      <c r="V1583" s="145" t="n"/>
      <c r="W1583" s="145" t="n"/>
      <c r="X1583" s="145" t="inlineStr">
        <is>
          <t>Detailed format sample from top five used rows</t>
        </is>
      </c>
    </row>
    <row r="1584" ht="23.85" customHeight="1" s="79">
      <c r="A1584" s="145" t="inlineStr">
        <is>
          <t>MNL_PPO</t>
        </is>
      </c>
      <c r="B1584" s="145" t="inlineStr">
        <is>
          <t>Column Format</t>
        </is>
      </c>
      <c r="C1584" s="145" t="inlineStr">
        <is>
          <t>O:O</t>
        </is>
      </c>
      <c r="D1584" s="145" t="inlineStr">
        <is>
          <t>MNL_PPO!A1:AM329</t>
        </is>
      </c>
      <c r="E1584" s="145" t="inlineStr">
        <is>
          <t>Normal</t>
        </is>
      </c>
      <c r="F1584" s="145" t="inlineStr">
        <is>
          <t>Mixed</t>
        </is>
      </c>
      <c r="G1584" s="145" t="inlineStr">
        <is>
          <t>Cambria</t>
        </is>
      </c>
      <c r="H1584" s="145" t="n">
        <v>8</v>
      </c>
      <c r="I1584" s="145" t="inlineStr">
        <is>
          <t>Mixed</t>
        </is>
      </c>
      <c r="J1584" s="145" t="inlineStr">
        <is>
          <t>No</t>
        </is>
      </c>
      <c r="K1584" s="145" t="inlineStr">
        <is>
          <t>None</t>
        </is>
      </c>
      <c r="L1584" s="145" t="inlineStr">
        <is>
          <t>Mixed</t>
        </is>
      </c>
      <c r="M1584" s="145" t="inlineStr">
        <is>
          <t>General</t>
        </is>
      </c>
      <c r="N1584" s="145" t="inlineStr">
        <is>
          <t>Center</t>
        </is>
      </c>
      <c r="O1584" s="145" t="inlineStr">
        <is>
          <t>No</t>
        </is>
      </c>
      <c r="P1584" s="145" t="n"/>
      <c r="Q1584" s="145" t="n"/>
      <c r="R1584" s="145" t="n"/>
      <c r="S1584" s="145" t="n">
        <v>52.6567164179104</v>
      </c>
      <c r="T1584" s="145" t="n"/>
      <c r="U1584" s="145" t="inlineStr">
        <is>
          <t>No</t>
        </is>
      </c>
      <c r="V1584" s="145" t="inlineStr">
        <is>
          <t>Visible</t>
        </is>
      </c>
      <c r="W1584" s="145" t="n"/>
      <c r="X1584" s="145" t="inlineStr">
        <is>
          <t>Mixed styles within used column</t>
        </is>
      </c>
    </row>
    <row r="1585" ht="23.85" customHeight="1" s="79">
      <c r="A1585" s="145" t="inlineStr">
        <is>
          <t>MNL_PPO</t>
        </is>
      </c>
      <c r="B1585" s="145" t="inlineStr">
        <is>
          <t>Top-Row Cell Format</t>
        </is>
      </c>
      <c r="C1585" s="145" t="inlineStr">
        <is>
          <t>O1</t>
        </is>
      </c>
      <c r="D1585" s="145" t="inlineStr">
        <is>
          <t>MNL_PPO!A1:AM329</t>
        </is>
      </c>
      <c r="E1585" s="145" t="inlineStr">
        <is>
          <t>Normal</t>
        </is>
      </c>
      <c r="F1585" s="145" t="inlineStr">
        <is>
          <t>#70AD47</t>
        </is>
      </c>
      <c r="G1585" s="145" t="inlineStr">
        <is>
          <t>Cambria</t>
        </is>
      </c>
      <c r="H1585" s="145" t="n">
        <v>8</v>
      </c>
      <c r="I1585" s="145" t="inlineStr">
        <is>
          <t>Yes</t>
        </is>
      </c>
      <c r="J1585" s="145" t="inlineStr">
        <is>
          <t>No</t>
        </is>
      </c>
      <c r="K1585" s="145" t="inlineStr">
        <is>
          <t>None</t>
        </is>
      </c>
      <c r="L1585" s="145" t="inlineStr">
        <is>
          <t>#FFFFFF</t>
        </is>
      </c>
      <c r="M1585" s="145" t="inlineStr">
        <is>
          <t>General</t>
        </is>
      </c>
      <c r="N1585" s="145" t="inlineStr">
        <is>
          <t>Center</t>
        </is>
      </c>
      <c r="O1585" s="145" t="inlineStr">
        <is>
          <t>No</t>
        </is>
      </c>
      <c r="P1585" s="145" t="inlineStr">
        <is>
          <t>General</t>
        </is>
      </c>
      <c r="Q1585" s="145" t="inlineStr">
        <is>
          <t>General</t>
        </is>
      </c>
      <c r="R1585" s="145" t="n"/>
      <c r="S1585" s="145" t="n"/>
      <c r="T1585" s="145" t="n"/>
      <c r="U1585" s="145" t="n"/>
      <c r="V1585" s="145" t="n"/>
      <c r="W1585" s="145" t="n"/>
      <c r="X1585" s="145" t="inlineStr">
        <is>
          <t>Detailed format sample from top five used rows</t>
        </is>
      </c>
    </row>
    <row r="1586" ht="23.85" customHeight="1" s="79">
      <c r="A1586" s="145" t="inlineStr">
        <is>
          <t>MNL_PPO</t>
        </is>
      </c>
      <c r="B1586" s="145" t="inlineStr">
        <is>
          <t>Top-Row Cell Format</t>
        </is>
      </c>
      <c r="C1586" s="145" t="inlineStr">
        <is>
          <t>O2</t>
        </is>
      </c>
      <c r="D1586" s="145" t="inlineStr">
        <is>
          <t>MNL_PPO!A1:AM329</t>
        </is>
      </c>
      <c r="E1586" s="145" t="inlineStr">
        <is>
          <t>Normal</t>
        </is>
      </c>
      <c r="F1586" s="145" t="n"/>
      <c r="G1586" s="145" t="inlineStr">
        <is>
          <t>Cambria</t>
        </is>
      </c>
      <c r="H1586" s="145" t="n">
        <v>8</v>
      </c>
      <c r="I1586" s="145" t="inlineStr">
        <is>
          <t>No</t>
        </is>
      </c>
      <c r="J1586" s="145" t="inlineStr">
        <is>
          <t>No</t>
        </is>
      </c>
      <c r="K1586" s="145" t="inlineStr">
        <is>
          <t>None</t>
        </is>
      </c>
      <c r="L1586" s="145" t="inlineStr">
        <is>
          <t>#000000</t>
        </is>
      </c>
      <c r="M1586" s="145" t="inlineStr">
        <is>
          <t>General</t>
        </is>
      </c>
      <c r="N1586" s="145" t="inlineStr">
        <is>
          <t>Center</t>
        </is>
      </c>
      <c r="O1586" s="145" t="inlineStr">
        <is>
          <t>No</t>
        </is>
      </c>
      <c r="P1586" s="145" t="inlineStr">
        <is>
          <t>General</t>
        </is>
      </c>
      <c r="Q1586" s="145" t="inlineStr">
        <is>
          <t>General</t>
        </is>
      </c>
      <c r="R1586" s="145" t="n"/>
      <c r="S1586" s="145" t="n"/>
      <c r="T1586" s="145" t="n"/>
      <c r="U1586" s="145" t="n"/>
      <c r="V1586" s="145" t="n"/>
      <c r="W1586" s="145" t="n"/>
      <c r="X1586" s="145" t="inlineStr">
        <is>
          <t>Detailed format sample from top five used rows</t>
        </is>
      </c>
    </row>
    <row r="1587" ht="23.85" customHeight="1" s="79">
      <c r="A1587" s="145" t="inlineStr">
        <is>
          <t>MNL_PPO</t>
        </is>
      </c>
      <c r="B1587" s="145" t="inlineStr">
        <is>
          <t>Top-Row Cell Format</t>
        </is>
      </c>
      <c r="C1587" s="145" t="inlineStr">
        <is>
          <t>O3</t>
        </is>
      </c>
      <c r="D1587" s="145" t="inlineStr">
        <is>
          <t>MNL_PPO!A1:AM329</t>
        </is>
      </c>
      <c r="E1587" s="145" t="inlineStr">
        <is>
          <t>Normal</t>
        </is>
      </c>
      <c r="F1587" s="145" t="n"/>
      <c r="G1587" s="145" t="inlineStr">
        <is>
          <t>Cambria</t>
        </is>
      </c>
      <c r="H1587" s="145" t="n">
        <v>8</v>
      </c>
      <c r="I1587" s="145" t="inlineStr">
        <is>
          <t>No</t>
        </is>
      </c>
      <c r="J1587" s="145" t="inlineStr">
        <is>
          <t>No</t>
        </is>
      </c>
      <c r="K1587" s="145" t="inlineStr">
        <is>
          <t>None</t>
        </is>
      </c>
      <c r="L1587" s="145" t="inlineStr">
        <is>
          <t>#000000</t>
        </is>
      </c>
      <c r="M1587" s="145" t="inlineStr">
        <is>
          <t>General</t>
        </is>
      </c>
      <c r="N1587" s="145" t="inlineStr">
        <is>
          <t>Center</t>
        </is>
      </c>
      <c r="O1587" s="145" t="inlineStr">
        <is>
          <t>No</t>
        </is>
      </c>
      <c r="P1587" s="145" t="inlineStr">
        <is>
          <t>General</t>
        </is>
      </c>
      <c r="Q1587" s="145" t="inlineStr">
        <is>
          <t>General</t>
        </is>
      </c>
      <c r="R1587" s="145" t="n"/>
      <c r="S1587" s="145" t="n"/>
      <c r="T1587" s="145" t="n"/>
      <c r="U1587" s="145" t="n"/>
      <c r="V1587" s="145" t="n"/>
      <c r="W1587" s="145" t="n"/>
      <c r="X1587" s="145" t="inlineStr">
        <is>
          <t>Detailed format sample from top five used rows</t>
        </is>
      </c>
    </row>
    <row r="1588" ht="23.85" customHeight="1" s="79">
      <c r="A1588" s="145" t="inlineStr">
        <is>
          <t>MNL_PPO</t>
        </is>
      </c>
      <c r="B1588" s="145" t="inlineStr">
        <is>
          <t>Top-Row Cell Format</t>
        </is>
      </c>
      <c r="C1588" s="145" t="inlineStr">
        <is>
          <t>O4</t>
        </is>
      </c>
      <c r="D1588" s="145" t="inlineStr">
        <is>
          <t>MNL_PPO!A1:AM329</t>
        </is>
      </c>
      <c r="E1588" s="145" t="inlineStr">
        <is>
          <t>Normal</t>
        </is>
      </c>
      <c r="F1588" s="145" t="n"/>
      <c r="G1588" s="145" t="inlineStr">
        <is>
          <t>Cambria</t>
        </is>
      </c>
      <c r="H1588" s="145" t="n">
        <v>8</v>
      </c>
      <c r="I1588" s="145" t="inlineStr">
        <is>
          <t>No</t>
        </is>
      </c>
      <c r="J1588" s="145" t="inlineStr">
        <is>
          <t>No</t>
        </is>
      </c>
      <c r="K1588" s="145" t="inlineStr">
        <is>
          <t>None</t>
        </is>
      </c>
      <c r="L1588" s="145" t="inlineStr">
        <is>
          <t>#000000</t>
        </is>
      </c>
      <c r="M1588" s="145" t="inlineStr">
        <is>
          <t>General</t>
        </is>
      </c>
      <c r="N1588" s="145" t="inlineStr">
        <is>
          <t>Center</t>
        </is>
      </c>
      <c r="O1588" s="145" t="inlineStr">
        <is>
          <t>No</t>
        </is>
      </c>
      <c r="P1588" s="145" t="inlineStr">
        <is>
          <t>General</t>
        </is>
      </c>
      <c r="Q1588" s="145" t="inlineStr">
        <is>
          <t>General</t>
        </is>
      </c>
      <c r="R1588" s="145" t="n"/>
      <c r="S1588" s="145" t="n"/>
      <c r="T1588" s="145" t="n"/>
      <c r="U1588" s="145" t="n"/>
      <c r="V1588" s="145" t="n"/>
      <c r="W1588" s="145" t="n"/>
      <c r="X1588" s="145" t="inlineStr">
        <is>
          <t>Detailed format sample from top five used rows</t>
        </is>
      </c>
    </row>
    <row r="1589" ht="23.85" customHeight="1" s="79">
      <c r="A1589" s="145" t="inlineStr">
        <is>
          <t>MNL_PPO</t>
        </is>
      </c>
      <c r="B1589" s="145" t="inlineStr">
        <is>
          <t>Top-Row Cell Format</t>
        </is>
      </c>
      <c r="C1589" s="145" t="inlineStr">
        <is>
          <t>O5</t>
        </is>
      </c>
      <c r="D1589" s="145" t="inlineStr">
        <is>
          <t>MNL_PPO!A1:AM329</t>
        </is>
      </c>
      <c r="E1589" s="145" t="inlineStr">
        <is>
          <t>Normal</t>
        </is>
      </c>
      <c r="F1589" s="145" t="n"/>
      <c r="G1589" s="145" t="inlineStr">
        <is>
          <t>Cambria</t>
        </is>
      </c>
      <c r="H1589" s="145" t="n">
        <v>8</v>
      </c>
      <c r="I1589" s="145" t="inlineStr">
        <is>
          <t>No</t>
        </is>
      </c>
      <c r="J1589" s="145" t="inlineStr">
        <is>
          <t>No</t>
        </is>
      </c>
      <c r="K1589" s="145" t="inlineStr">
        <is>
          <t>None</t>
        </is>
      </c>
      <c r="L1589" s="145" t="inlineStr">
        <is>
          <t>#000000</t>
        </is>
      </c>
      <c r="M1589" s="145" t="inlineStr">
        <is>
          <t>General</t>
        </is>
      </c>
      <c r="N1589" s="145" t="inlineStr">
        <is>
          <t>Center</t>
        </is>
      </c>
      <c r="O1589" s="145" t="inlineStr">
        <is>
          <t>No</t>
        </is>
      </c>
      <c r="P1589" s="145" t="inlineStr">
        <is>
          <t>General</t>
        </is>
      </c>
      <c r="Q1589" s="145" t="inlineStr">
        <is>
          <t>General</t>
        </is>
      </c>
      <c r="R1589" s="145" t="n"/>
      <c r="S1589" s="145" t="n"/>
      <c r="T1589" s="145" t="n"/>
      <c r="U1589" s="145" t="n"/>
      <c r="V1589" s="145" t="n"/>
      <c r="W1589" s="145" t="n"/>
      <c r="X1589" s="145" t="inlineStr">
        <is>
          <t>Detailed format sample from top five used rows</t>
        </is>
      </c>
    </row>
    <row r="1590" ht="23.85" customHeight="1" s="79">
      <c r="A1590" s="145" t="inlineStr">
        <is>
          <t>MNL_PPO</t>
        </is>
      </c>
      <c r="B1590" s="145" t="inlineStr">
        <is>
          <t>Column Format</t>
        </is>
      </c>
      <c r="C1590" s="145" t="inlineStr">
        <is>
          <t>P:P</t>
        </is>
      </c>
      <c r="D1590" s="145" t="inlineStr">
        <is>
          <t>MNL_PPO!A1:AM329</t>
        </is>
      </c>
      <c r="E1590" s="145" t="inlineStr">
        <is>
          <t>Normal</t>
        </is>
      </c>
      <c r="F1590" s="145" t="inlineStr">
        <is>
          <t>Mixed</t>
        </is>
      </c>
      <c r="G1590" s="145" t="inlineStr">
        <is>
          <t>Cambria</t>
        </is>
      </c>
      <c r="H1590" s="145" t="n">
        <v>8</v>
      </c>
      <c r="I1590" s="145" t="inlineStr">
        <is>
          <t>Mixed</t>
        </is>
      </c>
      <c r="J1590" s="145" t="inlineStr">
        <is>
          <t>No</t>
        </is>
      </c>
      <c r="K1590" s="145" t="inlineStr">
        <is>
          <t>None</t>
        </is>
      </c>
      <c r="L1590" s="145" t="inlineStr">
        <is>
          <t>Mixed</t>
        </is>
      </c>
      <c r="M1590" s="145" t="inlineStr">
        <is>
          <t>General</t>
        </is>
      </c>
      <c r="N1590" s="145" t="inlineStr">
        <is>
          <t>Center</t>
        </is>
      </c>
      <c r="O1590" s="145" t="inlineStr">
        <is>
          <t>No</t>
        </is>
      </c>
      <c r="P1590" s="145" t="n"/>
      <c r="Q1590" s="145" t="n"/>
      <c r="R1590" s="145" t="n"/>
      <c r="S1590" s="145" t="n">
        <v>26.865671641791</v>
      </c>
      <c r="T1590" s="145" t="n"/>
      <c r="U1590" s="145" t="inlineStr">
        <is>
          <t>No</t>
        </is>
      </c>
      <c r="V1590" s="145" t="inlineStr">
        <is>
          <t>Visible</t>
        </is>
      </c>
      <c r="W1590" s="145" t="n"/>
      <c r="X1590" s="145" t="inlineStr">
        <is>
          <t>Mixed styles within used column</t>
        </is>
      </c>
    </row>
    <row r="1591" ht="23.85" customHeight="1" s="79">
      <c r="A1591" s="145" t="inlineStr">
        <is>
          <t>MNL_PPO</t>
        </is>
      </c>
      <c r="B1591" s="145" t="inlineStr">
        <is>
          <t>Top-Row Cell Format</t>
        </is>
      </c>
      <c r="C1591" s="145" t="inlineStr">
        <is>
          <t>P1</t>
        </is>
      </c>
      <c r="D1591" s="145" t="inlineStr">
        <is>
          <t>MNL_PPO!A1:AM329</t>
        </is>
      </c>
      <c r="E1591" s="145" t="inlineStr">
        <is>
          <t>Normal</t>
        </is>
      </c>
      <c r="F1591" s="145" t="inlineStr">
        <is>
          <t>#70AD47</t>
        </is>
      </c>
      <c r="G1591" s="145" t="inlineStr">
        <is>
          <t>Cambria</t>
        </is>
      </c>
      <c r="H1591" s="145" t="n">
        <v>8</v>
      </c>
      <c r="I1591" s="145" t="inlineStr">
        <is>
          <t>Yes</t>
        </is>
      </c>
      <c r="J1591" s="145" t="inlineStr">
        <is>
          <t>No</t>
        </is>
      </c>
      <c r="K1591" s="145" t="inlineStr">
        <is>
          <t>None</t>
        </is>
      </c>
      <c r="L1591" s="145" t="inlineStr">
        <is>
          <t>#FFFFFF</t>
        </is>
      </c>
      <c r="M1591" s="145" t="inlineStr">
        <is>
          <t>General</t>
        </is>
      </c>
      <c r="N1591" s="145" t="inlineStr">
        <is>
          <t>Center</t>
        </is>
      </c>
      <c r="O1591" s="145" t="inlineStr">
        <is>
          <t>No</t>
        </is>
      </c>
      <c r="P1591" s="145" t="inlineStr">
        <is>
          <t>General</t>
        </is>
      </c>
      <c r="Q1591" s="145" t="inlineStr">
        <is>
          <t>General</t>
        </is>
      </c>
      <c r="R1591" s="145" t="n"/>
      <c r="S1591" s="145" t="n"/>
      <c r="T1591" s="145" t="n"/>
      <c r="U1591" s="145" t="n"/>
      <c r="V1591" s="145" t="n"/>
      <c r="W1591" s="145" t="n"/>
      <c r="X1591" s="145" t="inlineStr">
        <is>
          <t>Detailed format sample from top five used rows</t>
        </is>
      </c>
    </row>
    <row r="1592" ht="23.85" customHeight="1" s="79">
      <c r="A1592" s="145" t="inlineStr">
        <is>
          <t>MNL_PPO</t>
        </is>
      </c>
      <c r="B1592" s="145" t="inlineStr">
        <is>
          <t>Top-Row Cell Format</t>
        </is>
      </c>
      <c r="C1592" s="145" t="inlineStr">
        <is>
          <t>P2</t>
        </is>
      </c>
      <c r="D1592" s="145" t="inlineStr">
        <is>
          <t>MNL_PPO!A1:AM329</t>
        </is>
      </c>
      <c r="E1592" s="145" t="inlineStr">
        <is>
          <t>Normal</t>
        </is>
      </c>
      <c r="F1592" s="145" t="n"/>
      <c r="G1592" s="145" t="inlineStr">
        <is>
          <t>Cambria</t>
        </is>
      </c>
      <c r="H1592" s="145" t="n">
        <v>8</v>
      </c>
      <c r="I1592" s="145" t="inlineStr">
        <is>
          <t>No</t>
        </is>
      </c>
      <c r="J1592" s="145" t="inlineStr">
        <is>
          <t>No</t>
        </is>
      </c>
      <c r="K1592" s="145" t="inlineStr">
        <is>
          <t>None</t>
        </is>
      </c>
      <c r="L1592" s="145" t="inlineStr">
        <is>
          <t>#000000</t>
        </is>
      </c>
      <c r="M1592" s="145" t="inlineStr">
        <is>
          <t>General</t>
        </is>
      </c>
      <c r="N1592" s="145" t="inlineStr">
        <is>
          <t>Center</t>
        </is>
      </c>
      <c r="O1592" s="145" t="inlineStr">
        <is>
          <t>No</t>
        </is>
      </c>
      <c r="P1592" s="145" t="inlineStr">
        <is>
          <t>General</t>
        </is>
      </c>
      <c r="Q1592" s="145" t="inlineStr">
        <is>
          <t>General</t>
        </is>
      </c>
      <c r="R1592" s="145" t="n"/>
      <c r="S1592" s="145" t="n"/>
      <c r="T1592" s="145" t="n"/>
      <c r="U1592" s="145" t="n"/>
      <c r="V1592" s="145" t="n"/>
      <c r="W1592" s="145" t="n"/>
      <c r="X1592" s="145" t="inlineStr">
        <is>
          <t>Detailed format sample from top five used rows</t>
        </is>
      </c>
    </row>
    <row r="1593" ht="23.85" customHeight="1" s="79">
      <c r="A1593" s="145" t="inlineStr">
        <is>
          <t>MNL_PPO</t>
        </is>
      </c>
      <c r="B1593" s="145" t="inlineStr">
        <is>
          <t>Top-Row Cell Format</t>
        </is>
      </c>
      <c r="C1593" s="145" t="inlineStr">
        <is>
          <t>P3</t>
        </is>
      </c>
      <c r="D1593" s="145" t="inlineStr">
        <is>
          <t>MNL_PPO!A1:AM329</t>
        </is>
      </c>
      <c r="E1593" s="145" t="inlineStr">
        <is>
          <t>Normal</t>
        </is>
      </c>
      <c r="F1593" s="145" t="n"/>
      <c r="G1593" s="145" t="inlineStr">
        <is>
          <t>Cambria</t>
        </is>
      </c>
      <c r="H1593" s="145" t="n">
        <v>8</v>
      </c>
      <c r="I1593" s="145" t="inlineStr">
        <is>
          <t>No</t>
        </is>
      </c>
      <c r="J1593" s="145" t="inlineStr">
        <is>
          <t>No</t>
        </is>
      </c>
      <c r="K1593" s="145" t="inlineStr">
        <is>
          <t>None</t>
        </is>
      </c>
      <c r="L1593" s="145" t="inlineStr">
        <is>
          <t>#000000</t>
        </is>
      </c>
      <c r="M1593" s="145" t="inlineStr">
        <is>
          <t>General</t>
        </is>
      </c>
      <c r="N1593" s="145" t="inlineStr">
        <is>
          <t>Center</t>
        </is>
      </c>
      <c r="O1593" s="145" t="inlineStr">
        <is>
          <t>No</t>
        </is>
      </c>
      <c r="P1593" s="145" t="inlineStr">
        <is>
          <t>General</t>
        </is>
      </c>
      <c r="Q1593" s="145" t="inlineStr">
        <is>
          <t>General</t>
        </is>
      </c>
      <c r="R1593" s="145" t="n"/>
      <c r="S1593" s="145" t="n"/>
      <c r="T1593" s="145" t="n"/>
      <c r="U1593" s="145" t="n"/>
      <c r="V1593" s="145" t="n"/>
      <c r="W1593" s="145" t="n"/>
      <c r="X1593" s="145" t="inlineStr">
        <is>
          <t>Detailed format sample from top five used rows</t>
        </is>
      </c>
    </row>
    <row r="1594" ht="23.85" customHeight="1" s="79">
      <c r="A1594" s="145" t="inlineStr">
        <is>
          <t>MNL_PPO</t>
        </is>
      </c>
      <c r="B1594" s="145" t="inlineStr">
        <is>
          <t>Top-Row Cell Format</t>
        </is>
      </c>
      <c r="C1594" s="145" t="inlineStr">
        <is>
          <t>P4</t>
        </is>
      </c>
      <c r="D1594" s="145" t="inlineStr">
        <is>
          <t>MNL_PPO!A1:AM329</t>
        </is>
      </c>
      <c r="E1594" s="145" t="inlineStr">
        <is>
          <t>Normal</t>
        </is>
      </c>
      <c r="F1594" s="145" t="n"/>
      <c r="G1594" s="145" t="inlineStr">
        <is>
          <t>Cambria</t>
        </is>
      </c>
      <c r="H1594" s="145" t="n">
        <v>8</v>
      </c>
      <c r="I1594" s="145" t="inlineStr">
        <is>
          <t>No</t>
        </is>
      </c>
      <c r="J1594" s="145" t="inlineStr">
        <is>
          <t>No</t>
        </is>
      </c>
      <c r="K1594" s="145" t="inlineStr">
        <is>
          <t>None</t>
        </is>
      </c>
      <c r="L1594" s="145" t="inlineStr">
        <is>
          <t>#000000</t>
        </is>
      </c>
      <c r="M1594" s="145" t="inlineStr">
        <is>
          <t>General</t>
        </is>
      </c>
      <c r="N1594" s="145" t="inlineStr">
        <is>
          <t>Center</t>
        </is>
      </c>
      <c r="O1594" s="145" t="inlineStr">
        <is>
          <t>No</t>
        </is>
      </c>
      <c r="P1594" s="145" t="inlineStr">
        <is>
          <t>General</t>
        </is>
      </c>
      <c r="Q1594" s="145" t="inlineStr">
        <is>
          <t>General</t>
        </is>
      </c>
      <c r="R1594" s="145" t="n"/>
      <c r="S1594" s="145" t="n"/>
      <c r="T1594" s="145" t="n"/>
      <c r="U1594" s="145" t="n"/>
      <c r="V1594" s="145" t="n"/>
      <c r="W1594" s="145" t="n"/>
      <c r="X1594" s="145" t="inlineStr">
        <is>
          <t>Detailed format sample from top five used rows</t>
        </is>
      </c>
    </row>
    <row r="1595" ht="23.85" customHeight="1" s="79">
      <c r="A1595" s="145" t="inlineStr">
        <is>
          <t>MNL_PPO</t>
        </is>
      </c>
      <c r="B1595" s="145" t="inlineStr">
        <is>
          <t>Top-Row Cell Format</t>
        </is>
      </c>
      <c r="C1595" s="145" t="inlineStr">
        <is>
          <t>P5</t>
        </is>
      </c>
      <c r="D1595" s="145" t="inlineStr">
        <is>
          <t>MNL_PPO!A1:AM329</t>
        </is>
      </c>
      <c r="E1595" s="145" t="inlineStr">
        <is>
          <t>Normal</t>
        </is>
      </c>
      <c r="F1595" s="145" t="n"/>
      <c r="G1595" s="145" t="inlineStr">
        <is>
          <t>Cambria</t>
        </is>
      </c>
      <c r="H1595" s="145" t="n">
        <v>8</v>
      </c>
      <c r="I1595" s="145" t="inlineStr">
        <is>
          <t>No</t>
        </is>
      </c>
      <c r="J1595" s="145" t="inlineStr">
        <is>
          <t>No</t>
        </is>
      </c>
      <c r="K1595" s="145" t="inlineStr">
        <is>
          <t>None</t>
        </is>
      </c>
      <c r="L1595" s="145" t="inlineStr">
        <is>
          <t>#000000</t>
        </is>
      </c>
      <c r="M1595" s="145" t="inlineStr">
        <is>
          <t>General</t>
        </is>
      </c>
      <c r="N1595" s="145" t="inlineStr">
        <is>
          <t>Center</t>
        </is>
      </c>
      <c r="O1595" s="145" t="inlineStr">
        <is>
          <t>No</t>
        </is>
      </c>
      <c r="P1595" s="145" t="inlineStr">
        <is>
          <t>General</t>
        </is>
      </c>
      <c r="Q1595" s="145" t="inlineStr">
        <is>
          <t>General</t>
        </is>
      </c>
      <c r="R1595" s="145" t="n"/>
      <c r="S1595" s="145" t="n"/>
      <c r="T1595" s="145" t="n"/>
      <c r="U1595" s="145" t="n"/>
      <c r="V1595" s="145" t="n"/>
      <c r="W1595" s="145" t="n"/>
      <c r="X1595" s="145" t="inlineStr">
        <is>
          <t>Detailed format sample from top five used rows</t>
        </is>
      </c>
    </row>
    <row r="1596" ht="23.85" customHeight="1" s="79">
      <c r="A1596" s="145" t="inlineStr">
        <is>
          <t>MNL_PPO</t>
        </is>
      </c>
      <c r="B1596" s="145" t="inlineStr">
        <is>
          <t>Column Format</t>
        </is>
      </c>
      <c r="C1596" s="145" t="inlineStr">
        <is>
          <t>Q:Q</t>
        </is>
      </c>
      <c r="D1596" s="145" t="inlineStr">
        <is>
          <t>MNL_PPO!A1:AM329</t>
        </is>
      </c>
      <c r="E1596" s="145" t="inlineStr">
        <is>
          <t>Normal</t>
        </is>
      </c>
      <c r="F1596" s="145" t="inlineStr">
        <is>
          <t>Mixed</t>
        </is>
      </c>
      <c r="G1596" s="145" t="inlineStr">
        <is>
          <t>Cambria</t>
        </is>
      </c>
      <c r="H1596" s="145" t="n">
        <v>8</v>
      </c>
      <c r="I1596" s="145" t="inlineStr">
        <is>
          <t>Mixed</t>
        </is>
      </c>
      <c r="J1596" s="145" t="inlineStr">
        <is>
          <t>No</t>
        </is>
      </c>
      <c r="K1596" s="145" t="inlineStr">
        <is>
          <t>None</t>
        </is>
      </c>
      <c r="L1596" s="145" t="inlineStr">
        <is>
          <t>Mixed</t>
        </is>
      </c>
      <c r="M1596" s="145" t="inlineStr">
        <is>
          <t>General</t>
        </is>
      </c>
      <c r="N1596" s="145" t="inlineStr">
        <is>
          <t>Center</t>
        </is>
      </c>
      <c r="O1596" s="145" t="inlineStr">
        <is>
          <t>No</t>
        </is>
      </c>
      <c r="P1596" s="145" t="n"/>
      <c r="Q1596" s="145" t="n"/>
      <c r="R1596" s="145" t="n"/>
      <c r="S1596" s="145" t="n">
        <v>26.865671641791</v>
      </c>
      <c r="T1596" s="145" t="n"/>
      <c r="U1596" s="145" t="inlineStr">
        <is>
          <t>No</t>
        </is>
      </c>
      <c r="V1596" s="145" t="inlineStr">
        <is>
          <t>Visible</t>
        </is>
      </c>
      <c r="W1596" s="145" t="n"/>
      <c r="X1596" s="145" t="inlineStr">
        <is>
          <t>Mixed styles within used column</t>
        </is>
      </c>
    </row>
    <row r="1597" ht="23.85" customHeight="1" s="79">
      <c r="A1597" s="145" t="inlineStr">
        <is>
          <t>MNL_PPO</t>
        </is>
      </c>
      <c r="B1597" s="145" t="inlineStr">
        <is>
          <t>Top-Row Cell Format</t>
        </is>
      </c>
      <c r="C1597" s="145" t="inlineStr">
        <is>
          <t>Q1</t>
        </is>
      </c>
      <c r="D1597" s="145" t="inlineStr">
        <is>
          <t>MNL_PPO!A1:AM329</t>
        </is>
      </c>
      <c r="E1597" s="145" t="inlineStr">
        <is>
          <t>Normal</t>
        </is>
      </c>
      <c r="F1597" s="145" t="inlineStr">
        <is>
          <t>#70AD47</t>
        </is>
      </c>
      <c r="G1597" s="145" t="inlineStr">
        <is>
          <t>Cambria</t>
        </is>
      </c>
      <c r="H1597" s="145" t="n">
        <v>8</v>
      </c>
      <c r="I1597" s="145" t="inlineStr">
        <is>
          <t>Yes</t>
        </is>
      </c>
      <c r="J1597" s="145" t="inlineStr">
        <is>
          <t>No</t>
        </is>
      </c>
      <c r="K1597" s="145" t="inlineStr">
        <is>
          <t>None</t>
        </is>
      </c>
      <c r="L1597" s="145" t="inlineStr">
        <is>
          <t>#FFFFFF</t>
        </is>
      </c>
      <c r="M1597" s="145" t="inlineStr">
        <is>
          <t>General</t>
        </is>
      </c>
      <c r="N1597" s="145" t="inlineStr">
        <is>
          <t>Center</t>
        </is>
      </c>
      <c r="O1597" s="145" t="inlineStr">
        <is>
          <t>No</t>
        </is>
      </c>
      <c r="P1597" s="145" t="inlineStr">
        <is>
          <t>General</t>
        </is>
      </c>
      <c r="Q1597" s="145" t="inlineStr">
        <is>
          <t>General</t>
        </is>
      </c>
      <c r="R1597" s="145" t="n"/>
      <c r="S1597" s="145" t="n"/>
      <c r="T1597" s="145" t="n"/>
      <c r="U1597" s="145" t="n"/>
      <c r="V1597" s="145" t="n"/>
      <c r="W1597" s="145" t="n"/>
      <c r="X1597" s="145" t="inlineStr">
        <is>
          <t>Detailed format sample from top five used rows</t>
        </is>
      </c>
    </row>
    <row r="1598" ht="23.85" customHeight="1" s="79">
      <c r="A1598" s="145" t="inlineStr">
        <is>
          <t>MNL_PPO</t>
        </is>
      </c>
      <c r="B1598" s="145" t="inlineStr">
        <is>
          <t>Top-Row Cell Format</t>
        </is>
      </c>
      <c r="C1598" s="145" t="inlineStr">
        <is>
          <t>Q2</t>
        </is>
      </c>
      <c r="D1598" s="145" t="inlineStr">
        <is>
          <t>MNL_PPO!A1:AM329</t>
        </is>
      </c>
      <c r="E1598" s="145" t="inlineStr">
        <is>
          <t>Normal</t>
        </is>
      </c>
      <c r="F1598" s="145" t="n"/>
      <c r="G1598" s="145" t="inlineStr">
        <is>
          <t>Cambria</t>
        </is>
      </c>
      <c r="H1598" s="145" t="n">
        <v>8</v>
      </c>
      <c r="I1598" s="145" t="inlineStr">
        <is>
          <t>No</t>
        </is>
      </c>
      <c r="J1598" s="145" t="inlineStr">
        <is>
          <t>No</t>
        </is>
      </c>
      <c r="K1598" s="145" t="inlineStr">
        <is>
          <t>None</t>
        </is>
      </c>
      <c r="L1598" s="145" t="inlineStr">
        <is>
          <t>#000000</t>
        </is>
      </c>
      <c r="M1598" s="145" t="inlineStr">
        <is>
          <t>General</t>
        </is>
      </c>
      <c r="N1598" s="145" t="inlineStr">
        <is>
          <t>Center</t>
        </is>
      </c>
      <c r="O1598" s="145" t="inlineStr">
        <is>
          <t>No</t>
        </is>
      </c>
      <c r="P1598" s="145" t="inlineStr">
        <is>
          <t>General</t>
        </is>
      </c>
      <c r="Q1598" s="145" t="inlineStr">
        <is>
          <t>General</t>
        </is>
      </c>
      <c r="R1598" s="145" t="n"/>
      <c r="S1598" s="145" t="n"/>
      <c r="T1598" s="145" t="n"/>
      <c r="U1598" s="145" t="n"/>
      <c r="V1598" s="145" t="n"/>
      <c r="W1598" s="145" t="n"/>
      <c r="X1598" s="145" t="inlineStr">
        <is>
          <t>Detailed format sample from top five used rows</t>
        </is>
      </c>
    </row>
    <row r="1599" ht="23.85" customHeight="1" s="79">
      <c r="A1599" s="145" t="inlineStr">
        <is>
          <t>MNL_PPO</t>
        </is>
      </c>
      <c r="B1599" s="145" t="inlineStr">
        <is>
          <t>Top-Row Cell Format</t>
        </is>
      </c>
      <c r="C1599" s="145" t="inlineStr">
        <is>
          <t>Q3</t>
        </is>
      </c>
      <c r="D1599" s="145" t="inlineStr">
        <is>
          <t>MNL_PPO!A1:AM329</t>
        </is>
      </c>
      <c r="E1599" s="145" t="inlineStr">
        <is>
          <t>Normal</t>
        </is>
      </c>
      <c r="F1599" s="145" t="n"/>
      <c r="G1599" s="145" t="inlineStr">
        <is>
          <t>Cambria</t>
        </is>
      </c>
      <c r="H1599" s="145" t="n">
        <v>8</v>
      </c>
      <c r="I1599" s="145" t="inlineStr">
        <is>
          <t>No</t>
        </is>
      </c>
      <c r="J1599" s="145" t="inlineStr">
        <is>
          <t>No</t>
        </is>
      </c>
      <c r="K1599" s="145" t="inlineStr">
        <is>
          <t>None</t>
        </is>
      </c>
      <c r="L1599" s="145" t="inlineStr">
        <is>
          <t>#000000</t>
        </is>
      </c>
      <c r="M1599" s="145" t="inlineStr">
        <is>
          <t>General</t>
        </is>
      </c>
      <c r="N1599" s="145" t="inlineStr">
        <is>
          <t>Center</t>
        </is>
      </c>
      <c r="O1599" s="145" t="inlineStr">
        <is>
          <t>No</t>
        </is>
      </c>
      <c r="P1599" s="145" t="inlineStr">
        <is>
          <t>General</t>
        </is>
      </c>
      <c r="Q1599" s="145" t="inlineStr">
        <is>
          <t>General</t>
        </is>
      </c>
      <c r="R1599" s="145" t="n"/>
      <c r="S1599" s="145" t="n"/>
      <c r="T1599" s="145" t="n"/>
      <c r="U1599" s="145" t="n"/>
      <c r="V1599" s="145" t="n"/>
      <c r="W1599" s="145" t="n"/>
      <c r="X1599" s="145" t="inlineStr">
        <is>
          <t>Detailed format sample from top five used rows</t>
        </is>
      </c>
    </row>
    <row r="1600" ht="23.85" customHeight="1" s="79">
      <c r="A1600" s="145" t="inlineStr">
        <is>
          <t>MNL_PPO</t>
        </is>
      </c>
      <c r="B1600" s="145" t="inlineStr">
        <is>
          <t>Top-Row Cell Format</t>
        </is>
      </c>
      <c r="C1600" s="145" t="inlineStr">
        <is>
          <t>Q4</t>
        </is>
      </c>
      <c r="D1600" s="145" t="inlineStr">
        <is>
          <t>MNL_PPO!A1:AM329</t>
        </is>
      </c>
      <c r="E1600" s="145" t="inlineStr">
        <is>
          <t>Normal</t>
        </is>
      </c>
      <c r="F1600" s="145" t="n"/>
      <c r="G1600" s="145" t="inlineStr">
        <is>
          <t>Cambria</t>
        </is>
      </c>
      <c r="H1600" s="145" t="n">
        <v>8</v>
      </c>
      <c r="I1600" s="145" t="inlineStr">
        <is>
          <t>No</t>
        </is>
      </c>
      <c r="J1600" s="145" t="inlineStr">
        <is>
          <t>No</t>
        </is>
      </c>
      <c r="K1600" s="145" t="inlineStr">
        <is>
          <t>None</t>
        </is>
      </c>
      <c r="L1600" s="145" t="inlineStr">
        <is>
          <t>#000000</t>
        </is>
      </c>
      <c r="M1600" s="145" t="inlineStr">
        <is>
          <t>General</t>
        </is>
      </c>
      <c r="N1600" s="145" t="inlineStr">
        <is>
          <t>Center</t>
        </is>
      </c>
      <c r="O1600" s="145" t="inlineStr">
        <is>
          <t>No</t>
        </is>
      </c>
      <c r="P1600" s="145" t="inlineStr">
        <is>
          <t>General</t>
        </is>
      </c>
      <c r="Q1600" s="145" t="inlineStr">
        <is>
          <t>General</t>
        </is>
      </c>
      <c r="R1600" s="145" t="n"/>
      <c r="S1600" s="145" t="n"/>
      <c r="T1600" s="145" t="n"/>
      <c r="U1600" s="145" t="n"/>
      <c r="V1600" s="145" t="n"/>
      <c r="W1600" s="145" t="n"/>
      <c r="X1600" s="145" t="inlineStr">
        <is>
          <t>Detailed format sample from top five used rows</t>
        </is>
      </c>
    </row>
    <row r="1601" ht="23.85" customHeight="1" s="79">
      <c r="A1601" s="145" t="inlineStr">
        <is>
          <t>MNL_PPO</t>
        </is>
      </c>
      <c r="B1601" s="145" t="inlineStr">
        <is>
          <t>Top-Row Cell Format</t>
        </is>
      </c>
      <c r="C1601" s="145" t="inlineStr">
        <is>
          <t>Q5</t>
        </is>
      </c>
      <c r="D1601" s="145" t="inlineStr">
        <is>
          <t>MNL_PPO!A1:AM329</t>
        </is>
      </c>
      <c r="E1601" s="145" t="inlineStr">
        <is>
          <t>Normal</t>
        </is>
      </c>
      <c r="F1601" s="145" t="n"/>
      <c r="G1601" s="145" t="inlineStr">
        <is>
          <t>Cambria</t>
        </is>
      </c>
      <c r="H1601" s="145" t="n">
        <v>8</v>
      </c>
      <c r="I1601" s="145" t="inlineStr">
        <is>
          <t>No</t>
        </is>
      </c>
      <c r="J1601" s="145" t="inlineStr">
        <is>
          <t>No</t>
        </is>
      </c>
      <c r="K1601" s="145" t="inlineStr">
        <is>
          <t>None</t>
        </is>
      </c>
      <c r="L1601" s="145" t="inlineStr">
        <is>
          <t>#000000</t>
        </is>
      </c>
      <c r="M1601" s="145" t="inlineStr">
        <is>
          <t>General</t>
        </is>
      </c>
      <c r="N1601" s="145" t="inlineStr">
        <is>
          <t>Center</t>
        </is>
      </c>
      <c r="O1601" s="145" t="inlineStr">
        <is>
          <t>No</t>
        </is>
      </c>
      <c r="P1601" s="145" t="inlineStr">
        <is>
          <t>General</t>
        </is>
      </c>
      <c r="Q1601" s="145" t="inlineStr">
        <is>
          <t>General</t>
        </is>
      </c>
      <c r="R1601" s="145" t="n"/>
      <c r="S1601" s="145" t="n"/>
      <c r="T1601" s="145" t="n"/>
      <c r="U1601" s="145" t="n"/>
      <c r="V1601" s="145" t="n"/>
      <c r="W1601" s="145" t="n"/>
      <c r="X1601" s="145" t="inlineStr">
        <is>
          <t>Detailed format sample from top five used rows</t>
        </is>
      </c>
    </row>
    <row r="1602" ht="23.85" customHeight="1" s="79">
      <c r="A1602" s="145" t="inlineStr">
        <is>
          <t>MNL_PPO</t>
        </is>
      </c>
      <c r="B1602" s="145" t="inlineStr">
        <is>
          <t>Column Format</t>
        </is>
      </c>
      <c r="C1602" s="145" t="inlineStr">
        <is>
          <t>R:R</t>
        </is>
      </c>
      <c r="D1602" s="145" t="inlineStr">
        <is>
          <t>MNL_PPO!A1:AM329</t>
        </is>
      </c>
      <c r="E1602" s="145" t="inlineStr">
        <is>
          <t>Normal</t>
        </is>
      </c>
      <c r="F1602" s="145" t="inlineStr">
        <is>
          <t>Mixed</t>
        </is>
      </c>
      <c r="G1602" s="145" t="inlineStr">
        <is>
          <t>Cambria</t>
        </is>
      </c>
      <c r="H1602" s="145" t="n">
        <v>8</v>
      </c>
      <c r="I1602" s="145" t="inlineStr">
        <is>
          <t>Mixed</t>
        </is>
      </c>
      <c r="J1602" s="145" t="inlineStr">
        <is>
          <t>No</t>
        </is>
      </c>
      <c r="K1602" s="145" t="inlineStr">
        <is>
          <t>None</t>
        </is>
      </c>
      <c r="L1602" s="145" t="inlineStr">
        <is>
          <t>Mixed</t>
        </is>
      </c>
      <c r="M1602" s="145" t="inlineStr">
        <is>
          <t>General</t>
        </is>
      </c>
      <c r="N1602" s="145" t="inlineStr">
        <is>
          <t>Center</t>
        </is>
      </c>
      <c r="O1602" s="145" t="inlineStr">
        <is>
          <t>No</t>
        </is>
      </c>
      <c r="P1602" s="145" t="n"/>
      <c r="Q1602" s="145" t="n"/>
      <c r="R1602" s="145" t="n"/>
      <c r="S1602" s="145" t="n">
        <v>26.865671641791</v>
      </c>
      <c r="T1602" s="145" t="n"/>
      <c r="U1602" s="145" t="inlineStr">
        <is>
          <t>No</t>
        </is>
      </c>
      <c r="V1602" s="145" t="inlineStr">
        <is>
          <t>Visible</t>
        </is>
      </c>
      <c r="W1602" s="145" t="n"/>
      <c r="X1602" s="145" t="inlineStr">
        <is>
          <t>Mixed styles within used column</t>
        </is>
      </c>
    </row>
    <row r="1603" ht="23.85" customHeight="1" s="79">
      <c r="A1603" s="145" t="inlineStr">
        <is>
          <t>MNL_PPO</t>
        </is>
      </c>
      <c r="B1603" s="145" t="inlineStr">
        <is>
          <t>Top-Row Cell Format</t>
        </is>
      </c>
      <c r="C1603" s="145" t="inlineStr">
        <is>
          <t>R1</t>
        </is>
      </c>
      <c r="D1603" s="145" t="inlineStr">
        <is>
          <t>MNL_PPO!A1:AM329</t>
        </is>
      </c>
      <c r="E1603" s="145" t="inlineStr">
        <is>
          <t>Normal</t>
        </is>
      </c>
      <c r="F1603" s="145" t="inlineStr">
        <is>
          <t>#70AD47</t>
        </is>
      </c>
      <c r="G1603" s="145" t="inlineStr">
        <is>
          <t>Cambria</t>
        </is>
      </c>
      <c r="H1603" s="145" t="n">
        <v>8</v>
      </c>
      <c r="I1603" s="145" t="inlineStr">
        <is>
          <t>Yes</t>
        </is>
      </c>
      <c r="J1603" s="145" t="inlineStr">
        <is>
          <t>No</t>
        </is>
      </c>
      <c r="K1603" s="145" t="inlineStr">
        <is>
          <t>None</t>
        </is>
      </c>
      <c r="L1603" s="145" t="inlineStr">
        <is>
          <t>#FFFFFF</t>
        </is>
      </c>
      <c r="M1603" s="145" t="inlineStr">
        <is>
          <t>General</t>
        </is>
      </c>
      <c r="N1603" s="145" t="inlineStr">
        <is>
          <t>Center</t>
        </is>
      </c>
      <c r="O1603" s="145" t="inlineStr">
        <is>
          <t>No</t>
        </is>
      </c>
      <c r="P1603" s="145" t="inlineStr">
        <is>
          <t>General</t>
        </is>
      </c>
      <c r="Q1603" s="145" t="inlineStr">
        <is>
          <t>General</t>
        </is>
      </c>
      <c r="R1603" s="145" t="n"/>
      <c r="S1603" s="145" t="n"/>
      <c r="T1603" s="145" t="n"/>
      <c r="U1603" s="145" t="n"/>
      <c r="V1603" s="145" t="n"/>
      <c r="W1603" s="145" t="n"/>
      <c r="X1603" s="145" t="inlineStr">
        <is>
          <t>Detailed format sample from top five used rows</t>
        </is>
      </c>
    </row>
    <row r="1604" ht="23.85" customHeight="1" s="79">
      <c r="A1604" s="145" t="inlineStr">
        <is>
          <t>MNL_PPO</t>
        </is>
      </c>
      <c r="B1604" s="145" t="inlineStr">
        <is>
          <t>Top-Row Cell Format</t>
        </is>
      </c>
      <c r="C1604" s="145" t="inlineStr">
        <is>
          <t>R2</t>
        </is>
      </c>
      <c r="D1604" s="145" t="inlineStr">
        <is>
          <t>MNL_PPO!A1:AM329</t>
        </is>
      </c>
      <c r="E1604" s="145" t="inlineStr">
        <is>
          <t>Normal</t>
        </is>
      </c>
      <c r="F1604" s="145" t="n"/>
      <c r="G1604" s="145" t="inlineStr">
        <is>
          <t>Cambria</t>
        </is>
      </c>
      <c r="H1604" s="145" t="n">
        <v>8</v>
      </c>
      <c r="I1604" s="145" t="inlineStr">
        <is>
          <t>No</t>
        </is>
      </c>
      <c r="J1604" s="145" t="inlineStr">
        <is>
          <t>No</t>
        </is>
      </c>
      <c r="K1604" s="145" t="inlineStr">
        <is>
          <t>None</t>
        </is>
      </c>
      <c r="L1604" s="145" t="inlineStr">
        <is>
          <t>#000000</t>
        </is>
      </c>
      <c r="M1604" s="145" t="inlineStr">
        <is>
          <t>General</t>
        </is>
      </c>
      <c r="N1604" s="145" t="inlineStr">
        <is>
          <t>Center</t>
        </is>
      </c>
      <c r="O1604" s="145" t="inlineStr">
        <is>
          <t>No</t>
        </is>
      </c>
      <c r="P1604" s="145" t="inlineStr">
        <is>
          <t>General</t>
        </is>
      </c>
      <c r="Q1604" s="145" t="inlineStr">
        <is>
          <t>General</t>
        </is>
      </c>
      <c r="R1604" s="145" t="n"/>
      <c r="S1604" s="145" t="n"/>
      <c r="T1604" s="145" t="n"/>
      <c r="U1604" s="145" t="n"/>
      <c r="V1604" s="145" t="n"/>
      <c r="W1604" s="145" t="n"/>
      <c r="X1604" s="145" t="inlineStr">
        <is>
          <t>Detailed format sample from top five used rows</t>
        </is>
      </c>
    </row>
    <row r="1605" ht="23.85" customHeight="1" s="79">
      <c r="A1605" s="145" t="inlineStr">
        <is>
          <t>MNL_PPO</t>
        </is>
      </c>
      <c r="B1605" s="145" t="inlineStr">
        <is>
          <t>Top-Row Cell Format</t>
        </is>
      </c>
      <c r="C1605" s="145" t="inlineStr">
        <is>
          <t>R3</t>
        </is>
      </c>
      <c r="D1605" s="145" t="inlineStr">
        <is>
          <t>MNL_PPO!A1:AM329</t>
        </is>
      </c>
      <c r="E1605" s="145" t="inlineStr">
        <is>
          <t>Normal</t>
        </is>
      </c>
      <c r="F1605" s="145" t="n"/>
      <c r="G1605" s="145" t="inlineStr">
        <is>
          <t>Cambria</t>
        </is>
      </c>
      <c r="H1605" s="145" t="n">
        <v>8</v>
      </c>
      <c r="I1605" s="145" t="inlineStr">
        <is>
          <t>No</t>
        </is>
      </c>
      <c r="J1605" s="145" t="inlineStr">
        <is>
          <t>No</t>
        </is>
      </c>
      <c r="K1605" s="145" t="inlineStr">
        <is>
          <t>None</t>
        </is>
      </c>
      <c r="L1605" s="145" t="inlineStr">
        <is>
          <t>#000000</t>
        </is>
      </c>
      <c r="M1605" s="145" t="inlineStr">
        <is>
          <t>General</t>
        </is>
      </c>
      <c r="N1605" s="145" t="inlineStr">
        <is>
          <t>Center</t>
        </is>
      </c>
      <c r="O1605" s="145" t="inlineStr">
        <is>
          <t>No</t>
        </is>
      </c>
      <c r="P1605" s="145" t="inlineStr">
        <is>
          <t>General</t>
        </is>
      </c>
      <c r="Q1605" s="145" t="inlineStr">
        <is>
          <t>General</t>
        </is>
      </c>
      <c r="R1605" s="145" t="n"/>
      <c r="S1605" s="145" t="n"/>
      <c r="T1605" s="145" t="n"/>
      <c r="U1605" s="145" t="n"/>
      <c r="V1605" s="145" t="n"/>
      <c r="W1605" s="145" t="n"/>
      <c r="X1605" s="145" t="inlineStr">
        <is>
          <t>Detailed format sample from top five used rows</t>
        </is>
      </c>
    </row>
    <row r="1606" ht="23.85" customHeight="1" s="79">
      <c r="A1606" s="145" t="inlineStr">
        <is>
          <t>MNL_PPO</t>
        </is>
      </c>
      <c r="B1606" s="145" t="inlineStr">
        <is>
          <t>Top-Row Cell Format</t>
        </is>
      </c>
      <c r="C1606" s="145" t="inlineStr">
        <is>
          <t>R4</t>
        </is>
      </c>
      <c r="D1606" s="145" t="inlineStr">
        <is>
          <t>MNL_PPO!A1:AM329</t>
        </is>
      </c>
      <c r="E1606" s="145" t="inlineStr">
        <is>
          <t>Normal</t>
        </is>
      </c>
      <c r="F1606" s="145" t="n"/>
      <c r="G1606" s="145" t="inlineStr">
        <is>
          <t>Cambria</t>
        </is>
      </c>
      <c r="H1606" s="145" t="n">
        <v>8</v>
      </c>
      <c r="I1606" s="145" t="inlineStr">
        <is>
          <t>No</t>
        </is>
      </c>
      <c r="J1606" s="145" t="inlineStr">
        <is>
          <t>No</t>
        </is>
      </c>
      <c r="K1606" s="145" t="inlineStr">
        <is>
          <t>None</t>
        </is>
      </c>
      <c r="L1606" s="145" t="inlineStr">
        <is>
          <t>#000000</t>
        </is>
      </c>
      <c r="M1606" s="145" t="inlineStr">
        <is>
          <t>General</t>
        </is>
      </c>
      <c r="N1606" s="145" t="inlineStr">
        <is>
          <t>Center</t>
        </is>
      </c>
      <c r="O1606" s="145" t="inlineStr">
        <is>
          <t>No</t>
        </is>
      </c>
      <c r="P1606" s="145" t="inlineStr">
        <is>
          <t>General</t>
        </is>
      </c>
      <c r="Q1606" s="145" t="inlineStr">
        <is>
          <t>General</t>
        </is>
      </c>
      <c r="R1606" s="145" t="n"/>
      <c r="S1606" s="145" t="n"/>
      <c r="T1606" s="145" t="n"/>
      <c r="U1606" s="145" t="n"/>
      <c r="V1606" s="145" t="n"/>
      <c r="W1606" s="145" t="n"/>
      <c r="X1606" s="145" t="inlineStr">
        <is>
          <t>Detailed format sample from top five used rows</t>
        </is>
      </c>
    </row>
    <row r="1607" ht="23.85" customHeight="1" s="79">
      <c r="A1607" s="145" t="inlineStr">
        <is>
          <t>MNL_PPO</t>
        </is>
      </c>
      <c r="B1607" s="145" t="inlineStr">
        <is>
          <t>Top-Row Cell Format</t>
        </is>
      </c>
      <c r="C1607" s="145" t="inlineStr">
        <is>
          <t>R5</t>
        </is>
      </c>
      <c r="D1607" s="145" t="inlineStr">
        <is>
          <t>MNL_PPO!A1:AM329</t>
        </is>
      </c>
      <c r="E1607" s="145" t="inlineStr">
        <is>
          <t>Normal</t>
        </is>
      </c>
      <c r="F1607" s="145" t="n"/>
      <c r="G1607" s="145" t="inlineStr">
        <is>
          <t>Cambria</t>
        </is>
      </c>
      <c r="H1607" s="145" t="n">
        <v>8</v>
      </c>
      <c r="I1607" s="145" t="inlineStr">
        <is>
          <t>No</t>
        </is>
      </c>
      <c r="J1607" s="145" t="inlineStr">
        <is>
          <t>No</t>
        </is>
      </c>
      <c r="K1607" s="145" t="inlineStr">
        <is>
          <t>None</t>
        </is>
      </c>
      <c r="L1607" s="145" t="inlineStr">
        <is>
          <t>#000000</t>
        </is>
      </c>
      <c r="M1607" s="145" t="inlineStr">
        <is>
          <t>General</t>
        </is>
      </c>
      <c r="N1607" s="145" t="inlineStr">
        <is>
          <t>Center</t>
        </is>
      </c>
      <c r="O1607" s="145" t="inlineStr">
        <is>
          <t>No</t>
        </is>
      </c>
      <c r="P1607" s="145" t="inlineStr">
        <is>
          <t>General</t>
        </is>
      </c>
      <c r="Q1607" s="145" t="inlineStr">
        <is>
          <t>General</t>
        </is>
      </c>
      <c r="R1607" s="145" t="n"/>
      <c r="S1607" s="145" t="n"/>
      <c r="T1607" s="145" t="n"/>
      <c r="U1607" s="145" t="n"/>
      <c r="V1607" s="145" t="n"/>
      <c r="W1607" s="145" t="n"/>
      <c r="X1607" s="145" t="inlineStr">
        <is>
          <t>Detailed format sample from top five used rows</t>
        </is>
      </c>
    </row>
    <row r="1608" ht="23.85" customHeight="1" s="79">
      <c r="A1608" s="145" t="inlineStr">
        <is>
          <t>MNL_PPO</t>
        </is>
      </c>
      <c r="B1608" s="145" t="inlineStr">
        <is>
          <t>Column Format</t>
        </is>
      </c>
      <c r="C1608" s="145" t="inlineStr">
        <is>
          <t>S:S</t>
        </is>
      </c>
      <c r="D1608" s="145" t="inlineStr">
        <is>
          <t>MNL_PPO!A1:AM329</t>
        </is>
      </c>
      <c r="E1608" s="145" t="inlineStr">
        <is>
          <t>Normal</t>
        </is>
      </c>
      <c r="F1608" s="145" t="inlineStr">
        <is>
          <t>Mixed</t>
        </is>
      </c>
      <c r="G1608" s="145" t="inlineStr">
        <is>
          <t>Cambria</t>
        </is>
      </c>
      <c r="H1608" s="145" t="n">
        <v>8</v>
      </c>
      <c r="I1608" s="145" t="inlineStr">
        <is>
          <t>Mixed</t>
        </is>
      </c>
      <c r="J1608" s="145" t="inlineStr">
        <is>
          <t>No</t>
        </is>
      </c>
      <c r="K1608" s="145" t="inlineStr">
        <is>
          <t>None</t>
        </is>
      </c>
      <c r="L1608" s="145" t="inlineStr">
        <is>
          <t>Mixed</t>
        </is>
      </c>
      <c r="M1608" s="145" t="inlineStr">
        <is>
          <t>General</t>
        </is>
      </c>
      <c r="N1608" s="145" t="inlineStr">
        <is>
          <t>Center</t>
        </is>
      </c>
      <c r="O1608" s="145" t="inlineStr">
        <is>
          <t>No</t>
        </is>
      </c>
      <c r="P1608" s="145" t="n"/>
      <c r="Q1608" s="145" t="n"/>
      <c r="R1608" s="145" t="n"/>
      <c r="S1608" s="145" t="n">
        <v>26.865671641791</v>
      </c>
      <c r="T1608" s="145" t="n"/>
      <c r="U1608" s="145" t="inlineStr">
        <is>
          <t>No</t>
        </is>
      </c>
      <c r="V1608" s="145" t="inlineStr">
        <is>
          <t>Visible</t>
        </is>
      </c>
      <c r="W1608" s="145" t="n"/>
      <c r="X1608" s="145" t="inlineStr">
        <is>
          <t>Mixed styles within used column</t>
        </is>
      </c>
    </row>
    <row r="1609" ht="23.85" customHeight="1" s="79">
      <c r="A1609" s="145" t="inlineStr">
        <is>
          <t>MNL_PPO</t>
        </is>
      </c>
      <c r="B1609" s="145" t="inlineStr">
        <is>
          <t>Top-Row Cell Format</t>
        </is>
      </c>
      <c r="C1609" s="145" t="inlineStr">
        <is>
          <t>S1</t>
        </is>
      </c>
      <c r="D1609" s="145" t="inlineStr">
        <is>
          <t>MNL_PPO!A1:AM329</t>
        </is>
      </c>
      <c r="E1609" s="145" t="inlineStr">
        <is>
          <t>Normal</t>
        </is>
      </c>
      <c r="F1609" s="145" t="inlineStr">
        <is>
          <t>#70AD47</t>
        </is>
      </c>
      <c r="G1609" s="145" t="inlineStr">
        <is>
          <t>Cambria</t>
        </is>
      </c>
      <c r="H1609" s="145" t="n">
        <v>8</v>
      </c>
      <c r="I1609" s="145" t="inlineStr">
        <is>
          <t>Yes</t>
        </is>
      </c>
      <c r="J1609" s="145" t="inlineStr">
        <is>
          <t>No</t>
        </is>
      </c>
      <c r="K1609" s="145" t="inlineStr">
        <is>
          <t>None</t>
        </is>
      </c>
      <c r="L1609" s="145" t="inlineStr">
        <is>
          <t>#FFFFFF</t>
        </is>
      </c>
      <c r="M1609" s="145" t="inlineStr">
        <is>
          <t>General</t>
        </is>
      </c>
      <c r="N1609" s="145" t="inlineStr">
        <is>
          <t>Center</t>
        </is>
      </c>
      <c r="O1609" s="145" t="inlineStr">
        <is>
          <t>No</t>
        </is>
      </c>
      <c r="P1609" s="145" t="inlineStr">
        <is>
          <t>General</t>
        </is>
      </c>
      <c r="Q1609" s="145" t="inlineStr">
        <is>
          <t>General</t>
        </is>
      </c>
      <c r="R1609" s="145" t="n"/>
      <c r="S1609" s="145" t="n"/>
      <c r="T1609" s="145" t="n"/>
      <c r="U1609" s="145" t="n"/>
      <c r="V1609" s="145" t="n"/>
      <c r="W1609" s="145" t="n"/>
      <c r="X1609" s="145" t="inlineStr">
        <is>
          <t>Detailed format sample from top five used rows</t>
        </is>
      </c>
    </row>
    <row r="1610" ht="23.85" customHeight="1" s="79">
      <c r="A1610" s="145" t="inlineStr">
        <is>
          <t>MNL_PPO</t>
        </is>
      </c>
      <c r="B1610" s="145" t="inlineStr">
        <is>
          <t>Top-Row Cell Format</t>
        </is>
      </c>
      <c r="C1610" s="145" t="inlineStr">
        <is>
          <t>S2</t>
        </is>
      </c>
      <c r="D1610" s="145" t="inlineStr">
        <is>
          <t>MNL_PPO!A1:AM329</t>
        </is>
      </c>
      <c r="E1610" s="145" t="inlineStr">
        <is>
          <t>Normal</t>
        </is>
      </c>
      <c r="F1610" s="145" t="n"/>
      <c r="G1610" s="145" t="inlineStr">
        <is>
          <t>Cambria</t>
        </is>
      </c>
      <c r="H1610" s="145" t="n">
        <v>8</v>
      </c>
      <c r="I1610" s="145" t="inlineStr">
        <is>
          <t>No</t>
        </is>
      </c>
      <c r="J1610" s="145" t="inlineStr">
        <is>
          <t>No</t>
        </is>
      </c>
      <c r="K1610" s="145" t="inlineStr">
        <is>
          <t>None</t>
        </is>
      </c>
      <c r="L1610" s="145" t="inlineStr">
        <is>
          <t>#000000</t>
        </is>
      </c>
      <c r="M1610" s="145" t="inlineStr">
        <is>
          <t>General</t>
        </is>
      </c>
      <c r="N1610" s="145" t="inlineStr">
        <is>
          <t>Center</t>
        </is>
      </c>
      <c r="O1610" s="145" t="inlineStr">
        <is>
          <t>No</t>
        </is>
      </c>
      <c r="P1610" s="145" t="inlineStr">
        <is>
          <t>General</t>
        </is>
      </c>
      <c r="Q1610" s="145" t="inlineStr">
        <is>
          <t>General</t>
        </is>
      </c>
      <c r="R1610" s="145" t="n"/>
      <c r="S1610" s="145" t="n"/>
      <c r="T1610" s="145" t="n"/>
      <c r="U1610" s="145" t="n"/>
      <c r="V1610" s="145" t="n"/>
      <c r="W1610" s="145" t="n"/>
      <c r="X1610" s="145" t="inlineStr">
        <is>
          <t>Detailed format sample from top five used rows</t>
        </is>
      </c>
    </row>
    <row r="1611" ht="23.85" customHeight="1" s="79">
      <c r="A1611" s="145" t="inlineStr">
        <is>
          <t>MNL_PPO</t>
        </is>
      </c>
      <c r="B1611" s="145" t="inlineStr">
        <is>
          <t>Top-Row Cell Format</t>
        </is>
      </c>
      <c r="C1611" s="145" t="inlineStr">
        <is>
          <t>S3</t>
        </is>
      </c>
      <c r="D1611" s="145" t="inlineStr">
        <is>
          <t>MNL_PPO!A1:AM329</t>
        </is>
      </c>
      <c r="E1611" s="145" t="inlineStr">
        <is>
          <t>Normal</t>
        </is>
      </c>
      <c r="F1611" s="145" t="n"/>
      <c r="G1611" s="145" t="inlineStr">
        <is>
          <t>Cambria</t>
        </is>
      </c>
      <c r="H1611" s="145" t="n">
        <v>8</v>
      </c>
      <c r="I1611" s="145" t="inlineStr">
        <is>
          <t>No</t>
        </is>
      </c>
      <c r="J1611" s="145" t="inlineStr">
        <is>
          <t>No</t>
        </is>
      </c>
      <c r="K1611" s="145" t="inlineStr">
        <is>
          <t>None</t>
        </is>
      </c>
      <c r="L1611" s="145" t="inlineStr">
        <is>
          <t>#000000</t>
        </is>
      </c>
      <c r="M1611" s="145" t="inlineStr">
        <is>
          <t>General</t>
        </is>
      </c>
      <c r="N1611" s="145" t="inlineStr">
        <is>
          <t>Center</t>
        </is>
      </c>
      <c r="O1611" s="145" t="inlineStr">
        <is>
          <t>No</t>
        </is>
      </c>
      <c r="P1611" s="145" t="inlineStr">
        <is>
          <t>General</t>
        </is>
      </c>
      <c r="Q1611" s="145" t="inlineStr">
        <is>
          <t>General</t>
        </is>
      </c>
      <c r="R1611" s="145" t="n"/>
      <c r="S1611" s="145" t="n"/>
      <c r="T1611" s="145" t="n"/>
      <c r="U1611" s="145" t="n"/>
      <c r="V1611" s="145" t="n"/>
      <c r="W1611" s="145" t="n"/>
      <c r="X1611" s="145" t="inlineStr">
        <is>
          <t>Detailed format sample from top five used rows</t>
        </is>
      </c>
    </row>
    <row r="1612" ht="23.85" customHeight="1" s="79">
      <c r="A1612" s="145" t="inlineStr">
        <is>
          <t>MNL_PPO</t>
        </is>
      </c>
      <c r="B1612" s="145" t="inlineStr">
        <is>
          <t>Top-Row Cell Format</t>
        </is>
      </c>
      <c r="C1612" s="145" t="inlineStr">
        <is>
          <t>S4</t>
        </is>
      </c>
      <c r="D1612" s="145" t="inlineStr">
        <is>
          <t>MNL_PPO!A1:AM329</t>
        </is>
      </c>
      <c r="E1612" s="145" t="inlineStr">
        <is>
          <t>Normal</t>
        </is>
      </c>
      <c r="F1612" s="145" t="n"/>
      <c r="G1612" s="145" t="inlineStr">
        <is>
          <t>Cambria</t>
        </is>
      </c>
      <c r="H1612" s="145" t="n">
        <v>8</v>
      </c>
      <c r="I1612" s="145" t="inlineStr">
        <is>
          <t>No</t>
        </is>
      </c>
      <c r="J1612" s="145" t="inlineStr">
        <is>
          <t>No</t>
        </is>
      </c>
      <c r="K1612" s="145" t="inlineStr">
        <is>
          <t>None</t>
        </is>
      </c>
      <c r="L1612" s="145" t="inlineStr">
        <is>
          <t>#000000</t>
        </is>
      </c>
      <c r="M1612" s="145" t="inlineStr">
        <is>
          <t>General</t>
        </is>
      </c>
      <c r="N1612" s="145" t="inlineStr">
        <is>
          <t>Center</t>
        </is>
      </c>
      <c r="O1612" s="145" t="inlineStr">
        <is>
          <t>No</t>
        </is>
      </c>
      <c r="P1612" s="145" t="inlineStr">
        <is>
          <t>General</t>
        </is>
      </c>
      <c r="Q1612" s="145" t="inlineStr">
        <is>
          <t>General</t>
        </is>
      </c>
      <c r="R1612" s="145" t="n"/>
      <c r="S1612" s="145" t="n"/>
      <c r="T1612" s="145" t="n"/>
      <c r="U1612" s="145" t="n"/>
      <c r="V1612" s="145" t="n"/>
      <c r="W1612" s="145" t="n"/>
      <c r="X1612" s="145" t="inlineStr">
        <is>
          <t>Detailed format sample from top five used rows</t>
        </is>
      </c>
    </row>
    <row r="1613" ht="23.85" customHeight="1" s="79">
      <c r="A1613" s="145" t="inlineStr">
        <is>
          <t>MNL_PPO</t>
        </is>
      </c>
      <c r="B1613" s="145" t="inlineStr">
        <is>
          <t>Top-Row Cell Format</t>
        </is>
      </c>
      <c r="C1613" s="145" t="inlineStr">
        <is>
          <t>S5</t>
        </is>
      </c>
      <c r="D1613" s="145" t="inlineStr">
        <is>
          <t>MNL_PPO!A1:AM329</t>
        </is>
      </c>
      <c r="E1613" s="145" t="inlineStr">
        <is>
          <t>Normal</t>
        </is>
      </c>
      <c r="F1613" s="145" t="n"/>
      <c r="G1613" s="145" t="inlineStr">
        <is>
          <t>Cambria</t>
        </is>
      </c>
      <c r="H1613" s="145" t="n">
        <v>8</v>
      </c>
      <c r="I1613" s="145" t="inlineStr">
        <is>
          <t>No</t>
        </is>
      </c>
      <c r="J1613" s="145" t="inlineStr">
        <is>
          <t>No</t>
        </is>
      </c>
      <c r="K1613" s="145" t="inlineStr">
        <is>
          <t>None</t>
        </is>
      </c>
      <c r="L1613" s="145" t="inlineStr">
        <is>
          <t>#000000</t>
        </is>
      </c>
      <c r="M1613" s="145" t="inlineStr">
        <is>
          <t>General</t>
        </is>
      </c>
      <c r="N1613" s="145" t="inlineStr">
        <is>
          <t>Center</t>
        </is>
      </c>
      <c r="O1613" s="145" t="inlineStr">
        <is>
          <t>No</t>
        </is>
      </c>
      <c r="P1613" s="145" t="inlineStr">
        <is>
          <t>General</t>
        </is>
      </c>
      <c r="Q1613" s="145" t="inlineStr">
        <is>
          <t>General</t>
        </is>
      </c>
      <c r="R1613" s="145" t="n"/>
      <c r="S1613" s="145" t="n"/>
      <c r="T1613" s="145" t="n"/>
      <c r="U1613" s="145" t="n"/>
      <c r="V1613" s="145" t="n"/>
      <c r="W1613" s="145" t="n"/>
      <c r="X1613" s="145" t="inlineStr">
        <is>
          <t>Detailed format sample from top five used rows</t>
        </is>
      </c>
    </row>
    <row r="1614" ht="23.85" customHeight="1" s="79">
      <c r="A1614" s="145" t="inlineStr">
        <is>
          <t>MNL_PPO</t>
        </is>
      </c>
      <c r="B1614" s="145" t="inlineStr">
        <is>
          <t>Column Format</t>
        </is>
      </c>
      <c r="C1614" s="145" t="inlineStr">
        <is>
          <t>T:T</t>
        </is>
      </c>
      <c r="D1614" s="145" t="inlineStr">
        <is>
          <t>MNL_PPO!A1:AM329</t>
        </is>
      </c>
      <c r="E1614" s="145" t="inlineStr">
        <is>
          <t>Normal</t>
        </is>
      </c>
      <c r="F1614" s="145" t="inlineStr">
        <is>
          <t>Mixed</t>
        </is>
      </c>
      <c r="G1614" s="145" t="inlineStr">
        <is>
          <t>Cambria</t>
        </is>
      </c>
      <c r="H1614" s="145" t="n">
        <v>8</v>
      </c>
      <c r="I1614" s="145" t="inlineStr">
        <is>
          <t>Mixed</t>
        </is>
      </c>
      <c r="J1614" s="145" t="inlineStr">
        <is>
          <t>No</t>
        </is>
      </c>
      <c r="K1614" s="145" t="inlineStr">
        <is>
          <t>None</t>
        </is>
      </c>
      <c r="L1614" s="145" t="inlineStr">
        <is>
          <t>Mixed</t>
        </is>
      </c>
      <c r="M1614" s="145" t="inlineStr">
        <is>
          <t>General</t>
        </is>
      </c>
      <c r="N1614" s="145" t="inlineStr">
        <is>
          <t>Center</t>
        </is>
      </c>
      <c r="O1614" s="145" t="inlineStr">
        <is>
          <t>No</t>
        </is>
      </c>
      <c r="P1614" s="145" t="n"/>
      <c r="Q1614" s="145" t="n"/>
      <c r="R1614" s="145" t="n"/>
      <c r="S1614" s="145" t="n">
        <v>47.2835820895522</v>
      </c>
      <c r="T1614" s="145" t="n"/>
      <c r="U1614" s="145" t="inlineStr">
        <is>
          <t>No</t>
        </is>
      </c>
      <c r="V1614" s="145" t="inlineStr">
        <is>
          <t>Visible</t>
        </is>
      </c>
      <c r="W1614" s="145" t="n"/>
      <c r="X1614" s="145" t="inlineStr">
        <is>
          <t>Mixed styles within used column</t>
        </is>
      </c>
    </row>
    <row r="1615" ht="23.85" customHeight="1" s="79">
      <c r="A1615" s="145" t="inlineStr">
        <is>
          <t>MNL_PPO</t>
        </is>
      </c>
      <c r="B1615" s="145" t="inlineStr">
        <is>
          <t>Top-Row Cell Format</t>
        </is>
      </c>
      <c r="C1615" s="145" t="inlineStr">
        <is>
          <t>T1</t>
        </is>
      </c>
      <c r="D1615" s="145" t="inlineStr">
        <is>
          <t>MNL_PPO!A1:AM329</t>
        </is>
      </c>
      <c r="E1615" s="145" t="inlineStr">
        <is>
          <t>Normal</t>
        </is>
      </c>
      <c r="F1615" s="145" t="inlineStr">
        <is>
          <t>#70AD47</t>
        </is>
      </c>
      <c r="G1615" s="145" t="inlineStr">
        <is>
          <t>Cambria</t>
        </is>
      </c>
      <c r="H1615" s="145" t="n">
        <v>8</v>
      </c>
      <c r="I1615" s="145" t="inlineStr">
        <is>
          <t>Yes</t>
        </is>
      </c>
      <c r="J1615" s="145" t="inlineStr">
        <is>
          <t>No</t>
        </is>
      </c>
      <c r="K1615" s="145" t="inlineStr">
        <is>
          <t>None</t>
        </is>
      </c>
      <c r="L1615" s="145" t="inlineStr">
        <is>
          <t>#FFFFFF</t>
        </is>
      </c>
      <c r="M1615" s="145" t="inlineStr">
        <is>
          <t>General</t>
        </is>
      </c>
      <c r="N1615" s="145" t="inlineStr">
        <is>
          <t>Center</t>
        </is>
      </c>
      <c r="O1615" s="145" t="inlineStr">
        <is>
          <t>No</t>
        </is>
      </c>
      <c r="P1615" s="145" t="inlineStr">
        <is>
          <t>General</t>
        </is>
      </c>
      <c r="Q1615" s="145" t="inlineStr">
        <is>
          <t>General</t>
        </is>
      </c>
      <c r="R1615" s="145" t="n"/>
      <c r="S1615" s="145" t="n"/>
      <c r="T1615" s="145" t="n"/>
      <c r="U1615" s="145" t="n"/>
      <c r="V1615" s="145" t="n"/>
      <c r="W1615" s="145" t="n"/>
      <c r="X1615" s="145" t="inlineStr">
        <is>
          <t>Detailed format sample from top five used rows</t>
        </is>
      </c>
    </row>
    <row r="1616" ht="23.85" customHeight="1" s="79">
      <c r="A1616" s="145" t="inlineStr">
        <is>
          <t>MNL_PPO</t>
        </is>
      </c>
      <c r="B1616" s="145" t="inlineStr">
        <is>
          <t>Top-Row Cell Format</t>
        </is>
      </c>
      <c r="C1616" s="145" t="inlineStr">
        <is>
          <t>T2</t>
        </is>
      </c>
      <c r="D1616" s="145" t="inlineStr">
        <is>
          <t>MNL_PPO!A1:AM329</t>
        </is>
      </c>
      <c r="E1616" s="145" t="inlineStr">
        <is>
          <t>Normal</t>
        </is>
      </c>
      <c r="F1616" s="145" t="n"/>
      <c r="G1616" s="145" t="inlineStr">
        <is>
          <t>Cambria</t>
        </is>
      </c>
      <c r="H1616" s="145" t="n">
        <v>8</v>
      </c>
      <c r="I1616" s="145" t="inlineStr">
        <is>
          <t>No</t>
        </is>
      </c>
      <c r="J1616" s="145" t="inlineStr">
        <is>
          <t>No</t>
        </is>
      </c>
      <c r="K1616" s="145" t="inlineStr">
        <is>
          <t>None</t>
        </is>
      </c>
      <c r="L1616" s="145" t="inlineStr">
        <is>
          <t>#000000</t>
        </is>
      </c>
      <c r="M1616" s="145" t="inlineStr">
        <is>
          <t>General</t>
        </is>
      </c>
      <c r="N1616" s="145" t="inlineStr">
        <is>
          <t>Center</t>
        </is>
      </c>
      <c r="O1616" s="145" t="inlineStr">
        <is>
          <t>No</t>
        </is>
      </c>
      <c r="P1616" s="145" t="inlineStr">
        <is>
          <t>General</t>
        </is>
      </c>
      <c r="Q1616" s="145" t="inlineStr">
        <is>
          <t>General</t>
        </is>
      </c>
      <c r="R1616" s="145" t="n"/>
      <c r="S1616" s="145" t="n"/>
      <c r="T1616" s="145" t="n"/>
      <c r="U1616" s="145" t="n"/>
      <c r="V1616" s="145" t="n"/>
      <c r="W1616" s="145" t="n"/>
      <c r="X1616" s="145" t="inlineStr">
        <is>
          <t>Detailed format sample from top five used rows</t>
        </is>
      </c>
    </row>
    <row r="1617" ht="23.85" customHeight="1" s="79">
      <c r="A1617" s="145" t="inlineStr">
        <is>
          <t>MNL_PPO</t>
        </is>
      </c>
      <c r="B1617" s="145" t="inlineStr">
        <is>
          <t>Top-Row Cell Format</t>
        </is>
      </c>
      <c r="C1617" s="145" t="inlineStr">
        <is>
          <t>T3</t>
        </is>
      </c>
      <c r="D1617" s="145" t="inlineStr">
        <is>
          <t>MNL_PPO!A1:AM329</t>
        </is>
      </c>
      <c r="E1617" s="145" t="inlineStr">
        <is>
          <t>Normal</t>
        </is>
      </c>
      <c r="F1617" s="145" t="n"/>
      <c r="G1617" s="145" t="inlineStr">
        <is>
          <t>Cambria</t>
        </is>
      </c>
      <c r="H1617" s="145" t="n">
        <v>8</v>
      </c>
      <c r="I1617" s="145" t="inlineStr">
        <is>
          <t>No</t>
        </is>
      </c>
      <c r="J1617" s="145" t="inlineStr">
        <is>
          <t>No</t>
        </is>
      </c>
      <c r="K1617" s="145" t="inlineStr">
        <is>
          <t>None</t>
        </is>
      </c>
      <c r="L1617" s="145" t="inlineStr">
        <is>
          <t>#000000</t>
        </is>
      </c>
      <c r="M1617" s="145" t="inlineStr">
        <is>
          <t>General</t>
        </is>
      </c>
      <c r="N1617" s="145" t="inlineStr">
        <is>
          <t>Center</t>
        </is>
      </c>
      <c r="O1617" s="145" t="inlineStr">
        <is>
          <t>No</t>
        </is>
      </c>
      <c r="P1617" s="145" t="inlineStr">
        <is>
          <t>General</t>
        </is>
      </c>
      <c r="Q1617" s="145" t="inlineStr">
        <is>
          <t>General</t>
        </is>
      </c>
      <c r="R1617" s="145" t="n"/>
      <c r="S1617" s="145" t="n"/>
      <c r="T1617" s="145" t="n"/>
      <c r="U1617" s="145" t="n"/>
      <c r="V1617" s="145" t="n"/>
      <c r="W1617" s="145" t="n"/>
      <c r="X1617" s="145" t="inlineStr">
        <is>
          <t>Detailed format sample from top five used rows</t>
        </is>
      </c>
    </row>
    <row r="1618" ht="23.85" customHeight="1" s="79">
      <c r="A1618" s="145" t="inlineStr">
        <is>
          <t>MNL_PPO</t>
        </is>
      </c>
      <c r="B1618" s="145" t="inlineStr">
        <is>
          <t>Top-Row Cell Format</t>
        </is>
      </c>
      <c r="C1618" s="145" t="inlineStr">
        <is>
          <t>T4</t>
        </is>
      </c>
      <c r="D1618" s="145" t="inlineStr">
        <is>
          <t>MNL_PPO!A1:AM329</t>
        </is>
      </c>
      <c r="E1618" s="145" t="inlineStr">
        <is>
          <t>Normal</t>
        </is>
      </c>
      <c r="F1618" s="145" t="n"/>
      <c r="G1618" s="145" t="inlineStr">
        <is>
          <t>Cambria</t>
        </is>
      </c>
      <c r="H1618" s="145" t="n">
        <v>8</v>
      </c>
      <c r="I1618" s="145" t="inlineStr">
        <is>
          <t>No</t>
        </is>
      </c>
      <c r="J1618" s="145" t="inlineStr">
        <is>
          <t>No</t>
        </is>
      </c>
      <c r="K1618" s="145" t="inlineStr">
        <is>
          <t>None</t>
        </is>
      </c>
      <c r="L1618" s="145" t="inlineStr">
        <is>
          <t>#000000</t>
        </is>
      </c>
      <c r="M1618" s="145" t="inlineStr">
        <is>
          <t>General</t>
        </is>
      </c>
      <c r="N1618" s="145" t="inlineStr">
        <is>
          <t>Center</t>
        </is>
      </c>
      <c r="O1618" s="145" t="inlineStr">
        <is>
          <t>No</t>
        </is>
      </c>
      <c r="P1618" s="145" t="inlineStr">
        <is>
          <t>General</t>
        </is>
      </c>
      <c r="Q1618" s="145" t="inlineStr">
        <is>
          <t>General</t>
        </is>
      </c>
      <c r="R1618" s="145" t="n"/>
      <c r="S1618" s="145" t="n"/>
      <c r="T1618" s="145" t="n"/>
      <c r="U1618" s="145" t="n"/>
      <c r="V1618" s="145" t="n"/>
      <c r="W1618" s="145" t="n"/>
      <c r="X1618" s="145" t="inlineStr">
        <is>
          <t>Detailed format sample from top five used rows</t>
        </is>
      </c>
    </row>
    <row r="1619" ht="23.85" customHeight="1" s="79">
      <c r="A1619" s="145" t="inlineStr">
        <is>
          <t>MNL_PPO</t>
        </is>
      </c>
      <c r="B1619" s="145" t="inlineStr">
        <is>
          <t>Top-Row Cell Format</t>
        </is>
      </c>
      <c r="C1619" s="145" t="inlineStr">
        <is>
          <t>T5</t>
        </is>
      </c>
      <c r="D1619" s="145" t="inlineStr">
        <is>
          <t>MNL_PPO!A1:AM329</t>
        </is>
      </c>
      <c r="E1619" s="145" t="inlineStr">
        <is>
          <t>Normal</t>
        </is>
      </c>
      <c r="F1619" s="145" t="n"/>
      <c r="G1619" s="145" t="inlineStr">
        <is>
          <t>Cambria</t>
        </is>
      </c>
      <c r="H1619" s="145" t="n">
        <v>8</v>
      </c>
      <c r="I1619" s="145" t="inlineStr">
        <is>
          <t>No</t>
        </is>
      </c>
      <c r="J1619" s="145" t="inlineStr">
        <is>
          <t>No</t>
        </is>
      </c>
      <c r="K1619" s="145" t="inlineStr">
        <is>
          <t>None</t>
        </is>
      </c>
      <c r="L1619" s="145" t="inlineStr">
        <is>
          <t>#000000</t>
        </is>
      </c>
      <c r="M1619" s="145" t="inlineStr">
        <is>
          <t>General</t>
        </is>
      </c>
      <c r="N1619" s="145" t="inlineStr">
        <is>
          <t>Center</t>
        </is>
      </c>
      <c r="O1619" s="145" t="inlineStr">
        <is>
          <t>No</t>
        </is>
      </c>
      <c r="P1619" s="145" t="inlineStr">
        <is>
          <t>General</t>
        </is>
      </c>
      <c r="Q1619" s="145" t="inlineStr">
        <is>
          <t>General</t>
        </is>
      </c>
      <c r="R1619" s="145" t="n"/>
      <c r="S1619" s="145" t="n"/>
      <c r="T1619" s="145" t="n"/>
      <c r="U1619" s="145" t="n"/>
      <c r="V1619" s="145" t="n"/>
      <c r="W1619" s="145" t="n"/>
      <c r="X1619" s="145" t="inlineStr">
        <is>
          <t>Detailed format sample from top five used rows</t>
        </is>
      </c>
    </row>
    <row r="1620" ht="23.85" customHeight="1" s="79">
      <c r="A1620" s="145" t="inlineStr">
        <is>
          <t>MNL_PPO</t>
        </is>
      </c>
      <c r="B1620" s="145" t="inlineStr">
        <is>
          <t>Column Format</t>
        </is>
      </c>
      <c r="C1620" s="145" t="inlineStr">
        <is>
          <t>U:U</t>
        </is>
      </c>
      <c r="D1620" s="145" t="inlineStr">
        <is>
          <t>MNL_PPO!A1:AM329</t>
        </is>
      </c>
      <c r="E1620" s="145" t="inlineStr">
        <is>
          <t>Normal</t>
        </is>
      </c>
      <c r="F1620" s="145" t="inlineStr">
        <is>
          <t>Mixed</t>
        </is>
      </c>
      <c r="G1620" s="145" t="inlineStr">
        <is>
          <t>Cambria</t>
        </is>
      </c>
      <c r="H1620" s="145" t="n">
        <v>8</v>
      </c>
      <c r="I1620" s="145" t="inlineStr">
        <is>
          <t>Mixed</t>
        </is>
      </c>
      <c r="J1620" s="145" t="inlineStr">
        <is>
          <t>No</t>
        </is>
      </c>
      <c r="K1620" s="145" t="inlineStr">
        <is>
          <t>None</t>
        </is>
      </c>
      <c r="L1620" s="145" t="inlineStr">
        <is>
          <t>Mixed</t>
        </is>
      </c>
      <c r="M1620" s="145" t="inlineStr">
        <is>
          <t>General</t>
        </is>
      </c>
      <c r="N1620" s="145" t="inlineStr">
        <is>
          <t>Center</t>
        </is>
      </c>
      <c r="O1620" s="145" t="inlineStr">
        <is>
          <t>No</t>
        </is>
      </c>
      <c r="P1620" s="145" t="n"/>
      <c r="Q1620" s="145" t="n"/>
      <c r="R1620" s="145" t="n"/>
      <c r="S1620" s="145" t="n">
        <v>51.044776119403</v>
      </c>
      <c r="T1620" s="145" t="n"/>
      <c r="U1620" s="145" t="inlineStr">
        <is>
          <t>No</t>
        </is>
      </c>
      <c r="V1620" s="145" t="inlineStr">
        <is>
          <t>Visible</t>
        </is>
      </c>
      <c r="W1620" s="145" t="n"/>
      <c r="X1620" s="145" t="inlineStr">
        <is>
          <t>Mixed styles within used column</t>
        </is>
      </c>
    </row>
    <row r="1621" ht="23.85" customHeight="1" s="79">
      <c r="A1621" s="145" t="inlineStr">
        <is>
          <t>MNL_PPO</t>
        </is>
      </c>
      <c r="B1621" s="145" t="inlineStr">
        <is>
          <t>Top-Row Cell Format</t>
        </is>
      </c>
      <c r="C1621" s="145" t="inlineStr">
        <is>
          <t>U1</t>
        </is>
      </c>
      <c r="D1621" s="145" t="inlineStr">
        <is>
          <t>MNL_PPO!A1:AM329</t>
        </is>
      </c>
      <c r="E1621" s="145" t="inlineStr">
        <is>
          <t>Normal</t>
        </is>
      </c>
      <c r="F1621" s="145" t="inlineStr">
        <is>
          <t>#70AD47</t>
        </is>
      </c>
      <c r="G1621" s="145" t="inlineStr">
        <is>
          <t>Cambria</t>
        </is>
      </c>
      <c r="H1621" s="145" t="n">
        <v>8</v>
      </c>
      <c r="I1621" s="145" t="inlineStr">
        <is>
          <t>Yes</t>
        </is>
      </c>
      <c r="J1621" s="145" t="inlineStr">
        <is>
          <t>No</t>
        </is>
      </c>
      <c r="K1621" s="145" t="inlineStr">
        <is>
          <t>None</t>
        </is>
      </c>
      <c r="L1621" s="145" t="inlineStr">
        <is>
          <t>#FFFFFF</t>
        </is>
      </c>
      <c r="M1621" s="145" t="inlineStr">
        <is>
          <t>General</t>
        </is>
      </c>
      <c r="N1621" s="145" t="inlineStr">
        <is>
          <t>Center</t>
        </is>
      </c>
      <c r="O1621" s="145" t="inlineStr">
        <is>
          <t>No</t>
        </is>
      </c>
      <c r="P1621" s="145" t="inlineStr">
        <is>
          <t>General</t>
        </is>
      </c>
      <c r="Q1621" s="145" t="inlineStr">
        <is>
          <t>General</t>
        </is>
      </c>
      <c r="R1621" s="145" t="n"/>
      <c r="S1621" s="145" t="n"/>
      <c r="T1621" s="145" t="n"/>
      <c r="U1621" s="145" t="n"/>
      <c r="V1621" s="145" t="n"/>
      <c r="W1621" s="145" t="n"/>
      <c r="X1621" s="145" t="inlineStr">
        <is>
          <t>Detailed format sample from top five used rows</t>
        </is>
      </c>
    </row>
    <row r="1622" ht="23.85" customHeight="1" s="79">
      <c r="A1622" s="145" t="inlineStr">
        <is>
          <t>MNL_PPO</t>
        </is>
      </c>
      <c r="B1622" s="145" t="inlineStr">
        <is>
          <t>Top-Row Cell Format</t>
        </is>
      </c>
      <c r="C1622" s="145" t="inlineStr">
        <is>
          <t>U2</t>
        </is>
      </c>
      <c r="D1622" s="145" t="inlineStr">
        <is>
          <t>MNL_PPO!A1:AM329</t>
        </is>
      </c>
      <c r="E1622" s="145" t="inlineStr">
        <is>
          <t>Normal</t>
        </is>
      </c>
      <c r="F1622" s="145" t="n"/>
      <c r="G1622" s="145" t="inlineStr">
        <is>
          <t>Cambria</t>
        </is>
      </c>
      <c r="H1622" s="145" t="n">
        <v>8</v>
      </c>
      <c r="I1622" s="145" t="inlineStr">
        <is>
          <t>No</t>
        </is>
      </c>
      <c r="J1622" s="145" t="inlineStr">
        <is>
          <t>No</t>
        </is>
      </c>
      <c r="K1622" s="145" t="inlineStr">
        <is>
          <t>None</t>
        </is>
      </c>
      <c r="L1622" s="145" t="inlineStr">
        <is>
          <t>#000000</t>
        </is>
      </c>
      <c r="M1622" s="145" t="inlineStr">
        <is>
          <t>General</t>
        </is>
      </c>
      <c r="N1622" s="145" t="inlineStr">
        <is>
          <t>Center</t>
        </is>
      </c>
      <c r="O1622" s="145" t="inlineStr">
        <is>
          <t>No</t>
        </is>
      </c>
      <c r="P1622" s="145" t="inlineStr">
        <is>
          <t>General</t>
        </is>
      </c>
      <c r="Q1622" s="145" t="inlineStr">
        <is>
          <t>General</t>
        </is>
      </c>
      <c r="R1622" s="145" t="n"/>
      <c r="S1622" s="145" t="n"/>
      <c r="T1622" s="145" t="n"/>
      <c r="U1622" s="145" t="n"/>
      <c r="V1622" s="145" t="n"/>
      <c r="W1622" s="145" t="n"/>
      <c r="X1622" s="145" t="inlineStr">
        <is>
          <t>Detailed format sample from top five used rows</t>
        </is>
      </c>
    </row>
    <row r="1623" ht="23.85" customHeight="1" s="79">
      <c r="A1623" s="145" t="inlineStr">
        <is>
          <t>MNL_PPO</t>
        </is>
      </c>
      <c r="B1623" s="145" t="inlineStr">
        <is>
          <t>Top-Row Cell Format</t>
        </is>
      </c>
      <c r="C1623" s="145" t="inlineStr">
        <is>
          <t>U3</t>
        </is>
      </c>
      <c r="D1623" s="145" t="inlineStr">
        <is>
          <t>MNL_PPO!A1:AM329</t>
        </is>
      </c>
      <c r="E1623" s="145" t="inlineStr">
        <is>
          <t>Normal</t>
        </is>
      </c>
      <c r="F1623" s="145" t="n"/>
      <c r="G1623" s="145" t="inlineStr">
        <is>
          <t>Cambria</t>
        </is>
      </c>
      <c r="H1623" s="145" t="n">
        <v>8</v>
      </c>
      <c r="I1623" s="145" t="inlineStr">
        <is>
          <t>No</t>
        </is>
      </c>
      <c r="J1623" s="145" t="inlineStr">
        <is>
          <t>No</t>
        </is>
      </c>
      <c r="K1623" s="145" t="inlineStr">
        <is>
          <t>None</t>
        </is>
      </c>
      <c r="L1623" s="145" t="inlineStr">
        <is>
          <t>#000000</t>
        </is>
      </c>
      <c r="M1623" s="145" t="inlineStr">
        <is>
          <t>General</t>
        </is>
      </c>
      <c r="N1623" s="145" t="inlineStr">
        <is>
          <t>Center</t>
        </is>
      </c>
      <c r="O1623" s="145" t="inlineStr">
        <is>
          <t>No</t>
        </is>
      </c>
      <c r="P1623" s="145" t="inlineStr">
        <is>
          <t>General</t>
        </is>
      </c>
      <c r="Q1623" s="145" t="inlineStr">
        <is>
          <t>General</t>
        </is>
      </c>
      <c r="R1623" s="145" t="n"/>
      <c r="S1623" s="145" t="n"/>
      <c r="T1623" s="145" t="n"/>
      <c r="U1623" s="145" t="n"/>
      <c r="V1623" s="145" t="n"/>
      <c r="W1623" s="145" t="n"/>
      <c r="X1623" s="145" t="inlineStr">
        <is>
          <t>Detailed format sample from top five used rows</t>
        </is>
      </c>
    </row>
    <row r="1624" ht="23.85" customHeight="1" s="79">
      <c r="A1624" s="145" t="inlineStr">
        <is>
          <t>MNL_PPO</t>
        </is>
      </c>
      <c r="B1624" s="145" t="inlineStr">
        <is>
          <t>Top-Row Cell Format</t>
        </is>
      </c>
      <c r="C1624" s="145" t="inlineStr">
        <is>
          <t>U4</t>
        </is>
      </c>
      <c r="D1624" s="145" t="inlineStr">
        <is>
          <t>MNL_PPO!A1:AM329</t>
        </is>
      </c>
      <c r="E1624" s="145" t="inlineStr">
        <is>
          <t>Normal</t>
        </is>
      </c>
      <c r="F1624" s="145" t="n"/>
      <c r="G1624" s="145" t="inlineStr">
        <is>
          <t>Cambria</t>
        </is>
      </c>
      <c r="H1624" s="145" t="n">
        <v>8</v>
      </c>
      <c r="I1624" s="145" t="inlineStr">
        <is>
          <t>No</t>
        </is>
      </c>
      <c r="J1624" s="145" t="inlineStr">
        <is>
          <t>No</t>
        </is>
      </c>
      <c r="K1624" s="145" t="inlineStr">
        <is>
          <t>None</t>
        </is>
      </c>
      <c r="L1624" s="145" t="inlineStr">
        <is>
          <t>#000000</t>
        </is>
      </c>
      <c r="M1624" s="145" t="inlineStr">
        <is>
          <t>General</t>
        </is>
      </c>
      <c r="N1624" s="145" t="inlineStr">
        <is>
          <t>Center</t>
        </is>
      </c>
      <c r="O1624" s="145" t="inlineStr">
        <is>
          <t>No</t>
        </is>
      </c>
      <c r="P1624" s="145" t="inlineStr">
        <is>
          <t>General</t>
        </is>
      </c>
      <c r="Q1624" s="145" t="inlineStr">
        <is>
          <t>General</t>
        </is>
      </c>
      <c r="R1624" s="145" t="n"/>
      <c r="S1624" s="145" t="n"/>
      <c r="T1624" s="145" t="n"/>
      <c r="U1624" s="145" t="n"/>
      <c r="V1624" s="145" t="n"/>
      <c r="W1624" s="145" t="n"/>
      <c r="X1624" s="145" t="inlineStr">
        <is>
          <t>Detailed format sample from top five used rows</t>
        </is>
      </c>
    </row>
    <row r="1625" ht="23.85" customHeight="1" s="79">
      <c r="A1625" s="145" t="inlineStr">
        <is>
          <t>MNL_PPO</t>
        </is>
      </c>
      <c r="B1625" s="145" t="inlineStr">
        <is>
          <t>Top-Row Cell Format</t>
        </is>
      </c>
      <c r="C1625" s="145" t="inlineStr">
        <is>
          <t>U5</t>
        </is>
      </c>
      <c r="D1625" s="145" t="inlineStr">
        <is>
          <t>MNL_PPO!A1:AM329</t>
        </is>
      </c>
      <c r="E1625" s="145" t="inlineStr">
        <is>
          <t>Normal</t>
        </is>
      </c>
      <c r="F1625" s="145" t="n"/>
      <c r="G1625" s="145" t="inlineStr">
        <is>
          <t>Cambria</t>
        </is>
      </c>
      <c r="H1625" s="145" t="n">
        <v>8</v>
      </c>
      <c r="I1625" s="145" t="inlineStr">
        <is>
          <t>No</t>
        </is>
      </c>
      <c r="J1625" s="145" t="inlineStr">
        <is>
          <t>No</t>
        </is>
      </c>
      <c r="K1625" s="145" t="inlineStr">
        <is>
          <t>None</t>
        </is>
      </c>
      <c r="L1625" s="145" t="inlineStr">
        <is>
          <t>#000000</t>
        </is>
      </c>
      <c r="M1625" s="145" t="inlineStr">
        <is>
          <t>General</t>
        </is>
      </c>
      <c r="N1625" s="145" t="inlineStr">
        <is>
          <t>Center</t>
        </is>
      </c>
      <c r="O1625" s="145" t="inlineStr">
        <is>
          <t>No</t>
        </is>
      </c>
      <c r="P1625" s="145" t="inlineStr">
        <is>
          <t>General</t>
        </is>
      </c>
      <c r="Q1625" s="145" t="inlineStr">
        <is>
          <t>General</t>
        </is>
      </c>
      <c r="R1625" s="145" t="n"/>
      <c r="S1625" s="145" t="n"/>
      <c r="T1625" s="145" t="n"/>
      <c r="U1625" s="145" t="n"/>
      <c r="V1625" s="145" t="n"/>
      <c r="W1625" s="145" t="n"/>
      <c r="X1625" s="145" t="inlineStr">
        <is>
          <t>Detailed format sample from top five used rows</t>
        </is>
      </c>
    </row>
    <row r="1626" ht="23.85" customHeight="1" s="79">
      <c r="A1626" s="145" t="inlineStr">
        <is>
          <t>MNL_PPO</t>
        </is>
      </c>
      <c r="B1626" s="145" t="inlineStr">
        <is>
          <t>Column Format</t>
        </is>
      </c>
      <c r="C1626" s="145" t="inlineStr">
        <is>
          <t>V:V</t>
        </is>
      </c>
      <c r="D1626" s="145" t="inlineStr">
        <is>
          <t>MNL_PPO!A1:AM329</t>
        </is>
      </c>
      <c r="E1626" s="145" t="inlineStr">
        <is>
          <t>Mixed</t>
        </is>
      </c>
      <c r="F1626" s="145" t="inlineStr">
        <is>
          <t>Mixed</t>
        </is>
      </c>
      <c r="G1626" s="145" t="inlineStr">
        <is>
          <t>Cambria</t>
        </is>
      </c>
      <c r="H1626" s="145" t="n">
        <v>8</v>
      </c>
      <c r="I1626" s="145" t="inlineStr">
        <is>
          <t>Mixed</t>
        </is>
      </c>
      <c r="J1626" s="145" t="inlineStr">
        <is>
          <t>No</t>
        </is>
      </c>
      <c r="K1626" s="145" t="inlineStr">
        <is>
          <t>None</t>
        </is>
      </c>
      <c r="L1626" s="145" t="inlineStr">
        <is>
          <t>Mixed</t>
        </is>
      </c>
      <c r="M1626" s="145" t="inlineStr">
        <is>
          <t>Mixed</t>
        </is>
      </c>
      <c r="N1626" s="145" t="inlineStr">
        <is>
          <t>Center</t>
        </is>
      </c>
      <c r="O1626" s="145" t="inlineStr">
        <is>
          <t>No</t>
        </is>
      </c>
      <c r="P1626" s="145" t="n"/>
      <c r="Q1626" s="145" t="n"/>
      <c r="R1626" s="145" t="n"/>
      <c r="S1626" s="145" t="n">
        <v>25.7910447761194</v>
      </c>
      <c r="T1626" s="145" t="n"/>
      <c r="U1626" s="145" t="inlineStr">
        <is>
          <t>No</t>
        </is>
      </c>
      <c r="V1626" s="145" t="inlineStr">
        <is>
          <t>Visible</t>
        </is>
      </c>
      <c r="W1626" s="145" t="n"/>
      <c r="X1626" s="145" t="inlineStr">
        <is>
          <t>Mixed styles within used column</t>
        </is>
      </c>
    </row>
    <row r="1627" ht="23.85" customHeight="1" s="79">
      <c r="A1627" s="145" t="inlineStr">
        <is>
          <t>MNL_PPO</t>
        </is>
      </c>
      <c r="B1627" s="145" t="inlineStr">
        <is>
          <t>Top-Row Cell Format</t>
        </is>
      </c>
      <c r="C1627" s="145" t="inlineStr">
        <is>
          <t>V1</t>
        </is>
      </c>
      <c r="D1627" s="145" t="inlineStr">
        <is>
          <t>MNL_PPO!A1:AM329</t>
        </is>
      </c>
      <c r="E1627" s="145" t="inlineStr">
        <is>
          <t>Normal</t>
        </is>
      </c>
      <c r="F1627" s="145" t="inlineStr">
        <is>
          <t>#70AD47</t>
        </is>
      </c>
      <c r="G1627" s="145" t="inlineStr">
        <is>
          <t>Cambria</t>
        </is>
      </c>
      <c r="H1627" s="145" t="n">
        <v>8</v>
      </c>
      <c r="I1627" s="145" t="inlineStr">
        <is>
          <t>Yes</t>
        </is>
      </c>
      <c r="J1627" s="145" t="inlineStr">
        <is>
          <t>No</t>
        </is>
      </c>
      <c r="K1627" s="145" t="inlineStr">
        <is>
          <t>None</t>
        </is>
      </c>
      <c r="L1627" s="145" t="inlineStr">
        <is>
          <t>#FFFFFF</t>
        </is>
      </c>
      <c r="M1627" s="145" t="inlineStr">
        <is>
          <t>General</t>
        </is>
      </c>
      <c r="N1627" s="145" t="inlineStr">
        <is>
          <t>Center</t>
        </is>
      </c>
      <c r="O1627" s="145" t="inlineStr">
        <is>
          <t>No</t>
        </is>
      </c>
      <c r="P1627" s="145" t="inlineStr">
        <is>
          <t>General</t>
        </is>
      </c>
      <c r="Q1627" s="145" t="inlineStr">
        <is>
          <t>General</t>
        </is>
      </c>
      <c r="R1627" s="145" t="n"/>
      <c r="S1627" s="145" t="n"/>
      <c r="T1627" s="145" t="n"/>
      <c r="U1627" s="145" t="n"/>
      <c r="V1627" s="145" t="n"/>
      <c r="W1627" s="145" t="n"/>
      <c r="X1627" s="145" t="inlineStr">
        <is>
          <t>Detailed format sample from top five used rows</t>
        </is>
      </c>
    </row>
    <row r="1628" ht="35.05" customHeight="1" s="79">
      <c r="A1628" s="145" t="inlineStr">
        <is>
          <t>MNL_PPO</t>
        </is>
      </c>
      <c r="B1628" s="145" t="inlineStr">
        <is>
          <t>Top-Row Cell Format</t>
        </is>
      </c>
      <c r="C1628" s="145" t="inlineStr">
        <is>
          <t>V2</t>
        </is>
      </c>
      <c r="D1628" s="145" t="inlineStr">
        <is>
          <t>MNL_PPO!A1:AM329</t>
        </is>
      </c>
      <c r="E1628" s="145" t="inlineStr">
        <is>
          <t>Comma</t>
        </is>
      </c>
      <c r="F1628" s="145" t="n"/>
      <c r="G1628" s="145" t="inlineStr">
        <is>
          <t>Cambria</t>
        </is>
      </c>
      <c r="H1628" s="145" t="n">
        <v>8</v>
      </c>
      <c r="I1628" s="145" t="inlineStr">
        <is>
          <t>No</t>
        </is>
      </c>
      <c r="J1628" s="145" t="inlineStr">
        <is>
          <t>No</t>
        </is>
      </c>
      <c r="K1628" s="145" t="inlineStr">
        <is>
          <t>None</t>
        </is>
      </c>
      <c r="L1628" s="145" t="inlineStr">
        <is>
          <t>#000000</t>
        </is>
      </c>
      <c r="M1628" s="145" t="inlineStr">
        <is>
          <t>Center</t>
        </is>
      </c>
      <c r="N1628" s="145" t="inlineStr">
        <is>
          <t>Center</t>
        </is>
      </c>
      <c r="O1628" s="145" t="inlineStr">
        <is>
          <t>No</t>
        </is>
      </c>
      <c r="P1628" s="145" t="inlineStr">
        <is>
          <t xml:space="preserve">_ * #,##0.00_ ;_ * -#,##0.00_ ;_ * "-"??_ ;_ @_ </t>
        </is>
      </c>
      <c r="Q1628" s="145" t="inlineStr">
        <is>
          <t>Text</t>
        </is>
      </c>
      <c r="R1628" s="145" t="n"/>
      <c r="S1628" s="145" t="n"/>
      <c r="T1628" s="145" t="n"/>
      <c r="U1628" s="145" t="n"/>
      <c r="V1628" s="145" t="n"/>
      <c r="W1628" s="145" t="n"/>
      <c r="X1628" s="145" t="inlineStr">
        <is>
          <t>Detailed format sample from top five used rows</t>
        </is>
      </c>
    </row>
    <row r="1629" ht="35.05" customHeight="1" s="79">
      <c r="A1629" s="145" t="inlineStr">
        <is>
          <t>MNL_PPO</t>
        </is>
      </c>
      <c r="B1629" s="145" t="inlineStr">
        <is>
          <t>Top-Row Cell Format</t>
        </is>
      </c>
      <c r="C1629" s="145" t="inlineStr">
        <is>
          <t>V3</t>
        </is>
      </c>
      <c r="D1629" s="145" t="inlineStr">
        <is>
          <t>MNL_PPO!A1:AM329</t>
        </is>
      </c>
      <c r="E1629" s="145" t="inlineStr">
        <is>
          <t>Comma</t>
        </is>
      </c>
      <c r="F1629" s="145" t="n"/>
      <c r="G1629" s="145" t="inlineStr">
        <is>
          <t>Cambria</t>
        </is>
      </c>
      <c r="H1629" s="145" t="n">
        <v>8</v>
      </c>
      <c r="I1629" s="145" t="inlineStr">
        <is>
          <t>No</t>
        </is>
      </c>
      <c r="J1629" s="145" t="inlineStr">
        <is>
          <t>No</t>
        </is>
      </c>
      <c r="K1629" s="145" t="inlineStr">
        <is>
          <t>None</t>
        </is>
      </c>
      <c r="L1629" s="145" t="inlineStr">
        <is>
          <t>#000000</t>
        </is>
      </c>
      <c r="M1629" s="145" t="inlineStr">
        <is>
          <t>Center</t>
        </is>
      </c>
      <c r="N1629" s="145" t="inlineStr">
        <is>
          <t>Center</t>
        </is>
      </c>
      <c r="O1629" s="145" t="inlineStr">
        <is>
          <t>No</t>
        </is>
      </c>
      <c r="P1629" s="145" t="inlineStr">
        <is>
          <t xml:space="preserve">_ * #,##0.00_ ;_ * -#,##0.00_ ;_ * "-"??_ ;_ @_ </t>
        </is>
      </c>
      <c r="Q1629" s="145" t="inlineStr">
        <is>
          <t>Text</t>
        </is>
      </c>
      <c r="R1629" s="145" t="n"/>
      <c r="S1629" s="145" t="n"/>
      <c r="T1629" s="145" t="n"/>
      <c r="U1629" s="145" t="n"/>
      <c r="V1629" s="145" t="n"/>
      <c r="W1629" s="145" t="n"/>
      <c r="X1629" s="145" t="inlineStr">
        <is>
          <t>Detailed format sample from top five used rows</t>
        </is>
      </c>
    </row>
    <row r="1630" ht="35.05" customHeight="1" s="79">
      <c r="A1630" s="145" t="inlineStr">
        <is>
          <t>MNL_PPO</t>
        </is>
      </c>
      <c r="B1630" s="145" t="inlineStr">
        <is>
          <t>Top-Row Cell Format</t>
        </is>
      </c>
      <c r="C1630" s="145" t="inlineStr">
        <is>
          <t>V4</t>
        </is>
      </c>
      <c r="D1630" s="145" t="inlineStr">
        <is>
          <t>MNL_PPO!A1:AM329</t>
        </is>
      </c>
      <c r="E1630" s="145" t="inlineStr">
        <is>
          <t>Comma</t>
        </is>
      </c>
      <c r="F1630" s="145" t="n"/>
      <c r="G1630" s="145" t="inlineStr">
        <is>
          <t>Cambria</t>
        </is>
      </c>
      <c r="H1630" s="145" t="n">
        <v>8</v>
      </c>
      <c r="I1630" s="145" t="inlineStr">
        <is>
          <t>No</t>
        </is>
      </c>
      <c r="J1630" s="145" t="inlineStr">
        <is>
          <t>No</t>
        </is>
      </c>
      <c r="K1630" s="145" t="inlineStr">
        <is>
          <t>None</t>
        </is>
      </c>
      <c r="L1630" s="145" t="inlineStr">
        <is>
          <t>#000000</t>
        </is>
      </c>
      <c r="M1630" s="145" t="inlineStr">
        <is>
          <t>Center</t>
        </is>
      </c>
      <c r="N1630" s="145" t="inlineStr">
        <is>
          <t>Center</t>
        </is>
      </c>
      <c r="O1630" s="145" t="inlineStr">
        <is>
          <t>No</t>
        </is>
      </c>
      <c r="P1630" s="145" t="inlineStr">
        <is>
          <t xml:space="preserve">_ * #,##0.00_ ;_ * -#,##0.00_ ;_ * "-"??_ ;_ @_ </t>
        </is>
      </c>
      <c r="Q1630" s="145" t="inlineStr">
        <is>
          <t>Text</t>
        </is>
      </c>
      <c r="R1630" s="145" t="n"/>
      <c r="S1630" s="145" t="n"/>
      <c r="T1630" s="145" t="n"/>
      <c r="U1630" s="145" t="n"/>
      <c r="V1630" s="145" t="n"/>
      <c r="W1630" s="145" t="n"/>
      <c r="X1630" s="145" t="inlineStr">
        <is>
          <t>Detailed format sample from top five used rows</t>
        </is>
      </c>
    </row>
    <row r="1631" ht="35.05" customHeight="1" s="79">
      <c r="A1631" s="145" t="inlineStr">
        <is>
          <t>MNL_PPO</t>
        </is>
      </c>
      <c r="B1631" s="145" t="inlineStr">
        <is>
          <t>Top-Row Cell Format</t>
        </is>
      </c>
      <c r="C1631" s="145" t="inlineStr">
        <is>
          <t>V5</t>
        </is>
      </c>
      <c r="D1631" s="145" t="inlineStr">
        <is>
          <t>MNL_PPO!A1:AM329</t>
        </is>
      </c>
      <c r="E1631" s="145" t="inlineStr">
        <is>
          <t>Comma</t>
        </is>
      </c>
      <c r="F1631" s="145" t="n"/>
      <c r="G1631" s="145" t="inlineStr">
        <is>
          <t>Cambria</t>
        </is>
      </c>
      <c r="H1631" s="145" t="n">
        <v>8</v>
      </c>
      <c r="I1631" s="145" t="inlineStr">
        <is>
          <t>No</t>
        </is>
      </c>
      <c r="J1631" s="145" t="inlineStr">
        <is>
          <t>No</t>
        </is>
      </c>
      <c r="K1631" s="145" t="inlineStr">
        <is>
          <t>None</t>
        </is>
      </c>
      <c r="L1631" s="145" t="inlineStr">
        <is>
          <t>#000000</t>
        </is>
      </c>
      <c r="M1631" s="145" t="inlineStr">
        <is>
          <t>Center</t>
        </is>
      </c>
      <c r="N1631" s="145" t="inlineStr">
        <is>
          <t>Center</t>
        </is>
      </c>
      <c r="O1631" s="145" t="inlineStr">
        <is>
          <t>No</t>
        </is>
      </c>
      <c r="P1631" s="145" t="inlineStr">
        <is>
          <t xml:space="preserve">_ * #,##0.00_ ;_ * -#,##0.00_ ;_ * "-"??_ ;_ @_ </t>
        </is>
      </c>
      <c r="Q1631" s="145" t="inlineStr">
        <is>
          <t>Text</t>
        </is>
      </c>
      <c r="R1631" s="145" t="n"/>
      <c r="S1631" s="145" t="n"/>
      <c r="T1631" s="145" t="n"/>
      <c r="U1631" s="145" t="n"/>
      <c r="V1631" s="145" t="n"/>
      <c r="W1631" s="145" t="n"/>
      <c r="X1631" s="145" t="inlineStr">
        <is>
          <t>Detailed format sample from top five used rows</t>
        </is>
      </c>
    </row>
    <row r="1632" ht="23.85" customHeight="1" s="79">
      <c r="A1632" s="145" t="inlineStr">
        <is>
          <t>MNL_PPO</t>
        </is>
      </c>
      <c r="B1632" s="145" t="inlineStr">
        <is>
          <t>Column Format</t>
        </is>
      </c>
      <c r="C1632" s="145" t="inlineStr">
        <is>
          <t>W:W</t>
        </is>
      </c>
      <c r="D1632" s="145" t="inlineStr">
        <is>
          <t>MNL_PPO!A1:AM329</t>
        </is>
      </c>
      <c r="E1632" s="145" t="inlineStr">
        <is>
          <t>Mixed</t>
        </is>
      </c>
      <c r="F1632" s="145" t="inlineStr">
        <is>
          <t>Mixed</t>
        </is>
      </c>
      <c r="G1632" s="145" t="inlineStr">
        <is>
          <t>Cambria</t>
        </is>
      </c>
      <c r="H1632" s="145" t="n">
        <v>8</v>
      </c>
      <c r="I1632" s="145" t="inlineStr">
        <is>
          <t>Mixed</t>
        </is>
      </c>
      <c r="J1632" s="145" t="inlineStr">
        <is>
          <t>No</t>
        </is>
      </c>
      <c r="K1632" s="145" t="inlineStr">
        <is>
          <t>None</t>
        </is>
      </c>
      <c r="L1632" s="145" t="inlineStr">
        <is>
          <t>Mixed</t>
        </is>
      </c>
      <c r="M1632" s="145" t="inlineStr">
        <is>
          <t>Mixed</t>
        </is>
      </c>
      <c r="N1632" s="145" t="inlineStr">
        <is>
          <t>Center</t>
        </is>
      </c>
      <c r="O1632" s="145" t="inlineStr">
        <is>
          <t>No</t>
        </is>
      </c>
      <c r="P1632" s="145" t="n"/>
      <c r="Q1632" s="145" t="n"/>
      <c r="R1632" s="145" t="n"/>
      <c r="S1632" s="145" t="n">
        <v>30.6268656716418</v>
      </c>
      <c r="T1632" s="145" t="n"/>
      <c r="U1632" s="145" t="inlineStr">
        <is>
          <t>No</t>
        </is>
      </c>
      <c r="V1632" s="145" t="inlineStr">
        <is>
          <t>Visible</t>
        </is>
      </c>
      <c r="W1632" s="145" t="n"/>
      <c r="X1632" s="145" t="inlineStr">
        <is>
          <t>Mixed styles within used column</t>
        </is>
      </c>
    </row>
    <row r="1633" ht="23.85" customHeight="1" s="79">
      <c r="A1633" s="145" t="inlineStr">
        <is>
          <t>MNL_PPO</t>
        </is>
      </c>
      <c r="B1633" s="145" t="inlineStr">
        <is>
          <t>Top-Row Cell Format</t>
        </is>
      </c>
      <c r="C1633" s="145" t="inlineStr">
        <is>
          <t>W1</t>
        </is>
      </c>
      <c r="D1633" s="145" t="inlineStr">
        <is>
          <t>MNL_PPO!A1:AM329</t>
        </is>
      </c>
      <c r="E1633" s="145" t="inlineStr">
        <is>
          <t>Normal</t>
        </is>
      </c>
      <c r="F1633" s="145" t="inlineStr">
        <is>
          <t>#70AD47</t>
        </is>
      </c>
      <c r="G1633" s="145" t="inlineStr">
        <is>
          <t>Cambria</t>
        </is>
      </c>
      <c r="H1633" s="145" t="n">
        <v>8</v>
      </c>
      <c r="I1633" s="145" t="inlineStr">
        <is>
          <t>Yes</t>
        </is>
      </c>
      <c r="J1633" s="145" t="inlineStr">
        <is>
          <t>No</t>
        </is>
      </c>
      <c r="K1633" s="145" t="inlineStr">
        <is>
          <t>None</t>
        </is>
      </c>
      <c r="L1633" s="145" t="inlineStr">
        <is>
          <t>#FFFFFF</t>
        </is>
      </c>
      <c r="M1633" s="145" t="inlineStr">
        <is>
          <t>General</t>
        </is>
      </c>
      <c r="N1633" s="145" t="inlineStr">
        <is>
          <t>Center</t>
        </is>
      </c>
      <c r="O1633" s="145" t="inlineStr">
        <is>
          <t>No</t>
        </is>
      </c>
      <c r="P1633" s="145" t="inlineStr">
        <is>
          <t>General</t>
        </is>
      </c>
      <c r="Q1633" s="145" t="inlineStr">
        <is>
          <t>General</t>
        </is>
      </c>
      <c r="R1633" s="145" t="n"/>
      <c r="S1633" s="145" t="n"/>
      <c r="T1633" s="145" t="n"/>
      <c r="U1633" s="145" t="n"/>
      <c r="V1633" s="145" t="n"/>
      <c r="W1633" s="145" t="n"/>
      <c r="X1633" s="145" t="inlineStr">
        <is>
          <t>Detailed format sample from top five used rows</t>
        </is>
      </c>
    </row>
    <row r="1634" ht="35.05" customHeight="1" s="79">
      <c r="A1634" s="145" t="inlineStr">
        <is>
          <t>MNL_PPO</t>
        </is>
      </c>
      <c r="B1634" s="145" t="inlineStr">
        <is>
          <t>Top-Row Cell Format</t>
        </is>
      </c>
      <c r="C1634" s="145" t="inlineStr">
        <is>
          <t>W2</t>
        </is>
      </c>
      <c r="D1634" s="145" t="inlineStr">
        <is>
          <t>MNL_PPO!A1:AM329</t>
        </is>
      </c>
      <c r="E1634" s="145" t="inlineStr">
        <is>
          <t>Comma</t>
        </is>
      </c>
      <c r="F1634" s="145" t="n"/>
      <c r="G1634" s="145" t="inlineStr">
        <is>
          <t>Cambria</t>
        </is>
      </c>
      <c r="H1634" s="145" t="n">
        <v>8</v>
      </c>
      <c r="I1634" s="145" t="inlineStr">
        <is>
          <t>No</t>
        </is>
      </c>
      <c r="J1634" s="145" t="inlineStr">
        <is>
          <t>No</t>
        </is>
      </c>
      <c r="K1634" s="145" t="inlineStr">
        <is>
          <t>None</t>
        </is>
      </c>
      <c r="L1634" s="145" t="inlineStr">
        <is>
          <t>#000000</t>
        </is>
      </c>
      <c r="M1634" s="145" t="inlineStr">
        <is>
          <t>Center</t>
        </is>
      </c>
      <c r="N1634" s="145" t="inlineStr">
        <is>
          <t>Center</t>
        </is>
      </c>
      <c r="O1634" s="145" t="inlineStr">
        <is>
          <t>No</t>
        </is>
      </c>
      <c r="P1634" s="145" t="inlineStr">
        <is>
          <t xml:space="preserve">_ * #,##0.00_ ;_ * -#,##0.00_ ;_ * "-"??_ ;_ @_ </t>
        </is>
      </c>
      <c r="Q1634" s="145" t="inlineStr">
        <is>
          <t>Text</t>
        </is>
      </c>
      <c r="R1634" s="145" t="n"/>
      <c r="S1634" s="145" t="n"/>
      <c r="T1634" s="145" t="n"/>
      <c r="U1634" s="145" t="n"/>
      <c r="V1634" s="145" t="n"/>
      <c r="W1634" s="145" t="n"/>
      <c r="X1634" s="145" t="inlineStr">
        <is>
          <t>Detailed format sample from top five used rows</t>
        </is>
      </c>
    </row>
    <row r="1635" ht="35.05" customHeight="1" s="79">
      <c r="A1635" s="145" t="inlineStr">
        <is>
          <t>MNL_PPO</t>
        </is>
      </c>
      <c r="B1635" s="145" t="inlineStr">
        <is>
          <t>Top-Row Cell Format</t>
        </is>
      </c>
      <c r="C1635" s="145" t="inlineStr">
        <is>
          <t>W3</t>
        </is>
      </c>
      <c r="D1635" s="145" t="inlineStr">
        <is>
          <t>MNL_PPO!A1:AM329</t>
        </is>
      </c>
      <c r="E1635" s="145" t="inlineStr">
        <is>
          <t>Comma</t>
        </is>
      </c>
      <c r="F1635" s="145" t="n"/>
      <c r="G1635" s="145" t="inlineStr">
        <is>
          <t>Cambria</t>
        </is>
      </c>
      <c r="H1635" s="145" t="n">
        <v>8</v>
      </c>
      <c r="I1635" s="145" t="inlineStr">
        <is>
          <t>No</t>
        </is>
      </c>
      <c r="J1635" s="145" t="inlineStr">
        <is>
          <t>No</t>
        </is>
      </c>
      <c r="K1635" s="145" t="inlineStr">
        <is>
          <t>None</t>
        </is>
      </c>
      <c r="L1635" s="145" t="inlineStr">
        <is>
          <t>#000000</t>
        </is>
      </c>
      <c r="M1635" s="145" t="inlineStr">
        <is>
          <t>Center</t>
        </is>
      </c>
      <c r="N1635" s="145" t="inlineStr">
        <is>
          <t>Center</t>
        </is>
      </c>
      <c r="O1635" s="145" t="inlineStr">
        <is>
          <t>No</t>
        </is>
      </c>
      <c r="P1635" s="145" t="inlineStr">
        <is>
          <t xml:space="preserve">_ * #,##0.00_ ;_ * -#,##0.00_ ;_ * "-"??_ ;_ @_ </t>
        </is>
      </c>
      <c r="Q1635" s="145" t="inlineStr">
        <is>
          <t>Text</t>
        </is>
      </c>
      <c r="R1635" s="145" t="n"/>
      <c r="S1635" s="145" t="n"/>
      <c r="T1635" s="145" t="n"/>
      <c r="U1635" s="145" t="n"/>
      <c r="V1635" s="145" t="n"/>
      <c r="W1635" s="145" t="n"/>
      <c r="X1635" s="145" t="inlineStr">
        <is>
          <t>Detailed format sample from top five used rows</t>
        </is>
      </c>
    </row>
    <row r="1636" ht="35.05" customHeight="1" s="79">
      <c r="A1636" s="145" t="inlineStr">
        <is>
          <t>MNL_PPO</t>
        </is>
      </c>
      <c r="B1636" s="145" t="inlineStr">
        <is>
          <t>Top-Row Cell Format</t>
        </is>
      </c>
      <c r="C1636" s="145" t="inlineStr">
        <is>
          <t>W4</t>
        </is>
      </c>
      <c r="D1636" s="145" t="inlineStr">
        <is>
          <t>MNL_PPO!A1:AM329</t>
        </is>
      </c>
      <c r="E1636" s="145" t="inlineStr">
        <is>
          <t>Comma</t>
        </is>
      </c>
      <c r="F1636" s="145" t="n"/>
      <c r="G1636" s="145" t="inlineStr">
        <is>
          <t>Cambria</t>
        </is>
      </c>
      <c r="H1636" s="145" t="n">
        <v>8</v>
      </c>
      <c r="I1636" s="145" t="inlineStr">
        <is>
          <t>No</t>
        </is>
      </c>
      <c r="J1636" s="145" t="inlineStr">
        <is>
          <t>No</t>
        </is>
      </c>
      <c r="K1636" s="145" t="inlineStr">
        <is>
          <t>None</t>
        </is>
      </c>
      <c r="L1636" s="145" t="inlineStr">
        <is>
          <t>#000000</t>
        </is>
      </c>
      <c r="M1636" s="145" t="inlineStr">
        <is>
          <t>Center</t>
        </is>
      </c>
      <c r="N1636" s="145" t="inlineStr">
        <is>
          <t>Center</t>
        </is>
      </c>
      <c r="O1636" s="145" t="inlineStr">
        <is>
          <t>No</t>
        </is>
      </c>
      <c r="P1636" s="145" t="inlineStr">
        <is>
          <t xml:space="preserve">_ * #,##0.00_ ;_ * -#,##0.00_ ;_ * "-"??_ ;_ @_ </t>
        </is>
      </c>
      <c r="Q1636" s="145" t="inlineStr">
        <is>
          <t>Text</t>
        </is>
      </c>
      <c r="R1636" s="145" t="n"/>
      <c r="S1636" s="145" t="n"/>
      <c r="T1636" s="145" t="n"/>
      <c r="U1636" s="145" t="n"/>
      <c r="V1636" s="145" t="n"/>
      <c r="W1636" s="145" t="n"/>
      <c r="X1636" s="145" t="inlineStr">
        <is>
          <t>Detailed format sample from top five used rows</t>
        </is>
      </c>
    </row>
    <row r="1637" ht="35.05" customHeight="1" s="79">
      <c r="A1637" s="145" t="inlineStr">
        <is>
          <t>MNL_PPO</t>
        </is>
      </c>
      <c r="B1637" s="145" t="inlineStr">
        <is>
          <t>Top-Row Cell Format</t>
        </is>
      </c>
      <c r="C1637" s="145" t="inlineStr">
        <is>
          <t>W5</t>
        </is>
      </c>
      <c r="D1637" s="145" t="inlineStr">
        <is>
          <t>MNL_PPO!A1:AM329</t>
        </is>
      </c>
      <c r="E1637" s="145" t="inlineStr">
        <is>
          <t>Comma</t>
        </is>
      </c>
      <c r="F1637" s="145" t="n"/>
      <c r="G1637" s="145" t="inlineStr">
        <is>
          <t>Cambria</t>
        </is>
      </c>
      <c r="H1637" s="145" t="n">
        <v>8</v>
      </c>
      <c r="I1637" s="145" t="inlineStr">
        <is>
          <t>No</t>
        </is>
      </c>
      <c r="J1637" s="145" t="inlineStr">
        <is>
          <t>No</t>
        </is>
      </c>
      <c r="K1637" s="145" t="inlineStr">
        <is>
          <t>None</t>
        </is>
      </c>
      <c r="L1637" s="145" t="inlineStr">
        <is>
          <t>#000000</t>
        </is>
      </c>
      <c r="M1637" s="145" t="inlineStr">
        <is>
          <t>Center</t>
        </is>
      </c>
      <c r="N1637" s="145" t="inlineStr">
        <is>
          <t>Center</t>
        </is>
      </c>
      <c r="O1637" s="145" t="inlineStr">
        <is>
          <t>No</t>
        </is>
      </c>
      <c r="P1637" s="145" t="inlineStr">
        <is>
          <t xml:space="preserve">_ * #,##0.00_ ;_ * -#,##0.00_ ;_ * "-"??_ ;_ @_ </t>
        </is>
      </c>
      <c r="Q1637" s="145" t="inlineStr">
        <is>
          <t>Text</t>
        </is>
      </c>
      <c r="R1637" s="145" t="n"/>
      <c r="S1637" s="145" t="n"/>
      <c r="T1637" s="145" t="n"/>
      <c r="U1637" s="145" t="n"/>
      <c r="V1637" s="145" t="n"/>
      <c r="W1637" s="145" t="n"/>
      <c r="X1637" s="145" t="inlineStr">
        <is>
          <t>Detailed format sample from top five used rows</t>
        </is>
      </c>
    </row>
    <row r="1638" ht="23.85" customHeight="1" s="79">
      <c r="A1638" s="145" t="inlineStr">
        <is>
          <t>MNL_PPO</t>
        </is>
      </c>
      <c r="B1638" s="145" t="inlineStr">
        <is>
          <t>Column Format</t>
        </is>
      </c>
      <c r="C1638" s="145" t="inlineStr">
        <is>
          <t>X:X</t>
        </is>
      </c>
      <c r="D1638" s="145" t="inlineStr">
        <is>
          <t>MNL_PPO!A1:AM329</t>
        </is>
      </c>
      <c r="E1638" s="145" t="inlineStr">
        <is>
          <t>Mixed</t>
        </is>
      </c>
      <c r="F1638" s="145" t="inlineStr">
        <is>
          <t>Mixed</t>
        </is>
      </c>
      <c r="G1638" s="145" t="inlineStr">
        <is>
          <t>Cambria</t>
        </is>
      </c>
      <c r="H1638" s="145" t="n">
        <v>8</v>
      </c>
      <c r="I1638" s="145" t="inlineStr">
        <is>
          <t>Mixed</t>
        </is>
      </c>
      <c r="J1638" s="145" t="inlineStr">
        <is>
          <t>No</t>
        </is>
      </c>
      <c r="K1638" s="145" t="inlineStr">
        <is>
          <t>None</t>
        </is>
      </c>
      <c r="L1638" s="145" t="inlineStr">
        <is>
          <t>Mixed</t>
        </is>
      </c>
      <c r="M1638" s="145" t="inlineStr">
        <is>
          <t>Mixed</t>
        </is>
      </c>
      <c r="N1638" s="145" t="inlineStr">
        <is>
          <t>Center</t>
        </is>
      </c>
      <c r="O1638" s="145" t="inlineStr">
        <is>
          <t>No</t>
        </is>
      </c>
      <c r="P1638" s="145" t="n"/>
      <c r="Q1638" s="145" t="n"/>
      <c r="R1638" s="145" t="n"/>
      <c r="S1638" s="145" t="n">
        <v>51.044776119403</v>
      </c>
      <c r="T1638" s="145" t="n"/>
      <c r="U1638" s="145" t="inlineStr">
        <is>
          <t>No</t>
        </is>
      </c>
      <c r="V1638" s="145" t="inlineStr">
        <is>
          <t>Visible</t>
        </is>
      </c>
      <c r="W1638" s="145" t="n"/>
      <c r="X1638" s="145" t="inlineStr">
        <is>
          <t>Mixed styles within used column</t>
        </is>
      </c>
    </row>
    <row r="1639" ht="23.85" customHeight="1" s="79">
      <c r="A1639" s="145" t="inlineStr">
        <is>
          <t>MNL_PPO</t>
        </is>
      </c>
      <c r="B1639" s="145" t="inlineStr">
        <is>
          <t>Top-Row Cell Format</t>
        </is>
      </c>
      <c r="C1639" s="145" t="inlineStr">
        <is>
          <t>X1</t>
        </is>
      </c>
      <c r="D1639" s="145" t="inlineStr">
        <is>
          <t>MNL_PPO!A1:AM329</t>
        </is>
      </c>
      <c r="E1639" s="145" t="inlineStr">
        <is>
          <t>Normal</t>
        </is>
      </c>
      <c r="F1639" s="145" t="inlineStr">
        <is>
          <t>#70AD47</t>
        </is>
      </c>
      <c r="G1639" s="145" t="inlineStr">
        <is>
          <t>Cambria</t>
        </is>
      </c>
      <c r="H1639" s="145" t="n">
        <v>8</v>
      </c>
      <c r="I1639" s="145" t="inlineStr">
        <is>
          <t>Yes</t>
        </is>
      </c>
      <c r="J1639" s="145" t="inlineStr">
        <is>
          <t>No</t>
        </is>
      </c>
      <c r="K1639" s="145" t="inlineStr">
        <is>
          <t>None</t>
        </is>
      </c>
      <c r="L1639" s="145" t="inlineStr">
        <is>
          <t>#FFFFFF</t>
        </is>
      </c>
      <c r="M1639" s="145" t="inlineStr">
        <is>
          <t>General</t>
        </is>
      </c>
      <c r="N1639" s="145" t="inlineStr">
        <is>
          <t>Center</t>
        </is>
      </c>
      <c r="O1639" s="145" t="inlineStr">
        <is>
          <t>No</t>
        </is>
      </c>
      <c r="P1639" s="145" t="inlineStr">
        <is>
          <t>General</t>
        </is>
      </c>
      <c r="Q1639" s="145" t="inlineStr">
        <is>
          <t>General</t>
        </is>
      </c>
      <c r="R1639" s="145" t="n"/>
      <c r="S1639" s="145" t="n"/>
      <c r="T1639" s="145" t="n"/>
      <c r="U1639" s="145" t="n"/>
      <c r="V1639" s="145" t="n"/>
      <c r="W1639" s="145" t="n"/>
      <c r="X1639" s="145" t="inlineStr">
        <is>
          <t>Detailed format sample from top five used rows</t>
        </is>
      </c>
    </row>
    <row r="1640" ht="35.05" customHeight="1" s="79">
      <c r="A1640" s="145" t="inlineStr">
        <is>
          <t>MNL_PPO</t>
        </is>
      </c>
      <c r="B1640" s="145" t="inlineStr">
        <is>
          <t>Top-Row Cell Format</t>
        </is>
      </c>
      <c r="C1640" s="145" t="inlineStr">
        <is>
          <t>X2</t>
        </is>
      </c>
      <c r="D1640" s="145" t="inlineStr">
        <is>
          <t>MNL_PPO!A1:AM329</t>
        </is>
      </c>
      <c r="E1640" s="145" t="inlineStr">
        <is>
          <t>Comma</t>
        </is>
      </c>
      <c r="F1640" s="145" t="n"/>
      <c r="G1640" s="145" t="inlineStr">
        <is>
          <t>Cambria</t>
        </is>
      </c>
      <c r="H1640" s="145" t="n">
        <v>8</v>
      </c>
      <c r="I1640" s="145" t="inlineStr">
        <is>
          <t>No</t>
        </is>
      </c>
      <c r="J1640" s="145" t="inlineStr">
        <is>
          <t>No</t>
        </is>
      </c>
      <c r="K1640" s="145" t="inlineStr">
        <is>
          <t>None</t>
        </is>
      </c>
      <c r="L1640" s="145" t="inlineStr">
        <is>
          <t>#000000</t>
        </is>
      </c>
      <c r="M1640" s="145" t="inlineStr">
        <is>
          <t>Center</t>
        </is>
      </c>
      <c r="N1640" s="145" t="inlineStr">
        <is>
          <t>Center</t>
        </is>
      </c>
      <c r="O1640" s="145" t="inlineStr">
        <is>
          <t>No</t>
        </is>
      </c>
      <c r="P1640" s="145" t="inlineStr">
        <is>
          <t xml:space="preserve">_ * #,##0.00_ ;_ * -#,##0.00_ ;_ * "-"??_ ;_ @_ </t>
        </is>
      </c>
      <c r="Q1640" s="145" t="inlineStr">
        <is>
          <t>Text</t>
        </is>
      </c>
      <c r="R1640" s="145" t="n"/>
      <c r="S1640" s="145" t="n"/>
      <c r="T1640" s="145" t="n"/>
      <c r="U1640" s="145" t="n"/>
      <c r="V1640" s="145" t="n"/>
      <c r="W1640" s="145" t="n"/>
      <c r="X1640" s="145" t="inlineStr">
        <is>
          <t>Detailed format sample from top five used rows</t>
        </is>
      </c>
    </row>
    <row r="1641" ht="35.05" customHeight="1" s="79">
      <c r="A1641" s="145" t="inlineStr">
        <is>
          <t>MNL_PPO</t>
        </is>
      </c>
      <c r="B1641" s="145" t="inlineStr">
        <is>
          <t>Top-Row Cell Format</t>
        </is>
      </c>
      <c r="C1641" s="145" t="inlineStr">
        <is>
          <t>X3</t>
        </is>
      </c>
      <c r="D1641" s="145" t="inlineStr">
        <is>
          <t>MNL_PPO!A1:AM329</t>
        </is>
      </c>
      <c r="E1641" s="145" t="inlineStr">
        <is>
          <t>Comma</t>
        </is>
      </c>
      <c r="F1641" s="145" t="n"/>
      <c r="G1641" s="145" t="inlineStr">
        <is>
          <t>Cambria</t>
        </is>
      </c>
      <c r="H1641" s="145" t="n">
        <v>8</v>
      </c>
      <c r="I1641" s="145" t="inlineStr">
        <is>
          <t>No</t>
        </is>
      </c>
      <c r="J1641" s="145" t="inlineStr">
        <is>
          <t>No</t>
        </is>
      </c>
      <c r="K1641" s="145" t="inlineStr">
        <is>
          <t>None</t>
        </is>
      </c>
      <c r="L1641" s="145" t="inlineStr">
        <is>
          <t>#000000</t>
        </is>
      </c>
      <c r="M1641" s="145" t="inlineStr">
        <is>
          <t>Center</t>
        </is>
      </c>
      <c r="N1641" s="145" t="inlineStr">
        <is>
          <t>Center</t>
        </is>
      </c>
      <c r="O1641" s="145" t="inlineStr">
        <is>
          <t>No</t>
        </is>
      </c>
      <c r="P1641" s="145" t="inlineStr">
        <is>
          <t xml:space="preserve">_ * #,##0.00_ ;_ * -#,##0.00_ ;_ * "-"??_ ;_ @_ </t>
        </is>
      </c>
      <c r="Q1641" s="145" t="inlineStr">
        <is>
          <t>Text</t>
        </is>
      </c>
      <c r="R1641" s="145" t="n"/>
      <c r="S1641" s="145" t="n"/>
      <c r="T1641" s="145" t="n"/>
      <c r="U1641" s="145" t="n"/>
      <c r="V1641" s="145" t="n"/>
      <c r="W1641" s="145" t="n"/>
      <c r="X1641" s="145" t="inlineStr">
        <is>
          <t>Detailed format sample from top five used rows</t>
        </is>
      </c>
    </row>
    <row r="1642" ht="35.05" customHeight="1" s="79">
      <c r="A1642" s="145" t="inlineStr">
        <is>
          <t>MNL_PPO</t>
        </is>
      </c>
      <c r="B1642" s="145" t="inlineStr">
        <is>
          <t>Top-Row Cell Format</t>
        </is>
      </c>
      <c r="C1642" s="145" t="inlineStr">
        <is>
          <t>X4</t>
        </is>
      </c>
      <c r="D1642" s="145" t="inlineStr">
        <is>
          <t>MNL_PPO!A1:AM329</t>
        </is>
      </c>
      <c r="E1642" s="145" t="inlineStr">
        <is>
          <t>Comma</t>
        </is>
      </c>
      <c r="F1642" s="145" t="n"/>
      <c r="G1642" s="145" t="inlineStr">
        <is>
          <t>Cambria</t>
        </is>
      </c>
      <c r="H1642" s="145" t="n">
        <v>8</v>
      </c>
      <c r="I1642" s="145" t="inlineStr">
        <is>
          <t>No</t>
        </is>
      </c>
      <c r="J1642" s="145" t="inlineStr">
        <is>
          <t>No</t>
        </is>
      </c>
      <c r="K1642" s="145" t="inlineStr">
        <is>
          <t>None</t>
        </is>
      </c>
      <c r="L1642" s="145" t="inlineStr">
        <is>
          <t>#000000</t>
        </is>
      </c>
      <c r="M1642" s="145" t="inlineStr">
        <is>
          <t>Center</t>
        </is>
      </c>
      <c r="N1642" s="145" t="inlineStr">
        <is>
          <t>Center</t>
        </is>
      </c>
      <c r="O1642" s="145" t="inlineStr">
        <is>
          <t>No</t>
        </is>
      </c>
      <c r="P1642" s="145" t="inlineStr">
        <is>
          <t xml:space="preserve">_ * #,##0.00_ ;_ * -#,##0.00_ ;_ * "-"??_ ;_ @_ </t>
        </is>
      </c>
      <c r="Q1642" s="145" t="inlineStr">
        <is>
          <t>Text</t>
        </is>
      </c>
      <c r="R1642" s="145" t="n"/>
      <c r="S1642" s="145" t="n"/>
      <c r="T1642" s="145" t="n"/>
      <c r="U1642" s="145" t="n"/>
      <c r="V1642" s="145" t="n"/>
      <c r="W1642" s="145" t="n"/>
      <c r="X1642" s="145" t="inlineStr">
        <is>
          <t>Detailed format sample from top five used rows</t>
        </is>
      </c>
    </row>
    <row r="1643" ht="35.05" customHeight="1" s="79">
      <c r="A1643" s="145" t="inlineStr">
        <is>
          <t>MNL_PPO</t>
        </is>
      </c>
      <c r="B1643" s="145" t="inlineStr">
        <is>
          <t>Top-Row Cell Format</t>
        </is>
      </c>
      <c r="C1643" s="145" t="inlineStr">
        <is>
          <t>X5</t>
        </is>
      </c>
      <c r="D1643" s="145" t="inlineStr">
        <is>
          <t>MNL_PPO!A1:AM329</t>
        </is>
      </c>
      <c r="E1643" s="145" t="inlineStr">
        <is>
          <t>Comma</t>
        </is>
      </c>
      <c r="F1643" s="145" t="n"/>
      <c r="G1643" s="145" t="inlineStr">
        <is>
          <t>Cambria</t>
        </is>
      </c>
      <c r="H1643" s="145" t="n">
        <v>8</v>
      </c>
      <c r="I1643" s="145" t="inlineStr">
        <is>
          <t>No</t>
        </is>
      </c>
      <c r="J1643" s="145" t="inlineStr">
        <is>
          <t>No</t>
        </is>
      </c>
      <c r="K1643" s="145" t="inlineStr">
        <is>
          <t>None</t>
        </is>
      </c>
      <c r="L1643" s="145" t="inlineStr">
        <is>
          <t>#000000</t>
        </is>
      </c>
      <c r="M1643" s="145" t="inlineStr">
        <is>
          <t>Center</t>
        </is>
      </c>
      <c r="N1643" s="145" t="inlineStr">
        <is>
          <t>Center</t>
        </is>
      </c>
      <c r="O1643" s="145" t="inlineStr">
        <is>
          <t>No</t>
        </is>
      </c>
      <c r="P1643" s="145" t="inlineStr">
        <is>
          <t xml:space="preserve">_ * #,##0.00_ ;_ * -#,##0.00_ ;_ * "-"??_ ;_ @_ </t>
        </is>
      </c>
      <c r="Q1643" s="145" t="inlineStr">
        <is>
          <t>Text</t>
        </is>
      </c>
      <c r="R1643" s="145" t="n"/>
      <c r="S1643" s="145" t="n"/>
      <c r="T1643" s="145" t="n"/>
      <c r="U1643" s="145" t="n"/>
      <c r="V1643" s="145" t="n"/>
      <c r="W1643" s="145" t="n"/>
      <c r="X1643" s="145" t="inlineStr">
        <is>
          <t>Detailed format sample from top five used rows</t>
        </is>
      </c>
    </row>
    <row r="1644" ht="23.85" customHeight="1" s="79">
      <c r="A1644" s="145" t="inlineStr">
        <is>
          <t>MNL_PPO</t>
        </is>
      </c>
      <c r="B1644" s="145" t="inlineStr">
        <is>
          <t>Column Format</t>
        </is>
      </c>
      <c r="C1644" s="145" t="inlineStr">
        <is>
          <t>Y:Y</t>
        </is>
      </c>
      <c r="D1644" s="145" t="inlineStr">
        <is>
          <t>MNL_PPO!A1:AM329</t>
        </is>
      </c>
      <c r="E1644" s="145" t="inlineStr">
        <is>
          <t>Mixed</t>
        </is>
      </c>
      <c r="F1644" s="145" t="inlineStr">
        <is>
          <t>Mixed</t>
        </is>
      </c>
      <c r="G1644" s="145" t="inlineStr">
        <is>
          <t>Cambria</t>
        </is>
      </c>
      <c r="H1644" s="145" t="n">
        <v>8</v>
      </c>
      <c r="I1644" s="145" t="inlineStr">
        <is>
          <t>Mixed</t>
        </is>
      </c>
      <c r="J1644" s="145" t="inlineStr">
        <is>
          <t>No</t>
        </is>
      </c>
      <c r="K1644" s="145" t="inlineStr">
        <is>
          <t>None</t>
        </is>
      </c>
      <c r="L1644" s="145" t="inlineStr">
        <is>
          <t>Mixed</t>
        </is>
      </c>
      <c r="M1644" s="145" t="inlineStr">
        <is>
          <t>Mixed</t>
        </is>
      </c>
      <c r="N1644" s="145" t="inlineStr">
        <is>
          <t>Center</t>
        </is>
      </c>
      <c r="O1644" s="145" t="inlineStr">
        <is>
          <t>No</t>
        </is>
      </c>
      <c r="P1644" s="145" t="n"/>
      <c r="Q1644" s="145" t="n"/>
      <c r="R1644" s="145" t="n"/>
      <c r="S1644" s="145" t="n">
        <v>41.910447761194</v>
      </c>
      <c r="T1644" s="145" t="n"/>
      <c r="U1644" s="145" t="inlineStr">
        <is>
          <t>No</t>
        </is>
      </c>
      <c r="V1644" s="145" t="inlineStr">
        <is>
          <t>Visible</t>
        </is>
      </c>
      <c r="W1644" s="145" t="n"/>
      <c r="X1644" s="145" t="inlineStr">
        <is>
          <t>Mixed styles within used column</t>
        </is>
      </c>
    </row>
    <row r="1645" ht="23.85" customHeight="1" s="79">
      <c r="A1645" s="145" t="inlineStr">
        <is>
          <t>MNL_PPO</t>
        </is>
      </c>
      <c r="B1645" s="145" t="inlineStr">
        <is>
          <t>Top-Row Cell Format</t>
        </is>
      </c>
      <c r="C1645" s="145" t="inlineStr">
        <is>
          <t>Y1</t>
        </is>
      </c>
      <c r="D1645" s="145" t="inlineStr">
        <is>
          <t>MNL_PPO!A1:AM329</t>
        </is>
      </c>
      <c r="E1645" s="145" t="inlineStr">
        <is>
          <t>Normal</t>
        </is>
      </c>
      <c r="F1645" s="145" t="inlineStr">
        <is>
          <t>#70AD47</t>
        </is>
      </c>
      <c r="G1645" s="145" t="inlineStr">
        <is>
          <t>Cambria</t>
        </is>
      </c>
      <c r="H1645" s="145" t="n">
        <v>8</v>
      </c>
      <c r="I1645" s="145" t="inlineStr">
        <is>
          <t>Yes</t>
        </is>
      </c>
      <c r="J1645" s="145" t="inlineStr">
        <is>
          <t>No</t>
        </is>
      </c>
      <c r="K1645" s="145" t="inlineStr">
        <is>
          <t>None</t>
        </is>
      </c>
      <c r="L1645" s="145" t="inlineStr">
        <is>
          <t>#FFFFFF</t>
        </is>
      </c>
      <c r="M1645" s="145" t="inlineStr">
        <is>
          <t>General</t>
        </is>
      </c>
      <c r="N1645" s="145" t="inlineStr">
        <is>
          <t>Center</t>
        </is>
      </c>
      <c r="O1645" s="145" t="inlineStr">
        <is>
          <t>No</t>
        </is>
      </c>
      <c r="P1645" s="145" t="inlineStr">
        <is>
          <t>General</t>
        </is>
      </c>
      <c r="Q1645" s="145" t="inlineStr">
        <is>
          <t>General</t>
        </is>
      </c>
      <c r="R1645" s="145" t="n"/>
      <c r="S1645" s="145" t="n"/>
      <c r="T1645" s="145" t="n"/>
      <c r="U1645" s="145" t="n"/>
      <c r="V1645" s="145" t="n"/>
      <c r="W1645" s="145" t="n"/>
      <c r="X1645" s="145" t="inlineStr">
        <is>
          <t>Detailed format sample from top five used rows</t>
        </is>
      </c>
    </row>
    <row r="1646" ht="35.05" customHeight="1" s="79">
      <c r="A1646" s="145" t="inlineStr">
        <is>
          <t>MNL_PPO</t>
        </is>
      </c>
      <c r="B1646" s="145" t="inlineStr">
        <is>
          <t>Top-Row Cell Format</t>
        </is>
      </c>
      <c r="C1646" s="145" t="inlineStr">
        <is>
          <t>Y2</t>
        </is>
      </c>
      <c r="D1646" s="145" t="inlineStr">
        <is>
          <t>MNL_PPO!A1:AM329</t>
        </is>
      </c>
      <c r="E1646" s="145" t="inlineStr">
        <is>
          <t>Comma</t>
        </is>
      </c>
      <c r="F1646" s="145" t="n"/>
      <c r="G1646" s="145" t="inlineStr">
        <is>
          <t>Cambria</t>
        </is>
      </c>
      <c r="H1646" s="145" t="n">
        <v>8</v>
      </c>
      <c r="I1646" s="145" t="inlineStr">
        <is>
          <t>No</t>
        </is>
      </c>
      <c r="J1646" s="145" t="inlineStr">
        <is>
          <t>No</t>
        </is>
      </c>
      <c r="K1646" s="145" t="inlineStr">
        <is>
          <t>None</t>
        </is>
      </c>
      <c r="L1646" s="145" t="inlineStr">
        <is>
          <t>#000000</t>
        </is>
      </c>
      <c r="M1646" s="145" t="inlineStr">
        <is>
          <t>Center</t>
        </is>
      </c>
      <c r="N1646" s="145" t="inlineStr">
        <is>
          <t>Center</t>
        </is>
      </c>
      <c r="O1646" s="145" t="inlineStr">
        <is>
          <t>No</t>
        </is>
      </c>
      <c r="P1646" s="145" t="inlineStr">
        <is>
          <t xml:space="preserve">_ * #,##0.00_ ;_ * -#,##0.00_ ;_ * "-"??_ ;_ @_ </t>
        </is>
      </c>
      <c r="Q1646" s="145" t="inlineStr">
        <is>
          <t>Text</t>
        </is>
      </c>
      <c r="R1646" s="145" t="n"/>
      <c r="S1646" s="145" t="n"/>
      <c r="T1646" s="145" t="n"/>
      <c r="U1646" s="145" t="n"/>
      <c r="V1646" s="145" t="n"/>
      <c r="W1646" s="145" t="n"/>
      <c r="X1646" s="145" t="inlineStr">
        <is>
          <t>Detailed format sample from top five used rows</t>
        </is>
      </c>
    </row>
    <row r="1647" ht="35.05" customHeight="1" s="79">
      <c r="A1647" s="145" t="inlineStr">
        <is>
          <t>MNL_PPO</t>
        </is>
      </c>
      <c r="B1647" s="145" t="inlineStr">
        <is>
          <t>Top-Row Cell Format</t>
        </is>
      </c>
      <c r="C1647" s="145" t="inlineStr">
        <is>
          <t>Y3</t>
        </is>
      </c>
      <c r="D1647" s="145" t="inlineStr">
        <is>
          <t>MNL_PPO!A1:AM329</t>
        </is>
      </c>
      <c r="E1647" s="145" t="inlineStr">
        <is>
          <t>Comma</t>
        </is>
      </c>
      <c r="F1647" s="145" t="n"/>
      <c r="G1647" s="145" t="inlineStr">
        <is>
          <t>Cambria</t>
        </is>
      </c>
      <c r="H1647" s="145" t="n">
        <v>8</v>
      </c>
      <c r="I1647" s="145" t="inlineStr">
        <is>
          <t>No</t>
        </is>
      </c>
      <c r="J1647" s="145" t="inlineStr">
        <is>
          <t>No</t>
        </is>
      </c>
      <c r="K1647" s="145" t="inlineStr">
        <is>
          <t>None</t>
        </is>
      </c>
      <c r="L1647" s="145" t="inlineStr">
        <is>
          <t>#000000</t>
        </is>
      </c>
      <c r="M1647" s="145" t="inlineStr">
        <is>
          <t>Center</t>
        </is>
      </c>
      <c r="N1647" s="145" t="inlineStr">
        <is>
          <t>Center</t>
        </is>
      </c>
      <c r="O1647" s="145" t="inlineStr">
        <is>
          <t>No</t>
        </is>
      </c>
      <c r="P1647" s="145" t="inlineStr">
        <is>
          <t xml:space="preserve">_ * #,##0.00_ ;_ * -#,##0.00_ ;_ * "-"??_ ;_ @_ </t>
        </is>
      </c>
      <c r="Q1647" s="145" t="inlineStr">
        <is>
          <t>Text</t>
        </is>
      </c>
      <c r="R1647" s="145" t="n"/>
      <c r="S1647" s="145" t="n"/>
      <c r="T1647" s="145" t="n"/>
      <c r="U1647" s="145" t="n"/>
      <c r="V1647" s="145" t="n"/>
      <c r="W1647" s="145" t="n"/>
      <c r="X1647" s="145" t="inlineStr">
        <is>
          <t>Detailed format sample from top five used rows</t>
        </is>
      </c>
    </row>
    <row r="1648" ht="35.05" customHeight="1" s="79">
      <c r="A1648" s="145" t="inlineStr">
        <is>
          <t>MNL_PPO</t>
        </is>
      </c>
      <c r="B1648" s="145" t="inlineStr">
        <is>
          <t>Top-Row Cell Format</t>
        </is>
      </c>
      <c r="C1648" s="145" t="inlineStr">
        <is>
          <t>Y4</t>
        </is>
      </c>
      <c r="D1648" s="145" t="inlineStr">
        <is>
          <t>MNL_PPO!A1:AM329</t>
        </is>
      </c>
      <c r="E1648" s="145" t="inlineStr">
        <is>
          <t>Comma</t>
        </is>
      </c>
      <c r="F1648" s="145" t="n"/>
      <c r="G1648" s="145" t="inlineStr">
        <is>
          <t>Cambria</t>
        </is>
      </c>
      <c r="H1648" s="145" t="n">
        <v>8</v>
      </c>
      <c r="I1648" s="145" t="inlineStr">
        <is>
          <t>No</t>
        </is>
      </c>
      <c r="J1648" s="145" t="inlineStr">
        <is>
          <t>No</t>
        </is>
      </c>
      <c r="K1648" s="145" t="inlineStr">
        <is>
          <t>None</t>
        </is>
      </c>
      <c r="L1648" s="145" t="inlineStr">
        <is>
          <t>#000000</t>
        </is>
      </c>
      <c r="M1648" s="145" t="inlineStr">
        <is>
          <t>Center</t>
        </is>
      </c>
      <c r="N1648" s="145" t="inlineStr">
        <is>
          <t>Center</t>
        </is>
      </c>
      <c r="O1648" s="145" t="inlineStr">
        <is>
          <t>No</t>
        </is>
      </c>
      <c r="P1648" s="145" t="inlineStr">
        <is>
          <t xml:space="preserve">_ * #,##0.00_ ;_ * -#,##0.00_ ;_ * "-"??_ ;_ @_ </t>
        </is>
      </c>
      <c r="Q1648" s="145" t="inlineStr">
        <is>
          <t>Text</t>
        </is>
      </c>
      <c r="R1648" s="145" t="n"/>
      <c r="S1648" s="145" t="n"/>
      <c r="T1648" s="145" t="n"/>
      <c r="U1648" s="145" t="n"/>
      <c r="V1648" s="145" t="n"/>
      <c r="W1648" s="145" t="n"/>
      <c r="X1648" s="145" t="inlineStr">
        <is>
          <t>Detailed format sample from top five used rows</t>
        </is>
      </c>
    </row>
    <row r="1649" ht="35.05" customHeight="1" s="79">
      <c r="A1649" s="145" t="inlineStr">
        <is>
          <t>MNL_PPO</t>
        </is>
      </c>
      <c r="B1649" s="145" t="inlineStr">
        <is>
          <t>Top-Row Cell Format</t>
        </is>
      </c>
      <c r="C1649" s="145" t="inlineStr">
        <is>
          <t>Y5</t>
        </is>
      </c>
      <c r="D1649" s="145" t="inlineStr">
        <is>
          <t>MNL_PPO!A1:AM329</t>
        </is>
      </c>
      <c r="E1649" s="145" t="inlineStr">
        <is>
          <t>Comma</t>
        </is>
      </c>
      <c r="F1649" s="145" t="n"/>
      <c r="G1649" s="145" t="inlineStr">
        <is>
          <t>Cambria</t>
        </is>
      </c>
      <c r="H1649" s="145" t="n">
        <v>8</v>
      </c>
      <c r="I1649" s="145" t="inlineStr">
        <is>
          <t>No</t>
        </is>
      </c>
      <c r="J1649" s="145" t="inlineStr">
        <is>
          <t>No</t>
        </is>
      </c>
      <c r="K1649" s="145" t="inlineStr">
        <is>
          <t>None</t>
        </is>
      </c>
      <c r="L1649" s="145" t="inlineStr">
        <is>
          <t>#000000</t>
        </is>
      </c>
      <c r="M1649" s="145" t="inlineStr">
        <is>
          <t>Center</t>
        </is>
      </c>
      <c r="N1649" s="145" t="inlineStr">
        <is>
          <t>Center</t>
        </is>
      </c>
      <c r="O1649" s="145" t="inlineStr">
        <is>
          <t>No</t>
        </is>
      </c>
      <c r="P1649" s="145" t="inlineStr">
        <is>
          <t xml:space="preserve">_ * #,##0.00_ ;_ * -#,##0.00_ ;_ * "-"??_ ;_ @_ </t>
        </is>
      </c>
      <c r="Q1649" s="145" t="inlineStr">
        <is>
          <t>Text</t>
        </is>
      </c>
      <c r="R1649" s="145" t="n"/>
      <c r="S1649" s="145" t="n"/>
      <c r="T1649" s="145" t="n"/>
      <c r="U1649" s="145" t="n"/>
      <c r="V1649" s="145" t="n"/>
      <c r="W1649" s="145" t="n"/>
      <c r="X1649" s="145" t="inlineStr">
        <is>
          <t>Detailed format sample from top five used rows</t>
        </is>
      </c>
    </row>
    <row r="1650" ht="23.85" customHeight="1" s="79">
      <c r="A1650" s="145" t="inlineStr">
        <is>
          <t>MNL_PPO</t>
        </is>
      </c>
      <c r="B1650" s="145" t="inlineStr">
        <is>
          <t>Column Format</t>
        </is>
      </c>
      <c r="C1650" s="145" t="inlineStr">
        <is>
          <t>Z:Z</t>
        </is>
      </c>
      <c r="D1650" s="145" t="inlineStr">
        <is>
          <t>MNL_PPO!A1:AM329</t>
        </is>
      </c>
      <c r="E1650" s="145" t="inlineStr">
        <is>
          <t>Normal</t>
        </is>
      </c>
      <c r="F1650" s="145" t="inlineStr">
        <is>
          <t>Mixed</t>
        </is>
      </c>
      <c r="G1650" s="145" t="inlineStr">
        <is>
          <t>Cambria</t>
        </is>
      </c>
      <c r="H1650" s="145" t="n">
        <v>8</v>
      </c>
      <c r="I1650" s="145" t="inlineStr">
        <is>
          <t>Mixed</t>
        </is>
      </c>
      <c r="J1650" s="145" t="inlineStr">
        <is>
          <t>No</t>
        </is>
      </c>
      <c r="K1650" s="145" t="inlineStr">
        <is>
          <t>None</t>
        </is>
      </c>
      <c r="L1650" s="145" t="inlineStr">
        <is>
          <t>Mixed</t>
        </is>
      </c>
      <c r="M1650" s="145" t="inlineStr">
        <is>
          <t>General</t>
        </is>
      </c>
      <c r="N1650" s="145" t="inlineStr">
        <is>
          <t>Center</t>
        </is>
      </c>
      <c r="O1650" s="145" t="inlineStr">
        <is>
          <t>No</t>
        </is>
      </c>
      <c r="P1650" s="145" t="n"/>
      <c r="Q1650" s="145" t="n"/>
      <c r="R1650" s="145" t="n"/>
      <c r="S1650" s="145" t="n">
        <v>51.044776119403</v>
      </c>
      <c r="T1650" s="145" t="n"/>
      <c r="U1650" s="145" t="inlineStr">
        <is>
          <t>No</t>
        </is>
      </c>
      <c r="V1650" s="145" t="inlineStr">
        <is>
          <t>Visible</t>
        </is>
      </c>
      <c r="W1650" s="145" t="n"/>
      <c r="X1650" s="145" t="inlineStr">
        <is>
          <t>Mixed styles within used column</t>
        </is>
      </c>
    </row>
    <row r="1651" ht="23.85" customHeight="1" s="79">
      <c r="A1651" s="145" t="inlineStr">
        <is>
          <t>MNL_PPO</t>
        </is>
      </c>
      <c r="B1651" s="145" t="inlineStr">
        <is>
          <t>Top-Row Cell Format</t>
        </is>
      </c>
      <c r="C1651" s="145" t="inlineStr">
        <is>
          <t>Z1</t>
        </is>
      </c>
      <c r="D1651" s="145" t="inlineStr">
        <is>
          <t>MNL_PPO!A1:AM329</t>
        </is>
      </c>
      <c r="E1651" s="145" t="inlineStr">
        <is>
          <t>Normal</t>
        </is>
      </c>
      <c r="F1651" s="145" t="inlineStr">
        <is>
          <t>#70AD47</t>
        </is>
      </c>
      <c r="G1651" s="145" t="inlineStr">
        <is>
          <t>Cambria</t>
        </is>
      </c>
      <c r="H1651" s="145" t="n">
        <v>8</v>
      </c>
      <c r="I1651" s="145" t="inlineStr">
        <is>
          <t>Yes</t>
        </is>
      </c>
      <c r="J1651" s="145" t="inlineStr">
        <is>
          <t>No</t>
        </is>
      </c>
      <c r="K1651" s="145" t="inlineStr">
        <is>
          <t>None</t>
        </is>
      </c>
      <c r="L1651" s="145" t="inlineStr">
        <is>
          <t>#FFFFFF</t>
        </is>
      </c>
      <c r="M1651" s="145" t="inlineStr">
        <is>
          <t>General</t>
        </is>
      </c>
      <c r="N1651" s="145" t="inlineStr">
        <is>
          <t>Center</t>
        </is>
      </c>
      <c r="O1651" s="145" t="inlineStr">
        <is>
          <t>No</t>
        </is>
      </c>
      <c r="P1651" s="145" t="inlineStr">
        <is>
          <t>General</t>
        </is>
      </c>
      <c r="Q1651" s="145" t="inlineStr">
        <is>
          <t>General</t>
        </is>
      </c>
      <c r="R1651" s="145" t="n"/>
      <c r="S1651" s="145" t="n"/>
      <c r="T1651" s="145" t="n"/>
      <c r="U1651" s="145" t="n"/>
      <c r="V1651" s="145" t="n"/>
      <c r="W1651" s="145" t="n"/>
      <c r="X1651" s="145" t="inlineStr">
        <is>
          <t>Detailed format sample from top five used rows</t>
        </is>
      </c>
    </row>
    <row r="1652" ht="23.85" customHeight="1" s="79">
      <c r="A1652" s="145" t="inlineStr">
        <is>
          <t>MNL_PPO</t>
        </is>
      </c>
      <c r="B1652" s="145" t="inlineStr">
        <is>
          <t>Top-Row Cell Format</t>
        </is>
      </c>
      <c r="C1652" s="145" t="inlineStr">
        <is>
          <t>Z2</t>
        </is>
      </c>
      <c r="D1652" s="145" t="inlineStr">
        <is>
          <t>MNL_PPO!A1:AM329</t>
        </is>
      </c>
      <c r="E1652" s="145" t="inlineStr">
        <is>
          <t>Normal</t>
        </is>
      </c>
      <c r="F1652" s="145" t="n"/>
      <c r="G1652" s="145" t="inlineStr">
        <is>
          <t>Cambria</t>
        </is>
      </c>
      <c r="H1652" s="145" t="n">
        <v>8</v>
      </c>
      <c r="I1652" s="145" t="inlineStr">
        <is>
          <t>No</t>
        </is>
      </c>
      <c r="J1652" s="145" t="inlineStr">
        <is>
          <t>No</t>
        </is>
      </c>
      <c r="K1652" s="145" t="inlineStr">
        <is>
          <t>None</t>
        </is>
      </c>
      <c r="L1652" s="145" t="inlineStr">
        <is>
          <t>#000000</t>
        </is>
      </c>
      <c r="M1652" s="145" t="inlineStr">
        <is>
          <t>General</t>
        </is>
      </c>
      <c r="N1652" s="145" t="inlineStr">
        <is>
          <t>Center</t>
        </is>
      </c>
      <c r="O1652" s="145" t="inlineStr">
        <is>
          <t>No</t>
        </is>
      </c>
      <c r="P1652" s="145" t="inlineStr">
        <is>
          <t>General</t>
        </is>
      </c>
      <c r="Q1652" s="145" t="inlineStr">
        <is>
          <t>General</t>
        </is>
      </c>
      <c r="R1652" s="145" t="n"/>
      <c r="S1652" s="145" t="n"/>
      <c r="T1652" s="145" t="n"/>
      <c r="U1652" s="145" t="n"/>
      <c r="V1652" s="145" t="n"/>
      <c r="W1652" s="145" t="n"/>
      <c r="X1652" s="145" t="inlineStr">
        <is>
          <t>Detailed format sample from top five used rows</t>
        </is>
      </c>
    </row>
    <row r="1653" ht="23.85" customHeight="1" s="79">
      <c r="A1653" s="145" t="inlineStr">
        <is>
          <t>MNL_PPO</t>
        </is>
      </c>
      <c r="B1653" s="145" t="inlineStr">
        <is>
          <t>Top-Row Cell Format</t>
        </is>
      </c>
      <c r="C1653" s="145" t="inlineStr">
        <is>
          <t>Z3</t>
        </is>
      </c>
      <c r="D1653" s="145" t="inlineStr">
        <is>
          <t>MNL_PPO!A1:AM329</t>
        </is>
      </c>
      <c r="E1653" s="145" t="inlineStr">
        <is>
          <t>Normal</t>
        </is>
      </c>
      <c r="F1653" s="145" t="n"/>
      <c r="G1653" s="145" t="inlineStr">
        <is>
          <t>Cambria</t>
        </is>
      </c>
      <c r="H1653" s="145" t="n">
        <v>8</v>
      </c>
      <c r="I1653" s="145" t="inlineStr">
        <is>
          <t>No</t>
        </is>
      </c>
      <c r="J1653" s="145" t="inlineStr">
        <is>
          <t>No</t>
        </is>
      </c>
      <c r="K1653" s="145" t="inlineStr">
        <is>
          <t>None</t>
        </is>
      </c>
      <c r="L1653" s="145" t="inlineStr">
        <is>
          <t>#000000</t>
        </is>
      </c>
      <c r="M1653" s="145" t="inlineStr">
        <is>
          <t>General</t>
        </is>
      </c>
      <c r="N1653" s="145" t="inlineStr">
        <is>
          <t>Center</t>
        </is>
      </c>
      <c r="O1653" s="145" t="inlineStr">
        <is>
          <t>No</t>
        </is>
      </c>
      <c r="P1653" s="145" t="inlineStr">
        <is>
          <t>General</t>
        </is>
      </c>
      <c r="Q1653" s="145" t="inlineStr">
        <is>
          <t>General</t>
        </is>
      </c>
      <c r="R1653" s="145" t="n"/>
      <c r="S1653" s="145" t="n"/>
      <c r="T1653" s="145" t="n"/>
      <c r="U1653" s="145" t="n"/>
      <c r="V1653" s="145" t="n"/>
      <c r="W1653" s="145" t="n"/>
      <c r="X1653" s="145" t="inlineStr">
        <is>
          <t>Detailed format sample from top five used rows</t>
        </is>
      </c>
    </row>
    <row r="1654" ht="23.85" customHeight="1" s="79">
      <c r="A1654" s="145" t="inlineStr">
        <is>
          <t>MNL_PPO</t>
        </is>
      </c>
      <c r="B1654" s="145" t="inlineStr">
        <is>
          <t>Top-Row Cell Format</t>
        </is>
      </c>
      <c r="C1654" s="145" t="inlineStr">
        <is>
          <t>Z4</t>
        </is>
      </c>
      <c r="D1654" s="145" t="inlineStr">
        <is>
          <t>MNL_PPO!A1:AM329</t>
        </is>
      </c>
      <c r="E1654" s="145" t="inlineStr">
        <is>
          <t>Normal</t>
        </is>
      </c>
      <c r="F1654" s="145" t="n"/>
      <c r="G1654" s="145" t="inlineStr">
        <is>
          <t>Cambria</t>
        </is>
      </c>
      <c r="H1654" s="145" t="n">
        <v>8</v>
      </c>
      <c r="I1654" s="145" t="inlineStr">
        <is>
          <t>No</t>
        </is>
      </c>
      <c r="J1654" s="145" t="inlineStr">
        <is>
          <t>No</t>
        </is>
      </c>
      <c r="K1654" s="145" t="inlineStr">
        <is>
          <t>None</t>
        </is>
      </c>
      <c r="L1654" s="145" t="inlineStr">
        <is>
          <t>#000000</t>
        </is>
      </c>
      <c r="M1654" s="145" t="inlineStr">
        <is>
          <t>General</t>
        </is>
      </c>
      <c r="N1654" s="145" t="inlineStr">
        <is>
          <t>Center</t>
        </is>
      </c>
      <c r="O1654" s="145" t="inlineStr">
        <is>
          <t>No</t>
        </is>
      </c>
      <c r="P1654" s="145" t="inlineStr">
        <is>
          <t>General</t>
        </is>
      </c>
      <c r="Q1654" s="145" t="inlineStr">
        <is>
          <t>General</t>
        </is>
      </c>
      <c r="R1654" s="145" t="n"/>
      <c r="S1654" s="145" t="n"/>
      <c r="T1654" s="145" t="n"/>
      <c r="U1654" s="145" t="n"/>
      <c r="V1654" s="145" t="n"/>
      <c r="W1654" s="145" t="n"/>
      <c r="X1654" s="145" t="inlineStr">
        <is>
          <t>Detailed format sample from top five used rows</t>
        </is>
      </c>
    </row>
    <row r="1655" ht="23.85" customHeight="1" s="79">
      <c r="A1655" s="145" t="inlineStr">
        <is>
          <t>MNL_PPO</t>
        </is>
      </c>
      <c r="B1655" s="145" t="inlineStr">
        <is>
          <t>Top-Row Cell Format</t>
        </is>
      </c>
      <c r="C1655" s="145" t="inlineStr">
        <is>
          <t>Z5</t>
        </is>
      </c>
      <c r="D1655" s="145" t="inlineStr">
        <is>
          <t>MNL_PPO!A1:AM329</t>
        </is>
      </c>
      <c r="E1655" s="145" t="inlineStr">
        <is>
          <t>Normal</t>
        </is>
      </c>
      <c r="F1655" s="145" t="n"/>
      <c r="G1655" s="145" t="inlineStr">
        <is>
          <t>Cambria</t>
        </is>
      </c>
      <c r="H1655" s="145" t="n">
        <v>8</v>
      </c>
      <c r="I1655" s="145" t="inlineStr">
        <is>
          <t>No</t>
        </is>
      </c>
      <c r="J1655" s="145" t="inlineStr">
        <is>
          <t>No</t>
        </is>
      </c>
      <c r="K1655" s="145" t="inlineStr">
        <is>
          <t>None</t>
        </is>
      </c>
      <c r="L1655" s="145" t="inlineStr">
        <is>
          <t>#000000</t>
        </is>
      </c>
      <c r="M1655" s="145" t="inlineStr">
        <is>
          <t>General</t>
        </is>
      </c>
      <c r="N1655" s="145" t="inlineStr">
        <is>
          <t>Center</t>
        </is>
      </c>
      <c r="O1655" s="145" t="inlineStr">
        <is>
          <t>No</t>
        </is>
      </c>
      <c r="P1655" s="145" t="inlineStr">
        <is>
          <t>General</t>
        </is>
      </c>
      <c r="Q1655" s="145" t="inlineStr">
        <is>
          <t>General</t>
        </is>
      </c>
      <c r="R1655" s="145" t="n"/>
      <c r="S1655" s="145" t="n"/>
      <c r="T1655" s="145" t="n"/>
      <c r="U1655" s="145" t="n"/>
      <c r="V1655" s="145" t="n"/>
      <c r="W1655" s="145" t="n"/>
      <c r="X1655" s="145" t="inlineStr">
        <is>
          <t>Detailed format sample from top five used rows</t>
        </is>
      </c>
    </row>
    <row r="1656" ht="23.85" customHeight="1" s="79">
      <c r="A1656" s="145" t="inlineStr">
        <is>
          <t>MNL_PPO</t>
        </is>
      </c>
      <c r="B1656" s="145" t="inlineStr">
        <is>
          <t>Column Format</t>
        </is>
      </c>
      <c r="C1656" s="145" t="inlineStr">
        <is>
          <t>AA:AA</t>
        </is>
      </c>
      <c r="D1656" s="145" t="inlineStr">
        <is>
          <t>MNL_PPO!A1:AM329</t>
        </is>
      </c>
      <c r="E1656" s="145" t="inlineStr">
        <is>
          <t>Normal</t>
        </is>
      </c>
      <c r="F1656" s="145" t="inlineStr">
        <is>
          <t>Mixed</t>
        </is>
      </c>
      <c r="G1656" s="145" t="inlineStr">
        <is>
          <t>Cambria</t>
        </is>
      </c>
      <c r="H1656" s="145" t="n">
        <v>8</v>
      </c>
      <c r="I1656" s="145" t="inlineStr">
        <is>
          <t>Mixed</t>
        </is>
      </c>
      <c r="J1656" s="145" t="inlineStr">
        <is>
          <t>No</t>
        </is>
      </c>
      <c r="K1656" s="145" t="inlineStr">
        <is>
          <t>None</t>
        </is>
      </c>
      <c r="L1656" s="145" t="inlineStr">
        <is>
          <t>Mixed</t>
        </is>
      </c>
      <c r="M1656" s="145" t="inlineStr">
        <is>
          <t>General</t>
        </is>
      </c>
      <c r="N1656" s="145" t="inlineStr">
        <is>
          <t>Center</t>
        </is>
      </c>
      <c r="O1656" s="145" t="inlineStr">
        <is>
          <t>No</t>
        </is>
      </c>
      <c r="P1656" s="145" t="n"/>
      <c r="Q1656" s="145" t="n"/>
      <c r="R1656" s="145" t="n"/>
      <c r="S1656" s="145" t="n">
        <v>51.044776119403</v>
      </c>
      <c r="T1656" s="145" t="n"/>
      <c r="U1656" s="145" t="inlineStr">
        <is>
          <t>No</t>
        </is>
      </c>
      <c r="V1656" s="145" t="inlineStr">
        <is>
          <t>Visible</t>
        </is>
      </c>
      <c r="W1656" s="145" t="n"/>
      <c r="X1656" s="145" t="inlineStr">
        <is>
          <t>Mixed styles within used column</t>
        </is>
      </c>
    </row>
    <row r="1657" ht="23.85" customHeight="1" s="79">
      <c r="A1657" s="145" t="inlineStr">
        <is>
          <t>MNL_PPO</t>
        </is>
      </c>
      <c r="B1657" s="145" t="inlineStr">
        <is>
          <t>Top-Row Cell Format</t>
        </is>
      </c>
      <c r="C1657" s="145" t="inlineStr">
        <is>
          <t>AA1</t>
        </is>
      </c>
      <c r="D1657" s="145" t="inlineStr">
        <is>
          <t>MNL_PPO!A1:AM329</t>
        </is>
      </c>
      <c r="E1657" s="145" t="inlineStr">
        <is>
          <t>Normal</t>
        </is>
      </c>
      <c r="F1657" s="145" t="inlineStr">
        <is>
          <t>#70AD47</t>
        </is>
      </c>
      <c r="G1657" s="145" t="inlineStr">
        <is>
          <t>Cambria</t>
        </is>
      </c>
      <c r="H1657" s="145" t="n">
        <v>8</v>
      </c>
      <c r="I1657" s="145" t="inlineStr">
        <is>
          <t>Yes</t>
        </is>
      </c>
      <c r="J1657" s="145" t="inlineStr">
        <is>
          <t>No</t>
        </is>
      </c>
      <c r="K1657" s="145" t="inlineStr">
        <is>
          <t>None</t>
        </is>
      </c>
      <c r="L1657" s="145" t="inlineStr">
        <is>
          <t>#FFFFFF</t>
        </is>
      </c>
      <c r="M1657" s="145" t="inlineStr">
        <is>
          <t>General</t>
        </is>
      </c>
      <c r="N1657" s="145" t="inlineStr">
        <is>
          <t>Center</t>
        </is>
      </c>
      <c r="O1657" s="145" t="inlineStr">
        <is>
          <t>No</t>
        </is>
      </c>
      <c r="P1657" s="145" t="inlineStr">
        <is>
          <t>General</t>
        </is>
      </c>
      <c r="Q1657" s="145" t="inlineStr">
        <is>
          <t>General</t>
        </is>
      </c>
      <c r="R1657" s="145" t="n"/>
      <c r="S1657" s="145" t="n"/>
      <c r="T1657" s="145" t="n"/>
      <c r="U1657" s="145" t="n"/>
      <c r="V1657" s="145" t="n"/>
      <c r="W1657" s="145" t="n"/>
      <c r="X1657" s="145" t="inlineStr">
        <is>
          <t>Detailed format sample from top five used rows</t>
        </is>
      </c>
    </row>
    <row r="1658" ht="23.85" customHeight="1" s="79">
      <c r="A1658" s="145" t="inlineStr">
        <is>
          <t>MNL_PPO</t>
        </is>
      </c>
      <c r="B1658" s="145" t="inlineStr">
        <is>
          <t>Top-Row Cell Format</t>
        </is>
      </c>
      <c r="C1658" s="145" t="inlineStr">
        <is>
          <t>AA2</t>
        </is>
      </c>
      <c r="D1658" s="145" t="inlineStr">
        <is>
          <t>MNL_PPO!A1:AM329</t>
        </is>
      </c>
      <c r="E1658" s="145" t="inlineStr">
        <is>
          <t>Normal</t>
        </is>
      </c>
      <c r="F1658" s="145" t="n"/>
      <c r="G1658" s="145" t="inlineStr">
        <is>
          <t>Cambria</t>
        </is>
      </c>
      <c r="H1658" s="145" t="n">
        <v>8</v>
      </c>
      <c r="I1658" s="145" t="inlineStr">
        <is>
          <t>No</t>
        </is>
      </c>
      <c r="J1658" s="145" t="inlineStr">
        <is>
          <t>No</t>
        </is>
      </c>
      <c r="K1658" s="145" t="inlineStr">
        <is>
          <t>None</t>
        </is>
      </c>
      <c r="L1658" s="145" t="inlineStr">
        <is>
          <t>#000000</t>
        </is>
      </c>
      <c r="M1658" s="145" t="inlineStr">
        <is>
          <t>General</t>
        </is>
      </c>
      <c r="N1658" s="145" t="inlineStr">
        <is>
          <t>Center</t>
        </is>
      </c>
      <c r="O1658" s="145" t="inlineStr">
        <is>
          <t>No</t>
        </is>
      </c>
      <c r="P1658" s="145" t="inlineStr">
        <is>
          <t>General</t>
        </is>
      </c>
      <c r="Q1658" s="145" t="inlineStr">
        <is>
          <t>General</t>
        </is>
      </c>
      <c r="R1658" s="145" t="n"/>
      <c r="S1658" s="145" t="n"/>
      <c r="T1658" s="145" t="n"/>
      <c r="U1658" s="145" t="n"/>
      <c r="V1658" s="145" t="n"/>
      <c r="W1658" s="145" t="n"/>
      <c r="X1658" s="145" t="inlineStr">
        <is>
          <t>Detailed format sample from top five used rows</t>
        </is>
      </c>
    </row>
    <row r="1659" ht="23.85" customHeight="1" s="79">
      <c r="A1659" s="145" t="inlineStr">
        <is>
          <t>MNL_PPO</t>
        </is>
      </c>
      <c r="B1659" s="145" t="inlineStr">
        <is>
          <t>Top-Row Cell Format</t>
        </is>
      </c>
      <c r="C1659" s="145" t="inlineStr">
        <is>
          <t>AA3</t>
        </is>
      </c>
      <c r="D1659" s="145" t="inlineStr">
        <is>
          <t>MNL_PPO!A1:AM329</t>
        </is>
      </c>
      <c r="E1659" s="145" t="inlineStr">
        <is>
          <t>Normal</t>
        </is>
      </c>
      <c r="F1659" s="145" t="n"/>
      <c r="G1659" s="145" t="inlineStr">
        <is>
          <t>Cambria</t>
        </is>
      </c>
      <c r="H1659" s="145" t="n">
        <v>8</v>
      </c>
      <c r="I1659" s="145" t="inlineStr">
        <is>
          <t>No</t>
        </is>
      </c>
      <c r="J1659" s="145" t="inlineStr">
        <is>
          <t>No</t>
        </is>
      </c>
      <c r="K1659" s="145" t="inlineStr">
        <is>
          <t>None</t>
        </is>
      </c>
      <c r="L1659" s="145" t="inlineStr">
        <is>
          <t>#000000</t>
        </is>
      </c>
      <c r="M1659" s="145" t="inlineStr">
        <is>
          <t>General</t>
        </is>
      </c>
      <c r="N1659" s="145" t="inlineStr">
        <is>
          <t>Center</t>
        </is>
      </c>
      <c r="O1659" s="145" t="inlineStr">
        <is>
          <t>No</t>
        </is>
      </c>
      <c r="P1659" s="145" t="inlineStr">
        <is>
          <t>General</t>
        </is>
      </c>
      <c r="Q1659" s="145" t="inlineStr">
        <is>
          <t>General</t>
        </is>
      </c>
      <c r="R1659" s="145" t="n"/>
      <c r="S1659" s="145" t="n"/>
      <c r="T1659" s="145" t="n"/>
      <c r="U1659" s="145" t="n"/>
      <c r="V1659" s="145" t="n"/>
      <c r="W1659" s="145" t="n"/>
      <c r="X1659" s="145" t="inlineStr">
        <is>
          <t>Detailed format sample from top five used rows</t>
        </is>
      </c>
    </row>
    <row r="1660" ht="23.85" customHeight="1" s="79">
      <c r="A1660" s="145" t="inlineStr">
        <is>
          <t>MNL_PPO</t>
        </is>
      </c>
      <c r="B1660" s="145" t="inlineStr">
        <is>
          <t>Top-Row Cell Format</t>
        </is>
      </c>
      <c r="C1660" s="145" t="inlineStr">
        <is>
          <t>AA4</t>
        </is>
      </c>
      <c r="D1660" s="145" t="inlineStr">
        <is>
          <t>MNL_PPO!A1:AM329</t>
        </is>
      </c>
      <c r="E1660" s="145" t="inlineStr">
        <is>
          <t>Normal</t>
        </is>
      </c>
      <c r="F1660" s="145" t="n"/>
      <c r="G1660" s="145" t="inlineStr">
        <is>
          <t>Cambria</t>
        </is>
      </c>
      <c r="H1660" s="145" t="n">
        <v>8</v>
      </c>
      <c r="I1660" s="145" t="inlineStr">
        <is>
          <t>No</t>
        </is>
      </c>
      <c r="J1660" s="145" t="inlineStr">
        <is>
          <t>No</t>
        </is>
      </c>
      <c r="K1660" s="145" t="inlineStr">
        <is>
          <t>None</t>
        </is>
      </c>
      <c r="L1660" s="145" t="inlineStr">
        <is>
          <t>#000000</t>
        </is>
      </c>
      <c r="M1660" s="145" t="inlineStr">
        <is>
          <t>General</t>
        </is>
      </c>
      <c r="N1660" s="145" t="inlineStr">
        <is>
          <t>Center</t>
        </is>
      </c>
      <c r="O1660" s="145" t="inlineStr">
        <is>
          <t>No</t>
        </is>
      </c>
      <c r="P1660" s="145" t="inlineStr">
        <is>
          <t>General</t>
        </is>
      </c>
      <c r="Q1660" s="145" t="inlineStr">
        <is>
          <t>General</t>
        </is>
      </c>
      <c r="R1660" s="145" t="n"/>
      <c r="S1660" s="145" t="n"/>
      <c r="T1660" s="145" t="n"/>
      <c r="U1660" s="145" t="n"/>
      <c r="V1660" s="145" t="n"/>
      <c r="W1660" s="145" t="n"/>
      <c r="X1660" s="145" t="inlineStr">
        <is>
          <t>Detailed format sample from top five used rows</t>
        </is>
      </c>
    </row>
    <row r="1661" ht="23.85" customHeight="1" s="79">
      <c r="A1661" s="145" t="inlineStr">
        <is>
          <t>MNL_PPO</t>
        </is>
      </c>
      <c r="B1661" s="145" t="inlineStr">
        <is>
          <t>Top-Row Cell Format</t>
        </is>
      </c>
      <c r="C1661" s="145" t="inlineStr">
        <is>
          <t>AA5</t>
        </is>
      </c>
      <c r="D1661" s="145" t="inlineStr">
        <is>
          <t>MNL_PPO!A1:AM329</t>
        </is>
      </c>
      <c r="E1661" s="145" t="inlineStr">
        <is>
          <t>Normal</t>
        </is>
      </c>
      <c r="F1661" s="145" t="n"/>
      <c r="G1661" s="145" t="inlineStr">
        <is>
          <t>Cambria</t>
        </is>
      </c>
      <c r="H1661" s="145" t="n">
        <v>8</v>
      </c>
      <c r="I1661" s="145" t="inlineStr">
        <is>
          <t>No</t>
        </is>
      </c>
      <c r="J1661" s="145" t="inlineStr">
        <is>
          <t>No</t>
        </is>
      </c>
      <c r="K1661" s="145" t="inlineStr">
        <is>
          <t>None</t>
        </is>
      </c>
      <c r="L1661" s="145" t="inlineStr">
        <is>
          <t>#000000</t>
        </is>
      </c>
      <c r="M1661" s="145" t="inlineStr">
        <is>
          <t>General</t>
        </is>
      </c>
      <c r="N1661" s="145" t="inlineStr">
        <is>
          <t>Center</t>
        </is>
      </c>
      <c r="O1661" s="145" t="inlineStr">
        <is>
          <t>No</t>
        </is>
      </c>
      <c r="P1661" s="145" t="inlineStr">
        <is>
          <t>General</t>
        </is>
      </c>
      <c r="Q1661" s="145" t="inlineStr">
        <is>
          <t>General</t>
        </is>
      </c>
      <c r="R1661" s="145" t="n"/>
      <c r="S1661" s="145" t="n"/>
      <c r="T1661" s="145" t="n"/>
      <c r="U1661" s="145" t="n"/>
      <c r="V1661" s="145" t="n"/>
      <c r="W1661" s="145" t="n"/>
      <c r="X1661" s="145" t="inlineStr">
        <is>
          <t>Detailed format sample from top five used rows</t>
        </is>
      </c>
    </row>
    <row r="1662" ht="23.85" customHeight="1" s="79">
      <c r="A1662" s="145" t="inlineStr">
        <is>
          <t>MNL_PPO</t>
        </is>
      </c>
      <c r="B1662" s="145" t="inlineStr">
        <is>
          <t>Column Format</t>
        </is>
      </c>
      <c r="C1662" s="145" t="inlineStr">
        <is>
          <t>AB:AB</t>
        </is>
      </c>
      <c r="D1662" s="145" t="inlineStr">
        <is>
          <t>MNL_PPO!A1:AM329</t>
        </is>
      </c>
      <c r="E1662" s="145" t="inlineStr">
        <is>
          <t>Normal</t>
        </is>
      </c>
      <c r="F1662" s="145" t="inlineStr">
        <is>
          <t>Mixed</t>
        </is>
      </c>
      <c r="G1662" s="145" t="inlineStr">
        <is>
          <t>Cambria</t>
        </is>
      </c>
      <c r="H1662" s="145" t="n">
        <v>8</v>
      </c>
      <c r="I1662" s="145" t="inlineStr">
        <is>
          <t>Mixed</t>
        </is>
      </c>
      <c r="J1662" s="145" t="inlineStr">
        <is>
          <t>No</t>
        </is>
      </c>
      <c r="K1662" s="145" t="inlineStr">
        <is>
          <t>None</t>
        </is>
      </c>
      <c r="L1662" s="145" t="inlineStr">
        <is>
          <t>Mixed</t>
        </is>
      </c>
      <c r="M1662" s="145" t="inlineStr">
        <is>
          <t>General</t>
        </is>
      </c>
      <c r="N1662" s="145" t="inlineStr">
        <is>
          <t>Center</t>
        </is>
      </c>
      <c r="O1662" s="145" t="inlineStr">
        <is>
          <t>No</t>
        </is>
      </c>
      <c r="P1662" s="145" t="n"/>
      <c r="Q1662" s="145" t="n"/>
      <c r="R1662" s="145" t="n"/>
      <c r="S1662" s="145" t="n">
        <v>39.2238805970149</v>
      </c>
      <c r="T1662" s="145" t="n"/>
      <c r="U1662" s="145" t="inlineStr">
        <is>
          <t>No</t>
        </is>
      </c>
      <c r="V1662" s="145" t="inlineStr">
        <is>
          <t>Visible</t>
        </is>
      </c>
      <c r="W1662" s="145" t="n"/>
      <c r="X1662" s="145" t="inlineStr">
        <is>
          <t>Mixed styles within used column</t>
        </is>
      </c>
    </row>
    <row r="1663" ht="23.85" customHeight="1" s="79">
      <c r="A1663" s="145" t="inlineStr">
        <is>
          <t>MNL_PPO</t>
        </is>
      </c>
      <c r="B1663" s="145" t="inlineStr">
        <is>
          <t>Top-Row Cell Format</t>
        </is>
      </c>
      <c r="C1663" s="145" t="inlineStr">
        <is>
          <t>AB1</t>
        </is>
      </c>
      <c r="D1663" s="145" t="inlineStr">
        <is>
          <t>MNL_PPO!A1:AM329</t>
        </is>
      </c>
      <c r="E1663" s="145" t="inlineStr">
        <is>
          <t>Normal</t>
        </is>
      </c>
      <c r="F1663" s="145" t="inlineStr">
        <is>
          <t>#70AD47</t>
        </is>
      </c>
      <c r="G1663" s="145" t="inlineStr">
        <is>
          <t>Cambria</t>
        </is>
      </c>
      <c r="H1663" s="145" t="n">
        <v>8</v>
      </c>
      <c r="I1663" s="145" t="inlineStr">
        <is>
          <t>Yes</t>
        </is>
      </c>
      <c r="J1663" s="145" t="inlineStr">
        <is>
          <t>No</t>
        </is>
      </c>
      <c r="K1663" s="145" t="inlineStr">
        <is>
          <t>None</t>
        </is>
      </c>
      <c r="L1663" s="145" t="inlineStr">
        <is>
          <t>#FFFFFF</t>
        </is>
      </c>
      <c r="M1663" s="145" t="inlineStr">
        <is>
          <t>General</t>
        </is>
      </c>
      <c r="N1663" s="145" t="inlineStr">
        <is>
          <t>Center</t>
        </is>
      </c>
      <c r="O1663" s="145" t="inlineStr">
        <is>
          <t>No</t>
        </is>
      </c>
      <c r="P1663" s="145" t="inlineStr">
        <is>
          <t>General</t>
        </is>
      </c>
      <c r="Q1663" s="145" t="inlineStr">
        <is>
          <t>General</t>
        </is>
      </c>
      <c r="R1663" s="145" t="n"/>
      <c r="S1663" s="145" t="n"/>
      <c r="T1663" s="145" t="n"/>
      <c r="U1663" s="145" t="n"/>
      <c r="V1663" s="145" t="n"/>
      <c r="W1663" s="145" t="n"/>
      <c r="X1663" s="145" t="inlineStr">
        <is>
          <t>Detailed format sample from top five used rows</t>
        </is>
      </c>
    </row>
    <row r="1664" ht="23.85" customHeight="1" s="79">
      <c r="A1664" s="145" t="inlineStr">
        <is>
          <t>MNL_PPO</t>
        </is>
      </c>
      <c r="B1664" s="145" t="inlineStr">
        <is>
          <t>Top-Row Cell Format</t>
        </is>
      </c>
      <c r="C1664" s="145" t="inlineStr">
        <is>
          <t>AB2</t>
        </is>
      </c>
      <c r="D1664" s="145" t="inlineStr">
        <is>
          <t>MNL_PPO!A1:AM329</t>
        </is>
      </c>
      <c r="E1664" s="145" t="inlineStr">
        <is>
          <t>Normal</t>
        </is>
      </c>
      <c r="F1664" s="145" t="n"/>
      <c r="G1664" s="145" t="inlineStr">
        <is>
          <t>Cambria</t>
        </is>
      </c>
      <c r="H1664" s="145" t="n">
        <v>8</v>
      </c>
      <c r="I1664" s="145" t="inlineStr">
        <is>
          <t>No</t>
        </is>
      </c>
      <c r="J1664" s="145" t="inlineStr">
        <is>
          <t>No</t>
        </is>
      </c>
      <c r="K1664" s="145" t="inlineStr">
        <is>
          <t>None</t>
        </is>
      </c>
      <c r="L1664" s="145" t="inlineStr">
        <is>
          <t>#000000</t>
        </is>
      </c>
      <c r="M1664" s="145" t="inlineStr">
        <is>
          <t>General</t>
        </is>
      </c>
      <c r="N1664" s="145" t="inlineStr">
        <is>
          <t>Center</t>
        </is>
      </c>
      <c r="O1664" s="145" t="inlineStr">
        <is>
          <t>No</t>
        </is>
      </c>
      <c r="P1664" s="145" t="inlineStr">
        <is>
          <t>General</t>
        </is>
      </c>
      <c r="Q1664" s="145" t="inlineStr">
        <is>
          <t>General</t>
        </is>
      </c>
      <c r="R1664" s="145" t="n"/>
      <c r="S1664" s="145" t="n"/>
      <c r="T1664" s="145" t="n"/>
      <c r="U1664" s="145" t="n"/>
      <c r="V1664" s="145" t="n"/>
      <c r="W1664" s="145" t="n"/>
      <c r="X1664" s="145" t="inlineStr">
        <is>
          <t>Detailed format sample from top five used rows</t>
        </is>
      </c>
    </row>
    <row r="1665" ht="23.85" customHeight="1" s="79">
      <c r="A1665" s="145" t="inlineStr">
        <is>
          <t>MNL_PPO</t>
        </is>
      </c>
      <c r="B1665" s="145" t="inlineStr">
        <is>
          <t>Top-Row Cell Format</t>
        </is>
      </c>
      <c r="C1665" s="145" t="inlineStr">
        <is>
          <t>AB3</t>
        </is>
      </c>
      <c r="D1665" s="145" t="inlineStr">
        <is>
          <t>MNL_PPO!A1:AM329</t>
        </is>
      </c>
      <c r="E1665" s="145" t="inlineStr">
        <is>
          <t>Normal</t>
        </is>
      </c>
      <c r="F1665" s="145" t="n"/>
      <c r="G1665" s="145" t="inlineStr">
        <is>
          <t>Cambria</t>
        </is>
      </c>
      <c r="H1665" s="145" t="n">
        <v>8</v>
      </c>
      <c r="I1665" s="145" t="inlineStr">
        <is>
          <t>No</t>
        </is>
      </c>
      <c r="J1665" s="145" t="inlineStr">
        <is>
          <t>No</t>
        </is>
      </c>
      <c r="K1665" s="145" t="inlineStr">
        <is>
          <t>None</t>
        </is>
      </c>
      <c r="L1665" s="145" t="inlineStr">
        <is>
          <t>#000000</t>
        </is>
      </c>
      <c r="M1665" s="145" t="inlineStr">
        <is>
          <t>General</t>
        </is>
      </c>
      <c r="N1665" s="145" t="inlineStr">
        <is>
          <t>Center</t>
        </is>
      </c>
      <c r="O1665" s="145" t="inlineStr">
        <is>
          <t>No</t>
        </is>
      </c>
      <c r="P1665" s="145" t="inlineStr">
        <is>
          <t>General</t>
        </is>
      </c>
      <c r="Q1665" s="145" t="inlineStr">
        <is>
          <t>General</t>
        </is>
      </c>
      <c r="R1665" s="145" t="n"/>
      <c r="S1665" s="145" t="n"/>
      <c r="T1665" s="145" t="n"/>
      <c r="U1665" s="145" t="n"/>
      <c r="V1665" s="145" t="n"/>
      <c r="W1665" s="145" t="n"/>
      <c r="X1665" s="145" t="inlineStr">
        <is>
          <t>Detailed format sample from top five used rows</t>
        </is>
      </c>
    </row>
    <row r="1666" ht="23.85" customHeight="1" s="79">
      <c r="A1666" s="145" t="inlineStr">
        <is>
          <t>MNL_PPO</t>
        </is>
      </c>
      <c r="B1666" s="145" t="inlineStr">
        <is>
          <t>Top-Row Cell Format</t>
        </is>
      </c>
      <c r="C1666" s="145" t="inlineStr">
        <is>
          <t>AB4</t>
        </is>
      </c>
      <c r="D1666" s="145" t="inlineStr">
        <is>
          <t>MNL_PPO!A1:AM329</t>
        </is>
      </c>
      <c r="E1666" s="145" t="inlineStr">
        <is>
          <t>Normal</t>
        </is>
      </c>
      <c r="F1666" s="145" t="n"/>
      <c r="G1666" s="145" t="inlineStr">
        <is>
          <t>Cambria</t>
        </is>
      </c>
      <c r="H1666" s="145" t="n">
        <v>8</v>
      </c>
      <c r="I1666" s="145" t="inlineStr">
        <is>
          <t>No</t>
        </is>
      </c>
      <c r="J1666" s="145" t="inlineStr">
        <is>
          <t>No</t>
        </is>
      </c>
      <c r="K1666" s="145" t="inlineStr">
        <is>
          <t>None</t>
        </is>
      </c>
      <c r="L1666" s="145" t="inlineStr">
        <is>
          <t>#000000</t>
        </is>
      </c>
      <c r="M1666" s="145" t="inlineStr">
        <is>
          <t>General</t>
        </is>
      </c>
      <c r="N1666" s="145" t="inlineStr">
        <is>
          <t>Center</t>
        </is>
      </c>
      <c r="O1666" s="145" t="inlineStr">
        <is>
          <t>No</t>
        </is>
      </c>
      <c r="P1666" s="145" t="inlineStr">
        <is>
          <t>General</t>
        </is>
      </c>
      <c r="Q1666" s="145" t="inlineStr">
        <is>
          <t>General</t>
        </is>
      </c>
      <c r="R1666" s="145" t="n"/>
      <c r="S1666" s="145" t="n"/>
      <c r="T1666" s="145" t="n"/>
      <c r="U1666" s="145" t="n"/>
      <c r="V1666" s="145" t="n"/>
      <c r="W1666" s="145" t="n"/>
      <c r="X1666" s="145" t="inlineStr">
        <is>
          <t>Detailed format sample from top five used rows</t>
        </is>
      </c>
    </row>
    <row r="1667" ht="23.85" customHeight="1" s="79">
      <c r="A1667" s="145" t="inlineStr">
        <is>
          <t>MNL_PPO</t>
        </is>
      </c>
      <c r="B1667" s="145" t="inlineStr">
        <is>
          <t>Top-Row Cell Format</t>
        </is>
      </c>
      <c r="C1667" s="145" t="inlineStr">
        <is>
          <t>AB5</t>
        </is>
      </c>
      <c r="D1667" s="145" t="inlineStr">
        <is>
          <t>MNL_PPO!A1:AM329</t>
        </is>
      </c>
      <c r="E1667" s="145" t="inlineStr">
        <is>
          <t>Normal</t>
        </is>
      </c>
      <c r="F1667" s="145" t="n"/>
      <c r="G1667" s="145" t="inlineStr">
        <is>
          <t>Cambria</t>
        </is>
      </c>
      <c r="H1667" s="145" t="n">
        <v>8</v>
      </c>
      <c r="I1667" s="145" t="inlineStr">
        <is>
          <t>No</t>
        </is>
      </c>
      <c r="J1667" s="145" t="inlineStr">
        <is>
          <t>No</t>
        </is>
      </c>
      <c r="K1667" s="145" t="inlineStr">
        <is>
          <t>None</t>
        </is>
      </c>
      <c r="L1667" s="145" t="inlineStr">
        <is>
          <t>#000000</t>
        </is>
      </c>
      <c r="M1667" s="145" t="inlineStr">
        <is>
          <t>General</t>
        </is>
      </c>
      <c r="N1667" s="145" t="inlineStr">
        <is>
          <t>Center</t>
        </is>
      </c>
      <c r="O1667" s="145" t="inlineStr">
        <is>
          <t>No</t>
        </is>
      </c>
      <c r="P1667" s="145" t="inlineStr">
        <is>
          <t>General</t>
        </is>
      </c>
      <c r="Q1667" s="145" t="inlineStr">
        <is>
          <t>General</t>
        </is>
      </c>
      <c r="R1667" s="145" t="n"/>
      <c r="S1667" s="145" t="n"/>
      <c r="T1667" s="145" t="n"/>
      <c r="U1667" s="145" t="n"/>
      <c r="V1667" s="145" t="n"/>
      <c r="W1667" s="145" t="n"/>
      <c r="X1667" s="145" t="inlineStr">
        <is>
          <t>Detailed format sample from top five used rows</t>
        </is>
      </c>
    </row>
    <row r="1668" ht="23.85" customHeight="1" s="79">
      <c r="A1668" s="145" t="inlineStr">
        <is>
          <t>MNL_PPO</t>
        </is>
      </c>
      <c r="B1668" s="145" t="inlineStr">
        <is>
          <t>Column Format</t>
        </is>
      </c>
      <c r="C1668" s="145" t="inlineStr">
        <is>
          <t>AC:AC</t>
        </is>
      </c>
      <c r="D1668" s="145" t="inlineStr">
        <is>
          <t>MNL_PPO!A1:AM329</t>
        </is>
      </c>
      <c r="E1668" s="145" t="inlineStr">
        <is>
          <t>Normal</t>
        </is>
      </c>
      <c r="F1668" s="145" t="inlineStr">
        <is>
          <t>Mixed</t>
        </is>
      </c>
      <c r="G1668" s="145" t="inlineStr">
        <is>
          <t>Cambria</t>
        </is>
      </c>
      <c r="H1668" s="145" t="n">
        <v>8</v>
      </c>
      <c r="I1668" s="145" t="inlineStr">
        <is>
          <t>Mixed</t>
        </is>
      </c>
      <c r="J1668" s="145" t="inlineStr">
        <is>
          <t>No</t>
        </is>
      </c>
      <c r="K1668" s="145" t="inlineStr">
        <is>
          <t>None</t>
        </is>
      </c>
      <c r="L1668" s="145" t="inlineStr">
        <is>
          <t>Mixed</t>
        </is>
      </c>
      <c r="M1668" s="145" t="inlineStr">
        <is>
          <t>General</t>
        </is>
      </c>
      <c r="N1668" s="145" t="inlineStr">
        <is>
          <t>Center</t>
        </is>
      </c>
      <c r="O1668" s="145" t="inlineStr">
        <is>
          <t>No</t>
        </is>
      </c>
      <c r="P1668" s="145" t="n"/>
      <c r="Q1668" s="145" t="n"/>
      <c r="R1668" s="145" t="n"/>
      <c r="S1668" s="145" t="n">
        <v>51.044776119403</v>
      </c>
      <c r="T1668" s="145" t="n"/>
      <c r="U1668" s="145" t="inlineStr">
        <is>
          <t>No</t>
        </is>
      </c>
      <c r="V1668" s="145" t="inlineStr">
        <is>
          <t>Visible</t>
        </is>
      </c>
      <c r="W1668" s="145" t="n"/>
      <c r="X1668" s="145" t="inlineStr">
        <is>
          <t>Mixed styles within used column</t>
        </is>
      </c>
    </row>
    <row r="1669" ht="23.85" customHeight="1" s="79">
      <c r="A1669" s="145" t="inlineStr">
        <is>
          <t>MNL_PPO</t>
        </is>
      </c>
      <c r="B1669" s="145" t="inlineStr">
        <is>
          <t>Top-Row Cell Format</t>
        </is>
      </c>
      <c r="C1669" s="145" t="inlineStr">
        <is>
          <t>AC1</t>
        </is>
      </c>
      <c r="D1669" s="145" t="inlineStr">
        <is>
          <t>MNL_PPO!A1:AM329</t>
        </is>
      </c>
      <c r="E1669" s="145" t="inlineStr">
        <is>
          <t>Normal</t>
        </is>
      </c>
      <c r="F1669" s="145" t="inlineStr">
        <is>
          <t>#70AD47</t>
        </is>
      </c>
      <c r="G1669" s="145" t="inlineStr">
        <is>
          <t>Cambria</t>
        </is>
      </c>
      <c r="H1669" s="145" t="n">
        <v>8</v>
      </c>
      <c r="I1669" s="145" t="inlineStr">
        <is>
          <t>Yes</t>
        </is>
      </c>
      <c r="J1669" s="145" t="inlineStr">
        <is>
          <t>No</t>
        </is>
      </c>
      <c r="K1669" s="145" t="inlineStr">
        <is>
          <t>None</t>
        </is>
      </c>
      <c r="L1669" s="145" t="inlineStr">
        <is>
          <t>#FFFFFF</t>
        </is>
      </c>
      <c r="M1669" s="145" t="inlineStr">
        <is>
          <t>General</t>
        </is>
      </c>
      <c r="N1669" s="145" t="inlineStr">
        <is>
          <t>Center</t>
        </is>
      </c>
      <c r="O1669" s="145" t="inlineStr">
        <is>
          <t>No</t>
        </is>
      </c>
      <c r="P1669" s="145" t="inlineStr">
        <is>
          <t>General</t>
        </is>
      </c>
      <c r="Q1669" s="145" t="inlineStr">
        <is>
          <t>General</t>
        </is>
      </c>
      <c r="R1669" s="145" t="n"/>
      <c r="S1669" s="145" t="n"/>
      <c r="T1669" s="145" t="n"/>
      <c r="U1669" s="145" t="n"/>
      <c r="V1669" s="145" t="n"/>
      <c r="W1669" s="145" t="n"/>
      <c r="X1669" s="145" t="inlineStr">
        <is>
          <t>Detailed format sample from top five used rows</t>
        </is>
      </c>
    </row>
    <row r="1670" ht="23.85" customHeight="1" s="79">
      <c r="A1670" s="145" t="inlineStr">
        <is>
          <t>MNL_PPO</t>
        </is>
      </c>
      <c r="B1670" s="145" t="inlineStr">
        <is>
          <t>Top-Row Cell Format</t>
        </is>
      </c>
      <c r="C1670" s="145" t="inlineStr">
        <is>
          <t>AC2</t>
        </is>
      </c>
      <c r="D1670" s="145" t="inlineStr">
        <is>
          <t>MNL_PPO!A1:AM329</t>
        </is>
      </c>
      <c r="E1670" s="145" t="inlineStr">
        <is>
          <t>Normal</t>
        </is>
      </c>
      <c r="F1670" s="145" t="n"/>
      <c r="G1670" s="145" t="inlineStr">
        <is>
          <t>Cambria</t>
        </is>
      </c>
      <c r="H1670" s="145" t="n">
        <v>8</v>
      </c>
      <c r="I1670" s="145" t="inlineStr">
        <is>
          <t>No</t>
        </is>
      </c>
      <c r="J1670" s="145" t="inlineStr">
        <is>
          <t>No</t>
        </is>
      </c>
      <c r="K1670" s="145" t="inlineStr">
        <is>
          <t>None</t>
        </is>
      </c>
      <c r="L1670" s="145" t="inlineStr">
        <is>
          <t>#000000</t>
        </is>
      </c>
      <c r="M1670" s="145" t="inlineStr">
        <is>
          <t>General</t>
        </is>
      </c>
      <c r="N1670" s="145" t="inlineStr">
        <is>
          <t>Center</t>
        </is>
      </c>
      <c r="O1670" s="145" t="inlineStr">
        <is>
          <t>No</t>
        </is>
      </c>
      <c r="P1670" s="145" t="inlineStr">
        <is>
          <t>General</t>
        </is>
      </c>
      <c r="Q1670" s="145" t="inlineStr">
        <is>
          <t>General</t>
        </is>
      </c>
      <c r="R1670" s="145" t="n"/>
      <c r="S1670" s="145" t="n"/>
      <c r="T1670" s="145" t="n"/>
      <c r="U1670" s="145" t="n"/>
      <c r="V1670" s="145" t="n"/>
      <c r="W1670" s="145" t="n"/>
      <c r="X1670" s="145" t="inlineStr">
        <is>
          <t>Detailed format sample from top five used rows</t>
        </is>
      </c>
    </row>
    <row r="1671" ht="23.85" customHeight="1" s="79">
      <c r="A1671" s="145" t="inlineStr">
        <is>
          <t>MNL_PPO</t>
        </is>
      </c>
      <c r="B1671" s="145" t="inlineStr">
        <is>
          <t>Top-Row Cell Format</t>
        </is>
      </c>
      <c r="C1671" s="145" t="inlineStr">
        <is>
          <t>AC3</t>
        </is>
      </c>
      <c r="D1671" s="145" t="inlineStr">
        <is>
          <t>MNL_PPO!A1:AM329</t>
        </is>
      </c>
      <c r="E1671" s="145" t="inlineStr">
        <is>
          <t>Normal</t>
        </is>
      </c>
      <c r="F1671" s="145" t="n"/>
      <c r="G1671" s="145" t="inlineStr">
        <is>
          <t>Cambria</t>
        </is>
      </c>
      <c r="H1671" s="145" t="n">
        <v>8</v>
      </c>
      <c r="I1671" s="145" t="inlineStr">
        <is>
          <t>No</t>
        </is>
      </c>
      <c r="J1671" s="145" t="inlineStr">
        <is>
          <t>No</t>
        </is>
      </c>
      <c r="K1671" s="145" t="inlineStr">
        <is>
          <t>None</t>
        </is>
      </c>
      <c r="L1671" s="145" t="inlineStr">
        <is>
          <t>#000000</t>
        </is>
      </c>
      <c r="M1671" s="145" t="inlineStr">
        <is>
          <t>General</t>
        </is>
      </c>
      <c r="N1671" s="145" t="inlineStr">
        <is>
          <t>Center</t>
        </is>
      </c>
      <c r="O1671" s="145" t="inlineStr">
        <is>
          <t>No</t>
        </is>
      </c>
      <c r="P1671" s="145" t="inlineStr">
        <is>
          <t>General</t>
        </is>
      </c>
      <c r="Q1671" s="145" t="inlineStr">
        <is>
          <t>General</t>
        </is>
      </c>
      <c r="R1671" s="145" t="n"/>
      <c r="S1671" s="145" t="n"/>
      <c r="T1671" s="145" t="n"/>
      <c r="U1671" s="145" t="n"/>
      <c r="V1671" s="145" t="n"/>
      <c r="W1671" s="145" t="n"/>
      <c r="X1671" s="145" t="inlineStr">
        <is>
          <t>Detailed format sample from top five used rows</t>
        </is>
      </c>
    </row>
    <row r="1672" ht="23.85" customHeight="1" s="79">
      <c r="A1672" s="145" t="inlineStr">
        <is>
          <t>MNL_PPO</t>
        </is>
      </c>
      <c r="B1672" s="145" t="inlineStr">
        <is>
          <t>Top-Row Cell Format</t>
        </is>
      </c>
      <c r="C1672" s="145" t="inlineStr">
        <is>
          <t>AC4</t>
        </is>
      </c>
      <c r="D1672" s="145" t="inlineStr">
        <is>
          <t>MNL_PPO!A1:AM329</t>
        </is>
      </c>
      <c r="E1672" s="145" t="inlineStr">
        <is>
          <t>Normal</t>
        </is>
      </c>
      <c r="F1672" s="145" t="n"/>
      <c r="G1672" s="145" t="inlineStr">
        <is>
          <t>Cambria</t>
        </is>
      </c>
      <c r="H1672" s="145" t="n">
        <v>8</v>
      </c>
      <c r="I1672" s="145" t="inlineStr">
        <is>
          <t>No</t>
        </is>
      </c>
      <c r="J1672" s="145" t="inlineStr">
        <is>
          <t>No</t>
        </is>
      </c>
      <c r="K1672" s="145" t="inlineStr">
        <is>
          <t>None</t>
        </is>
      </c>
      <c r="L1672" s="145" t="inlineStr">
        <is>
          <t>#000000</t>
        </is>
      </c>
      <c r="M1672" s="145" t="inlineStr">
        <is>
          <t>General</t>
        </is>
      </c>
      <c r="N1672" s="145" t="inlineStr">
        <is>
          <t>Center</t>
        </is>
      </c>
      <c r="O1672" s="145" t="inlineStr">
        <is>
          <t>No</t>
        </is>
      </c>
      <c r="P1672" s="145" t="inlineStr">
        <is>
          <t>General</t>
        </is>
      </c>
      <c r="Q1672" s="145" t="inlineStr">
        <is>
          <t>General</t>
        </is>
      </c>
      <c r="R1672" s="145" t="n"/>
      <c r="S1672" s="145" t="n"/>
      <c r="T1672" s="145" t="n"/>
      <c r="U1672" s="145" t="n"/>
      <c r="V1672" s="145" t="n"/>
      <c r="W1672" s="145" t="n"/>
      <c r="X1672" s="145" t="inlineStr">
        <is>
          <t>Detailed format sample from top five used rows</t>
        </is>
      </c>
    </row>
    <row r="1673" ht="23.85" customHeight="1" s="79">
      <c r="A1673" s="145" t="inlineStr">
        <is>
          <t>MNL_PPO</t>
        </is>
      </c>
      <c r="B1673" s="145" t="inlineStr">
        <is>
          <t>Top-Row Cell Format</t>
        </is>
      </c>
      <c r="C1673" s="145" t="inlineStr">
        <is>
          <t>AC5</t>
        </is>
      </c>
      <c r="D1673" s="145" t="inlineStr">
        <is>
          <t>MNL_PPO!A1:AM329</t>
        </is>
      </c>
      <c r="E1673" s="145" t="inlineStr">
        <is>
          <t>Normal</t>
        </is>
      </c>
      <c r="F1673" s="145" t="n"/>
      <c r="G1673" s="145" t="inlineStr">
        <is>
          <t>Cambria</t>
        </is>
      </c>
      <c r="H1673" s="145" t="n">
        <v>8</v>
      </c>
      <c r="I1673" s="145" t="inlineStr">
        <is>
          <t>No</t>
        </is>
      </c>
      <c r="J1673" s="145" t="inlineStr">
        <is>
          <t>No</t>
        </is>
      </c>
      <c r="K1673" s="145" t="inlineStr">
        <is>
          <t>None</t>
        </is>
      </c>
      <c r="L1673" s="145" t="inlineStr">
        <is>
          <t>#000000</t>
        </is>
      </c>
      <c r="M1673" s="145" t="inlineStr">
        <is>
          <t>General</t>
        </is>
      </c>
      <c r="N1673" s="145" t="inlineStr">
        <is>
          <t>Center</t>
        </is>
      </c>
      <c r="O1673" s="145" t="inlineStr">
        <is>
          <t>No</t>
        </is>
      </c>
      <c r="P1673" s="145" t="inlineStr">
        <is>
          <t>General</t>
        </is>
      </c>
      <c r="Q1673" s="145" t="inlineStr">
        <is>
          <t>General</t>
        </is>
      </c>
      <c r="R1673" s="145" t="n"/>
      <c r="S1673" s="145" t="n"/>
      <c r="T1673" s="145" t="n"/>
      <c r="U1673" s="145" t="n"/>
      <c r="V1673" s="145" t="n"/>
      <c r="W1673" s="145" t="n"/>
      <c r="X1673" s="145" t="inlineStr">
        <is>
          <t>Detailed format sample from top five used rows</t>
        </is>
      </c>
    </row>
    <row r="1674" ht="23.85" customHeight="1" s="79">
      <c r="A1674" s="145" t="inlineStr">
        <is>
          <t>MNL_PPO</t>
        </is>
      </c>
      <c r="B1674" s="145" t="inlineStr">
        <is>
          <t>Column Format</t>
        </is>
      </c>
      <c r="C1674" s="145" t="inlineStr">
        <is>
          <t>AD:AD</t>
        </is>
      </c>
      <c r="D1674" s="145" t="inlineStr">
        <is>
          <t>MNL_PPO!A1:AM329</t>
        </is>
      </c>
      <c r="E1674" s="145" t="inlineStr">
        <is>
          <t>Normal</t>
        </is>
      </c>
      <c r="F1674" s="145" t="inlineStr">
        <is>
          <t>Mixed</t>
        </is>
      </c>
      <c r="G1674" s="145" t="inlineStr">
        <is>
          <t>Cambria</t>
        </is>
      </c>
      <c r="H1674" s="145" t="n">
        <v>8</v>
      </c>
      <c r="I1674" s="145" t="inlineStr">
        <is>
          <t>Mixed</t>
        </is>
      </c>
      <c r="J1674" s="145" t="inlineStr">
        <is>
          <t>No</t>
        </is>
      </c>
      <c r="K1674" s="145" t="inlineStr">
        <is>
          <t>None</t>
        </is>
      </c>
      <c r="L1674" s="145" t="inlineStr">
        <is>
          <t>Mixed</t>
        </is>
      </c>
      <c r="M1674" s="145" t="inlineStr">
        <is>
          <t>General</t>
        </is>
      </c>
      <c r="N1674" s="145" t="inlineStr">
        <is>
          <t>Center</t>
        </is>
      </c>
      <c r="O1674" s="145" t="inlineStr">
        <is>
          <t>No</t>
        </is>
      </c>
      <c r="P1674" s="145" t="n"/>
      <c r="Q1674" s="145" t="n"/>
      <c r="R1674" s="145" t="n"/>
      <c r="S1674" s="145" t="n">
        <v>55.3432835820896</v>
      </c>
      <c r="T1674" s="145" t="n"/>
      <c r="U1674" s="145" t="inlineStr">
        <is>
          <t>No</t>
        </is>
      </c>
      <c r="V1674" s="145" t="inlineStr">
        <is>
          <t>Visible</t>
        </is>
      </c>
      <c r="W1674" s="145" t="n"/>
      <c r="X1674" s="145" t="inlineStr">
        <is>
          <t>Mixed styles within used column</t>
        </is>
      </c>
    </row>
    <row r="1675" ht="23.85" customHeight="1" s="79">
      <c r="A1675" s="145" t="inlineStr">
        <is>
          <t>MNL_PPO</t>
        </is>
      </c>
      <c r="B1675" s="145" t="inlineStr">
        <is>
          <t>Top-Row Cell Format</t>
        </is>
      </c>
      <c r="C1675" s="145" t="inlineStr">
        <is>
          <t>AD1</t>
        </is>
      </c>
      <c r="D1675" s="145" t="inlineStr">
        <is>
          <t>MNL_PPO!A1:AM329</t>
        </is>
      </c>
      <c r="E1675" s="145" t="inlineStr">
        <is>
          <t>Normal</t>
        </is>
      </c>
      <c r="F1675" s="145" t="inlineStr">
        <is>
          <t>#70AD47</t>
        </is>
      </c>
      <c r="G1675" s="145" t="inlineStr">
        <is>
          <t>Cambria</t>
        </is>
      </c>
      <c r="H1675" s="145" t="n">
        <v>8</v>
      </c>
      <c r="I1675" s="145" t="inlineStr">
        <is>
          <t>Yes</t>
        </is>
      </c>
      <c r="J1675" s="145" t="inlineStr">
        <is>
          <t>No</t>
        </is>
      </c>
      <c r="K1675" s="145" t="inlineStr">
        <is>
          <t>None</t>
        </is>
      </c>
      <c r="L1675" s="145" t="inlineStr">
        <is>
          <t>#FFFFFF</t>
        </is>
      </c>
      <c r="M1675" s="145" t="inlineStr">
        <is>
          <t>General</t>
        </is>
      </c>
      <c r="N1675" s="145" t="inlineStr">
        <is>
          <t>Center</t>
        </is>
      </c>
      <c r="O1675" s="145" t="inlineStr">
        <is>
          <t>No</t>
        </is>
      </c>
      <c r="P1675" s="145" t="inlineStr">
        <is>
          <t>General</t>
        </is>
      </c>
      <c r="Q1675" s="145" t="inlineStr">
        <is>
          <t>General</t>
        </is>
      </c>
      <c r="R1675" s="145" t="n"/>
      <c r="S1675" s="145" t="n"/>
      <c r="T1675" s="145" t="n"/>
      <c r="U1675" s="145" t="n"/>
      <c r="V1675" s="145" t="n"/>
      <c r="W1675" s="145" t="n"/>
      <c r="X1675" s="145" t="inlineStr">
        <is>
          <t>Detailed format sample from top five used rows</t>
        </is>
      </c>
    </row>
    <row r="1676" ht="23.85" customHeight="1" s="79">
      <c r="A1676" s="145" t="inlineStr">
        <is>
          <t>MNL_PPO</t>
        </is>
      </c>
      <c r="B1676" s="145" t="inlineStr">
        <is>
          <t>Top-Row Cell Format</t>
        </is>
      </c>
      <c r="C1676" s="145" t="inlineStr">
        <is>
          <t>AD2</t>
        </is>
      </c>
      <c r="D1676" s="145" t="inlineStr">
        <is>
          <t>MNL_PPO!A1:AM329</t>
        </is>
      </c>
      <c r="E1676" s="145" t="inlineStr">
        <is>
          <t>Normal</t>
        </is>
      </c>
      <c r="F1676" s="145" t="n"/>
      <c r="G1676" s="145" t="inlineStr">
        <is>
          <t>Cambria</t>
        </is>
      </c>
      <c r="H1676" s="145" t="n">
        <v>8</v>
      </c>
      <c r="I1676" s="145" t="inlineStr">
        <is>
          <t>No</t>
        </is>
      </c>
      <c r="J1676" s="145" t="inlineStr">
        <is>
          <t>No</t>
        </is>
      </c>
      <c r="K1676" s="145" t="inlineStr">
        <is>
          <t>None</t>
        </is>
      </c>
      <c r="L1676" s="145" t="inlineStr">
        <is>
          <t>#000000</t>
        </is>
      </c>
      <c r="M1676" s="145" t="inlineStr">
        <is>
          <t>General</t>
        </is>
      </c>
      <c r="N1676" s="145" t="inlineStr">
        <is>
          <t>Center</t>
        </is>
      </c>
      <c r="O1676" s="145" t="inlineStr">
        <is>
          <t>No</t>
        </is>
      </c>
      <c r="P1676" s="145" t="inlineStr">
        <is>
          <t>General</t>
        </is>
      </c>
      <c r="Q1676" s="145" t="inlineStr">
        <is>
          <t>General</t>
        </is>
      </c>
      <c r="R1676" s="145" t="n"/>
      <c r="S1676" s="145" t="n"/>
      <c r="T1676" s="145" t="n"/>
      <c r="U1676" s="145" t="n"/>
      <c r="V1676" s="145" t="n"/>
      <c r="W1676" s="145" t="n"/>
      <c r="X1676" s="145" t="inlineStr">
        <is>
          <t>Detailed format sample from top five used rows</t>
        </is>
      </c>
    </row>
    <row r="1677" ht="23.85" customHeight="1" s="79">
      <c r="A1677" s="145" t="inlineStr">
        <is>
          <t>MNL_PPO</t>
        </is>
      </c>
      <c r="B1677" s="145" t="inlineStr">
        <is>
          <t>Top-Row Cell Format</t>
        </is>
      </c>
      <c r="C1677" s="145" t="inlineStr">
        <is>
          <t>AD3</t>
        </is>
      </c>
      <c r="D1677" s="145" t="inlineStr">
        <is>
          <t>MNL_PPO!A1:AM329</t>
        </is>
      </c>
      <c r="E1677" s="145" t="inlineStr">
        <is>
          <t>Normal</t>
        </is>
      </c>
      <c r="F1677" s="145" t="n"/>
      <c r="G1677" s="145" t="inlineStr">
        <is>
          <t>Cambria</t>
        </is>
      </c>
      <c r="H1677" s="145" t="n">
        <v>8</v>
      </c>
      <c r="I1677" s="145" t="inlineStr">
        <is>
          <t>No</t>
        </is>
      </c>
      <c r="J1677" s="145" t="inlineStr">
        <is>
          <t>No</t>
        </is>
      </c>
      <c r="K1677" s="145" t="inlineStr">
        <is>
          <t>None</t>
        </is>
      </c>
      <c r="L1677" s="145" t="inlineStr">
        <is>
          <t>#000000</t>
        </is>
      </c>
      <c r="M1677" s="145" t="inlineStr">
        <is>
          <t>General</t>
        </is>
      </c>
      <c r="N1677" s="145" t="inlineStr">
        <is>
          <t>Center</t>
        </is>
      </c>
      <c r="O1677" s="145" t="inlineStr">
        <is>
          <t>No</t>
        </is>
      </c>
      <c r="P1677" s="145" t="inlineStr">
        <is>
          <t>General</t>
        </is>
      </c>
      <c r="Q1677" s="145" t="inlineStr">
        <is>
          <t>General</t>
        </is>
      </c>
      <c r="R1677" s="145" t="n"/>
      <c r="S1677" s="145" t="n"/>
      <c r="T1677" s="145" t="n"/>
      <c r="U1677" s="145" t="n"/>
      <c r="V1677" s="145" t="n"/>
      <c r="W1677" s="145" t="n"/>
      <c r="X1677" s="145" t="inlineStr">
        <is>
          <t>Detailed format sample from top five used rows</t>
        </is>
      </c>
    </row>
    <row r="1678" ht="23.85" customHeight="1" s="79">
      <c r="A1678" s="145" t="inlineStr">
        <is>
          <t>MNL_PPO</t>
        </is>
      </c>
      <c r="B1678" s="145" t="inlineStr">
        <is>
          <t>Top-Row Cell Format</t>
        </is>
      </c>
      <c r="C1678" s="145" t="inlineStr">
        <is>
          <t>AD4</t>
        </is>
      </c>
      <c r="D1678" s="145" t="inlineStr">
        <is>
          <t>MNL_PPO!A1:AM329</t>
        </is>
      </c>
      <c r="E1678" s="145" t="inlineStr">
        <is>
          <t>Normal</t>
        </is>
      </c>
      <c r="F1678" s="145" t="n"/>
      <c r="G1678" s="145" t="inlineStr">
        <is>
          <t>Cambria</t>
        </is>
      </c>
      <c r="H1678" s="145" t="n">
        <v>8</v>
      </c>
      <c r="I1678" s="145" t="inlineStr">
        <is>
          <t>No</t>
        </is>
      </c>
      <c r="J1678" s="145" t="inlineStr">
        <is>
          <t>No</t>
        </is>
      </c>
      <c r="K1678" s="145" t="inlineStr">
        <is>
          <t>None</t>
        </is>
      </c>
      <c r="L1678" s="145" t="inlineStr">
        <is>
          <t>#000000</t>
        </is>
      </c>
      <c r="M1678" s="145" t="inlineStr">
        <is>
          <t>General</t>
        </is>
      </c>
      <c r="N1678" s="145" t="inlineStr">
        <is>
          <t>Center</t>
        </is>
      </c>
      <c r="O1678" s="145" t="inlineStr">
        <is>
          <t>No</t>
        </is>
      </c>
      <c r="P1678" s="145" t="inlineStr">
        <is>
          <t>General</t>
        </is>
      </c>
      <c r="Q1678" s="145" t="inlineStr">
        <is>
          <t>General</t>
        </is>
      </c>
      <c r="R1678" s="145" t="n"/>
      <c r="S1678" s="145" t="n"/>
      <c r="T1678" s="145" t="n"/>
      <c r="U1678" s="145" t="n"/>
      <c r="V1678" s="145" t="n"/>
      <c r="W1678" s="145" t="n"/>
      <c r="X1678" s="145" t="inlineStr">
        <is>
          <t>Detailed format sample from top five used rows</t>
        </is>
      </c>
    </row>
    <row r="1679" ht="23.85" customHeight="1" s="79">
      <c r="A1679" s="145" t="inlineStr">
        <is>
          <t>MNL_PPO</t>
        </is>
      </c>
      <c r="B1679" s="145" t="inlineStr">
        <is>
          <t>Top-Row Cell Format</t>
        </is>
      </c>
      <c r="C1679" s="145" t="inlineStr">
        <is>
          <t>AD5</t>
        </is>
      </c>
      <c r="D1679" s="145" t="inlineStr">
        <is>
          <t>MNL_PPO!A1:AM329</t>
        </is>
      </c>
      <c r="E1679" s="145" t="inlineStr">
        <is>
          <t>Normal</t>
        </is>
      </c>
      <c r="F1679" s="145" t="n"/>
      <c r="G1679" s="145" t="inlineStr">
        <is>
          <t>Cambria</t>
        </is>
      </c>
      <c r="H1679" s="145" t="n">
        <v>8</v>
      </c>
      <c r="I1679" s="145" t="inlineStr">
        <is>
          <t>No</t>
        </is>
      </c>
      <c r="J1679" s="145" t="inlineStr">
        <is>
          <t>No</t>
        </is>
      </c>
      <c r="K1679" s="145" t="inlineStr">
        <is>
          <t>None</t>
        </is>
      </c>
      <c r="L1679" s="145" t="inlineStr">
        <is>
          <t>#000000</t>
        </is>
      </c>
      <c r="M1679" s="145" t="inlineStr">
        <is>
          <t>General</t>
        </is>
      </c>
      <c r="N1679" s="145" t="inlineStr">
        <is>
          <t>Center</t>
        </is>
      </c>
      <c r="O1679" s="145" t="inlineStr">
        <is>
          <t>No</t>
        </is>
      </c>
      <c r="P1679" s="145" t="inlineStr">
        <is>
          <t>General</t>
        </is>
      </c>
      <c r="Q1679" s="145" t="inlineStr">
        <is>
          <t>General</t>
        </is>
      </c>
      <c r="R1679" s="145" t="n"/>
      <c r="S1679" s="145" t="n"/>
      <c r="T1679" s="145" t="n"/>
      <c r="U1679" s="145" t="n"/>
      <c r="V1679" s="145" t="n"/>
      <c r="W1679" s="145" t="n"/>
      <c r="X1679" s="145" t="inlineStr">
        <is>
          <t>Detailed format sample from top five used rows</t>
        </is>
      </c>
    </row>
    <row r="1680" ht="23.85" customHeight="1" s="79">
      <c r="A1680" s="145" t="inlineStr">
        <is>
          <t>MNL_PPO</t>
        </is>
      </c>
      <c r="B1680" s="145" t="inlineStr">
        <is>
          <t>Column Format</t>
        </is>
      </c>
      <c r="C1680" s="145" t="inlineStr">
        <is>
          <t>AE:AE</t>
        </is>
      </c>
      <c r="D1680" s="145" t="inlineStr">
        <is>
          <t>MNL_PPO!A1:AM329</t>
        </is>
      </c>
      <c r="E1680" s="145" t="inlineStr">
        <is>
          <t>Mixed</t>
        </is>
      </c>
      <c r="F1680" s="145" t="inlineStr">
        <is>
          <t>Mixed</t>
        </is>
      </c>
      <c r="G1680" s="145" t="inlineStr">
        <is>
          <t>Cambria</t>
        </is>
      </c>
      <c r="H1680" s="145" t="n">
        <v>8</v>
      </c>
      <c r="I1680" s="145" t="inlineStr">
        <is>
          <t>Mixed</t>
        </is>
      </c>
      <c r="J1680" s="145" t="inlineStr">
        <is>
          <t>No</t>
        </is>
      </c>
      <c r="K1680" s="145" t="inlineStr">
        <is>
          <t>None</t>
        </is>
      </c>
      <c r="L1680" s="145" t="inlineStr">
        <is>
          <t>Mixed</t>
        </is>
      </c>
      <c r="M1680" s="145" t="inlineStr">
        <is>
          <t>Mixed</t>
        </is>
      </c>
      <c r="N1680" s="145" t="inlineStr">
        <is>
          <t>Center</t>
        </is>
      </c>
      <c r="O1680" s="145" t="inlineStr">
        <is>
          <t>No</t>
        </is>
      </c>
      <c r="P1680" s="145" t="n"/>
      <c r="Q1680" s="145" t="n"/>
      <c r="R1680" s="145" t="n"/>
      <c r="S1680" s="145" t="n">
        <v>45.6716417910448</v>
      </c>
      <c r="T1680" s="145" t="n"/>
      <c r="U1680" s="145" t="inlineStr">
        <is>
          <t>No</t>
        </is>
      </c>
      <c r="V1680" s="145" t="inlineStr">
        <is>
          <t>Visible</t>
        </is>
      </c>
      <c r="W1680" s="145" t="n"/>
      <c r="X1680" s="145" t="inlineStr">
        <is>
          <t>Mixed styles within used column</t>
        </is>
      </c>
    </row>
    <row r="1681" ht="23.85" customHeight="1" s="79">
      <c r="A1681" s="145" t="inlineStr">
        <is>
          <t>MNL_PPO</t>
        </is>
      </c>
      <c r="B1681" s="145" t="inlineStr">
        <is>
          <t>Top-Row Cell Format</t>
        </is>
      </c>
      <c r="C1681" s="145" t="inlineStr">
        <is>
          <t>AE1</t>
        </is>
      </c>
      <c r="D1681" s="145" t="inlineStr">
        <is>
          <t>MNL_PPO!A1:AM329</t>
        </is>
      </c>
      <c r="E1681" s="145" t="inlineStr">
        <is>
          <t>Normal</t>
        </is>
      </c>
      <c r="F1681" s="145" t="inlineStr">
        <is>
          <t>#70AD47</t>
        </is>
      </c>
      <c r="G1681" s="145" t="inlineStr">
        <is>
          <t>Cambria</t>
        </is>
      </c>
      <c r="H1681" s="145" t="n">
        <v>8</v>
      </c>
      <c r="I1681" s="145" t="inlineStr">
        <is>
          <t>Yes</t>
        </is>
      </c>
      <c r="J1681" s="145" t="inlineStr">
        <is>
          <t>No</t>
        </is>
      </c>
      <c r="K1681" s="145" t="inlineStr">
        <is>
          <t>None</t>
        </is>
      </c>
      <c r="L1681" s="145" t="inlineStr">
        <is>
          <t>#FFFFFF</t>
        </is>
      </c>
      <c r="M1681" s="145" t="inlineStr">
        <is>
          <t>General</t>
        </is>
      </c>
      <c r="N1681" s="145" t="inlineStr">
        <is>
          <t>Center</t>
        </is>
      </c>
      <c r="O1681" s="145" t="inlineStr">
        <is>
          <t>No</t>
        </is>
      </c>
      <c r="P1681" s="145" t="inlineStr">
        <is>
          <t>General</t>
        </is>
      </c>
      <c r="Q1681" s="145" t="inlineStr">
        <is>
          <t>General</t>
        </is>
      </c>
      <c r="R1681" s="145" t="n"/>
      <c r="S1681" s="145" t="n"/>
      <c r="T1681" s="145" t="n"/>
      <c r="U1681" s="145" t="n"/>
      <c r="V1681" s="145" t="n"/>
      <c r="W1681" s="145" t="n"/>
      <c r="X1681" s="145" t="inlineStr">
        <is>
          <t>Detailed format sample from top five used rows</t>
        </is>
      </c>
    </row>
    <row r="1682" ht="35.05" customHeight="1" s="79">
      <c r="A1682" s="145" t="inlineStr">
        <is>
          <t>MNL_PPO</t>
        </is>
      </c>
      <c r="B1682" s="145" t="inlineStr">
        <is>
          <t>Top-Row Cell Format</t>
        </is>
      </c>
      <c r="C1682" s="145" t="inlineStr">
        <is>
          <t>AE2</t>
        </is>
      </c>
      <c r="D1682" s="145" t="inlineStr">
        <is>
          <t>MNL_PPO!A1:AM329</t>
        </is>
      </c>
      <c r="E1682" s="145" t="inlineStr">
        <is>
          <t>Comma</t>
        </is>
      </c>
      <c r="F1682" s="145" t="n"/>
      <c r="G1682" s="145" t="inlineStr">
        <is>
          <t>Cambria</t>
        </is>
      </c>
      <c r="H1682" s="145" t="n">
        <v>8</v>
      </c>
      <c r="I1682" s="145" t="inlineStr">
        <is>
          <t>No</t>
        </is>
      </c>
      <c r="J1682" s="145" t="inlineStr">
        <is>
          <t>No</t>
        </is>
      </c>
      <c r="K1682" s="145" t="inlineStr">
        <is>
          <t>None</t>
        </is>
      </c>
      <c r="L1682" s="145" t="inlineStr">
        <is>
          <t>#000000</t>
        </is>
      </c>
      <c r="M1682" s="145" t="inlineStr">
        <is>
          <t>Center</t>
        </is>
      </c>
      <c r="N1682" s="145" t="inlineStr">
        <is>
          <t>Center</t>
        </is>
      </c>
      <c r="O1682" s="145" t="inlineStr">
        <is>
          <t>No</t>
        </is>
      </c>
      <c r="P1682" s="145" t="inlineStr">
        <is>
          <t xml:space="preserve">_ * #,##0.00_ ;_ * -#,##0.00_ ;_ * "-"??_ ;_ @_ </t>
        </is>
      </c>
      <c r="Q1682" s="145" t="inlineStr">
        <is>
          <t>Text</t>
        </is>
      </c>
      <c r="R1682" s="145" t="n"/>
      <c r="S1682" s="145" t="n"/>
      <c r="T1682" s="145" t="n"/>
      <c r="U1682" s="145" t="n"/>
      <c r="V1682" s="145" t="n"/>
      <c r="W1682" s="145" t="n"/>
      <c r="X1682" s="145" t="inlineStr">
        <is>
          <t>Detailed format sample from top five used rows</t>
        </is>
      </c>
    </row>
    <row r="1683" ht="35.05" customHeight="1" s="79">
      <c r="A1683" s="145" t="inlineStr">
        <is>
          <t>MNL_PPO</t>
        </is>
      </c>
      <c r="B1683" s="145" t="inlineStr">
        <is>
          <t>Top-Row Cell Format</t>
        </is>
      </c>
      <c r="C1683" s="145" t="inlineStr">
        <is>
          <t>AE3</t>
        </is>
      </c>
      <c r="D1683" s="145" t="inlineStr">
        <is>
          <t>MNL_PPO!A1:AM329</t>
        </is>
      </c>
      <c r="E1683" s="145" t="inlineStr">
        <is>
          <t>Comma</t>
        </is>
      </c>
      <c r="F1683" s="145" t="n"/>
      <c r="G1683" s="145" t="inlineStr">
        <is>
          <t>Cambria</t>
        </is>
      </c>
      <c r="H1683" s="145" t="n">
        <v>8</v>
      </c>
      <c r="I1683" s="145" t="inlineStr">
        <is>
          <t>No</t>
        </is>
      </c>
      <c r="J1683" s="145" t="inlineStr">
        <is>
          <t>No</t>
        </is>
      </c>
      <c r="K1683" s="145" t="inlineStr">
        <is>
          <t>None</t>
        </is>
      </c>
      <c r="L1683" s="145" t="inlineStr">
        <is>
          <t>#000000</t>
        </is>
      </c>
      <c r="M1683" s="145" t="inlineStr">
        <is>
          <t>Center</t>
        </is>
      </c>
      <c r="N1683" s="145" t="inlineStr">
        <is>
          <t>Center</t>
        </is>
      </c>
      <c r="O1683" s="145" t="inlineStr">
        <is>
          <t>No</t>
        </is>
      </c>
      <c r="P1683" s="145" t="inlineStr">
        <is>
          <t xml:space="preserve">_ * #,##0.00_ ;_ * -#,##0.00_ ;_ * "-"??_ ;_ @_ </t>
        </is>
      </c>
      <c r="Q1683" s="145" t="inlineStr">
        <is>
          <t>Text</t>
        </is>
      </c>
      <c r="R1683" s="145" t="n"/>
      <c r="S1683" s="145" t="n"/>
      <c r="T1683" s="145" t="n"/>
      <c r="U1683" s="145" t="n"/>
      <c r="V1683" s="145" t="n"/>
      <c r="W1683" s="145" t="n"/>
      <c r="X1683" s="145" t="inlineStr">
        <is>
          <t>Detailed format sample from top five used rows</t>
        </is>
      </c>
    </row>
    <row r="1684" ht="35.05" customHeight="1" s="79">
      <c r="A1684" s="145" t="inlineStr">
        <is>
          <t>MNL_PPO</t>
        </is>
      </c>
      <c r="B1684" s="145" t="inlineStr">
        <is>
          <t>Top-Row Cell Format</t>
        </is>
      </c>
      <c r="C1684" s="145" t="inlineStr">
        <is>
          <t>AE4</t>
        </is>
      </c>
      <c r="D1684" s="145" t="inlineStr">
        <is>
          <t>MNL_PPO!A1:AM329</t>
        </is>
      </c>
      <c r="E1684" s="145" t="inlineStr">
        <is>
          <t>Comma</t>
        </is>
      </c>
      <c r="F1684" s="145" t="n"/>
      <c r="G1684" s="145" t="inlineStr">
        <is>
          <t>Cambria</t>
        </is>
      </c>
      <c r="H1684" s="145" t="n">
        <v>8</v>
      </c>
      <c r="I1684" s="145" t="inlineStr">
        <is>
          <t>No</t>
        </is>
      </c>
      <c r="J1684" s="145" t="inlineStr">
        <is>
          <t>No</t>
        </is>
      </c>
      <c r="K1684" s="145" t="inlineStr">
        <is>
          <t>None</t>
        </is>
      </c>
      <c r="L1684" s="145" t="inlineStr">
        <is>
          <t>#000000</t>
        </is>
      </c>
      <c r="M1684" s="145" t="inlineStr">
        <is>
          <t>Center</t>
        </is>
      </c>
      <c r="N1684" s="145" t="inlineStr">
        <is>
          <t>Center</t>
        </is>
      </c>
      <c r="O1684" s="145" t="inlineStr">
        <is>
          <t>No</t>
        </is>
      </c>
      <c r="P1684" s="145" t="inlineStr">
        <is>
          <t xml:space="preserve">_ * #,##0.00_ ;_ * -#,##0.00_ ;_ * "-"??_ ;_ @_ </t>
        </is>
      </c>
      <c r="Q1684" s="145" t="inlineStr">
        <is>
          <t>Text</t>
        </is>
      </c>
      <c r="R1684" s="145" t="n"/>
      <c r="S1684" s="145" t="n"/>
      <c r="T1684" s="145" t="n"/>
      <c r="U1684" s="145" t="n"/>
      <c r="V1684" s="145" t="n"/>
      <c r="W1684" s="145" t="n"/>
      <c r="X1684" s="145" t="inlineStr">
        <is>
          <t>Detailed format sample from top five used rows</t>
        </is>
      </c>
    </row>
    <row r="1685" ht="35.05" customHeight="1" s="79">
      <c r="A1685" s="145" t="inlineStr">
        <is>
          <t>MNL_PPO</t>
        </is>
      </c>
      <c r="B1685" s="145" t="inlineStr">
        <is>
          <t>Top-Row Cell Format</t>
        </is>
      </c>
      <c r="C1685" s="145" t="inlineStr">
        <is>
          <t>AE5</t>
        </is>
      </c>
      <c r="D1685" s="145" t="inlineStr">
        <is>
          <t>MNL_PPO!A1:AM329</t>
        </is>
      </c>
      <c r="E1685" s="145" t="inlineStr">
        <is>
          <t>Comma</t>
        </is>
      </c>
      <c r="F1685" s="145" t="n"/>
      <c r="G1685" s="145" t="inlineStr">
        <is>
          <t>Cambria</t>
        </is>
      </c>
      <c r="H1685" s="145" t="n">
        <v>8</v>
      </c>
      <c r="I1685" s="145" t="inlineStr">
        <is>
          <t>No</t>
        </is>
      </c>
      <c r="J1685" s="145" t="inlineStr">
        <is>
          <t>No</t>
        </is>
      </c>
      <c r="K1685" s="145" t="inlineStr">
        <is>
          <t>None</t>
        </is>
      </c>
      <c r="L1685" s="145" t="inlineStr">
        <is>
          <t>#000000</t>
        </is>
      </c>
      <c r="M1685" s="145" t="inlineStr">
        <is>
          <t>Center</t>
        </is>
      </c>
      <c r="N1685" s="145" t="inlineStr">
        <is>
          <t>Center</t>
        </is>
      </c>
      <c r="O1685" s="145" t="inlineStr">
        <is>
          <t>No</t>
        </is>
      </c>
      <c r="P1685" s="145" t="inlineStr">
        <is>
          <t xml:space="preserve">_ * #,##0.00_ ;_ * -#,##0.00_ ;_ * "-"??_ ;_ @_ </t>
        </is>
      </c>
      <c r="Q1685" s="145" t="inlineStr">
        <is>
          <t>Text</t>
        </is>
      </c>
      <c r="R1685" s="145" t="n"/>
      <c r="S1685" s="145" t="n"/>
      <c r="T1685" s="145" t="n"/>
      <c r="U1685" s="145" t="n"/>
      <c r="V1685" s="145" t="n"/>
      <c r="W1685" s="145" t="n"/>
      <c r="X1685" s="145" t="inlineStr">
        <is>
          <t>Detailed format sample from top five used rows</t>
        </is>
      </c>
    </row>
    <row r="1686" ht="23.85" customHeight="1" s="79">
      <c r="A1686" s="145" t="inlineStr">
        <is>
          <t>MNL_PPO</t>
        </is>
      </c>
      <c r="B1686" s="145" t="inlineStr">
        <is>
          <t>Column Format</t>
        </is>
      </c>
      <c r="C1686" s="145" t="inlineStr">
        <is>
          <t>AF:AF</t>
        </is>
      </c>
      <c r="D1686" s="145" t="inlineStr">
        <is>
          <t>MNL_PPO!A1:AM329</t>
        </is>
      </c>
      <c r="E1686" s="145" t="inlineStr">
        <is>
          <t>Mixed</t>
        </is>
      </c>
      <c r="F1686" s="145" t="inlineStr">
        <is>
          <t>Mixed</t>
        </is>
      </c>
      <c r="G1686" s="145" t="inlineStr">
        <is>
          <t>Cambria</t>
        </is>
      </c>
      <c r="H1686" s="145" t="n">
        <v>8</v>
      </c>
      <c r="I1686" s="145" t="inlineStr">
        <is>
          <t>Mixed</t>
        </is>
      </c>
      <c r="J1686" s="145" t="inlineStr">
        <is>
          <t>No</t>
        </is>
      </c>
      <c r="K1686" s="145" t="inlineStr">
        <is>
          <t>None</t>
        </is>
      </c>
      <c r="L1686" s="145" t="inlineStr">
        <is>
          <t>Mixed</t>
        </is>
      </c>
      <c r="M1686" s="145" t="inlineStr">
        <is>
          <t>General</t>
        </is>
      </c>
      <c r="N1686" s="145" t="inlineStr">
        <is>
          <t>Center</t>
        </is>
      </c>
      <c r="O1686" s="145" t="inlineStr">
        <is>
          <t>No</t>
        </is>
      </c>
      <c r="P1686" s="145" t="n"/>
      <c r="Q1686" s="145" t="n"/>
      <c r="R1686" s="145" t="n"/>
      <c r="S1686" s="145" t="n">
        <v>51.044776119403</v>
      </c>
      <c r="T1686" s="145" t="n"/>
      <c r="U1686" s="145" t="inlineStr">
        <is>
          <t>No</t>
        </is>
      </c>
      <c r="V1686" s="145" t="inlineStr">
        <is>
          <t>Visible</t>
        </is>
      </c>
      <c r="W1686" s="145" t="n"/>
      <c r="X1686" s="145" t="inlineStr">
        <is>
          <t>Mixed styles within used column</t>
        </is>
      </c>
    </row>
    <row r="1687" ht="23.85" customHeight="1" s="79">
      <c r="A1687" s="145" t="inlineStr">
        <is>
          <t>MNL_PPO</t>
        </is>
      </c>
      <c r="B1687" s="145" t="inlineStr">
        <is>
          <t>Top-Row Cell Format</t>
        </is>
      </c>
      <c r="C1687" s="145" t="inlineStr">
        <is>
          <t>AF1</t>
        </is>
      </c>
      <c r="D1687" s="145" t="inlineStr">
        <is>
          <t>MNL_PPO!A1:AM329</t>
        </is>
      </c>
      <c r="E1687" s="145" t="inlineStr">
        <is>
          <t>Normal</t>
        </is>
      </c>
      <c r="F1687" s="145" t="inlineStr">
        <is>
          <t>#70AD47</t>
        </is>
      </c>
      <c r="G1687" s="145" t="inlineStr">
        <is>
          <t>Cambria</t>
        </is>
      </c>
      <c r="H1687" s="145" t="n">
        <v>8</v>
      </c>
      <c r="I1687" s="145" t="inlineStr">
        <is>
          <t>Yes</t>
        </is>
      </c>
      <c r="J1687" s="145" t="inlineStr">
        <is>
          <t>No</t>
        </is>
      </c>
      <c r="K1687" s="145" t="inlineStr">
        <is>
          <t>None</t>
        </is>
      </c>
      <c r="L1687" s="145" t="inlineStr">
        <is>
          <t>#FFFFFF</t>
        </is>
      </c>
      <c r="M1687" s="145" t="inlineStr">
        <is>
          <t>General</t>
        </is>
      </c>
      <c r="N1687" s="145" t="inlineStr">
        <is>
          <t>Center</t>
        </is>
      </c>
      <c r="O1687" s="145" t="inlineStr">
        <is>
          <t>No</t>
        </is>
      </c>
      <c r="P1687" s="145" t="inlineStr">
        <is>
          <t>General</t>
        </is>
      </c>
      <c r="Q1687" s="145" t="inlineStr">
        <is>
          <t>General</t>
        </is>
      </c>
      <c r="R1687" s="145" t="n"/>
      <c r="S1687" s="145" t="n"/>
      <c r="T1687" s="145" t="n"/>
      <c r="U1687" s="145" t="n"/>
      <c r="V1687" s="145" t="n"/>
      <c r="W1687" s="145" t="n"/>
      <c r="X1687" s="145" t="inlineStr">
        <is>
          <t>Detailed format sample from top five used rows</t>
        </is>
      </c>
    </row>
    <row r="1688" ht="35.05" customHeight="1" s="79">
      <c r="A1688" s="145" t="inlineStr">
        <is>
          <t>MNL_PPO</t>
        </is>
      </c>
      <c r="B1688" s="145" t="inlineStr">
        <is>
          <t>Top-Row Cell Format</t>
        </is>
      </c>
      <c r="C1688" s="145" t="inlineStr">
        <is>
          <t>AF2</t>
        </is>
      </c>
      <c r="D1688" s="145" t="inlineStr">
        <is>
          <t>MNL_PPO!A1:AM329</t>
        </is>
      </c>
      <c r="E1688" s="145" t="inlineStr">
        <is>
          <t>Comma</t>
        </is>
      </c>
      <c r="F1688" s="145" t="n"/>
      <c r="G1688" s="145" t="inlineStr">
        <is>
          <t>Cambria</t>
        </is>
      </c>
      <c r="H1688" s="145" t="n">
        <v>8</v>
      </c>
      <c r="I1688" s="145" t="inlineStr">
        <is>
          <t>No</t>
        </is>
      </c>
      <c r="J1688" s="145" t="inlineStr">
        <is>
          <t>No</t>
        </is>
      </c>
      <c r="K1688" s="145" t="inlineStr">
        <is>
          <t>None</t>
        </is>
      </c>
      <c r="L1688" s="145" t="inlineStr">
        <is>
          <t>#000000</t>
        </is>
      </c>
      <c r="M1688" s="145" t="inlineStr">
        <is>
          <t>General</t>
        </is>
      </c>
      <c r="N1688" s="145" t="inlineStr">
        <is>
          <t>Center</t>
        </is>
      </c>
      <c r="O1688" s="145" t="inlineStr">
        <is>
          <t>No</t>
        </is>
      </c>
      <c r="P1688" s="145" t="inlineStr">
        <is>
          <t xml:space="preserve">_ * #,##0.00_ ;_ * -#,##0.00_ ;_ * "-"??_ ;_ @_ </t>
        </is>
      </c>
      <c r="Q1688" s="145" t="inlineStr">
        <is>
          <t>Text</t>
        </is>
      </c>
      <c r="R1688" s="145" t="n"/>
      <c r="S1688" s="145" t="n"/>
      <c r="T1688" s="145" t="n"/>
      <c r="U1688" s="145" t="n"/>
      <c r="V1688" s="145" t="n"/>
      <c r="W1688" s="145" t="n"/>
      <c r="X1688" s="145" t="inlineStr">
        <is>
          <t>Detailed format sample from top five used rows</t>
        </is>
      </c>
    </row>
    <row r="1689" ht="35.05" customHeight="1" s="79">
      <c r="A1689" s="145" t="inlineStr">
        <is>
          <t>MNL_PPO</t>
        </is>
      </c>
      <c r="B1689" s="145" t="inlineStr">
        <is>
          <t>Top-Row Cell Format</t>
        </is>
      </c>
      <c r="C1689" s="145" t="inlineStr">
        <is>
          <t>AF3</t>
        </is>
      </c>
      <c r="D1689" s="145" t="inlineStr">
        <is>
          <t>MNL_PPO!A1:AM329</t>
        </is>
      </c>
      <c r="E1689" s="145" t="inlineStr">
        <is>
          <t>Comma</t>
        </is>
      </c>
      <c r="F1689" s="145" t="n"/>
      <c r="G1689" s="145" t="inlineStr">
        <is>
          <t>Cambria</t>
        </is>
      </c>
      <c r="H1689" s="145" t="n">
        <v>8</v>
      </c>
      <c r="I1689" s="145" t="inlineStr">
        <is>
          <t>No</t>
        </is>
      </c>
      <c r="J1689" s="145" t="inlineStr">
        <is>
          <t>No</t>
        </is>
      </c>
      <c r="K1689" s="145" t="inlineStr">
        <is>
          <t>None</t>
        </is>
      </c>
      <c r="L1689" s="145" t="inlineStr">
        <is>
          <t>#000000</t>
        </is>
      </c>
      <c r="M1689" s="145" t="inlineStr">
        <is>
          <t>General</t>
        </is>
      </c>
      <c r="N1689" s="145" t="inlineStr">
        <is>
          <t>Center</t>
        </is>
      </c>
      <c r="O1689" s="145" t="inlineStr">
        <is>
          <t>No</t>
        </is>
      </c>
      <c r="P1689" s="145" t="inlineStr">
        <is>
          <t xml:space="preserve">_ * #,##0.00_ ;_ * -#,##0.00_ ;_ * "-"??_ ;_ @_ </t>
        </is>
      </c>
      <c r="Q1689" s="145" t="inlineStr">
        <is>
          <t>Text</t>
        </is>
      </c>
      <c r="R1689" s="145" t="n"/>
      <c r="S1689" s="145" t="n"/>
      <c r="T1689" s="145" t="n"/>
      <c r="U1689" s="145" t="n"/>
      <c r="V1689" s="145" t="n"/>
      <c r="W1689" s="145" t="n"/>
      <c r="X1689" s="145" t="inlineStr">
        <is>
          <t>Detailed format sample from top five used rows</t>
        </is>
      </c>
    </row>
    <row r="1690" ht="35.05" customHeight="1" s="79">
      <c r="A1690" s="145" t="inlineStr">
        <is>
          <t>MNL_PPO</t>
        </is>
      </c>
      <c r="B1690" s="145" t="inlineStr">
        <is>
          <t>Top-Row Cell Format</t>
        </is>
      </c>
      <c r="C1690" s="145" t="inlineStr">
        <is>
          <t>AF4</t>
        </is>
      </c>
      <c r="D1690" s="145" t="inlineStr">
        <is>
          <t>MNL_PPO!A1:AM329</t>
        </is>
      </c>
      <c r="E1690" s="145" t="inlineStr">
        <is>
          <t>Comma</t>
        </is>
      </c>
      <c r="F1690" s="145" t="n"/>
      <c r="G1690" s="145" t="inlineStr">
        <is>
          <t>Cambria</t>
        </is>
      </c>
      <c r="H1690" s="145" t="n">
        <v>8</v>
      </c>
      <c r="I1690" s="145" t="inlineStr">
        <is>
          <t>No</t>
        </is>
      </c>
      <c r="J1690" s="145" t="inlineStr">
        <is>
          <t>No</t>
        </is>
      </c>
      <c r="K1690" s="145" t="inlineStr">
        <is>
          <t>None</t>
        </is>
      </c>
      <c r="L1690" s="145" t="inlineStr">
        <is>
          <t>#000000</t>
        </is>
      </c>
      <c r="M1690" s="145" t="inlineStr">
        <is>
          <t>General</t>
        </is>
      </c>
      <c r="N1690" s="145" t="inlineStr">
        <is>
          <t>Center</t>
        </is>
      </c>
      <c r="O1690" s="145" t="inlineStr">
        <is>
          <t>No</t>
        </is>
      </c>
      <c r="P1690" s="145" t="inlineStr">
        <is>
          <t xml:space="preserve">_ * #,##0.00_ ;_ * -#,##0.00_ ;_ * "-"??_ ;_ @_ </t>
        </is>
      </c>
      <c r="Q1690" s="145" t="inlineStr">
        <is>
          <t>Text</t>
        </is>
      </c>
      <c r="R1690" s="145" t="n"/>
      <c r="S1690" s="145" t="n"/>
      <c r="T1690" s="145" t="n"/>
      <c r="U1690" s="145" t="n"/>
      <c r="V1690" s="145" t="n"/>
      <c r="W1690" s="145" t="n"/>
      <c r="X1690" s="145" t="inlineStr">
        <is>
          <t>Detailed format sample from top five used rows</t>
        </is>
      </c>
    </row>
    <row r="1691" ht="35.05" customHeight="1" s="79">
      <c r="A1691" s="145" t="inlineStr">
        <is>
          <t>MNL_PPO</t>
        </is>
      </c>
      <c r="B1691" s="145" t="inlineStr">
        <is>
          <t>Top-Row Cell Format</t>
        </is>
      </c>
      <c r="C1691" s="145" t="inlineStr">
        <is>
          <t>AF5</t>
        </is>
      </c>
      <c r="D1691" s="145" t="inlineStr">
        <is>
          <t>MNL_PPO!A1:AM329</t>
        </is>
      </c>
      <c r="E1691" s="145" t="inlineStr">
        <is>
          <t>Comma</t>
        </is>
      </c>
      <c r="F1691" s="145" t="n"/>
      <c r="G1691" s="145" t="inlineStr">
        <is>
          <t>Cambria</t>
        </is>
      </c>
      <c r="H1691" s="145" t="n">
        <v>8</v>
      </c>
      <c r="I1691" s="145" t="inlineStr">
        <is>
          <t>No</t>
        </is>
      </c>
      <c r="J1691" s="145" t="inlineStr">
        <is>
          <t>No</t>
        </is>
      </c>
      <c r="K1691" s="145" t="inlineStr">
        <is>
          <t>None</t>
        </is>
      </c>
      <c r="L1691" s="145" t="inlineStr">
        <is>
          <t>#000000</t>
        </is>
      </c>
      <c r="M1691" s="145" t="inlineStr">
        <is>
          <t>General</t>
        </is>
      </c>
      <c r="N1691" s="145" t="inlineStr">
        <is>
          <t>Center</t>
        </is>
      </c>
      <c r="O1691" s="145" t="inlineStr">
        <is>
          <t>No</t>
        </is>
      </c>
      <c r="P1691" s="145" t="inlineStr">
        <is>
          <t xml:space="preserve">_ * #,##0.00_ ;_ * -#,##0.00_ ;_ * "-"??_ ;_ @_ </t>
        </is>
      </c>
      <c r="Q1691" s="145" t="inlineStr">
        <is>
          <t>Text</t>
        </is>
      </c>
      <c r="R1691" s="145" t="n"/>
      <c r="S1691" s="145" t="n"/>
      <c r="T1691" s="145" t="n"/>
      <c r="U1691" s="145" t="n"/>
      <c r="V1691" s="145" t="n"/>
      <c r="W1691" s="145" t="n"/>
      <c r="X1691" s="145" t="inlineStr">
        <is>
          <t>Detailed format sample from top five used rows</t>
        </is>
      </c>
    </row>
    <row r="1692" ht="23.85" customHeight="1" s="79">
      <c r="A1692" s="145" t="inlineStr">
        <is>
          <t>MNL_PPO</t>
        </is>
      </c>
      <c r="B1692" s="145" t="inlineStr">
        <is>
          <t>Column Format</t>
        </is>
      </c>
      <c r="C1692" s="145" t="inlineStr">
        <is>
          <t>AG:AG</t>
        </is>
      </c>
      <c r="D1692" s="145" t="inlineStr">
        <is>
          <t>MNL_PPO!A1:AM329</t>
        </is>
      </c>
      <c r="E1692" s="145" t="inlineStr">
        <is>
          <t>Mixed</t>
        </is>
      </c>
      <c r="F1692" s="145" t="inlineStr">
        <is>
          <t>Mixed</t>
        </is>
      </c>
      <c r="G1692" s="145" t="inlineStr">
        <is>
          <t>Cambria</t>
        </is>
      </c>
      <c r="H1692" s="145" t="n">
        <v>8</v>
      </c>
      <c r="I1692" s="145" t="inlineStr">
        <is>
          <t>Mixed</t>
        </is>
      </c>
      <c r="J1692" s="145" t="inlineStr">
        <is>
          <t>No</t>
        </is>
      </c>
      <c r="K1692" s="145" t="inlineStr">
        <is>
          <t>None</t>
        </is>
      </c>
      <c r="L1692" s="145" t="inlineStr">
        <is>
          <t>Mixed</t>
        </is>
      </c>
      <c r="M1692" s="145" t="inlineStr">
        <is>
          <t>General</t>
        </is>
      </c>
      <c r="N1692" s="145" t="inlineStr">
        <is>
          <t>Center</t>
        </is>
      </c>
      <c r="O1692" s="145" t="inlineStr">
        <is>
          <t>No</t>
        </is>
      </c>
      <c r="P1692" s="145" t="n"/>
      <c r="Q1692" s="145" t="n"/>
      <c r="R1692" s="145" t="n"/>
      <c r="S1692" s="145" t="n">
        <v>55.3432835820896</v>
      </c>
      <c r="T1692" s="145" t="n"/>
      <c r="U1692" s="145" t="inlineStr">
        <is>
          <t>No</t>
        </is>
      </c>
      <c r="V1692" s="145" t="inlineStr">
        <is>
          <t>Visible</t>
        </is>
      </c>
      <c r="W1692" s="145" t="n"/>
      <c r="X1692" s="145" t="inlineStr">
        <is>
          <t>Mixed styles within used column</t>
        </is>
      </c>
    </row>
    <row r="1693" ht="23.85" customHeight="1" s="79">
      <c r="A1693" s="145" t="inlineStr">
        <is>
          <t>MNL_PPO</t>
        </is>
      </c>
      <c r="B1693" s="145" t="inlineStr">
        <is>
          <t>Top-Row Cell Format</t>
        </is>
      </c>
      <c r="C1693" s="145" t="inlineStr">
        <is>
          <t>AG1</t>
        </is>
      </c>
      <c r="D1693" s="145" t="inlineStr">
        <is>
          <t>MNL_PPO!A1:AM329</t>
        </is>
      </c>
      <c r="E1693" s="145" t="inlineStr">
        <is>
          <t>Normal</t>
        </is>
      </c>
      <c r="F1693" s="145" t="inlineStr">
        <is>
          <t>#70AD47</t>
        </is>
      </c>
      <c r="G1693" s="145" t="inlineStr">
        <is>
          <t>Cambria</t>
        </is>
      </c>
      <c r="H1693" s="145" t="n">
        <v>8</v>
      </c>
      <c r="I1693" s="145" t="inlineStr">
        <is>
          <t>Yes</t>
        </is>
      </c>
      <c r="J1693" s="145" t="inlineStr">
        <is>
          <t>No</t>
        </is>
      </c>
      <c r="K1693" s="145" t="inlineStr">
        <is>
          <t>None</t>
        </is>
      </c>
      <c r="L1693" s="145" t="inlineStr">
        <is>
          <t>#FFFFFF</t>
        </is>
      </c>
      <c r="M1693" s="145" t="inlineStr">
        <is>
          <t>General</t>
        </is>
      </c>
      <c r="N1693" s="145" t="inlineStr">
        <is>
          <t>Center</t>
        </is>
      </c>
      <c r="O1693" s="145" t="inlineStr">
        <is>
          <t>No</t>
        </is>
      </c>
      <c r="P1693" s="145" t="inlineStr">
        <is>
          <t>General</t>
        </is>
      </c>
      <c r="Q1693" s="145" t="inlineStr">
        <is>
          <t>General</t>
        </is>
      </c>
      <c r="R1693" s="145" t="n"/>
      <c r="S1693" s="145" t="n"/>
      <c r="T1693" s="145" t="n"/>
      <c r="U1693" s="145" t="n"/>
      <c r="V1693" s="145" t="n"/>
      <c r="W1693" s="145" t="n"/>
      <c r="X1693" s="145" t="inlineStr">
        <is>
          <t>Detailed format sample from top five used rows</t>
        </is>
      </c>
    </row>
    <row r="1694" ht="35.05" customHeight="1" s="79">
      <c r="A1694" s="145" t="inlineStr">
        <is>
          <t>MNL_PPO</t>
        </is>
      </c>
      <c r="B1694" s="145" t="inlineStr">
        <is>
          <t>Top-Row Cell Format</t>
        </is>
      </c>
      <c r="C1694" s="145" t="inlineStr">
        <is>
          <t>AG2</t>
        </is>
      </c>
      <c r="D1694" s="145" t="inlineStr">
        <is>
          <t>MNL_PPO!A1:AM329</t>
        </is>
      </c>
      <c r="E1694" s="145" t="inlineStr">
        <is>
          <t>Comma</t>
        </is>
      </c>
      <c r="F1694" s="145" t="n"/>
      <c r="G1694" s="145" t="inlineStr">
        <is>
          <t>Cambria</t>
        </is>
      </c>
      <c r="H1694" s="145" t="n">
        <v>8</v>
      </c>
      <c r="I1694" s="145" t="inlineStr">
        <is>
          <t>No</t>
        </is>
      </c>
      <c r="J1694" s="145" t="inlineStr">
        <is>
          <t>No</t>
        </is>
      </c>
      <c r="K1694" s="145" t="inlineStr">
        <is>
          <t>None</t>
        </is>
      </c>
      <c r="L1694" s="145" t="inlineStr">
        <is>
          <t>#000000</t>
        </is>
      </c>
      <c r="M1694" s="145" t="inlineStr">
        <is>
          <t>General</t>
        </is>
      </c>
      <c r="N1694" s="145" t="inlineStr">
        <is>
          <t>Center</t>
        </is>
      </c>
      <c r="O1694" s="145" t="inlineStr">
        <is>
          <t>No</t>
        </is>
      </c>
      <c r="P1694" s="145" t="inlineStr">
        <is>
          <t xml:space="preserve">_ * #,##0.00_ ;_ * -#,##0.00_ ;_ * "-"??_ ;_ @_ </t>
        </is>
      </c>
      <c r="Q1694" s="145" t="inlineStr">
        <is>
          <t>Text</t>
        </is>
      </c>
      <c r="R1694" s="145" t="n"/>
      <c r="S1694" s="145" t="n"/>
      <c r="T1694" s="145" t="n"/>
      <c r="U1694" s="145" t="n"/>
      <c r="V1694" s="145" t="n"/>
      <c r="W1694" s="145" t="n"/>
      <c r="X1694" s="145" t="inlineStr">
        <is>
          <t>Detailed format sample from top five used rows</t>
        </is>
      </c>
    </row>
    <row r="1695" ht="35.05" customHeight="1" s="79">
      <c r="A1695" s="145" t="inlineStr">
        <is>
          <t>MNL_PPO</t>
        </is>
      </c>
      <c r="B1695" s="145" t="inlineStr">
        <is>
          <t>Top-Row Cell Format</t>
        </is>
      </c>
      <c r="C1695" s="145" t="inlineStr">
        <is>
          <t>AG3</t>
        </is>
      </c>
      <c r="D1695" s="145" t="inlineStr">
        <is>
          <t>MNL_PPO!A1:AM329</t>
        </is>
      </c>
      <c r="E1695" s="145" t="inlineStr">
        <is>
          <t>Comma</t>
        </is>
      </c>
      <c r="F1695" s="145" t="n"/>
      <c r="G1695" s="145" t="inlineStr">
        <is>
          <t>Cambria</t>
        </is>
      </c>
      <c r="H1695" s="145" t="n">
        <v>8</v>
      </c>
      <c r="I1695" s="145" t="inlineStr">
        <is>
          <t>No</t>
        </is>
      </c>
      <c r="J1695" s="145" t="inlineStr">
        <is>
          <t>No</t>
        </is>
      </c>
      <c r="K1695" s="145" t="inlineStr">
        <is>
          <t>None</t>
        </is>
      </c>
      <c r="L1695" s="145" t="inlineStr">
        <is>
          <t>#000000</t>
        </is>
      </c>
      <c r="M1695" s="145" t="inlineStr">
        <is>
          <t>General</t>
        </is>
      </c>
      <c r="N1695" s="145" t="inlineStr">
        <is>
          <t>Center</t>
        </is>
      </c>
      <c r="O1695" s="145" t="inlineStr">
        <is>
          <t>No</t>
        </is>
      </c>
      <c r="P1695" s="145" t="inlineStr">
        <is>
          <t xml:space="preserve">_ * #,##0.00_ ;_ * -#,##0.00_ ;_ * "-"??_ ;_ @_ </t>
        </is>
      </c>
      <c r="Q1695" s="145" t="inlineStr">
        <is>
          <t>Text</t>
        </is>
      </c>
      <c r="R1695" s="145" t="n"/>
      <c r="S1695" s="145" t="n"/>
      <c r="T1695" s="145" t="n"/>
      <c r="U1695" s="145" t="n"/>
      <c r="V1695" s="145" t="n"/>
      <c r="W1695" s="145" t="n"/>
      <c r="X1695" s="145" t="inlineStr">
        <is>
          <t>Detailed format sample from top five used rows</t>
        </is>
      </c>
    </row>
    <row r="1696" ht="35.05" customHeight="1" s="79">
      <c r="A1696" s="145" t="inlineStr">
        <is>
          <t>MNL_PPO</t>
        </is>
      </c>
      <c r="B1696" s="145" t="inlineStr">
        <is>
          <t>Top-Row Cell Format</t>
        </is>
      </c>
      <c r="C1696" s="145" t="inlineStr">
        <is>
          <t>AG4</t>
        </is>
      </c>
      <c r="D1696" s="145" t="inlineStr">
        <is>
          <t>MNL_PPO!A1:AM329</t>
        </is>
      </c>
      <c r="E1696" s="145" t="inlineStr">
        <is>
          <t>Comma</t>
        </is>
      </c>
      <c r="F1696" s="145" t="n"/>
      <c r="G1696" s="145" t="inlineStr">
        <is>
          <t>Cambria</t>
        </is>
      </c>
      <c r="H1696" s="145" t="n">
        <v>8</v>
      </c>
      <c r="I1696" s="145" t="inlineStr">
        <is>
          <t>No</t>
        </is>
      </c>
      <c r="J1696" s="145" t="inlineStr">
        <is>
          <t>No</t>
        </is>
      </c>
      <c r="K1696" s="145" t="inlineStr">
        <is>
          <t>None</t>
        </is>
      </c>
      <c r="L1696" s="145" t="inlineStr">
        <is>
          <t>#000000</t>
        </is>
      </c>
      <c r="M1696" s="145" t="inlineStr">
        <is>
          <t>General</t>
        </is>
      </c>
      <c r="N1696" s="145" t="inlineStr">
        <is>
          <t>Center</t>
        </is>
      </c>
      <c r="O1696" s="145" t="inlineStr">
        <is>
          <t>No</t>
        </is>
      </c>
      <c r="P1696" s="145" t="inlineStr">
        <is>
          <t xml:space="preserve">_ * #,##0.00_ ;_ * -#,##0.00_ ;_ * "-"??_ ;_ @_ </t>
        </is>
      </c>
      <c r="Q1696" s="145" t="inlineStr">
        <is>
          <t>Text</t>
        </is>
      </c>
      <c r="R1696" s="145" t="n"/>
      <c r="S1696" s="145" t="n"/>
      <c r="T1696" s="145" t="n"/>
      <c r="U1696" s="145" t="n"/>
      <c r="V1696" s="145" t="n"/>
      <c r="W1696" s="145" t="n"/>
      <c r="X1696" s="145" t="inlineStr">
        <is>
          <t>Detailed format sample from top five used rows</t>
        </is>
      </c>
    </row>
    <row r="1697" ht="35.05" customHeight="1" s="79">
      <c r="A1697" s="145" t="inlineStr">
        <is>
          <t>MNL_PPO</t>
        </is>
      </c>
      <c r="B1697" s="145" t="inlineStr">
        <is>
          <t>Top-Row Cell Format</t>
        </is>
      </c>
      <c r="C1697" s="145" t="inlineStr">
        <is>
          <t>AG5</t>
        </is>
      </c>
      <c r="D1697" s="145" t="inlineStr">
        <is>
          <t>MNL_PPO!A1:AM329</t>
        </is>
      </c>
      <c r="E1697" s="145" t="inlineStr">
        <is>
          <t>Comma</t>
        </is>
      </c>
      <c r="F1697" s="145" t="n"/>
      <c r="G1697" s="145" t="inlineStr">
        <is>
          <t>Cambria</t>
        </is>
      </c>
      <c r="H1697" s="145" t="n">
        <v>8</v>
      </c>
      <c r="I1697" s="145" t="inlineStr">
        <is>
          <t>No</t>
        </is>
      </c>
      <c r="J1697" s="145" t="inlineStr">
        <is>
          <t>No</t>
        </is>
      </c>
      <c r="K1697" s="145" t="inlineStr">
        <is>
          <t>None</t>
        </is>
      </c>
      <c r="L1697" s="145" t="inlineStr">
        <is>
          <t>#000000</t>
        </is>
      </c>
      <c r="M1697" s="145" t="inlineStr">
        <is>
          <t>General</t>
        </is>
      </c>
      <c r="N1697" s="145" t="inlineStr">
        <is>
          <t>Center</t>
        </is>
      </c>
      <c r="O1697" s="145" t="inlineStr">
        <is>
          <t>No</t>
        </is>
      </c>
      <c r="P1697" s="145" t="inlineStr">
        <is>
          <t xml:space="preserve">_ * #,##0.00_ ;_ * -#,##0.00_ ;_ * "-"??_ ;_ @_ </t>
        </is>
      </c>
      <c r="Q1697" s="145" t="inlineStr">
        <is>
          <t>Text</t>
        </is>
      </c>
      <c r="R1697" s="145" t="n"/>
      <c r="S1697" s="145" t="n"/>
      <c r="T1697" s="145" t="n"/>
      <c r="U1697" s="145" t="n"/>
      <c r="V1697" s="145" t="n"/>
      <c r="W1697" s="145" t="n"/>
      <c r="X1697" s="145" t="inlineStr">
        <is>
          <t>Detailed format sample from top five used rows</t>
        </is>
      </c>
    </row>
    <row r="1698" ht="23.85" customHeight="1" s="79">
      <c r="A1698" s="145" t="inlineStr">
        <is>
          <t>MNL_PPO</t>
        </is>
      </c>
      <c r="B1698" s="145" t="inlineStr">
        <is>
          <t>Column Format</t>
        </is>
      </c>
      <c r="C1698" s="145" t="inlineStr">
        <is>
          <t>AH:AH</t>
        </is>
      </c>
      <c r="D1698" s="145" t="inlineStr">
        <is>
          <t>MNL_PPO!A1:AM329</t>
        </is>
      </c>
      <c r="E1698" s="145" t="inlineStr">
        <is>
          <t>Mixed</t>
        </is>
      </c>
      <c r="F1698" s="145" t="inlineStr">
        <is>
          <t>Mixed</t>
        </is>
      </c>
      <c r="G1698" s="145" t="inlineStr">
        <is>
          <t>Cambria</t>
        </is>
      </c>
      <c r="H1698" s="145" t="n">
        <v>8</v>
      </c>
      <c r="I1698" s="145" t="inlineStr">
        <is>
          <t>Mixed</t>
        </is>
      </c>
      <c r="J1698" s="145" t="inlineStr">
        <is>
          <t>No</t>
        </is>
      </c>
      <c r="K1698" s="145" t="inlineStr">
        <is>
          <t>None</t>
        </is>
      </c>
      <c r="L1698" s="145" t="inlineStr">
        <is>
          <t>Mixed</t>
        </is>
      </c>
      <c r="M1698" s="145" t="inlineStr">
        <is>
          <t>Mixed</t>
        </is>
      </c>
      <c r="N1698" s="145" t="inlineStr">
        <is>
          <t>Center</t>
        </is>
      </c>
      <c r="O1698" s="145" t="inlineStr">
        <is>
          <t>No</t>
        </is>
      </c>
      <c r="P1698" s="145" t="n"/>
      <c r="Q1698" s="145" t="n"/>
      <c r="R1698" s="145" t="n"/>
      <c r="S1698" s="145" t="n">
        <v>45.6716417910448</v>
      </c>
      <c r="T1698" s="145" t="n"/>
      <c r="U1698" s="145" t="inlineStr">
        <is>
          <t>No</t>
        </is>
      </c>
      <c r="V1698" s="145" t="inlineStr">
        <is>
          <t>Visible</t>
        </is>
      </c>
      <c r="W1698" s="145" t="n"/>
      <c r="X1698" s="145" t="inlineStr">
        <is>
          <t>Mixed styles within used column</t>
        </is>
      </c>
    </row>
    <row r="1699" ht="23.85" customHeight="1" s="79">
      <c r="A1699" s="145" t="inlineStr">
        <is>
          <t>MNL_PPO</t>
        </is>
      </c>
      <c r="B1699" s="145" t="inlineStr">
        <is>
          <t>Top-Row Cell Format</t>
        </is>
      </c>
      <c r="C1699" s="145" t="inlineStr">
        <is>
          <t>AH1</t>
        </is>
      </c>
      <c r="D1699" s="145" t="inlineStr">
        <is>
          <t>MNL_PPO!A1:AM329</t>
        </is>
      </c>
      <c r="E1699" s="145" t="inlineStr">
        <is>
          <t>Normal</t>
        </is>
      </c>
      <c r="F1699" s="145" t="inlineStr">
        <is>
          <t>#70AD47</t>
        </is>
      </c>
      <c r="G1699" s="145" t="inlineStr">
        <is>
          <t>Cambria</t>
        </is>
      </c>
      <c r="H1699" s="145" t="n">
        <v>8</v>
      </c>
      <c r="I1699" s="145" t="inlineStr">
        <is>
          <t>Yes</t>
        </is>
      </c>
      <c r="J1699" s="145" t="inlineStr">
        <is>
          <t>No</t>
        </is>
      </c>
      <c r="K1699" s="145" t="inlineStr">
        <is>
          <t>None</t>
        </is>
      </c>
      <c r="L1699" s="145" t="inlineStr">
        <is>
          <t>#FFFFFF</t>
        </is>
      </c>
      <c r="M1699" s="145" t="inlineStr">
        <is>
          <t>General</t>
        </is>
      </c>
      <c r="N1699" s="145" t="inlineStr">
        <is>
          <t>Center</t>
        </is>
      </c>
      <c r="O1699" s="145" t="inlineStr">
        <is>
          <t>No</t>
        </is>
      </c>
      <c r="P1699" s="145" t="inlineStr">
        <is>
          <t>General</t>
        </is>
      </c>
      <c r="Q1699" s="145" t="inlineStr">
        <is>
          <t>General</t>
        </is>
      </c>
      <c r="R1699" s="145" t="n"/>
      <c r="S1699" s="145" t="n"/>
      <c r="T1699" s="145" t="n"/>
      <c r="U1699" s="145" t="n"/>
      <c r="V1699" s="145" t="n"/>
      <c r="W1699" s="145" t="n"/>
      <c r="X1699" s="145" t="inlineStr">
        <is>
          <t>Detailed format sample from top five used rows</t>
        </is>
      </c>
    </row>
    <row r="1700" ht="35.05" customHeight="1" s="79">
      <c r="A1700" s="145" t="inlineStr">
        <is>
          <t>MNL_PPO</t>
        </is>
      </c>
      <c r="B1700" s="145" t="inlineStr">
        <is>
          <t>Top-Row Cell Format</t>
        </is>
      </c>
      <c r="C1700" s="145" t="inlineStr">
        <is>
          <t>AH2</t>
        </is>
      </c>
      <c r="D1700" s="145" t="inlineStr">
        <is>
          <t>MNL_PPO!A1:AM329</t>
        </is>
      </c>
      <c r="E1700" s="145" t="inlineStr">
        <is>
          <t>Comma</t>
        </is>
      </c>
      <c r="F1700" s="145" t="n"/>
      <c r="G1700" s="145" t="inlineStr">
        <is>
          <t>Cambria</t>
        </is>
      </c>
      <c r="H1700" s="145" t="n">
        <v>8</v>
      </c>
      <c r="I1700" s="145" t="inlineStr">
        <is>
          <t>No</t>
        </is>
      </c>
      <c r="J1700" s="145" t="inlineStr">
        <is>
          <t>No</t>
        </is>
      </c>
      <c r="K1700" s="145" t="inlineStr">
        <is>
          <t>None</t>
        </is>
      </c>
      <c r="L1700" s="145" t="inlineStr">
        <is>
          <t>#000000</t>
        </is>
      </c>
      <c r="M1700" s="145" t="inlineStr">
        <is>
          <t>Center</t>
        </is>
      </c>
      <c r="N1700" s="145" t="inlineStr">
        <is>
          <t>Center</t>
        </is>
      </c>
      <c r="O1700" s="145" t="inlineStr">
        <is>
          <t>No</t>
        </is>
      </c>
      <c r="P1700" s="145" t="inlineStr">
        <is>
          <t xml:space="preserve">_ * #,##0.00_ ;_ * -#,##0.00_ ;_ * "-"??_ ;_ @_ </t>
        </is>
      </c>
      <c r="Q1700" s="145" t="inlineStr">
        <is>
          <t>Text</t>
        </is>
      </c>
      <c r="R1700" s="145" t="n"/>
      <c r="S1700" s="145" t="n"/>
      <c r="T1700" s="145" t="n"/>
      <c r="U1700" s="145" t="n"/>
      <c r="V1700" s="145" t="n"/>
      <c r="W1700" s="145" t="n"/>
      <c r="X1700" s="145" t="inlineStr">
        <is>
          <t>Detailed format sample from top five used rows</t>
        </is>
      </c>
    </row>
    <row r="1701" ht="35.05" customHeight="1" s="79">
      <c r="A1701" s="145" t="inlineStr">
        <is>
          <t>MNL_PPO</t>
        </is>
      </c>
      <c r="B1701" s="145" t="inlineStr">
        <is>
          <t>Top-Row Cell Format</t>
        </is>
      </c>
      <c r="C1701" s="145" t="inlineStr">
        <is>
          <t>AH3</t>
        </is>
      </c>
      <c r="D1701" s="145" t="inlineStr">
        <is>
          <t>MNL_PPO!A1:AM329</t>
        </is>
      </c>
      <c r="E1701" s="145" t="inlineStr">
        <is>
          <t>Comma</t>
        </is>
      </c>
      <c r="F1701" s="145" t="n"/>
      <c r="G1701" s="145" t="inlineStr">
        <is>
          <t>Cambria</t>
        </is>
      </c>
      <c r="H1701" s="145" t="n">
        <v>8</v>
      </c>
      <c r="I1701" s="145" t="inlineStr">
        <is>
          <t>No</t>
        </is>
      </c>
      <c r="J1701" s="145" t="inlineStr">
        <is>
          <t>No</t>
        </is>
      </c>
      <c r="K1701" s="145" t="inlineStr">
        <is>
          <t>None</t>
        </is>
      </c>
      <c r="L1701" s="145" t="inlineStr">
        <is>
          <t>#000000</t>
        </is>
      </c>
      <c r="M1701" s="145" t="inlineStr">
        <is>
          <t>Center</t>
        </is>
      </c>
      <c r="N1701" s="145" t="inlineStr">
        <is>
          <t>Center</t>
        </is>
      </c>
      <c r="O1701" s="145" t="inlineStr">
        <is>
          <t>No</t>
        </is>
      </c>
      <c r="P1701" s="145" t="inlineStr">
        <is>
          <t xml:space="preserve">_ * #,##0.00_ ;_ * -#,##0.00_ ;_ * "-"??_ ;_ @_ </t>
        </is>
      </c>
      <c r="Q1701" s="145" t="inlineStr">
        <is>
          <t>Text</t>
        </is>
      </c>
      <c r="R1701" s="145" t="n"/>
      <c r="S1701" s="145" t="n"/>
      <c r="T1701" s="145" t="n"/>
      <c r="U1701" s="145" t="n"/>
      <c r="V1701" s="145" t="n"/>
      <c r="W1701" s="145" t="n"/>
      <c r="X1701" s="145" t="inlineStr">
        <is>
          <t>Detailed format sample from top five used rows</t>
        </is>
      </c>
    </row>
    <row r="1702" ht="35.05" customHeight="1" s="79">
      <c r="A1702" s="145" t="inlineStr">
        <is>
          <t>MNL_PPO</t>
        </is>
      </c>
      <c r="B1702" s="145" t="inlineStr">
        <is>
          <t>Top-Row Cell Format</t>
        </is>
      </c>
      <c r="C1702" s="145" t="inlineStr">
        <is>
          <t>AH4</t>
        </is>
      </c>
      <c r="D1702" s="145" t="inlineStr">
        <is>
          <t>MNL_PPO!A1:AM329</t>
        </is>
      </c>
      <c r="E1702" s="145" t="inlineStr">
        <is>
          <t>Comma</t>
        </is>
      </c>
      <c r="F1702" s="145" t="n"/>
      <c r="G1702" s="145" t="inlineStr">
        <is>
          <t>Cambria</t>
        </is>
      </c>
      <c r="H1702" s="145" t="n">
        <v>8</v>
      </c>
      <c r="I1702" s="145" t="inlineStr">
        <is>
          <t>No</t>
        </is>
      </c>
      <c r="J1702" s="145" t="inlineStr">
        <is>
          <t>No</t>
        </is>
      </c>
      <c r="K1702" s="145" t="inlineStr">
        <is>
          <t>None</t>
        </is>
      </c>
      <c r="L1702" s="145" t="inlineStr">
        <is>
          <t>#000000</t>
        </is>
      </c>
      <c r="M1702" s="145" t="inlineStr">
        <is>
          <t>Center</t>
        </is>
      </c>
      <c r="N1702" s="145" t="inlineStr">
        <is>
          <t>Center</t>
        </is>
      </c>
      <c r="O1702" s="145" t="inlineStr">
        <is>
          <t>No</t>
        </is>
      </c>
      <c r="P1702" s="145" t="inlineStr">
        <is>
          <t xml:space="preserve">_ * #,##0.00_ ;_ * -#,##0.00_ ;_ * "-"??_ ;_ @_ </t>
        </is>
      </c>
      <c r="Q1702" s="145" t="inlineStr">
        <is>
          <t>Text</t>
        </is>
      </c>
      <c r="R1702" s="145" t="n"/>
      <c r="S1702" s="145" t="n"/>
      <c r="T1702" s="145" t="n"/>
      <c r="U1702" s="145" t="n"/>
      <c r="V1702" s="145" t="n"/>
      <c r="W1702" s="145" t="n"/>
      <c r="X1702" s="145" t="inlineStr">
        <is>
          <t>Detailed format sample from top five used rows</t>
        </is>
      </c>
    </row>
    <row r="1703" ht="35.05" customHeight="1" s="79">
      <c r="A1703" s="145" t="inlineStr">
        <is>
          <t>MNL_PPO</t>
        </is>
      </c>
      <c r="B1703" s="145" t="inlineStr">
        <is>
          <t>Top-Row Cell Format</t>
        </is>
      </c>
      <c r="C1703" s="145" t="inlineStr">
        <is>
          <t>AH5</t>
        </is>
      </c>
      <c r="D1703" s="145" t="inlineStr">
        <is>
          <t>MNL_PPO!A1:AM329</t>
        </is>
      </c>
      <c r="E1703" s="145" t="inlineStr">
        <is>
          <t>Comma</t>
        </is>
      </c>
      <c r="F1703" s="145" t="n"/>
      <c r="G1703" s="145" t="inlineStr">
        <is>
          <t>Cambria</t>
        </is>
      </c>
      <c r="H1703" s="145" t="n">
        <v>8</v>
      </c>
      <c r="I1703" s="145" t="inlineStr">
        <is>
          <t>No</t>
        </is>
      </c>
      <c r="J1703" s="145" t="inlineStr">
        <is>
          <t>No</t>
        </is>
      </c>
      <c r="K1703" s="145" t="inlineStr">
        <is>
          <t>None</t>
        </is>
      </c>
      <c r="L1703" s="145" t="inlineStr">
        <is>
          <t>#000000</t>
        </is>
      </c>
      <c r="M1703" s="145" t="inlineStr">
        <is>
          <t>Center</t>
        </is>
      </c>
      <c r="N1703" s="145" t="inlineStr">
        <is>
          <t>Center</t>
        </is>
      </c>
      <c r="O1703" s="145" t="inlineStr">
        <is>
          <t>No</t>
        </is>
      </c>
      <c r="P1703" s="145" t="inlineStr">
        <is>
          <t xml:space="preserve">_ * #,##0.00_ ;_ * -#,##0.00_ ;_ * "-"??_ ;_ @_ </t>
        </is>
      </c>
      <c r="Q1703" s="145" t="inlineStr">
        <is>
          <t>Text</t>
        </is>
      </c>
      <c r="R1703" s="145" t="n"/>
      <c r="S1703" s="145" t="n"/>
      <c r="T1703" s="145" t="n"/>
      <c r="U1703" s="145" t="n"/>
      <c r="V1703" s="145" t="n"/>
      <c r="W1703" s="145" t="n"/>
      <c r="X1703" s="145" t="inlineStr">
        <is>
          <t>Detailed format sample from top five used rows</t>
        </is>
      </c>
    </row>
    <row r="1704" ht="23.85" customHeight="1" s="79">
      <c r="A1704" s="145" t="inlineStr">
        <is>
          <t>MNL_PPO</t>
        </is>
      </c>
      <c r="B1704" s="145" t="inlineStr">
        <is>
          <t>Column Format</t>
        </is>
      </c>
      <c r="C1704" s="145" t="inlineStr">
        <is>
          <t>AI:AI</t>
        </is>
      </c>
      <c r="D1704" s="145" t="inlineStr">
        <is>
          <t>MNL_PPO!A1:AM329</t>
        </is>
      </c>
      <c r="E1704" s="145" t="inlineStr">
        <is>
          <t>Mixed</t>
        </is>
      </c>
      <c r="F1704" s="145" t="inlineStr">
        <is>
          <t>Mixed</t>
        </is>
      </c>
      <c r="G1704" s="145" t="inlineStr">
        <is>
          <t>Cambria</t>
        </is>
      </c>
      <c r="H1704" s="145" t="n">
        <v>8</v>
      </c>
      <c r="I1704" s="145" t="inlineStr">
        <is>
          <t>Mixed</t>
        </is>
      </c>
      <c r="J1704" s="145" t="inlineStr">
        <is>
          <t>No</t>
        </is>
      </c>
      <c r="K1704" s="145" t="inlineStr">
        <is>
          <t>None</t>
        </is>
      </c>
      <c r="L1704" s="145" t="inlineStr">
        <is>
          <t>Mixed</t>
        </is>
      </c>
      <c r="M1704" s="145" t="inlineStr">
        <is>
          <t>General</t>
        </is>
      </c>
      <c r="N1704" s="145" t="inlineStr">
        <is>
          <t>Center</t>
        </is>
      </c>
      <c r="O1704" s="145" t="inlineStr">
        <is>
          <t>No</t>
        </is>
      </c>
      <c r="P1704" s="145" t="n"/>
      <c r="Q1704" s="145" t="n"/>
      <c r="R1704" s="145" t="n"/>
      <c r="S1704" s="145" t="n">
        <v>51.044776119403</v>
      </c>
      <c r="T1704" s="145" t="n"/>
      <c r="U1704" s="145" t="inlineStr">
        <is>
          <t>No</t>
        </is>
      </c>
      <c r="V1704" s="145" t="inlineStr">
        <is>
          <t>Visible</t>
        </is>
      </c>
      <c r="W1704" s="145" t="n"/>
      <c r="X1704" s="145" t="inlineStr">
        <is>
          <t>Mixed styles within used column</t>
        </is>
      </c>
    </row>
    <row r="1705" ht="23.85" customHeight="1" s="79">
      <c r="A1705" s="145" t="inlineStr">
        <is>
          <t>MNL_PPO</t>
        </is>
      </c>
      <c r="B1705" s="145" t="inlineStr">
        <is>
          <t>Top-Row Cell Format</t>
        </is>
      </c>
      <c r="C1705" s="145" t="inlineStr">
        <is>
          <t>AI1</t>
        </is>
      </c>
      <c r="D1705" s="145" t="inlineStr">
        <is>
          <t>MNL_PPO!A1:AM329</t>
        </is>
      </c>
      <c r="E1705" s="145" t="inlineStr">
        <is>
          <t>Normal</t>
        </is>
      </c>
      <c r="F1705" s="145" t="inlineStr">
        <is>
          <t>#70AD47</t>
        </is>
      </c>
      <c r="G1705" s="145" t="inlineStr">
        <is>
          <t>Cambria</t>
        </is>
      </c>
      <c r="H1705" s="145" t="n">
        <v>8</v>
      </c>
      <c r="I1705" s="145" t="inlineStr">
        <is>
          <t>Yes</t>
        </is>
      </c>
      <c r="J1705" s="145" t="inlineStr">
        <is>
          <t>No</t>
        </is>
      </c>
      <c r="K1705" s="145" t="inlineStr">
        <is>
          <t>None</t>
        </is>
      </c>
      <c r="L1705" s="145" t="inlineStr">
        <is>
          <t>#FFFFFF</t>
        </is>
      </c>
      <c r="M1705" s="145" t="inlineStr">
        <is>
          <t>General</t>
        </is>
      </c>
      <c r="N1705" s="145" t="inlineStr">
        <is>
          <t>Center</t>
        </is>
      </c>
      <c r="O1705" s="145" t="inlineStr">
        <is>
          <t>No</t>
        </is>
      </c>
      <c r="P1705" s="145" t="inlineStr">
        <is>
          <t>General</t>
        </is>
      </c>
      <c r="Q1705" s="145" t="inlineStr">
        <is>
          <t>General</t>
        </is>
      </c>
      <c r="R1705" s="145" t="n"/>
      <c r="S1705" s="145" t="n"/>
      <c r="T1705" s="145" t="n"/>
      <c r="U1705" s="145" t="n"/>
      <c r="V1705" s="145" t="n"/>
      <c r="W1705" s="145" t="n"/>
      <c r="X1705" s="145" t="inlineStr">
        <is>
          <t>Detailed format sample from top five used rows</t>
        </is>
      </c>
    </row>
    <row r="1706" ht="35.05" customHeight="1" s="79">
      <c r="A1706" s="145" t="inlineStr">
        <is>
          <t>MNL_PPO</t>
        </is>
      </c>
      <c r="B1706" s="145" t="inlineStr">
        <is>
          <t>Top-Row Cell Format</t>
        </is>
      </c>
      <c r="C1706" s="145" t="inlineStr">
        <is>
          <t>AI2</t>
        </is>
      </c>
      <c r="D1706" s="145" t="inlineStr">
        <is>
          <t>MNL_PPO!A1:AM329</t>
        </is>
      </c>
      <c r="E1706" s="145" t="inlineStr">
        <is>
          <t>Comma</t>
        </is>
      </c>
      <c r="F1706" s="145" t="n"/>
      <c r="G1706" s="145" t="inlineStr">
        <is>
          <t>Cambria</t>
        </is>
      </c>
      <c r="H1706" s="145" t="n">
        <v>8</v>
      </c>
      <c r="I1706" s="145" t="inlineStr">
        <is>
          <t>No</t>
        </is>
      </c>
      <c r="J1706" s="145" t="inlineStr">
        <is>
          <t>No</t>
        </is>
      </c>
      <c r="K1706" s="145" t="inlineStr">
        <is>
          <t>None</t>
        </is>
      </c>
      <c r="L1706" s="145" t="inlineStr">
        <is>
          <t>#000000</t>
        </is>
      </c>
      <c r="M1706" s="145" t="inlineStr">
        <is>
          <t>General</t>
        </is>
      </c>
      <c r="N1706" s="145" t="inlineStr">
        <is>
          <t>Center</t>
        </is>
      </c>
      <c r="O1706" s="145" t="inlineStr">
        <is>
          <t>No</t>
        </is>
      </c>
      <c r="P1706" s="145" t="inlineStr">
        <is>
          <t xml:space="preserve">_ * #,##0.00_ ;_ * -#,##0.00_ ;_ * "-"??_ ;_ @_ </t>
        </is>
      </c>
      <c r="Q1706" s="145" t="inlineStr">
        <is>
          <t>Text</t>
        </is>
      </c>
      <c r="R1706" s="145" t="n"/>
      <c r="S1706" s="145" t="n"/>
      <c r="T1706" s="145" t="n"/>
      <c r="U1706" s="145" t="n"/>
      <c r="V1706" s="145" t="n"/>
      <c r="W1706" s="145" t="n"/>
      <c r="X1706" s="145" t="inlineStr">
        <is>
          <t>Detailed format sample from top five used rows</t>
        </is>
      </c>
    </row>
    <row r="1707" ht="35.05" customHeight="1" s="79">
      <c r="A1707" s="145" t="inlineStr">
        <is>
          <t>MNL_PPO</t>
        </is>
      </c>
      <c r="B1707" s="145" t="inlineStr">
        <is>
          <t>Top-Row Cell Format</t>
        </is>
      </c>
      <c r="C1707" s="145" t="inlineStr">
        <is>
          <t>AI3</t>
        </is>
      </c>
      <c r="D1707" s="145" t="inlineStr">
        <is>
          <t>MNL_PPO!A1:AM329</t>
        </is>
      </c>
      <c r="E1707" s="145" t="inlineStr">
        <is>
          <t>Comma</t>
        </is>
      </c>
      <c r="F1707" s="145" t="n"/>
      <c r="G1707" s="145" t="inlineStr">
        <is>
          <t>Cambria</t>
        </is>
      </c>
      <c r="H1707" s="145" t="n">
        <v>8</v>
      </c>
      <c r="I1707" s="145" t="inlineStr">
        <is>
          <t>No</t>
        </is>
      </c>
      <c r="J1707" s="145" t="inlineStr">
        <is>
          <t>No</t>
        </is>
      </c>
      <c r="K1707" s="145" t="inlineStr">
        <is>
          <t>None</t>
        </is>
      </c>
      <c r="L1707" s="145" t="inlineStr">
        <is>
          <t>#000000</t>
        </is>
      </c>
      <c r="M1707" s="145" t="inlineStr">
        <is>
          <t>General</t>
        </is>
      </c>
      <c r="N1707" s="145" t="inlineStr">
        <is>
          <t>Center</t>
        </is>
      </c>
      <c r="O1707" s="145" t="inlineStr">
        <is>
          <t>No</t>
        </is>
      </c>
      <c r="P1707" s="145" t="inlineStr">
        <is>
          <t xml:space="preserve">_ * #,##0.00_ ;_ * -#,##0.00_ ;_ * "-"??_ ;_ @_ </t>
        </is>
      </c>
      <c r="Q1707" s="145" t="inlineStr">
        <is>
          <t>Text</t>
        </is>
      </c>
      <c r="R1707" s="145" t="n"/>
      <c r="S1707" s="145" t="n"/>
      <c r="T1707" s="145" t="n"/>
      <c r="U1707" s="145" t="n"/>
      <c r="V1707" s="145" t="n"/>
      <c r="W1707" s="145" t="n"/>
      <c r="X1707" s="145" t="inlineStr">
        <is>
          <t>Detailed format sample from top five used rows</t>
        </is>
      </c>
    </row>
    <row r="1708" ht="35.05" customHeight="1" s="79">
      <c r="A1708" s="145" t="inlineStr">
        <is>
          <t>MNL_PPO</t>
        </is>
      </c>
      <c r="B1708" s="145" t="inlineStr">
        <is>
          <t>Top-Row Cell Format</t>
        </is>
      </c>
      <c r="C1708" s="145" t="inlineStr">
        <is>
          <t>AI4</t>
        </is>
      </c>
      <c r="D1708" s="145" t="inlineStr">
        <is>
          <t>MNL_PPO!A1:AM329</t>
        </is>
      </c>
      <c r="E1708" s="145" t="inlineStr">
        <is>
          <t>Comma</t>
        </is>
      </c>
      <c r="F1708" s="145" t="n"/>
      <c r="G1708" s="145" t="inlineStr">
        <is>
          <t>Cambria</t>
        </is>
      </c>
      <c r="H1708" s="145" t="n">
        <v>8</v>
      </c>
      <c r="I1708" s="145" t="inlineStr">
        <is>
          <t>No</t>
        </is>
      </c>
      <c r="J1708" s="145" t="inlineStr">
        <is>
          <t>No</t>
        </is>
      </c>
      <c r="K1708" s="145" t="inlineStr">
        <is>
          <t>None</t>
        </is>
      </c>
      <c r="L1708" s="145" t="inlineStr">
        <is>
          <t>#000000</t>
        </is>
      </c>
      <c r="M1708" s="145" t="inlineStr">
        <is>
          <t>General</t>
        </is>
      </c>
      <c r="N1708" s="145" t="inlineStr">
        <is>
          <t>Center</t>
        </is>
      </c>
      <c r="O1708" s="145" t="inlineStr">
        <is>
          <t>No</t>
        </is>
      </c>
      <c r="P1708" s="145" t="inlineStr">
        <is>
          <t xml:space="preserve">_ * #,##0.00_ ;_ * -#,##0.00_ ;_ * "-"??_ ;_ @_ </t>
        </is>
      </c>
      <c r="Q1708" s="145" t="inlineStr">
        <is>
          <t>Text</t>
        </is>
      </c>
      <c r="R1708" s="145" t="n"/>
      <c r="S1708" s="145" t="n"/>
      <c r="T1708" s="145" t="n"/>
      <c r="U1708" s="145" t="n"/>
      <c r="V1708" s="145" t="n"/>
      <c r="W1708" s="145" t="n"/>
      <c r="X1708" s="145" t="inlineStr">
        <is>
          <t>Detailed format sample from top five used rows</t>
        </is>
      </c>
    </row>
    <row r="1709" ht="35.05" customHeight="1" s="79">
      <c r="A1709" s="145" t="inlineStr">
        <is>
          <t>MNL_PPO</t>
        </is>
      </c>
      <c r="B1709" s="145" t="inlineStr">
        <is>
          <t>Top-Row Cell Format</t>
        </is>
      </c>
      <c r="C1709" s="145" t="inlineStr">
        <is>
          <t>AI5</t>
        </is>
      </c>
      <c r="D1709" s="145" t="inlineStr">
        <is>
          <t>MNL_PPO!A1:AM329</t>
        </is>
      </c>
      <c r="E1709" s="145" t="inlineStr">
        <is>
          <t>Comma</t>
        </is>
      </c>
      <c r="F1709" s="145" t="n"/>
      <c r="G1709" s="145" t="inlineStr">
        <is>
          <t>Cambria</t>
        </is>
      </c>
      <c r="H1709" s="145" t="n">
        <v>8</v>
      </c>
      <c r="I1709" s="145" t="inlineStr">
        <is>
          <t>No</t>
        </is>
      </c>
      <c r="J1709" s="145" t="inlineStr">
        <is>
          <t>No</t>
        </is>
      </c>
      <c r="K1709" s="145" t="inlineStr">
        <is>
          <t>None</t>
        </is>
      </c>
      <c r="L1709" s="145" t="inlineStr">
        <is>
          <t>#000000</t>
        </is>
      </c>
      <c r="M1709" s="145" t="inlineStr">
        <is>
          <t>General</t>
        </is>
      </c>
      <c r="N1709" s="145" t="inlineStr">
        <is>
          <t>Center</t>
        </is>
      </c>
      <c r="O1709" s="145" t="inlineStr">
        <is>
          <t>No</t>
        </is>
      </c>
      <c r="P1709" s="145" t="inlineStr">
        <is>
          <t xml:space="preserve">_ * #,##0.00_ ;_ * -#,##0.00_ ;_ * "-"??_ ;_ @_ </t>
        </is>
      </c>
      <c r="Q1709" s="145" t="inlineStr">
        <is>
          <t>Text</t>
        </is>
      </c>
      <c r="R1709" s="145" t="n"/>
      <c r="S1709" s="145" t="n"/>
      <c r="T1709" s="145" t="n"/>
      <c r="U1709" s="145" t="n"/>
      <c r="V1709" s="145" t="n"/>
      <c r="W1709" s="145" t="n"/>
      <c r="X1709" s="145" t="inlineStr">
        <is>
          <t>Detailed format sample from top five used rows</t>
        </is>
      </c>
    </row>
    <row r="1710" ht="23.85" customHeight="1" s="79">
      <c r="A1710" s="145" t="inlineStr">
        <is>
          <t>MNL_PPO</t>
        </is>
      </c>
      <c r="B1710" s="145" t="inlineStr">
        <is>
          <t>Column Format</t>
        </is>
      </c>
      <c r="C1710" s="145" t="inlineStr">
        <is>
          <t>AJ:AJ</t>
        </is>
      </c>
      <c r="D1710" s="145" t="inlineStr">
        <is>
          <t>MNL_PPO!A1:AM329</t>
        </is>
      </c>
      <c r="E1710" s="145" t="inlineStr">
        <is>
          <t>Mixed</t>
        </is>
      </c>
      <c r="F1710" s="145" t="inlineStr">
        <is>
          <t>Mixed</t>
        </is>
      </c>
      <c r="G1710" s="145" t="inlineStr">
        <is>
          <t>Cambria</t>
        </is>
      </c>
      <c r="H1710" s="145" t="n">
        <v>8</v>
      </c>
      <c r="I1710" s="145" t="inlineStr">
        <is>
          <t>Mixed</t>
        </is>
      </c>
      <c r="J1710" s="145" t="inlineStr">
        <is>
          <t>No</t>
        </is>
      </c>
      <c r="K1710" s="145" t="inlineStr">
        <is>
          <t>None</t>
        </is>
      </c>
      <c r="L1710" s="145" t="inlineStr">
        <is>
          <t>Mixed</t>
        </is>
      </c>
      <c r="M1710" s="145" t="inlineStr">
        <is>
          <t>General</t>
        </is>
      </c>
      <c r="N1710" s="145" t="inlineStr">
        <is>
          <t>Center</t>
        </is>
      </c>
      <c r="O1710" s="145" t="inlineStr">
        <is>
          <t>No</t>
        </is>
      </c>
      <c r="P1710" s="145" t="n"/>
      <c r="Q1710" s="145" t="n"/>
      <c r="R1710" s="145" t="n"/>
      <c r="S1710" s="145" t="n">
        <v>55.3432835820896</v>
      </c>
      <c r="T1710" s="145" t="n"/>
      <c r="U1710" s="145" t="inlineStr">
        <is>
          <t>No</t>
        </is>
      </c>
      <c r="V1710" s="145" t="inlineStr">
        <is>
          <t>Visible</t>
        </is>
      </c>
      <c r="W1710" s="145" t="n"/>
      <c r="X1710" s="145" t="inlineStr">
        <is>
          <t>Mixed styles within used column</t>
        </is>
      </c>
    </row>
    <row r="1711" ht="23.85" customHeight="1" s="79">
      <c r="A1711" s="145" t="inlineStr">
        <is>
          <t>MNL_PPO</t>
        </is>
      </c>
      <c r="B1711" s="145" t="inlineStr">
        <is>
          <t>Top-Row Cell Format</t>
        </is>
      </c>
      <c r="C1711" s="145" t="inlineStr">
        <is>
          <t>AJ1</t>
        </is>
      </c>
      <c r="D1711" s="145" t="inlineStr">
        <is>
          <t>MNL_PPO!A1:AM329</t>
        </is>
      </c>
      <c r="E1711" s="145" t="inlineStr">
        <is>
          <t>Normal</t>
        </is>
      </c>
      <c r="F1711" s="145" t="inlineStr">
        <is>
          <t>#70AD47</t>
        </is>
      </c>
      <c r="G1711" s="145" t="inlineStr">
        <is>
          <t>Cambria</t>
        </is>
      </c>
      <c r="H1711" s="145" t="n">
        <v>8</v>
      </c>
      <c r="I1711" s="145" t="inlineStr">
        <is>
          <t>Yes</t>
        </is>
      </c>
      <c r="J1711" s="145" t="inlineStr">
        <is>
          <t>No</t>
        </is>
      </c>
      <c r="K1711" s="145" t="inlineStr">
        <is>
          <t>None</t>
        </is>
      </c>
      <c r="L1711" s="145" t="inlineStr">
        <is>
          <t>#FFFFFF</t>
        </is>
      </c>
      <c r="M1711" s="145" t="inlineStr">
        <is>
          <t>General</t>
        </is>
      </c>
      <c r="N1711" s="145" t="inlineStr">
        <is>
          <t>Center</t>
        </is>
      </c>
      <c r="O1711" s="145" t="inlineStr">
        <is>
          <t>No</t>
        </is>
      </c>
      <c r="P1711" s="145" t="inlineStr">
        <is>
          <t>General</t>
        </is>
      </c>
      <c r="Q1711" s="145" t="inlineStr">
        <is>
          <t>General</t>
        </is>
      </c>
      <c r="R1711" s="145" t="n"/>
      <c r="S1711" s="145" t="n"/>
      <c r="T1711" s="145" t="n"/>
      <c r="U1711" s="145" t="n"/>
      <c r="V1711" s="145" t="n"/>
      <c r="W1711" s="145" t="n"/>
      <c r="X1711" s="145" t="inlineStr">
        <is>
          <t>Detailed format sample from top five used rows</t>
        </is>
      </c>
    </row>
    <row r="1712" ht="35.05" customHeight="1" s="79">
      <c r="A1712" s="145" t="inlineStr">
        <is>
          <t>MNL_PPO</t>
        </is>
      </c>
      <c r="B1712" s="145" t="inlineStr">
        <is>
          <t>Top-Row Cell Format</t>
        </is>
      </c>
      <c r="C1712" s="145" t="inlineStr">
        <is>
          <t>AJ2</t>
        </is>
      </c>
      <c r="D1712" s="145" t="inlineStr">
        <is>
          <t>MNL_PPO!A1:AM329</t>
        </is>
      </c>
      <c r="E1712" s="145" t="inlineStr">
        <is>
          <t>Comma</t>
        </is>
      </c>
      <c r="F1712" s="145" t="n"/>
      <c r="G1712" s="145" t="inlineStr">
        <is>
          <t>Cambria</t>
        </is>
      </c>
      <c r="H1712" s="145" t="n">
        <v>8</v>
      </c>
      <c r="I1712" s="145" t="inlineStr">
        <is>
          <t>No</t>
        </is>
      </c>
      <c r="J1712" s="145" t="inlineStr">
        <is>
          <t>No</t>
        </is>
      </c>
      <c r="K1712" s="145" t="inlineStr">
        <is>
          <t>None</t>
        </is>
      </c>
      <c r="L1712" s="145" t="inlineStr">
        <is>
          <t>#000000</t>
        </is>
      </c>
      <c r="M1712" s="145" t="inlineStr">
        <is>
          <t>General</t>
        </is>
      </c>
      <c r="N1712" s="145" t="inlineStr">
        <is>
          <t>Center</t>
        </is>
      </c>
      <c r="O1712" s="145" t="inlineStr">
        <is>
          <t>No</t>
        </is>
      </c>
      <c r="P1712" s="145" t="inlineStr">
        <is>
          <t xml:space="preserve">_ * #,##0.00_ ;_ * -#,##0.00_ ;_ * "-"??_ ;_ @_ </t>
        </is>
      </c>
      <c r="Q1712" s="145" t="inlineStr">
        <is>
          <t>Text</t>
        </is>
      </c>
      <c r="R1712" s="145" t="n"/>
      <c r="S1712" s="145" t="n"/>
      <c r="T1712" s="145" t="n"/>
      <c r="U1712" s="145" t="n"/>
      <c r="V1712" s="145" t="n"/>
      <c r="W1712" s="145" t="n"/>
      <c r="X1712" s="145" t="inlineStr">
        <is>
          <t>Detailed format sample from top five used rows</t>
        </is>
      </c>
    </row>
    <row r="1713" ht="35.05" customHeight="1" s="79">
      <c r="A1713" s="145" t="inlineStr">
        <is>
          <t>MNL_PPO</t>
        </is>
      </c>
      <c r="B1713" s="145" t="inlineStr">
        <is>
          <t>Top-Row Cell Format</t>
        </is>
      </c>
      <c r="C1713" s="145" t="inlineStr">
        <is>
          <t>AJ3</t>
        </is>
      </c>
      <c r="D1713" s="145" t="inlineStr">
        <is>
          <t>MNL_PPO!A1:AM329</t>
        </is>
      </c>
      <c r="E1713" s="145" t="inlineStr">
        <is>
          <t>Comma</t>
        </is>
      </c>
      <c r="F1713" s="145" t="n"/>
      <c r="G1713" s="145" t="inlineStr">
        <is>
          <t>Cambria</t>
        </is>
      </c>
      <c r="H1713" s="145" t="n">
        <v>8</v>
      </c>
      <c r="I1713" s="145" t="inlineStr">
        <is>
          <t>No</t>
        </is>
      </c>
      <c r="J1713" s="145" t="inlineStr">
        <is>
          <t>No</t>
        </is>
      </c>
      <c r="K1713" s="145" t="inlineStr">
        <is>
          <t>None</t>
        </is>
      </c>
      <c r="L1713" s="145" t="inlineStr">
        <is>
          <t>#000000</t>
        </is>
      </c>
      <c r="M1713" s="145" t="inlineStr">
        <is>
          <t>General</t>
        </is>
      </c>
      <c r="N1713" s="145" t="inlineStr">
        <is>
          <t>Center</t>
        </is>
      </c>
      <c r="O1713" s="145" t="inlineStr">
        <is>
          <t>No</t>
        </is>
      </c>
      <c r="P1713" s="145" t="inlineStr">
        <is>
          <t xml:space="preserve">_ * #,##0.00_ ;_ * -#,##0.00_ ;_ * "-"??_ ;_ @_ </t>
        </is>
      </c>
      <c r="Q1713" s="145" t="inlineStr">
        <is>
          <t>Text</t>
        </is>
      </c>
      <c r="R1713" s="145" t="n"/>
      <c r="S1713" s="145" t="n"/>
      <c r="T1713" s="145" t="n"/>
      <c r="U1713" s="145" t="n"/>
      <c r="V1713" s="145" t="n"/>
      <c r="W1713" s="145" t="n"/>
      <c r="X1713" s="145" t="inlineStr">
        <is>
          <t>Detailed format sample from top five used rows</t>
        </is>
      </c>
    </row>
    <row r="1714" ht="35.05" customHeight="1" s="79">
      <c r="A1714" s="145" t="inlineStr">
        <is>
          <t>MNL_PPO</t>
        </is>
      </c>
      <c r="B1714" s="145" t="inlineStr">
        <is>
          <t>Top-Row Cell Format</t>
        </is>
      </c>
      <c r="C1714" s="145" t="inlineStr">
        <is>
          <t>AJ4</t>
        </is>
      </c>
      <c r="D1714" s="145" t="inlineStr">
        <is>
          <t>MNL_PPO!A1:AM329</t>
        </is>
      </c>
      <c r="E1714" s="145" t="inlineStr">
        <is>
          <t>Comma</t>
        </is>
      </c>
      <c r="F1714" s="145" t="n"/>
      <c r="G1714" s="145" t="inlineStr">
        <is>
          <t>Cambria</t>
        </is>
      </c>
      <c r="H1714" s="145" t="n">
        <v>8</v>
      </c>
      <c r="I1714" s="145" t="inlineStr">
        <is>
          <t>No</t>
        </is>
      </c>
      <c r="J1714" s="145" t="inlineStr">
        <is>
          <t>No</t>
        </is>
      </c>
      <c r="K1714" s="145" t="inlineStr">
        <is>
          <t>None</t>
        </is>
      </c>
      <c r="L1714" s="145" t="inlineStr">
        <is>
          <t>#000000</t>
        </is>
      </c>
      <c r="M1714" s="145" t="inlineStr">
        <is>
          <t>General</t>
        </is>
      </c>
      <c r="N1714" s="145" t="inlineStr">
        <is>
          <t>Center</t>
        </is>
      </c>
      <c r="O1714" s="145" t="inlineStr">
        <is>
          <t>No</t>
        </is>
      </c>
      <c r="P1714" s="145" t="inlineStr">
        <is>
          <t xml:space="preserve">_ * #,##0.00_ ;_ * -#,##0.00_ ;_ * "-"??_ ;_ @_ </t>
        </is>
      </c>
      <c r="Q1714" s="145" t="inlineStr">
        <is>
          <t>Text</t>
        </is>
      </c>
      <c r="R1714" s="145" t="n"/>
      <c r="S1714" s="145" t="n"/>
      <c r="T1714" s="145" t="n"/>
      <c r="U1714" s="145" t="n"/>
      <c r="V1714" s="145" t="n"/>
      <c r="W1714" s="145" t="n"/>
      <c r="X1714" s="145" t="inlineStr">
        <is>
          <t>Detailed format sample from top five used rows</t>
        </is>
      </c>
    </row>
    <row r="1715" ht="35.05" customHeight="1" s="79">
      <c r="A1715" s="145" t="inlineStr">
        <is>
          <t>MNL_PPO</t>
        </is>
      </c>
      <c r="B1715" s="145" t="inlineStr">
        <is>
          <t>Top-Row Cell Format</t>
        </is>
      </c>
      <c r="C1715" s="145" t="inlineStr">
        <is>
          <t>AJ5</t>
        </is>
      </c>
      <c r="D1715" s="145" t="inlineStr">
        <is>
          <t>MNL_PPO!A1:AM329</t>
        </is>
      </c>
      <c r="E1715" s="145" t="inlineStr">
        <is>
          <t>Comma</t>
        </is>
      </c>
      <c r="F1715" s="145" t="n"/>
      <c r="G1715" s="145" t="inlineStr">
        <is>
          <t>Cambria</t>
        </is>
      </c>
      <c r="H1715" s="145" t="n">
        <v>8</v>
      </c>
      <c r="I1715" s="145" t="inlineStr">
        <is>
          <t>No</t>
        </is>
      </c>
      <c r="J1715" s="145" t="inlineStr">
        <is>
          <t>No</t>
        </is>
      </c>
      <c r="K1715" s="145" t="inlineStr">
        <is>
          <t>None</t>
        </is>
      </c>
      <c r="L1715" s="145" t="inlineStr">
        <is>
          <t>#000000</t>
        </is>
      </c>
      <c r="M1715" s="145" t="inlineStr">
        <is>
          <t>General</t>
        </is>
      </c>
      <c r="N1715" s="145" t="inlineStr">
        <is>
          <t>Center</t>
        </is>
      </c>
      <c r="O1715" s="145" t="inlineStr">
        <is>
          <t>No</t>
        </is>
      </c>
      <c r="P1715" s="145" t="inlineStr">
        <is>
          <t xml:space="preserve">_ * #,##0.00_ ;_ * -#,##0.00_ ;_ * "-"??_ ;_ @_ </t>
        </is>
      </c>
      <c r="Q1715" s="145" t="inlineStr">
        <is>
          <t>Text</t>
        </is>
      </c>
      <c r="R1715" s="145" t="n"/>
      <c r="S1715" s="145" t="n"/>
      <c r="T1715" s="145" t="n"/>
      <c r="U1715" s="145" t="n"/>
      <c r="V1715" s="145" t="n"/>
      <c r="W1715" s="145" t="n"/>
      <c r="X1715" s="145" t="inlineStr">
        <is>
          <t>Detailed format sample from top five used rows</t>
        </is>
      </c>
    </row>
    <row r="1716" ht="23.85" customHeight="1" s="79">
      <c r="A1716" s="145" t="inlineStr">
        <is>
          <t>MNL_PPO</t>
        </is>
      </c>
      <c r="B1716" s="145" t="inlineStr">
        <is>
          <t>Column Format</t>
        </is>
      </c>
      <c r="C1716" s="145" t="inlineStr">
        <is>
          <t>AK:AK</t>
        </is>
      </c>
      <c r="D1716" s="145" t="inlineStr">
        <is>
          <t>MNL_PPO!A1:AM329</t>
        </is>
      </c>
      <c r="E1716" s="145" t="inlineStr">
        <is>
          <t>Normal</t>
        </is>
      </c>
      <c r="F1716" s="145" t="inlineStr">
        <is>
          <t>Mixed</t>
        </is>
      </c>
      <c r="G1716" s="145" t="inlineStr">
        <is>
          <t>Cambria</t>
        </is>
      </c>
      <c r="H1716" s="145" t="n">
        <v>8</v>
      </c>
      <c r="I1716" s="145" t="inlineStr">
        <is>
          <t>Mixed</t>
        </is>
      </c>
      <c r="J1716" s="145" t="inlineStr">
        <is>
          <t>No</t>
        </is>
      </c>
      <c r="K1716" s="145" t="inlineStr">
        <is>
          <t>None</t>
        </is>
      </c>
      <c r="L1716" s="145" t="inlineStr">
        <is>
          <t>Mixed</t>
        </is>
      </c>
      <c r="M1716" s="145" t="inlineStr">
        <is>
          <t>Mixed</t>
        </is>
      </c>
      <c r="N1716" s="145" t="inlineStr">
        <is>
          <t>Center</t>
        </is>
      </c>
      <c r="O1716" s="145" t="inlineStr">
        <is>
          <t>No</t>
        </is>
      </c>
      <c r="P1716" s="145" t="n"/>
      <c r="Q1716" s="145" t="n"/>
      <c r="R1716" s="145" t="n"/>
      <c r="S1716" s="145" t="n">
        <v>47.2835820895522</v>
      </c>
      <c r="T1716" s="145" t="n"/>
      <c r="U1716" s="145" t="inlineStr">
        <is>
          <t>No</t>
        </is>
      </c>
      <c r="V1716" s="145" t="inlineStr">
        <is>
          <t>Visible</t>
        </is>
      </c>
      <c r="W1716" s="145" t="n"/>
      <c r="X1716" s="145" t="inlineStr">
        <is>
          <t>Mixed styles within used column</t>
        </is>
      </c>
    </row>
    <row r="1717" ht="23.85" customHeight="1" s="79">
      <c r="A1717" s="145" t="inlineStr">
        <is>
          <t>MNL_PPO</t>
        </is>
      </c>
      <c r="B1717" s="145" t="inlineStr">
        <is>
          <t>Top-Row Cell Format</t>
        </is>
      </c>
      <c r="C1717" s="145" t="inlineStr">
        <is>
          <t>AK1</t>
        </is>
      </c>
      <c r="D1717" s="145" t="inlineStr">
        <is>
          <t>MNL_PPO!A1:AM329</t>
        </is>
      </c>
      <c r="E1717" s="145" t="inlineStr">
        <is>
          <t>Normal</t>
        </is>
      </c>
      <c r="F1717" s="145" t="inlineStr">
        <is>
          <t>#70AD47</t>
        </is>
      </c>
      <c r="G1717" s="145" t="inlineStr">
        <is>
          <t>Cambria</t>
        </is>
      </c>
      <c r="H1717" s="145" t="n">
        <v>8</v>
      </c>
      <c r="I1717" s="145" t="inlineStr">
        <is>
          <t>Yes</t>
        </is>
      </c>
      <c r="J1717" s="145" t="inlineStr">
        <is>
          <t>No</t>
        </is>
      </c>
      <c r="K1717" s="145" t="inlineStr">
        <is>
          <t>None</t>
        </is>
      </c>
      <c r="L1717" s="145" t="inlineStr">
        <is>
          <t>#FFFFFF</t>
        </is>
      </c>
      <c r="M1717" s="145" t="inlineStr">
        <is>
          <t>Center</t>
        </is>
      </c>
      <c r="N1717" s="145" t="inlineStr">
        <is>
          <t>Center</t>
        </is>
      </c>
      <c r="O1717" s="145" t="inlineStr">
        <is>
          <t>No</t>
        </is>
      </c>
      <c r="P1717" s="145" t="inlineStr">
        <is>
          <t>General</t>
        </is>
      </c>
      <c r="Q1717" s="145" t="inlineStr">
        <is>
          <t>General</t>
        </is>
      </c>
      <c r="R1717" s="145" t="n"/>
      <c r="S1717" s="145" t="n"/>
      <c r="T1717" s="145" t="n"/>
      <c r="U1717" s="145" t="n"/>
      <c r="V1717" s="145" t="n"/>
      <c r="W1717" s="145" t="n"/>
      <c r="X1717" s="145" t="inlineStr">
        <is>
          <t>Detailed format sample from top five used rows</t>
        </is>
      </c>
    </row>
    <row r="1718" ht="23.85" customHeight="1" s="79">
      <c r="A1718" s="145" t="inlineStr">
        <is>
          <t>MNL_PPO</t>
        </is>
      </c>
      <c r="B1718" s="145" t="inlineStr">
        <is>
          <t>Top-Row Cell Format</t>
        </is>
      </c>
      <c r="C1718" s="145" t="inlineStr">
        <is>
          <t>AK2</t>
        </is>
      </c>
      <c r="D1718" s="145" t="inlineStr">
        <is>
          <t>MNL_PPO!A1:AM329</t>
        </is>
      </c>
      <c r="E1718" s="145" t="inlineStr">
        <is>
          <t>Normal</t>
        </is>
      </c>
      <c r="F1718" s="145" t="n"/>
      <c r="G1718" s="145" t="inlineStr">
        <is>
          <t>Cambria</t>
        </is>
      </c>
      <c r="H1718" s="145" t="n">
        <v>8</v>
      </c>
      <c r="I1718" s="145" t="inlineStr">
        <is>
          <t>No</t>
        </is>
      </c>
      <c r="J1718" s="145" t="inlineStr">
        <is>
          <t>No</t>
        </is>
      </c>
      <c r="K1718" s="145" t="inlineStr">
        <is>
          <t>None</t>
        </is>
      </c>
      <c r="L1718" s="145" t="inlineStr">
        <is>
          <t>#000000</t>
        </is>
      </c>
      <c r="M1718" s="145" t="inlineStr">
        <is>
          <t>General</t>
        </is>
      </c>
      <c r="N1718" s="145" t="inlineStr">
        <is>
          <t>Center</t>
        </is>
      </c>
      <c r="O1718" s="145" t="inlineStr">
        <is>
          <t>No</t>
        </is>
      </c>
      <c r="P1718" s="145" t="inlineStr">
        <is>
          <t>General</t>
        </is>
      </c>
      <c r="Q1718" s="145" t="inlineStr">
        <is>
          <t>General</t>
        </is>
      </c>
      <c r="R1718" s="145" t="n"/>
      <c r="S1718" s="145" t="n"/>
      <c r="T1718" s="145" t="n"/>
      <c r="U1718" s="145" t="n"/>
      <c r="V1718" s="145" t="n"/>
      <c r="W1718" s="145" t="n"/>
      <c r="X1718" s="145" t="inlineStr">
        <is>
          <t>Detailed format sample from top five used rows</t>
        </is>
      </c>
    </row>
    <row r="1719" ht="23.85" customHeight="1" s="79">
      <c r="A1719" s="145" t="inlineStr">
        <is>
          <t>MNL_PPO</t>
        </is>
      </c>
      <c r="B1719" s="145" t="inlineStr">
        <is>
          <t>Top-Row Cell Format</t>
        </is>
      </c>
      <c r="C1719" s="145" t="inlineStr">
        <is>
          <t>AK3</t>
        </is>
      </c>
      <c r="D1719" s="145" t="inlineStr">
        <is>
          <t>MNL_PPO!A1:AM329</t>
        </is>
      </c>
      <c r="E1719" s="145" t="inlineStr">
        <is>
          <t>Normal</t>
        </is>
      </c>
      <c r="F1719" s="145" t="n"/>
      <c r="G1719" s="145" t="inlineStr">
        <is>
          <t>Cambria</t>
        </is>
      </c>
      <c r="H1719" s="145" t="n">
        <v>8</v>
      </c>
      <c r="I1719" s="145" t="inlineStr">
        <is>
          <t>No</t>
        </is>
      </c>
      <c r="J1719" s="145" t="inlineStr">
        <is>
          <t>No</t>
        </is>
      </c>
      <c r="K1719" s="145" t="inlineStr">
        <is>
          <t>None</t>
        </is>
      </c>
      <c r="L1719" s="145" t="inlineStr">
        <is>
          <t>#000000</t>
        </is>
      </c>
      <c r="M1719" s="145" t="inlineStr">
        <is>
          <t>General</t>
        </is>
      </c>
      <c r="N1719" s="145" t="inlineStr">
        <is>
          <t>Center</t>
        </is>
      </c>
      <c r="O1719" s="145" t="inlineStr">
        <is>
          <t>No</t>
        </is>
      </c>
      <c r="P1719" s="145" t="inlineStr">
        <is>
          <t>General</t>
        </is>
      </c>
      <c r="Q1719" s="145" t="inlineStr">
        <is>
          <t>General</t>
        </is>
      </c>
      <c r="R1719" s="145" t="n"/>
      <c r="S1719" s="145" t="n"/>
      <c r="T1719" s="145" t="n"/>
      <c r="U1719" s="145" t="n"/>
      <c r="V1719" s="145" t="n"/>
      <c r="W1719" s="145" t="n"/>
      <c r="X1719" s="145" t="inlineStr">
        <is>
          <t>Detailed format sample from top five used rows</t>
        </is>
      </c>
    </row>
    <row r="1720" ht="23.85" customHeight="1" s="79">
      <c r="A1720" s="145" t="inlineStr">
        <is>
          <t>MNL_PPO</t>
        </is>
      </c>
      <c r="B1720" s="145" t="inlineStr">
        <is>
          <t>Top-Row Cell Format</t>
        </is>
      </c>
      <c r="C1720" s="145" t="inlineStr">
        <is>
          <t>AK4</t>
        </is>
      </c>
      <c r="D1720" s="145" t="inlineStr">
        <is>
          <t>MNL_PPO!A1:AM329</t>
        </is>
      </c>
      <c r="E1720" s="145" t="inlineStr">
        <is>
          <t>Normal</t>
        </is>
      </c>
      <c r="F1720" s="145" t="n"/>
      <c r="G1720" s="145" t="inlineStr">
        <is>
          <t>Cambria</t>
        </is>
      </c>
      <c r="H1720" s="145" t="n">
        <v>8</v>
      </c>
      <c r="I1720" s="145" t="inlineStr">
        <is>
          <t>No</t>
        </is>
      </c>
      <c r="J1720" s="145" t="inlineStr">
        <is>
          <t>No</t>
        </is>
      </c>
      <c r="K1720" s="145" t="inlineStr">
        <is>
          <t>None</t>
        </is>
      </c>
      <c r="L1720" s="145" t="inlineStr">
        <is>
          <t>#000000</t>
        </is>
      </c>
      <c r="M1720" s="145" t="inlineStr">
        <is>
          <t>General</t>
        </is>
      </c>
      <c r="N1720" s="145" t="inlineStr">
        <is>
          <t>Center</t>
        </is>
      </c>
      <c r="O1720" s="145" t="inlineStr">
        <is>
          <t>No</t>
        </is>
      </c>
      <c r="P1720" s="145" t="inlineStr">
        <is>
          <t>General</t>
        </is>
      </c>
      <c r="Q1720" s="145" t="inlineStr">
        <is>
          <t>General</t>
        </is>
      </c>
      <c r="R1720" s="145" t="n"/>
      <c r="S1720" s="145" t="n"/>
      <c r="T1720" s="145" t="n"/>
      <c r="U1720" s="145" t="n"/>
      <c r="V1720" s="145" t="n"/>
      <c r="W1720" s="145" t="n"/>
      <c r="X1720" s="145" t="inlineStr">
        <is>
          <t>Detailed format sample from top five used rows</t>
        </is>
      </c>
    </row>
    <row r="1721" ht="23.85" customHeight="1" s="79">
      <c r="A1721" s="145" t="inlineStr">
        <is>
          <t>MNL_PPO</t>
        </is>
      </c>
      <c r="B1721" s="145" t="inlineStr">
        <is>
          <t>Top-Row Cell Format</t>
        </is>
      </c>
      <c r="C1721" s="145" t="inlineStr">
        <is>
          <t>AK5</t>
        </is>
      </c>
      <c r="D1721" s="145" t="inlineStr">
        <is>
          <t>MNL_PPO!A1:AM329</t>
        </is>
      </c>
      <c r="E1721" s="145" t="inlineStr">
        <is>
          <t>Normal</t>
        </is>
      </c>
      <c r="F1721" s="145" t="n"/>
      <c r="G1721" s="145" t="inlineStr">
        <is>
          <t>Cambria</t>
        </is>
      </c>
      <c r="H1721" s="145" t="n">
        <v>8</v>
      </c>
      <c r="I1721" s="145" t="inlineStr">
        <is>
          <t>No</t>
        </is>
      </c>
      <c r="J1721" s="145" t="inlineStr">
        <is>
          <t>No</t>
        </is>
      </c>
      <c r="K1721" s="145" t="inlineStr">
        <is>
          <t>None</t>
        </is>
      </c>
      <c r="L1721" s="145" t="inlineStr">
        <is>
          <t>#000000</t>
        </is>
      </c>
      <c r="M1721" s="145" t="inlineStr">
        <is>
          <t>General</t>
        </is>
      </c>
      <c r="N1721" s="145" t="inlineStr">
        <is>
          <t>Center</t>
        </is>
      </c>
      <c r="O1721" s="145" t="inlineStr">
        <is>
          <t>No</t>
        </is>
      </c>
      <c r="P1721" s="145" t="inlineStr">
        <is>
          <t>General</t>
        </is>
      </c>
      <c r="Q1721" s="145" t="inlineStr">
        <is>
          <t>General</t>
        </is>
      </c>
      <c r="R1721" s="145" t="n"/>
      <c r="S1721" s="145" t="n"/>
      <c r="T1721" s="145" t="n"/>
      <c r="U1721" s="145" t="n"/>
      <c r="V1721" s="145" t="n"/>
      <c r="W1721" s="145" t="n"/>
      <c r="X1721" s="145" t="inlineStr">
        <is>
          <t>Detailed format sample from top five used rows</t>
        </is>
      </c>
    </row>
    <row r="1722" ht="23.85" customHeight="1" s="79">
      <c r="A1722" s="145" t="inlineStr">
        <is>
          <t>MNL_PPO</t>
        </is>
      </c>
      <c r="B1722" s="145" t="inlineStr">
        <is>
          <t>Column Format</t>
        </is>
      </c>
      <c r="C1722" s="145" t="inlineStr">
        <is>
          <t>AL:AL</t>
        </is>
      </c>
      <c r="D1722" s="145" t="inlineStr">
        <is>
          <t>MNL_PPO!A1:AM329</t>
        </is>
      </c>
      <c r="E1722" s="145" t="inlineStr">
        <is>
          <t>Mixed</t>
        </is>
      </c>
      <c r="F1722" s="145" t="inlineStr">
        <is>
          <t>Mixed</t>
        </is>
      </c>
      <c r="G1722" s="145" t="inlineStr">
        <is>
          <t>Cambria</t>
        </is>
      </c>
      <c r="H1722" s="145" t="n">
        <v>8</v>
      </c>
      <c r="I1722" s="145" t="inlineStr">
        <is>
          <t>Mixed</t>
        </is>
      </c>
      <c r="J1722" s="145" t="inlineStr">
        <is>
          <t>No</t>
        </is>
      </c>
      <c r="K1722" s="145" t="inlineStr">
        <is>
          <t>None</t>
        </is>
      </c>
      <c r="L1722" s="145" t="inlineStr">
        <is>
          <t>Mixed</t>
        </is>
      </c>
      <c r="M1722" s="145" t="inlineStr">
        <is>
          <t>General</t>
        </is>
      </c>
      <c r="N1722" s="145" t="inlineStr">
        <is>
          <t>Center</t>
        </is>
      </c>
      <c r="O1722" s="145" t="inlineStr">
        <is>
          <t>No</t>
        </is>
      </c>
      <c r="P1722" s="145" t="n"/>
      <c r="Q1722" s="145" t="n"/>
      <c r="R1722" s="145" t="n"/>
      <c r="S1722" s="145" t="n">
        <v>63.4029850746269</v>
      </c>
      <c r="T1722" s="145" t="n"/>
      <c r="U1722" s="145" t="inlineStr">
        <is>
          <t>No</t>
        </is>
      </c>
      <c r="V1722" s="145" t="inlineStr">
        <is>
          <t>Visible</t>
        </is>
      </c>
      <c r="W1722" s="145" t="n"/>
      <c r="X1722" s="145" t="inlineStr">
        <is>
          <t>Mixed styles within used column</t>
        </is>
      </c>
    </row>
    <row r="1723" ht="23.85" customHeight="1" s="79">
      <c r="A1723" s="145" t="inlineStr">
        <is>
          <t>MNL_PPO</t>
        </is>
      </c>
      <c r="B1723" s="145" t="inlineStr">
        <is>
          <t>Top-Row Cell Format</t>
        </is>
      </c>
      <c r="C1723" s="145" t="inlineStr">
        <is>
          <t>AL1</t>
        </is>
      </c>
      <c r="D1723" s="145" t="inlineStr">
        <is>
          <t>MNL_PPO!A1:AM329</t>
        </is>
      </c>
      <c r="E1723" s="145" t="inlineStr">
        <is>
          <t>Normal</t>
        </is>
      </c>
      <c r="F1723" s="145" t="inlineStr">
        <is>
          <t>#70AD47</t>
        </is>
      </c>
      <c r="G1723" s="145" t="inlineStr">
        <is>
          <t>Cambria</t>
        </is>
      </c>
      <c r="H1723" s="145" t="n">
        <v>8</v>
      </c>
      <c r="I1723" s="145" t="inlineStr">
        <is>
          <t>Yes</t>
        </is>
      </c>
      <c r="J1723" s="145" t="inlineStr">
        <is>
          <t>No</t>
        </is>
      </c>
      <c r="K1723" s="145" t="inlineStr">
        <is>
          <t>None</t>
        </is>
      </c>
      <c r="L1723" s="145" t="inlineStr">
        <is>
          <t>#FFFFFF</t>
        </is>
      </c>
      <c r="M1723" s="145" t="inlineStr">
        <is>
          <t>General</t>
        </is>
      </c>
      <c r="N1723" s="145" t="inlineStr">
        <is>
          <t>Center</t>
        </is>
      </c>
      <c r="O1723" s="145" t="inlineStr">
        <is>
          <t>No</t>
        </is>
      </c>
      <c r="P1723" s="145" t="inlineStr">
        <is>
          <t>General</t>
        </is>
      </c>
      <c r="Q1723" s="145" t="inlineStr">
        <is>
          <t>General</t>
        </is>
      </c>
      <c r="R1723" s="145" t="n"/>
      <c r="S1723" s="145" t="n"/>
      <c r="T1723" s="145" t="n"/>
      <c r="U1723" s="145" t="n"/>
      <c r="V1723" s="145" t="n"/>
      <c r="W1723" s="145" t="n"/>
      <c r="X1723" s="145" t="inlineStr">
        <is>
          <t>Detailed format sample from top five used rows</t>
        </is>
      </c>
    </row>
    <row r="1724" ht="23.85" customHeight="1" s="79">
      <c r="A1724" s="145" t="inlineStr">
        <is>
          <t>MNL_PPO</t>
        </is>
      </c>
      <c r="B1724" s="145" t="inlineStr">
        <is>
          <t>Top-Row Cell Format</t>
        </is>
      </c>
      <c r="C1724" s="145" t="inlineStr">
        <is>
          <t>AL2</t>
        </is>
      </c>
      <c r="D1724" s="145" t="inlineStr">
        <is>
          <t>MNL_PPO!A1:AM329</t>
        </is>
      </c>
      <c r="E1724" s="145" t="inlineStr">
        <is>
          <t>Comma</t>
        </is>
      </c>
      <c r="F1724" s="145" t="n"/>
      <c r="G1724" s="145" t="inlineStr">
        <is>
          <t>Cambria</t>
        </is>
      </c>
      <c r="H1724" s="145" t="n">
        <v>8</v>
      </c>
      <c r="I1724" s="145" t="inlineStr">
        <is>
          <t>No</t>
        </is>
      </c>
      <c r="J1724" s="145" t="inlineStr">
        <is>
          <t>No</t>
        </is>
      </c>
      <c r="K1724" s="145" t="inlineStr">
        <is>
          <t>None</t>
        </is>
      </c>
      <c r="L1724" s="145" t="inlineStr">
        <is>
          <t>#000000</t>
        </is>
      </c>
      <c r="M1724" s="145" t="inlineStr">
        <is>
          <t>General</t>
        </is>
      </c>
      <c r="N1724" s="145" t="inlineStr">
        <is>
          <t>Center</t>
        </is>
      </c>
      <c r="O1724" s="145" t="inlineStr">
        <is>
          <t>No</t>
        </is>
      </c>
      <c r="P1724" s="145" t="inlineStr">
        <is>
          <t xml:space="preserve">_ * #,##0_ ;_ * -#,##0_ ;_ * "-"??_ ;_ @_ </t>
        </is>
      </c>
      <c r="Q1724" s="145" t="inlineStr">
        <is>
          <t>Text</t>
        </is>
      </c>
      <c r="R1724" s="145" t="n"/>
      <c r="S1724" s="145" t="n"/>
      <c r="T1724" s="145" t="n"/>
      <c r="U1724" s="145" t="n"/>
      <c r="V1724" s="145" t="n"/>
      <c r="W1724" s="145" t="n"/>
      <c r="X1724" s="145" t="inlineStr">
        <is>
          <t>Detailed format sample from top five used rows</t>
        </is>
      </c>
    </row>
    <row r="1725" ht="23.85" customHeight="1" s="79">
      <c r="A1725" s="145" t="inlineStr">
        <is>
          <t>MNL_PPO</t>
        </is>
      </c>
      <c r="B1725" s="145" t="inlineStr">
        <is>
          <t>Top-Row Cell Format</t>
        </is>
      </c>
      <c r="C1725" s="145" t="inlineStr">
        <is>
          <t>AL3</t>
        </is>
      </c>
      <c r="D1725" s="145" t="inlineStr">
        <is>
          <t>MNL_PPO!A1:AM329</t>
        </is>
      </c>
      <c r="E1725" s="145" t="inlineStr">
        <is>
          <t>Comma</t>
        </is>
      </c>
      <c r="F1725" s="145" t="n"/>
      <c r="G1725" s="145" t="inlineStr">
        <is>
          <t>Cambria</t>
        </is>
      </c>
      <c r="H1725" s="145" t="n">
        <v>8</v>
      </c>
      <c r="I1725" s="145" t="inlineStr">
        <is>
          <t>No</t>
        </is>
      </c>
      <c r="J1725" s="145" t="inlineStr">
        <is>
          <t>No</t>
        </is>
      </c>
      <c r="K1725" s="145" t="inlineStr">
        <is>
          <t>None</t>
        </is>
      </c>
      <c r="L1725" s="145" t="inlineStr">
        <is>
          <t>#000000</t>
        </is>
      </c>
      <c r="M1725" s="145" t="inlineStr">
        <is>
          <t>General</t>
        </is>
      </c>
      <c r="N1725" s="145" t="inlineStr">
        <is>
          <t>Center</t>
        </is>
      </c>
      <c r="O1725" s="145" t="inlineStr">
        <is>
          <t>No</t>
        </is>
      </c>
      <c r="P1725" s="145" t="inlineStr">
        <is>
          <t xml:space="preserve">_ * #,##0_ ;_ * -#,##0_ ;_ * "-"??_ ;_ @_ </t>
        </is>
      </c>
      <c r="Q1725" s="145" t="inlineStr">
        <is>
          <t>Text</t>
        </is>
      </c>
      <c r="R1725" s="145" t="n"/>
      <c r="S1725" s="145" t="n"/>
      <c r="T1725" s="145" t="n"/>
      <c r="U1725" s="145" t="n"/>
      <c r="V1725" s="145" t="n"/>
      <c r="W1725" s="145" t="n"/>
      <c r="X1725" s="145" t="inlineStr">
        <is>
          <t>Detailed format sample from top five used rows</t>
        </is>
      </c>
    </row>
    <row r="1726" ht="23.85" customHeight="1" s="79">
      <c r="A1726" s="145" t="inlineStr">
        <is>
          <t>MNL_PPO</t>
        </is>
      </c>
      <c r="B1726" s="145" t="inlineStr">
        <is>
          <t>Top-Row Cell Format</t>
        </is>
      </c>
      <c r="C1726" s="145" t="inlineStr">
        <is>
          <t>AL4</t>
        </is>
      </c>
      <c r="D1726" s="145" t="inlineStr">
        <is>
          <t>MNL_PPO!A1:AM329</t>
        </is>
      </c>
      <c r="E1726" s="145" t="inlineStr">
        <is>
          <t>Comma</t>
        </is>
      </c>
      <c r="F1726" s="145" t="n"/>
      <c r="G1726" s="145" t="inlineStr">
        <is>
          <t>Cambria</t>
        </is>
      </c>
      <c r="H1726" s="145" t="n">
        <v>8</v>
      </c>
      <c r="I1726" s="145" t="inlineStr">
        <is>
          <t>No</t>
        </is>
      </c>
      <c r="J1726" s="145" t="inlineStr">
        <is>
          <t>No</t>
        </is>
      </c>
      <c r="K1726" s="145" t="inlineStr">
        <is>
          <t>None</t>
        </is>
      </c>
      <c r="L1726" s="145" t="inlineStr">
        <is>
          <t>#000000</t>
        </is>
      </c>
      <c r="M1726" s="145" t="inlineStr">
        <is>
          <t>General</t>
        </is>
      </c>
      <c r="N1726" s="145" t="inlineStr">
        <is>
          <t>Center</t>
        </is>
      </c>
      <c r="O1726" s="145" t="inlineStr">
        <is>
          <t>No</t>
        </is>
      </c>
      <c r="P1726" s="145" t="inlineStr">
        <is>
          <t xml:space="preserve">_ * #,##0_ ;_ * -#,##0_ ;_ * "-"??_ ;_ @_ </t>
        </is>
      </c>
      <c r="Q1726" s="145" t="inlineStr">
        <is>
          <t>Text</t>
        </is>
      </c>
      <c r="R1726" s="145" t="n"/>
      <c r="S1726" s="145" t="n"/>
      <c r="T1726" s="145" t="n"/>
      <c r="U1726" s="145" t="n"/>
      <c r="V1726" s="145" t="n"/>
      <c r="W1726" s="145" t="n"/>
      <c r="X1726" s="145" t="inlineStr">
        <is>
          <t>Detailed format sample from top five used rows</t>
        </is>
      </c>
    </row>
    <row r="1727" ht="23.85" customHeight="1" s="79">
      <c r="A1727" s="145" t="inlineStr">
        <is>
          <t>MNL_PPO</t>
        </is>
      </c>
      <c r="B1727" s="145" t="inlineStr">
        <is>
          <t>Top-Row Cell Format</t>
        </is>
      </c>
      <c r="C1727" s="145" t="inlineStr">
        <is>
          <t>AL5</t>
        </is>
      </c>
      <c r="D1727" s="145" t="inlineStr">
        <is>
          <t>MNL_PPO!A1:AM329</t>
        </is>
      </c>
      <c r="E1727" s="145" t="inlineStr">
        <is>
          <t>Comma</t>
        </is>
      </c>
      <c r="F1727" s="145" t="n"/>
      <c r="G1727" s="145" t="inlineStr">
        <is>
          <t>Cambria</t>
        </is>
      </c>
      <c r="H1727" s="145" t="n">
        <v>8</v>
      </c>
      <c r="I1727" s="145" t="inlineStr">
        <is>
          <t>No</t>
        </is>
      </c>
      <c r="J1727" s="145" t="inlineStr">
        <is>
          <t>No</t>
        </is>
      </c>
      <c r="K1727" s="145" t="inlineStr">
        <is>
          <t>None</t>
        </is>
      </c>
      <c r="L1727" s="145" t="inlineStr">
        <is>
          <t>#000000</t>
        </is>
      </c>
      <c r="M1727" s="145" t="inlineStr">
        <is>
          <t>General</t>
        </is>
      </c>
      <c r="N1727" s="145" t="inlineStr">
        <is>
          <t>Center</t>
        </is>
      </c>
      <c r="O1727" s="145" t="inlineStr">
        <is>
          <t>No</t>
        </is>
      </c>
      <c r="P1727" s="145" t="inlineStr">
        <is>
          <t xml:space="preserve">_ * #,##0_ ;_ * -#,##0_ ;_ * "-"??_ ;_ @_ </t>
        </is>
      </c>
      <c r="Q1727" s="145" t="inlineStr">
        <is>
          <t>Text</t>
        </is>
      </c>
      <c r="R1727" s="145" t="n"/>
      <c r="S1727" s="145" t="n"/>
      <c r="T1727" s="145" t="n"/>
      <c r="U1727" s="145" t="n"/>
      <c r="V1727" s="145" t="n"/>
      <c r="W1727" s="145" t="n"/>
      <c r="X1727" s="145" t="inlineStr">
        <is>
          <t>Detailed format sample from top five used rows</t>
        </is>
      </c>
    </row>
    <row r="1728" ht="23.85" customHeight="1" s="79">
      <c r="A1728" s="145" t="inlineStr">
        <is>
          <t>MNL_PPO</t>
        </is>
      </c>
      <c r="B1728" s="145" t="inlineStr">
        <is>
          <t>Column Format</t>
        </is>
      </c>
      <c r="C1728" s="145" t="inlineStr">
        <is>
          <t>AM:AM</t>
        </is>
      </c>
      <c r="D1728" s="145" t="inlineStr">
        <is>
          <t>MNL_PPO!A1:AM329</t>
        </is>
      </c>
      <c r="E1728" s="145" t="inlineStr">
        <is>
          <t>Mixed</t>
        </is>
      </c>
      <c r="F1728" s="145" t="inlineStr">
        <is>
          <t>Mixed</t>
        </is>
      </c>
      <c r="G1728" s="145" t="inlineStr">
        <is>
          <t>Cambria</t>
        </is>
      </c>
      <c r="H1728" s="145" t="n">
        <v>8</v>
      </c>
      <c r="I1728" s="145" t="inlineStr">
        <is>
          <t>Mixed</t>
        </is>
      </c>
      <c r="J1728" s="145" t="inlineStr">
        <is>
          <t>No</t>
        </is>
      </c>
      <c r="K1728" s="145" t="inlineStr">
        <is>
          <t>None</t>
        </is>
      </c>
      <c r="L1728" s="145" t="inlineStr">
        <is>
          <t>Mixed</t>
        </is>
      </c>
      <c r="M1728" s="145" t="inlineStr">
        <is>
          <t>General</t>
        </is>
      </c>
      <c r="N1728" s="145" t="inlineStr">
        <is>
          <t>Center</t>
        </is>
      </c>
      <c r="O1728" s="145" t="inlineStr">
        <is>
          <t>No</t>
        </is>
      </c>
      <c r="P1728" s="145" t="n"/>
      <c r="Q1728" s="145" t="n"/>
      <c r="R1728" s="145" t="n"/>
      <c r="S1728" s="145" t="n">
        <v>65.55223880597011</v>
      </c>
      <c r="T1728" s="145" t="n"/>
      <c r="U1728" s="145" t="inlineStr">
        <is>
          <t>No</t>
        </is>
      </c>
      <c r="V1728" s="145" t="inlineStr">
        <is>
          <t>Visible</t>
        </is>
      </c>
      <c r="W1728" s="145" t="n"/>
      <c r="X1728" s="145" t="inlineStr">
        <is>
          <t>Mixed styles within used column</t>
        </is>
      </c>
    </row>
    <row r="1729" ht="23.85" customHeight="1" s="79">
      <c r="A1729" s="145" t="inlineStr">
        <is>
          <t>MNL_PPO</t>
        </is>
      </c>
      <c r="B1729" s="145" t="inlineStr">
        <is>
          <t>Top-Row Cell Format</t>
        </is>
      </c>
      <c r="C1729" s="145" t="inlineStr">
        <is>
          <t>AM1</t>
        </is>
      </c>
      <c r="D1729" s="145" t="inlineStr">
        <is>
          <t>MNL_PPO!A1:AM329</t>
        </is>
      </c>
      <c r="E1729" s="145" t="inlineStr">
        <is>
          <t>Normal</t>
        </is>
      </c>
      <c r="F1729" s="145" t="inlineStr">
        <is>
          <t>#70AD47</t>
        </is>
      </c>
      <c r="G1729" s="145" t="inlineStr">
        <is>
          <t>Cambria</t>
        </is>
      </c>
      <c r="H1729" s="145" t="n">
        <v>8</v>
      </c>
      <c r="I1729" s="145" t="inlineStr">
        <is>
          <t>Yes</t>
        </is>
      </c>
      <c r="J1729" s="145" t="inlineStr">
        <is>
          <t>No</t>
        </is>
      </c>
      <c r="K1729" s="145" t="inlineStr">
        <is>
          <t>None</t>
        </is>
      </c>
      <c r="L1729" s="145" t="inlineStr">
        <is>
          <t>#FFFFFF</t>
        </is>
      </c>
      <c r="M1729" s="145" t="inlineStr">
        <is>
          <t>General</t>
        </is>
      </c>
      <c r="N1729" s="145" t="inlineStr">
        <is>
          <t>Center</t>
        </is>
      </c>
      <c r="O1729" s="145" t="inlineStr">
        <is>
          <t>No</t>
        </is>
      </c>
      <c r="P1729" s="145" t="inlineStr">
        <is>
          <t>General</t>
        </is>
      </c>
      <c r="Q1729" s="145" t="inlineStr">
        <is>
          <t>General</t>
        </is>
      </c>
      <c r="R1729" s="145" t="n"/>
      <c r="S1729" s="145" t="n"/>
      <c r="T1729" s="145" t="n"/>
      <c r="U1729" s="145" t="n"/>
      <c r="V1729" s="145" t="n"/>
      <c r="W1729" s="145" t="n"/>
      <c r="X1729" s="145" t="inlineStr">
        <is>
          <t>Detailed format sample from top five used rows</t>
        </is>
      </c>
    </row>
    <row r="1730" ht="23.85" customHeight="1" s="79">
      <c r="A1730" s="145" t="inlineStr">
        <is>
          <t>MNL_PPO</t>
        </is>
      </c>
      <c r="B1730" s="145" t="inlineStr">
        <is>
          <t>Top-Row Cell Format</t>
        </is>
      </c>
      <c r="C1730" s="145" t="inlineStr">
        <is>
          <t>AM2</t>
        </is>
      </c>
      <c r="D1730" s="145" t="inlineStr">
        <is>
          <t>MNL_PPO!A1:AM329</t>
        </is>
      </c>
      <c r="E1730" s="145" t="inlineStr">
        <is>
          <t>Comma</t>
        </is>
      </c>
      <c r="F1730" s="145" t="n"/>
      <c r="G1730" s="145" t="inlineStr">
        <is>
          <t>Cambria</t>
        </is>
      </c>
      <c r="H1730" s="145" t="n">
        <v>8</v>
      </c>
      <c r="I1730" s="145" t="inlineStr">
        <is>
          <t>No</t>
        </is>
      </c>
      <c r="J1730" s="145" t="inlineStr">
        <is>
          <t>No</t>
        </is>
      </c>
      <c r="K1730" s="145" t="inlineStr">
        <is>
          <t>None</t>
        </is>
      </c>
      <c r="L1730" s="145" t="inlineStr">
        <is>
          <t>#000000</t>
        </is>
      </c>
      <c r="M1730" s="145" t="inlineStr">
        <is>
          <t>General</t>
        </is>
      </c>
      <c r="N1730" s="145" t="inlineStr">
        <is>
          <t>Center</t>
        </is>
      </c>
      <c r="O1730" s="145" t="inlineStr">
        <is>
          <t>No</t>
        </is>
      </c>
      <c r="P1730" s="145" t="inlineStr">
        <is>
          <t xml:space="preserve">_ * #,##0_ ;_ * -#,##0_ ;_ * "-"??_ ;_ @_ </t>
        </is>
      </c>
      <c r="Q1730" s="145" t="inlineStr">
        <is>
          <t>Text</t>
        </is>
      </c>
      <c r="R1730" s="145" t="n"/>
      <c r="S1730" s="145" t="n"/>
      <c r="T1730" s="145" t="n"/>
      <c r="U1730" s="145" t="n"/>
      <c r="V1730" s="145" t="n"/>
      <c r="W1730" s="145" t="n"/>
      <c r="X1730" s="145" t="inlineStr">
        <is>
          <t>Detailed format sample from top five used rows</t>
        </is>
      </c>
    </row>
    <row r="1731" ht="23.85" customHeight="1" s="79">
      <c r="A1731" s="145" t="inlineStr">
        <is>
          <t>MNL_PPO</t>
        </is>
      </c>
      <c r="B1731" s="145" t="inlineStr">
        <is>
          <t>Top-Row Cell Format</t>
        </is>
      </c>
      <c r="C1731" s="145" t="inlineStr">
        <is>
          <t>AM3</t>
        </is>
      </c>
      <c r="D1731" s="145" t="inlineStr">
        <is>
          <t>MNL_PPO!A1:AM329</t>
        </is>
      </c>
      <c r="E1731" s="145" t="inlineStr">
        <is>
          <t>Comma</t>
        </is>
      </c>
      <c r="F1731" s="145" t="n"/>
      <c r="G1731" s="145" t="inlineStr">
        <is>
          <t>Cambria</t>
        </is>
      </c>
      <c r="H1731" s="145" t="n">
        <v>8</v>
      </c>
      <c r="I1731" s="145" t="inlineStr">
        <is>
          <t>No</t>
        </is>
      </c>
      <c r="J1731" s="145" t="inlineStr">
        <is>
          <t>No</t>
        </is>
      </c>
      <c r="K1731" s="145" t="inlineStr">
        <is>
          <t>None</t>
        </is>
      </c>
      <c r="L1731" s="145" t="inlineStr">
        <is>
          <t>#000000</t>
        </is>
      </c>
      <c r="M1731" s="145" t="inlineStr">
        <is>
          <t>General</t>
        </is>
      </c>
      <c r="N1731" s="145" t="inlineStr">
        <is>
          <t>Center</t>
        </is>
      </c>
      <c r="O1731" s="145" t="inlineStr">
        <is>
          <t>No</t>
        </is>
      </c>
      <c r="P1731" s="145" t="inlineStr">
        <is>
          <t xml:space="preserve">_ * #,##0_ ;_ * -#,##0_ ;_ * "-"??_ ;_ @_ </t>
        </is>
      </c>
      <c r="Q1731" s="145" t="inlineStr">
        <is>
          <t>Text</t>
        </is>
      </c>
      <c r="R1731" s="145" t="n"/>
      <c r="S1731" s="145" t="n"/>
      <c r="T1731" s="145" t="n"/>
      <c r="U1731" s="145" t="n"/>
      <c r="V1731" s="145" t="n"/>
      <c r="W1731" s="145" t="n"/>
      <c r="X1731" s="145" t="inlineStr">
        <is>
          <t>Detailed format sample from top five used rows</t>
        </is>
      </c>
    </row>
    <row r="1732" ht="23.85" customHeight="1" s="79">
      <c r="A1732" s="145" t="inlineStr">
        <is>
          <t>MNL_PPO</t>
        </is>
      </c>
      <c r="B1732" s="145" t="inlineStr">
        <is>
          <t>Top-Row Cell Format</t>
        </is>
      </c>
      <c r="C1732" s="145" t="inlineStr">
        <is>
          <t>AM4</t>
        </is>
      </c>
      <c r="D1732" s="145" t="inlineStr">
        <is>
          <t>MNL_PPO!A1:AM329</t>
        </is>
      </c>
      <c r="E1732" s="145" t="inlineStr">
        <is>
          <t>Comma</t>
        </is>
      </c>
      <c r="F1732" s="145" t="n"/>
      <c r="G1732" s="145" t="inlineStr">
        <is>
          <t>Cambria</t>
        </is>
      </c>
      <c r="H1732" s="145" t="n">
        <v>8</v>
      </c>
      <c r="I1732" s="145" t="inlineStr">
        <is>
          <t>No</t>
        </is>
      </c>
      <c r="J1732" s="145" t="inlineStr">
        <is>
          <t>No</t>
        </is>
      </c>
      <c r="K1732" s="145" t="inlineStr">
        <is>
          <t>None</t>
        </is>
      </c>
      <c r="L1732" s="145" t="inlineStr">
        <is>
          <t>#000000</t>
        </is>
      </c>
      <c r="M1732" s="145" t="inlineStr">
        <is>
          <t>General</t>
        </is>
      </c>
      <c r="N1732" s="145" t="inlineStr">
        <is>
          <t>Center</t>
        </is>
      </c>
      <c r="O1732" s="145" t="inlineStr">
        <is>
          <t>No</t>
        </is>
      </c>
      <c r="P1732" s="145" t="inlineStr">
        <is>
          <t xml:space="preserve">_ * #,##0_ ;_ * -#,##0_ ;_ * "-"??_ ;_ @_ </t>
        </is>
      </c>
      <c r="Q1732" s="145" t="inlineStr">
        <is>
          <t>Text</t>
        </is>
      </c>
      <c r="R1732" s="145" t="n"/>
      <c r="S1732" s="145" t="n"/>
      <c r="T1732" s="145" t="n"/>
      <c r="U1732" s="145" t="n"/>
      <c r="V1732" s="145" t="n"/>
      <c r="W1732" s="145" t="n"/>
      <c r="X1732" s="145" t="inlineStr">
        <is>
          <t>Detailed format sample from top five used rows</t>
        </is>
      </c>
    </row>
    <row r="1733" ht="23.85" customHeight="1" s="79">
      <c r="A1733" s="145" t="inlineStr">
        <is>
          <t>MNL_PPO</t>
        </is>
      </c>
      <c r="B1733" s="145" t="inlineStr">
        <is>
          <t>Top-Row Cell Format</t>
        </is>
      </c>
      <c r="C1733" s="145" t="inlineStr">
        <is>
          <t>AM5</t>
        </is>
      </c>
      <c r="D1733" s="145" t="inlineStr">
        <is>
          <t>MNL_PPO!A1:AM329</t>
        </is>
      </c>
      <c r="E1733" s="145" t="inlineStr">
        <is>
          <t>Comma</t>
        </is>
      </c>
      <c r="F1733" s="145" t="n"/>
      <c r="G1733" s="145" t="inlineStr">
        <is>
          <t>Cambria</t>
        </is>
      </c>
      <c r="H1733" s="145" t="n">
        <v>8</v>
      </c>
      <c r="I1733" s="145" t="inlineStr">
        <is>
          <t>No</t>
        </is>
      </c>
      <c r="J1733" s="145" t="inlineStr">
        <is>
          <t>No</t>
        </is>
      </c>
      <c r="K1733" s="145" t="inlineStr">
        <is>
          <t>None</t>
        </is>
      </c>
      <c r="L1733" s="145" t="inlineStr">
        <is>
          <t>#000000</t>
        </is>
      </c>
      <c r="M1733" s="145" t="inlineStr">
        <is>
          <t>General</t>
        </is>
      </c>
      <c r="N1733" s="145" t="inlineStr">
        <is>
          <t>Center</t>
        </is>
      </c>
      <c r="O1733" s="145" t="inlineStr">
        <is>
          <t>No</t>
        </is>
      </c>
      <c r="P1733" s="145" t="inlineStr">
        <is>
          <t xml:space="preserve">_ * #,##0_ ;_ * -#,##0_ ;_ * "-"??_ ;_ @_ </t>
        </is>
      </c>
      <c r="Q1733" s="145" t="inlineStr">
        <is>
          <t>Text</t>
        </is>
      </c>
      <c r="R1733" s="145" t="n"/>
      <c r="S1733" s="145" t="n"/>
      <c r="T1733" s="145" t="n"/>
      <c r="U1733" s="145" t="n"/>
      <c r="V1733" s="145" t="n"/>
      <c r="W1733" s="145" t="n"/>
      <c r="X1733" s="145" t="inlineStr">
        <is>
          <t>Detailed format sample from top five used rows</t>
        </is>
      </c>
    </row>
  </sheetData>
  <mergeCells count="3">
    <mergeCell ref="A3:X3"/>
    <mergeCell ref="A2:X2"/>
    <mergeCell ref="A1:X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Citykart</dc:creator>
  <dc:language xmlns:dc="http://purl.org/dc/elements/1.1/">en-US</dc:language>
  <dcterms:created xmlns:dcterms="http://purl.org/dc/terms/" xmlns:xsi="http://www.w3.org/2001/XMLSchema-instance" xsi:type="dcterms:W3CDTF">2020-10-22T10:14:59Z</dcterms:created>
  <dcterms:modified xmlns:dcterms="http://purl.org/dc/terms/" xmlns:xsi="http://www.w3.org/2001/XMLSchema-instance" xsi:type="dcterms:W3CDTF">2026-10-13T11:40:23Z</dcterms:modified>
  <cp:lastModifiedBy>Shubham Jha</cp:lastModifiedBy>
  <cp:revision>0</cp:revision>
  <cp:lastPrinted>2024-09-20T10:14:23Z</cp:lastPrinted>
</cp:coreProperties>
</file>